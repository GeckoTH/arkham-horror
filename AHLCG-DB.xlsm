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defaultThemeVersion="124226"/>
  <bookViews>
    <workbookView xWindow="45" yWindow="15" windowWidth="25440" windowHeight="11355"/>
  </bookViews>
  <sheets>
    <sheet name="Sets" sheetId="2" r:id="rId1"/>
    <sheet name="Card Data" sheetId="1" r:id="rId2"/>
    <sheet name="FAQ" sheetId="3" r:id="rId3"/>
    <sheet name="Special Characters" sheetId="7" r:id="rId4"/>
    <sheet name="Tables" sheetId="4" state="hidden" r:id="rId5"/>
    <sheet name="Sheet2" sheetId="6" state="hidden" r:id="rId6"/>
  </sheets>
  <functionGroups/>
  <definedNames>
    <definedName name="_xlnm._FilterDatabase" localSheetId="1" hidden="1">'Card Data'!$A$1:$BH$5</definedName>
    <definedName name="GameGUID">Sets!$A$2</definedName>
    <definedName name="GameVersion">Sets!$C$2</definedName>
    <definedName name="_xlnm.Print_Titles" localSheetId="2">FAQ!$4:$4</definedName>
    <definedName name="SymbolTable">Tables!$C$1:$D$11</definedName>
    <definedName name="UseSymbols">FAQ!$B$2</definedName>
    <definedName name="YesNo">Tables!$A$1:$A$2</definedName>
    <definedName name="_xlnm.Print_Area" localSheetId="2">FAQ!$A$4:$C$1812</definedName>
  </definedNames>
  <calcPr calcId="125725"/>
</workbook>
</file>

<file path=xl/calcChain.xml><?xml version="1.0" encoding="utf-8"?>
<calcChain xmlns="http://schemas.openxmlformats.org/spreadsheetml/2006/main">
  <c r="AA17" i="2"/>
  <c r="Z17"/>
  <c r="Y17"/>
  <c r="X17"/>
  <c r="W17"/>
  <c r="V17"/>
  <c r="T17"/>
  <c r="S17"/>
  <c r="R17"/>
  <c r="Q17"/>
  <c r="P17"/>
  <c r="O17"/>
  <c r="N17"/>
  <c r="L17"/>
  <c r="K17"/>
  <c r="J17"/>
  <c r="I17" s="1"/>
  <c r="H17"/>
  <c r="G17"/>
  <c r="G16" l="1"/>
  <c r="H16"/>
  <c r="J16"/>
  <c r="I16" s="1"/>
  <c r="K16"/>
  <c r="L16"/>
  <c r="N16"/>
  <c r="O16"/>
  <c r="P16"/>
  <c r="Q16"/>
  <c r="R16"/>
  <c r="S16"/>
  <c r="T16"/>
  <c r="V16"/>
  <c r="W16"/>
  <c r="X16"/>
  <c r="Y16"/>
  <c r="Z16"/>
  <c r="AA16"/>
  <c r="J15" l="1"/>
  <c r="I15" s="1"/>
  <c r="G15"/>
  <c r="H15"/>
  <c r="AA15"/>
  <c r="Z15"/>
  <c r="Y15"/>
  <c r="X15"/>
  <c r="W15"/>
  <c r="V15"/>
  <c r="T15"/>
  <c r="S15"/>
  <c r="R15"/>
  <c r="Q15"/>
  <c r="P15"/>
  <c r="O15"/>
  <c r="N15"/>
  <c r="L15"/>
  <c r="K15"/>
  <c r="H10" l="1"/>
  <c r="H11"/>
  <c r="H12"/>
  <c r="H13"/>
  <c r="H14"/>
  <c r="G14"/>
  <c r="J14"/>
  <c r="I14" s="1"/>
  <c r="K14"/>
  <c r="L14"/>
  <c r="N14"/>
  <c r="O14"/>
  <c r="P14"/>
  <c r="Q14"/>
  <c r="R14"/>
  <c r="S14"/>
  <c r="T14"/>
  <c r="V14"/>
  <c r="W14"/>
  <c r="X14"/>
  <c r="Y14"/>
  <c r="Z14"/>
  <c r="AA14"/>
  <c r="H3" l="1"/>
  <c r="H9"/>
  <c r="G9"/>
  <c r="H8"/>
  <c r="H7"/>
  <c r="H6"/>
  <c r="H5"/>
  <c r="H4"/>
  <c r="J3"/>
  <c r="I3" s="1"/>
  <c r="G3"/>
  <c r="G8" l="1"/>
  <c r="J8"/>
  <c r="I8" s="1"/>
  <c r="K8"/>
  <c r="L8"/>
  <c r="N8"/>
  <c r="O8"/>
  <c r="P8"/>
  <c r="Q8"/>
  <c r="R8"/>
  <c r="S8"/>
  <c r="T8"/>
  <c r="V8"/>
  <c r="W8"/>
  <c r="X8"/>
  <c r="Y8"/>
  <c r="Z8"/>
  <c r="AA8"/>
  <c r="J9"/>
  <c r="I9" s="1"/>
  <c r="K9"/>
  <c r="L9"/>
  <c r="N9"/>
  <c r="O9"/>
  <c r="P9"/>
  <c r="Q9"/>
  <c r="R9"/>
  <c r="S9"/>
  <c r="T9"/>
  <c r="V9"/>
  <c r="W9"/>
  <c r="X9"/>
  <c r="Y9"/>
  <c r="Z9"/>
  <c r="AA9"/>
  <c r="G6" l="1"/>
  <c r="J6"/>
  <c r="I6" s="1"/>
  <c r="K6"/>
  <c r="L6"/>
  <c r="N6"/>
  <c r="O6"/>
  <c r="P6"/>
  <c r="Q6"/>
  <c r="R6"/>
  <c r="S6"/>
  <c r="T6"/>
  <c r="V6"/>
  <c r="W6"/>
  <c r="X6"/>
  <c r="Y6"/>
  <c r="Z6"/>
  <c r="AA6"/>
  <c r="G7"/>
  <c r="J7"/>
  <c r="I7" s="1"/>
  <c r="K7"/>
  <c r="L7"/>
  <c r="N7"/>
  <c r="O7"/>
  <c r="P7"/>
  <c r="Q7"/>
  <c r="R7"/>
  <c r="S7"/>
  <c r="T7"/>
  <c r="V7"/>
  <c r="W7"/>
  <c r="X7"/>
  <c r="Y7"/>
  <c r="Z7"/>
  <c r="AA7"/>
  <c r="G10"/>
  <c r="J10"/>
  <c r="I10" s="1"/>
  <c r="K10"/>
  <c r="L10"/>
  <c r="N10"/>
  <c r="O10"/>
  <c r="P10"/>
  <c r="Q10"/>
  <c r="R10"/>
  <c r="S10"/>
  <c r="T10"/>
  <c r="V10"/>
  <c r="W10"/>
  <c r="X10"/>
  <c r="Y10"/>
  <c r="Z10"/>
  <c r="AA10"/>
  <c r="G11"/>
  <c r="J11"/>
  <c r="I11" s="1"/>
  <c r="K11"/>
  <c r="L11"/>
  <c r="N11"/>
  <c r="O11"/>
  <c r="P11"/>
  <c r="Q11"/>
  <c r="R11"/>
  <c r="S11"/>
  <c r="T11"/>
  <c r="V11"/>
  <c r="W11"/>
  <c r="X11"/>
  <c r="Y11"/>
  <c r="Z11"/>
  <c r="AA11"/>
  <c r="G12"/>
  <c r="J12"/>
  <c r="I12" s="1"/>
  <c r="K12"/>
  <c r="L12"/>
  <c r="N12"/>
  <c r="O12"/>
  <c r="P12"/>
  <c r="Q12"/>
  <c r="R12"/>
  <c r="S12"/>
  <c r="T12"/>
  <c r="V12"/>
  <c r="W12"/>
  <c r="X12"/>
  <c r="Y12"/>
  <c r="Z12"/>
  <c r="AA12"/>
  <c r="G13"/>
  <c r="J13"/>
  <c r="I13" s="1"/>
  <c r="K13"/>
  <c r="L13"/>
  <c r="N13"/>
  <c r="O13"/>
  <c r="P13"/>
  <c r="Q13"/>
  <c r="R13"/>
  <c r="S13"/>
  <c r="T13"/>
  <c r="V13"/>
  <c r="W13"/>
  <c r="X13"/>
  <c r="Y13"/>
  <c r="Z13"/>
  <c r="AA13"/>
  <c r="J5"/>
  <c r="I5" s="1"/>
  <c r="K5"/>
  <c r="L5"/>
  <c r="N5"/>
  <c r="O5"/>
  <c r="P5"/>
  <c r="Q5"/>
  <c r="R5"/>
  <c r="S5"/>
  <c r="T5"/>
  <c r="V5"/>
  <c r="W5"/>
  <c r="X5"/>
  <c r="Y5"/>
  <c r="Z5"/>
  <c r="AA5"/>
  <c r="G5"/>
  <c r="AA4" l="1"/>
  <c r="Z4"/>
  <c r="Y4"/>
  <c r="X4"/>
  <c r="W4"/>
  <c r="V4"/>
  <c r="T4"/>
  <c r="S4"/>
  <c r="R4"/>
  <c r="Q4"/>
  <c r="P4"/>
  <c r="O4"/>
  <c r="N4"/>
  <c r="L4"/>
  <c r="K4"/>
  <c r="J4"/>
  <c r="I4" s="1"/>
  <c r="G4"/>
  <c r="L3"/>
  <c r="K3"/>
  <c r="Z3"/>
  <c r="Y3"/>
  <c r="X3"/>
  <c r="W3"/>
  <c r="V3"/>
  <c r="Q3" l="1"/>
  <c r="P3"/>
  <c r="O3"/>
  <c r="N3"/>
  <c r="AA3" l="1"/>
  <c r="T3"/>
  <c r="S3"/>
  <c r="R3"/>
</calcChain>
</file>

<file path=xl/sharedStrings.xml><?xml version="1.0" encoding="utf-8"?>
<sst xmlns="http://schemas.openxmlformats.org/spreadsheetml/2006/main" count="13215" uniqueCount="7221">
  <si>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</si>
  <si>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</si>
  <si>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</si>
  <si>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</si>
  <si>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</si>
  <si>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</si>
  <si>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</si>
  <si>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</si>
  <si>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</si>
  <si>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</si>
  <si>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</si>
  <si>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</si>
  <si>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</si>
  <si>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</si>
  <si>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</si>
  <si>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</si>
  <si>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</si>
  <si>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</si>
  <si>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</si>
  <si>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</si>
  <si>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</si>
  <si>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</si>
  <si>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</si>
  <si>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</si>
  <si>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</si>
  <si>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</si>
  <si>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</si>
  <si>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</si>
  <si>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</si>
  <si>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</si>
  <si>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</si>
  <si>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</si>
  <si>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</si>
  <si>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</si>
  <si>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</si>
  <si>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</si>
  <si>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</si>
  <si>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</si>
  <si>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</si>
  <si>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</si>
  <si>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</si>
  <si>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</si>
  <si>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</si>
  <si>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</si>
  <si>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</si>
  <si>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</si>
  <si>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</si>
  <si>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</si>
  <si>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</si>
  <si>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</si>
  <si>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</si>
  <si>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</si>
  <si>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</si>
  <si>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</si>
  <si>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</si>
  <si>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</si>
  <si>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</si>
  <si>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</si>
  <si>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</si>
  <si>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</si>
  <si>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</si>
  <si>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</si>
  <si>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</si>
  <si>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</si>
  <si>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</si>
  <si>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</si>
  <si>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</si>
  <si>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</si>
  <si>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</si>
  <si>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</si>
  <si>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</si>
  <si>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</si>
  <si>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</si>
  <si>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</si>
  <si>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</si>
  <si>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</si>
  <si>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</si>
  <si>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</si>
  <si>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</si>
  <si>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</si>
  <si>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</si>
  <si>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</si>
  <si>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</si>
  <si>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</si>
  <si>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</si>
  <si>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</si>
  <si>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</si>
  <si>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</si>
  <si>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</si>
  <si>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</si>
  <si>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</si>
  <si>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</si>
  <si>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</si>
  <si>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</si>
  <si>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</si>
  <si>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</si>
  <si>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</si>
  <si>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</si>
  <si>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</si>
  <si>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</si>
  <si>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</si>
  <si>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</si>
  <si>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</si>
  <si>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</si>
  <si>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</si>
  <si>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</si>
  <si>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</si>
  <si>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</si>
  <si>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</si>
  <si>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</si>
  <si>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</si>
  <si>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</si>
  <si>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</si>
  <si>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</si>
  <si>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</si>
  <si>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</si>
  <si>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</si>
  <si>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</si>
  <si>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</si>
  <si>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</si>
  <si>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</si>
  <si>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</si>
  <si>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</si>
  <si>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</si>
  <si>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</si>
  <si>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</si>
  <si>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</si>
  <si>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</si>
  <si>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</si>
  <si>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</si>
  <si>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</si>
  <si>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</si>
  <si>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</si>
  <si>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</si>
  <si>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</si>
  <si>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</si>
  <si>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</si>
  <si>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</si>
  <si>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</si>
  <si>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</si>
  <si>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</si>
  <si>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</si>
  <si>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</si>
  <si>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</si>
  <si>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</si>
  <si>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</si>
  <si>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</si>
  <si>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</si>
  <si>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</si>
  <si>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</si>
  <si>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</si>
  <si>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</si>
  <si>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</si>
  <si>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</si>
  <si>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</si>
  <si>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</si>
  <si>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</si>
  <si>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</si>
  <si>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</si>
  <si>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</si>
  <si>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</si>
  <si>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</si>
  <si>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</si>
  <si>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</si>
  <si>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</si>
  <si>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</si>
  <si>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</si>
  <si>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</si>
  <si>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</si>
  <si>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</si>
  <si>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</si>
  <si>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</si>
  <si>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</si>
  <si>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</si>
  <si>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</si>
  <si>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</si>
  <si>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</si>
  <si>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</si>
  <si>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</si>
  <si>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</si>
  <si>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</si>
  <si>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</si>
  <si>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</si>
  <si>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</si>
  <si>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</si>
  <si>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</si>
  <si>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</si>
  <si>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</si>
  <si>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</si>
  <si>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</si>
  <si>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</si>
  <si>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</si>
  <si>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</si>
  <si>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</si>
  <si>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</si>
  <si>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</si>
  <si>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</si>
  <si>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</si>
  <si>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</si>
  <si>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</si>
  <si>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</si>
  <si>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</si>
  <si>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</si>
  <si>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</si>
  <si>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</si>
  <si>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</si>
  <si>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</si>
  <si>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</si>
  <si>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</si>
  <si>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</si>
  <si>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</si>
  <si>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</si>
  <si>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</si>
  <si>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</si>
  <si>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</si>
  <si>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</si>
  <si>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</si>
  <si>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</si>
  <si>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</si>
  <si>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</si>
  <si>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</si>
  <si>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</si>
  <si>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</si>
  <si>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</si>
  <si>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</si>
  <si>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</si>
  <si>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</si>
  <si>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</si>
  <si>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</si>
  <si>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</si>
  <si>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</si>
  <si>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</si>
  <si>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</si>
  <si>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</si>
  <si>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</si>
  <si>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</si>
  <si>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</si>
  <si>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</si>
  <si>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</si>
  <si>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</si>
  <si>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</si>
  <si>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</si>
  <si>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</si>
  <si>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</si>
  <si>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</si>
  <si>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</si>
  <si>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</si>
  <si>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</si>
  <si>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</si>
  <si>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</si>
  <si>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</si>
  <si>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</si>
  <si>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</si>
  <si>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</si>
  <si>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</si>
  <si>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</si>
  <si>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</si>
  <si>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</si>
  <si>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</si>
  <si>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</si>
  <si>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</si>
  <si>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</si>
  <si>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</si>
  <si>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</si>
  <si>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</si>
  <si>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</si>
  <si>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</si>
  <si>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</si>
  <si>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</si>
  <si>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</si>
  <si>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</si>
  <si>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</si>
  <si>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</si>
  <si>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</si>
  <si>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</si>
  <si>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</si>
  <si>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</si>
  <si>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</si>
  <si>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</si>
  <si>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</si>
  <si>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</si>
  <si>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</si>
  <si>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</si>
  <si>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</si>
  <si>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</si>
  <si>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</si>
  <si>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</si>
  <si>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</si>
  <si>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</si>
  <si>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</si>
  <si>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</si>
  <si>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</si>
  <si>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</si>
  <si>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</si>
  <si>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</si>
  <si>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</si>
  <si>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</si>
  <si>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</si>
  <si>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</si>
  <si>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</si>
  <si>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</si>
  <si>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</si>
  <si>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</si>
  <si>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</si>
  <si>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</si>
  <si>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</si>
  <si>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</si>
  <si>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</si>
  <si>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</si>
  <si>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</si>
  <si>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</si>
  <si>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</si>
  <si>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</si>
  <si>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</si>
  <si>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</si>
  <si>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</si>
  <si>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</si>
  <si>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</si>
  <si>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</si>
  <si>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</si>
  <si>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</si>
  <si>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</si>
  <si>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</si>
  <si>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</si>
  <si>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</si>
  <si>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</si>
  <si>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</si>
  <si>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</si>
  <si>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</si>
  <si>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</si>
  <si>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</si>
  <si>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</si>
  <si>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</si>
  <si>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</si>
  <si>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</si>
  <si>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</si>
  <si>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</si>
  <si>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</si>
  <si>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</si>
  <si>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</si>
  <si>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</si>
  <si>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</si>
  <si>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</si>
  <si>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</si>
  <si>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</si>
  <si>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</si>
  <si>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</si>
  <si>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</si>
  <si>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</si>
  <si>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</si>
  <si>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</si>
  <si>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</si>
  <si>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</si>
  <si>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</si>
  <si>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</si>
  <si>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</si>
  <si>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</si>
  <si>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</si>
  <si>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</si>
  <si>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</si>
  <si>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</si>
  <si>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</si>
  <si>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</si>
  <si>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</si>
  <si>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</si>
  <si>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</si>
  <si>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</si>
  <si>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</si>
  <si>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</si>
  <si>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</si>
  <si>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</si>
  <si>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</si>
  <si>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</si>
  <si>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</si>
  <si>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</si>
  <si>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</si>
  <si>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</si>
  <si>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</si>
  <si>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</si>
  <si>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</si>
  <si>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</si>
  <si>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</si>
  <si>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</si>
  <si>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</si>
  <si>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</si>
  <si>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</si>
  <si>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</si>
  <si>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</si>
  <si>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</si>
  <si>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</si>
  <si>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</si>
  <si>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</si>
  <si>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</si>
  <si>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</si>
  <si>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</si>
  <si>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</si>
  <si>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</si>
  <si>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</si>
  <si>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</si>
  <si>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</si>
  <si>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</si>
  <si>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</si>
  <si>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</si>
  <si>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</si>
  <si>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</si>
  <si>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</si>
  <si>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</si>
  <si>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</si>
  <si>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</si>
  <si>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</si>
  <si>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</si>
  <si>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</si>
  <si>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</si>
  <si>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</si>
  <si>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</si>
  <si>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</si>
  <si>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</si>
  <si>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</si>
  <si>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</si>
  <si>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</si>
  <si>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</si>
  <si>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</si>
  <si>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</si>
  <si>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</si>
  <si>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</si>
  <si>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</si>
  <si>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</si>
  <si>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</si>
  <si>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</si>
  <si>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</si>
  <si>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</si>
  <si>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</si>
  <si>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</si>
  <si>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</si>
  <si>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</si>
  <si>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</si>
  <si>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</si>
  <si>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</si>
  <si>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</si>
  <si>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</si>
  <si>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</si>
  <si>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</si>
  <si>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</si>
  <si>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</si>
  <si>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</si>
  <si>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</si>
  <si>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</si>
  <si>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</si>
  <si>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</si>
  <si>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</si>
  <si>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</si>
  <si>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</si>
  <si>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</si>
  <si>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</si>
  <si>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</si>
  <si>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</si>
  <si>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</si>
  <si>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</si>
  <si>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</si>
  <si>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</si>
  <si>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</si>
  <si>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</si>
  <si>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</si>
  <si>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</si>
  <si>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</si>
  <si>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</si>
  <si>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</si>
  <si>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</si>
  <si>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</si>
  <si>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</si>
  <si>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</si>
  <si>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</si>
  <si>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</si>
  <si>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</si>
  <si>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</si>
  <si>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</si>
  <si>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</si>
  <si>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</si>
  <si>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</si>
  <si>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</si>
  <si>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</si>
  <si>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</si>
  <si>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</si>
  <si>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</si>
  <si>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</si>
  <si>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</si>
  <si>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</si>
  <si>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</si>
  <si>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</si>
  <si>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</si>
  <si>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</si>
  <si>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</si>
  <si>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</si>
  <si>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</si>
  <si>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</si>
  <si>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</si>
  <si>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</si>
  <si>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</si>
  <si>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</si>
  <si>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</si>
  <si>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</si>
  <si>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</si>
  <si>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</si>
  <si>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</si>
  <si>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</si>
  <si>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</si>
  <si>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</si>
  <si>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</si>
  <si>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</si>
  <si>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</si>
  <si>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</si>
  <si>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</si>
  <si>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</si>
  <si>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</si>
  <si>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</si>
  <si>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</si>
  <si>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</si>
  <si>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</si>
  <si>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</si>
  <si>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</si>
  <si>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</si>
  <si>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</si>
  <si>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</si>
  <si>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</si>
  <si>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</si>
  <si>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</si>
  <si>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</si>
  <si>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</si>
  <si>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</si>
  <si>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</si>
  <si>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</si>
  <si>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</si>
  <si>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</si>
  <si>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</si>
  <si>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</si>
  <si>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</si>
  <si>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</si>
  <si>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</si>
  <si>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</si>
  <si>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</si>
  <si>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</si>
  <si>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</si>
  <si>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</si>
  <si>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</si>
  <si>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</si>
  <si>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</si>
  <si>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</si>
  <si>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</si>
  <si>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</si>
  <si>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</si>
  <si>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</si>
  <si>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</si>
  <si>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</si>
  <si>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</si>
  <si>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</si>
  <si>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</si>
  <si>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</si>
  <si>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</si>
  <si>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</si>
  <si>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</si>
  <si>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</si>
  <si>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</si>
  <si>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</si>
  <si>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</si>
  <si>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</si>
  <si>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</si>
  <si>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</si>
  <si>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</si>
  <si>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</si>
  <si>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</si>
  <si>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</si>
  <si>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</si>
  <si>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</si>
  <si>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</si>
  <si>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</si>
  <si>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</si>
  <si>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</si>
  <si>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</si>
  <si>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</si>
  <si>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</si>
  <si>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</si>
  <si>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</si>
  <si>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</si>
  <si>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</si>
  <si>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</si>
  <si>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</si>
  <si>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</si>
  <si>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</si>
  <si>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</si>
  <si>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</si>
  <si>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</si>
  <si>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</si>
  <si>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</si>
  <si>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</si>
  <si>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</si>
  <si>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</si>
  <si>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</si>
  <si>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</si>
  <si>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</si>
  <si>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</si>
  <si>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</si>
  <si>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</si>
  <si>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</si>
  <si>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</si>
  <si>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</si>
  <si>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</si>
  <si>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</si>
  <si>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</si>
  <si>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</si>
  <si>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</si>
  <si>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</si>
  <si>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</si>
  <si>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</si>
  <si>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</si>
  <si>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</si>
  <si>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</si>
  <si>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</si>
  <si>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</si>
  <si>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</si>
  <si>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</si>
  <si>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</si>
  <si>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</si>
  <si>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</si>
  <si>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</si>
  <si>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</si>
  <si>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</si>
  <si>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</si>
  <si>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</si>
  <si>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</si>
  <si>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</si>
  <si>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</si>
  <si>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</si>
  <si>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</si>
  <si>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</si>
  <si>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</si>
  <si>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</si>
  <si>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</si>
  <si>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</si>
  <si>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</si>
  <si>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</si>
  <si>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</si>
  <si>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</si>
  <si>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</si>
  <si>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</si>
  <si>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</si>
  <si>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</si>
  <si>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</si>
  <si>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</si>
  <si>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</si>
  <si>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</si>
  <si>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</si>
  <si>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</si>
  <si>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</si>
  <si>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</si>
  <si>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</si>
  <si>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</si>
  <si>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</si>
  <si>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</si>
  <si>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</si>
  <si>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</si>
  <si>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</si>
  <si>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</si>
  <si>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</si>
  <si>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</si>
  <si>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</si>
  <si>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</si>
  <si>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</si>
  <si>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</si>
  <si>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</si>
  <si>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</si>
  <si>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</si>
  <si>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</si>
  <si>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</si>
  <si>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</si>
  <si>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</si>
  <si>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</si>
  <si>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</si>
  <si>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</si>
  <si>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</si>
  <si>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</si>
  <si>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</si>
  <si>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</si>
  <si>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</si>
  <si>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</si>
  <si>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</si>
  <si>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</si>
  <si>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</si>
  <si>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</si>
  <si>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</si>
  <si>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</si>
  <si>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</si>
  <si>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</si>
  <si>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</si>
  <si>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</si>
  <si>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</si>
  <si>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</si>
  <si>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</si>
  <si>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</si>
  <si>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</si>
  <si>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</si>
  <si>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</si>
  <si>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</si>
  <si>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</si>
  <si>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</si>
  <si>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</si>
  <si>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</si>
  <si>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</si>
  <si>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</si>
  <si>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</si>
  <si>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</si>
  <si>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</si>
  <si>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</si>
  <si>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</si>
  <si>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</si>
  <si>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</si>
  <si>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</si>
  <si>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</si>
  <si>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</si>
  <si>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</si>
  <si>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</si>
  <si>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</si>
  <si>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</si>
  <si>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</si>
  <si>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</si>
  <si>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</si>
  <si>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</si>
  <si>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</si>
  <si>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</si>
  <si>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</si>
  <si>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</si>
  <si>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</si>
  <si>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</si>
  <si>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</si>
  <si>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</si>
  <si>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</si>
  <si>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</si>
  <si>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</si>
  <si>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</si>
  <si>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</si>
  <si>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</si>
  <si>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</si>
  <si>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</si>
  <si>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</si>
  <si>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</si>
  <si>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</si>
  <si>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</si>
  <si>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</si>
  <si>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</si>
  <si>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</si>
  <si>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</si>
  <si>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</si>
  <si>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</si>
  <si>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</si>
  <si>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</si>
  <si>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</si>
  <si>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</si>
  <si>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</si>
  <si>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</si>
  <si>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</si>
  <si>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</si>
  <si>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</si>
  <si>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</si>
  <si>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</si>
  <si>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</si>
  <si>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</si>
  <si>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</si>
  <si>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</si>
  <si>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</si>
  <si>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</si>
  <si>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</si>
  <si>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</si>
  <si>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</si>
  <si>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</si>
  <si>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</si>
  <si>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</si>
  <si>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</si>
  <si>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</si>
  <si>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</si>
  <si>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</si>
  <si>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</si>
  <si>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</si>
  <si>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</si>
  <si>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</si>
  <si>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</si>
  <si>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</si>
  <si>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</si>
  <si>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</si>
  <si>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</si>
  <si>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</si>
  <si>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</si>
  <si>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</si>
  <si>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</si>
  <si>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</si>
  <si>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</si>
  <si>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</si>
  <si>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</si>
  <si>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</si>
  <si>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</si>
  <si>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</si>
  <si>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</si>
  <si>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</si>
  <si>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</si>
  <si>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</si>
  <si>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</si>
  <si>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</si>
  <si>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</si>
  <si>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</si>
  <si>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</si>
  <si>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</si>
  <si>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</si>
  <si>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</si>
  <si>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</si>
  <si>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</si>
  <si>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</si>
  <si>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</si>
  <si>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</si>
  <si>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</si>
  <si>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</si>
  <si>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</si>
  <si>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</si>
  <si>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</si>
  <si>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</si>
  <si>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</si>
  <si>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</si>
  <si>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</si>
  <si>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</si>
  <si>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</si>
  <si>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</si>
  <si>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</si>
  <si>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</si>
  <si>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</si>
  <si>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</si>
  <si>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</si>
  <si>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</si>
  <si>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</si>
  <si>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</si>
  <si>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</si>
  <si>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</si>
  <si>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</si>
  <si>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</si>
  <si>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</si>
  <si>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</si>
  <si>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</si>
  <si>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</si>
  <si>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</si>
  <si>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</si>
  <si>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</si>
  <si>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</si>
  <si>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</si>
  <si>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</si>
  <si>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</si>
  <si>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</si>
  <si>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</si>
  <si>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</si>
  <si>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</si>
  <si>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</si>
  <si>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</si>
  <si>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</si>
  <si>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</si>
  <si>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</si>
  <si>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</si>
  <si>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</si>
  <si>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</si>
  <si>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</si>
  <si>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</si>
  <si>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</si>
  <si>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</si>
  <si>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</si>
  <si>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</si>
  <si>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</si>
  <si>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</si>
  <si>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</si>
  <si>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</si>
  <si>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</si>
  <si>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</si>
  <si>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</si>
  <si>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</si>
  <si>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</si>
  <si>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</si>
  <si>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</si>
  <si>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</si>
  <si>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</si>
  <si>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</si>
  <si>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</si>
  <si>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</si>
  <si>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</si>
  <si>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</si>
  <si>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</si>
  <si>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</si>
  <si>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</si>
  <si>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</si>
  <si>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</si>
  <si>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</si>
  <si>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</si>
  <si>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</si>
  <si>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</si>
  <si>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</si>
  <si>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</si>
  <si>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</si>
  <si>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</si>
  <si>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</si>
  <si>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</si>
  <si>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</si>
  <si>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</si>
  <si>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</si>
  <si>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</si>
  <si>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</si>
  <si>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</si>
  <si>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</si>
  <si>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</si>
  <si>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</si>
  <si>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</si>
  <si>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</si>
  <si>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</si>
  <si>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</si>
  <si>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</si>
  <si>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</si>
  <si>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</si>
  <si>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</si>
  <si>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</si>
  <si>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</si>
  <si>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</si>
  <si>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</si>
  <si>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</si>
  <si>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</si>
  <si>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</si>
  <si>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</si>
  <si>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</si>
  <si>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</si>
  <si>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</si>
  <si>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</si>
  <si>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</si>
  <si>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</si>
  <si>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</si>
  <si>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</si>
  <si>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</si>
  <si>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</si>
  <si>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</si>
  <si>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</si>
  <si>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</si>
  <si>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</si>
  <si>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</si>
  <si>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</si>
  <si>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</si>
  <si>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</si>
  <si>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</si>
  <si>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</si>
  <si>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</si>
  <si>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</si>
  <si>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</si>
  <si>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</si>
  <si>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</si>
  <si>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</si>
  <si>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</si>
  <si>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</si>
  <si>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</si>
  <si>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</si>
  <si>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</si>
  <si>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</si>
  <si>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</si>
  <si>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</si>
  <si>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</si>
  <si>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</si>
  <si>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</si>
  <si>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</si>
  <si>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</si>
  <si>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</si>
  <si>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</si>
  <si>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</si>
  <si>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</si>
  <si>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</si>
  <si>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</si>
  <si>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</si>
  <si>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</si>
  <si>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</si>
  <si>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</si>
  <si>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</si>
  <si>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</si>
  <si>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</si>
  <si>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</si>
  <si>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</si>
  <si>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</si>
  <si>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</si>
  <si>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</si>
  <si>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</si>
  <si>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</si>
  <si>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</si>
  <si>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</si>
  <si>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</si>
  <si>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</si>
  <si>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</si>
  <si>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</si>
  <si>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</si>
  <si>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</si>
  <si>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</si>
  <si>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</si>
  <si>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</si>
  <si>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</si>
  <si>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</si>
  <si>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</si>
  <si>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</si>
  <si>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</si>
  <si>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</si>
  <si>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</si>
  <si>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</si>
  <si>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</si>
  <si>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</si>
  <si>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</si>
  <si>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</si>
  <si>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</si>
  <si>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</si>
  <si>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</si>
  <si>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</si>
  <si>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</si>
  <si>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</si>
  <si>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</si>
  <si>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</si>
  <si>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</si>
  <si>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</si>
  <si>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</si>
  <si>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</si>
  <si>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</si>
  <si>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</si>
  <si>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</si>
  <si>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</si>
  <si>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</si>
  <si>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</si>
  <si>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</si>
  <si>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</si>
  <si>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</si>
  <si>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</si>
  <si>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</si>
  <si>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</si>
  <si>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</si>
  <si>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</si>
  <si>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</si>
  <si>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</si>
  <si>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</si>
  <si>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</si>
  <si>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</si>
  <si>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</si>
  <si>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</si>
  <si>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</si>
  <si>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</si>
  <si>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</si>
  <si>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</si>
  <si>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</si>
  <si>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</si>
  <si>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</si>
  <si>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</si>
  <si>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</si>
  <si>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</si>
  <si>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</si>
  <si>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</si>
  <si>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</si>
  <si>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</si>
  <si>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</si>
  <si>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</si>
  <si>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</si>
  <si>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</si>
  <si>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</si>
  <si>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</si>
  <si>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</si>
  <si>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</si>
  <si>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</si>
  <si>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</si>
  <si>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</si>
  <si>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</si>
  <si>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</si>
  <si>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</si>
  <si>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</si>
  <si>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</si>
  <si>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</si>
  <si>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</si>
  <si>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</si>
  <si>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</si>
  <si>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</si>
  <si>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</si>
  <si>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</si>
  <si>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</si>
  <si>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</si>
  <si>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</si>
  <si>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</si>
  <si>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</si>
  <si>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</si>
  <si>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</si>
  <si>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</si>
  <si>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</si>
  <si>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</si>
  <si>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</si>
  <si>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</si>
  <si>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</si>
  <si>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</si>
  <si>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</si>
  <si>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</si>
  <si>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</si>
  <si>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</si>
  <si>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</si>
  <si>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</si>
  <si>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</si>
  <si>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</si>
  <si>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</si>
  <si>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</si>
  <si>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</si>
  <si>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</si>
  <si>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</si>
  <si>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</si>
  <si>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</si>
  <si>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</si>
  <si>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</si>
  <si>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</si>
  <si>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</si>
  <si>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</si>
  <si>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</si>
  <si>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</si>
  <si>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</si>
  <si>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</si>
  <si>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</si>
  <si>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</si>
  <si>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</si>
  <si>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</si>
  <si>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</si>
  <si>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</si>
  <si>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</si>
  <si>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</si>
  <si>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</si>
  <si>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</si>
  <si>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</si>
  <si>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</si>
  <si>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</si>
  <si>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</si>
  <si>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</si>
  <si>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</si>
  <si>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</si>
  <si>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</si>
  <si>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</si>
  <si>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</si>
  <si>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</si>
  <si>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</si>
  <si>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</si>
  <si>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</si>
  <si>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</si>
  <si>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</si>
  <si>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</si>
  <si>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</si>
  <si>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</si>
  <si>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</si>
  <si>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</si>
  <si>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</si>
  <si>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</si>
  <si>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</si>
  <si>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</si>
  <si>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</si>
  <si>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</si>
  <si>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</si>
  <si>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</si>
  <si>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</si>
  <si>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</si>
  <si>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</si>
  <si>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</si>
  <si>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</si>
  <si>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</si>
  <si>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</si>
  <si>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</si>
  <si>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</si>
  <si>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</si>
  <si>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</si>
  <si>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</si>
  <si>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</si>
  <si>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</si>
  <si>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</si>
  <si>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</si>
  <si>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</si>
  <si>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</si>
  <si>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</si>
  <si>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</si>
  <si>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</si>
  <si>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</si>
  <si>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</si>
  <si>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</si>
  <si>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</si>
  <si>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</si>
  <si>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</si>
  <si>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</si>
  <si>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</si>
  <si>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</si>
  <si>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</si>
  <si>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</si>
  <si>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</si>
  <si>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</si>
  <si>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</si>
  <si>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</si>
  <si>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</si>
  <si>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</si>
  <si>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</si>
  <si>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</si>
  <si>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</si>
  <si>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</si>
  <si>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</si>
  <si>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</si>
  <si>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</si>
  <si>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</si>
  <si>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</si>
  <si>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</si>
  <si>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</si>
  <si>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</si>
  <si>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</si>
  <si>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</si>
  <si>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</si>
  <si>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</si>
  <si>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</si>
  <si>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</si>
  <si>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</si>
  <si>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</si>
  <si>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</si>
  <si>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</si>
  <si>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</si>
  <si>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</si>
  <si>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</si>
  <si>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</si>
  <si>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</si>
  <si>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</si>
  <si>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</si>
  <si>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</si>
  <si>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</si>
  <si>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</si>
  <si>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</si>
  <si>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</si>
  <si>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</si>
  <si>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</si>
  <si>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</si>
  <si>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</si>
  <si>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</si>
  <si>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</si>
  <si>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</si>
  <si>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</si>
  <si>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</si>
  <si>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</si>
  <si>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</si>
  <si>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</si>
  <si>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</si>
  <si>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</si>
  <si>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</si>
  <si>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</si>
  <si>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</si>
  <si>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</si>
  <si>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</si>
  <si>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</si>
  <si>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</si>
  <si>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</si>
  <si>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</si>
  <si>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</si>
  <si>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</si>
  <si>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</si>
  <si>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</si>
  <si>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</si>
  <si>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</si>
  <si>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</si>
  <si>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</si>
  <si>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</si>
  <si>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</si>
  <si>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</si>
  <si>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</si>
  <si>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</si>
  <si>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</si>
  <si>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</si>
  <si>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</si>
  <si>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</si>
  <si>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</si>
  <si>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</si>
  <si>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</si>
  <si>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</si>
  <si>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</si>
  <si>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</si>
  <si>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</si>
  <si>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</si>
  <si>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</si>
  <si>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</si>
  <si>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</si>
  <si>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</si>
  <si>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</si>
  <si>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</si>
  <si>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</si>
  <si>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</si>
  <si>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</si>
  <si>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</si>
  <si>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</si>
  <si>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</si>
  <si>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</si>
  <si>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</si>
  <si>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</si>
  <si>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</si>
  <si>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</si>
  <si>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</si>
  <si>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</si>
  <si>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</si>
  <si>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</si>
  <si>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</si>
  <si>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</si>
  <si>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</si>
  <si>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</si>
  <si>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</si>
  <si>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</si>
  <si>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</si>
  <si>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</si>
  <si>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</si>
  <si>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</si>
  <si>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</si>
  <si>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</si>
  <si>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</si>
  <si>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</si>
  <si>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</si>
  <si>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</si>
  <si>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</si>
  <si>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</si>
  <si>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</si>
  <si>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</si>
  <si>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</si>
  <si>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</si>
  <si>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</si>
  <si>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</si>
  <si>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</si>
  <si>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</si>
  <si>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</si>
  <si>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</si>
  <si>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</si>
  <si>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</si>
  <si>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</si>
  <si>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</si>
  <si>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</si>
  <si>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</si>
  <si>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</si>
  <si>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</si>
  <si>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</si>
  <si>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</si>
  <si>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</si>
  <si>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</si>
  <si>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</si>
  <si>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</si>
  <si>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</si>
  <si>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</si>
  <si>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</si>
  <si>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</si>
  <si>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</si>
  <si>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</si>
  <si>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</si>
  <si>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</si>
  <si>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</si>
  <si>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</si>
  <si>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</si>
  <si>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</si>
  <si>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</si>
  <si>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</si>
  <si>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</si>
  <si>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</si>
  <si>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</si>
  <si>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</si>
  <si>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</si>
  <si>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</si>
  <si>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</si>
  <si>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</si>
  <si>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</si>
  <si>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</si>
  <si>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</si>
  <si>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</si>
  <si>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</si>
  <si>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</si>
  <si>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</si>
  <si>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</si>
  <si>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</si>
  <si>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</si>
  <si>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</si>
  <si>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</si>
  <si>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</si>
  <si>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</si>
  <si>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</si>
  <si>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</si>
  <si>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</si>
  <si>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</si>
  <si>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</si>
  <si>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</si>
  <si>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</si>
  <si>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</si>
  <si>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</si>
  <si>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</si>
  <si>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</si>
  <si>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</si>
  <si>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</si>
  <si>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</si>
  <si>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</si>
  <si>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</si>
  <si>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</si>
  <si>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</si>
  <si>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</si>
  <si>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</si>
  <si>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</si>
  <si>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</si>
  <si>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</si>
  <si>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</si>
  <si>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</si>
  <si>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</si>
  <si>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</si>
  <si>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</si>
  <si>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</si>
  <si>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</si>
  <si>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</si>
  <si>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</si>
  <si>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</si>
  <si>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</si>
  <si>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</si>
  <si>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</si>
  <si>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</si>
  <si>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</si>
  <si>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</si>
  <si>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</si>
  <si>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</si>
  <si>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</si>
  <si>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</si>
  <si>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</si>
  <si>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</si>
  <si>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</si>
  <si>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</si>
  <si>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</si>
  <si>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</si>
  <si>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</si>
  <si>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</si>
  <si>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</si>
  <si>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</si>
  <si>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</si>
  <si>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</si>
  <si>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</si>
  <si>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</si>
  <si>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</si>
  <si>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</si>
  <si>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</si>
  <si>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</si>
  <si>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</si>
  <si>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</si>
  <si>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</si>
  <si>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</si>
  <si>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</si>
  <si>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</si>
  <si>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</si>
  <si>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</si>
  <si>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</si>
  <si>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</si>
  <si>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</si>
  <si>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</si>
  <si>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</si>
  <si>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</si>
  <si>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</si>
  <si>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</si>
  <si>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</si>
  <si>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</si>
  <si>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</si>
  <si>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</si>
  <si>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</si>
  <si>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</si>
  <si>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</si>
  <si>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</si>
  <si>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</si>
  <si>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</si>
  <si>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</si>
  <si>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</si>
  <si>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</si>
  <si>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</si>
  <si>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</si>
  <si>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</si>
  <si>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</si>
  <si>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</si>
  <si>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</si>
  <si>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</si>
  <si>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</si>
  <si>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</si>
  <si>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</si>
  <si>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</si>
  <si>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</si>
  <si>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</si>
  <si>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</si>
  <si>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</si>
  <si>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</si>
  <si>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</si>
  <si>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</si>
  <si>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</si>
  <si>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</si>
  <si>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</si>
  <si>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</si>
  <si>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</si>
  <si>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</si>
  <si>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</si>
  <si>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</si>
  <si>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</si>
  <si>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</si>
  <si>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</si>
  <si>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</si>
  <si>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</si>
  <si>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</si>
  <si>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</si>
  <si>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</si>
  <si>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</si>
  <si>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</si>
  <si>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</si>
  <si>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</si>
  <si>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</si>
  <si>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</si>
  <si>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</si>
  <si>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</si>
  <si>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</si>
  <si>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</si>
  <si>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</si>
  <si>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</si>
  <si>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</si>
  <si>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</si>
  <si>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</si>
  <si>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</si>
  <si>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</si>
  <si>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</si>
  <si>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</si>
  <si>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</si>
  <si>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</si>
  <si>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</si>
  <si>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</si>
  <si>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</si>
  <si>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</si>
  <si>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</si>
  <si>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</si>
  <si>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</si>
  <si>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</si>
  <si>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</si>
  <si>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</si>
  <si>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</si>
  <si>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</si>
  <si>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</si>
  <si>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</si>
  <si>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</si>
  <si>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</si>
  <si>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</si>
  <si>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</si>
  <si>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</si>
  <si>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</si>
  <si>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</si>
  <si>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</si>
  <si>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</si>
  <si>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</si>
  <si>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</si>
  <si>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</si>
  <si>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</si>
  <si>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</si>
  <si>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</si>
  <si>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</si>
  <si>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</si>
  <si>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</si>
  <si>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</si>
  <si>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</si>
  <si>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</si>
  <si>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</si>
  <si>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</si>
  <si>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</si>
  <si>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</si>
  <si>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</si>
  <si>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</si>
  <si>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</si>
  <si>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</si>
  <si>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</si>
  <si>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</si>
  <si>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</si>
  <si>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</si>
  <si>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</si>
  <si>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</si>
  <si>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</si>
  <si>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</si>
  <si>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</si>
  <si>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</si>
  <si>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</si>
  <si>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</si>
  <si>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</si>
  <si>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</si>
  <si>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</si>
  <si>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</si>
  <si>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</si>
  <si>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</si>
  <si>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</si>
  <si>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</si>
  <si>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</si>
  <si>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</si>
  <si>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</si>
  <si>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</si>
  <si>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</si>
  <si>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</si>
  <si>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</si>
  <si>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</si>
  <si>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</si>
  <si>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</si>
  <si>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</si>
  <si>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</si>
  <si>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</si>
  <si>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</si>
  <si>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</si>
  <si>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</si>
  <si>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</si>
  <si>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</si>
  <si>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</si>
  <si>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</si>
  <si>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</si>
  <si>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</si>
  <si>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</si>
  <si>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</si>
  <si>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</si>
  <si>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</si>
  <si>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</si>
  <si>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</si>
  <si>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</si>
  <si>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</si>
  <si>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</si>
  <si>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</si>
  <si>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</si>
  <si>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</si>
  <si>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</si>
  <si>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</si>
  <si>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</si>
  <si>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</si>
  <si>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</si>
  <si>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</si>
  <si>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</si>
  <si>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</si>
  <si>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</si>
  <si>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</si>
  <si>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</si>
  <si>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</si>
  <si>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</si>
  <si>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</si>
  <si>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</si>
  <si>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</si>
  <si>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</si>
  <si>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</si>
  <si>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</si>
  <si>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</si>
  <si>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</si>
  <si>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</si>
  <si>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</si>
  <si>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</si>
  <si>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</si>
  <si>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</si>
  <si>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</si>
  <si>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</si>
  <si>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</si>
  <si>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</si>
  <si>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</si>
  <si>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</si>
  <si>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</si>
  <si>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</si>
  <si>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</si>
  <si>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</si>
  <si>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</si>
  <si>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</si>
  <si>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</si>
  <si>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</si>
  <si>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</si>
  <si>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</si>
  <si>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</si>
  <si>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</si>
  <si>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</si>
  <si>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</si>
  <si>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</si>
  <si>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</si>
  <si>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</si>
  <si>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</si>
  <si>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</si>
  <si>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</si>
  <si>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</si>
  <si>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</si>
  <si>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</si>
  <si>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</si>
  <si>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</si>
  <si>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</si>
  <si>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</si>
  <si>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</si>
  <si>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</si>
  <si>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</si>
  <si>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</si>
  <si>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</si>
  <si>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</si>
  <si>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</si>
  <si>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</si>
  <si>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</si>
  <si>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</si>
  <si>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</si>
  <si>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</si>
  <si>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</si>
  <si>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</si>
  <si>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</si>
  <si>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</si>
  <si>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</si>
  <si>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</si>
  <si>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</si>
  <si>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</si>
  <si>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</si>
  <si>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</si>
  <si>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</si>
  <si>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</si>
  <si>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</si>
  <si>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</si>
  <si>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</si>
  <si>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</si>
  <si>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</si>
  <si>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</si>
  <si>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</si>
  <si>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</si>
  <si>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</si>
  <si>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</si>
  <si>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</si>
  <si>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</si>
  <si>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</si>
  <si>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</si>
  <si>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</si>
  <si>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</si>
  <si>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</si>
  <si>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</si>
  <si>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</si>
  <si>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</si>
  <si>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</si>
  <si>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</si>
  <si>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</si>
  <si>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</si>
  <si>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</si>
  <si>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</si>
  <si>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</si>
  <si>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</si>
  <si>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</si>
  <si>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</si>
  <si>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</si>
  <si>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</si>
  <si>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</si>
  <si>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</si>
  <si>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</si>
  <si>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</si>
  <si>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</si>
  <si>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</si>
  <si>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</si>
  <si>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</si>
  <si>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</si>
  <si>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</si>
  <si>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</si>
  <si>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</si>
  <si>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</si>
  <si>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</si>
  <si>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</si>
  <si>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</si>
  <si>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</si>
  <si>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</si>
  <si>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</si>
  <si>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</si>
  <si>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</si>
  <si>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</si>
  <si>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</si>
  <si>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</si>
  <si>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</si>
  <si>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</si>
  <si>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</si>
  <si>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</si>
  <si>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</si>
  <si>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</si>
  <si>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</si>
  <si>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</si>
  <si>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</si>
  <si>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</si>
  <si>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</si>
  <si>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</si>
  <si>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</si>
  <si>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</si>
  <si>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</si>
  <si>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</si>
  <si>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</si>
  <si>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</si>
  <si>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</si>
  <si>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</si>
  <si>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</si>
  <si>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</si>
  <si>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</si>
  <si>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</si>
  <si>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</si>
  <si>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</si>
  <si>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</si>
  <si>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</si>
  <si>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</si>
  <si>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</si>
  <si>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</si>
  <si>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</si>
  <si>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</si>
  <si>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</si>
  <si>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</si>
  <si>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</si>
  <si>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</si>
  <si>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</si>
  <si>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</si>
  <si>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</si>
  <si>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</si>
  <si>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</si>
  <si>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</si>
  <si>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</si>
  <si>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</si>
  <si>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</si>
  <si>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</si>
  <si>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</si>
  <si>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</si>
  <si>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</si>
  <si>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</si>
  <si>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</si>
  <si>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</si>
  <si>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</si>
  <si>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</si>
  <si>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</si>
  <si>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</si>
  <si>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</si>
  <si>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</si>
  <si>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</si>
  <si>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</si>
  <si>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</si>
  <si>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</si>
  <si>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</si>
  <si>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</si>
  <si>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</si>
  <si>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</si>
  <si>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</si>
  <si>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</si>
  <si>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</si>
  <si>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</si>
  <si>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</si>
  <si>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</si>
  <si>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</si>
  <si>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</si>
  <si>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</si>
  <si>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</si>
  <si>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</si>
  <si>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</si>
  <si>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</si>
  <si>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</si>
  <si>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</si>
  <si>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</si>
  <si>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</si>
  <si>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</si>
  <si>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</si>
  <si>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</si>
  <si>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</si>
  <si>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</si>
  <si>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</si>
  <si>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</si>
  <si>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</si>
  <si>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</si>
  <si>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</si>
  <si>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</si>
  <si>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</si>
  <si>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</si>
  <si>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</si>
  <si>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</si>
  <si>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</si>
  <si>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</si>
  <si>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</si>
  <si>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</si>
  <si>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</si>
  <si>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</si>
  <si>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</si>
  <si>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</si>
  <si>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</si>
  <si>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</si>
  <si>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</si>
  <si>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</si>
  <si>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</si>
  <si>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</si>
  <si>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</si>
  <si>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</si>
  <si>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</si>
  <si>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</si>
  <si>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</si>
  <si>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</si>
  <si>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</si>
  <si>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</si>
  <si>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</si>
  <si>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</si>
  <si>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</si>
  <si>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</si>
  <si>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</si>
  <si>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</si>
  <si>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</si>
  <si>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</si>
  <si>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</si>
  <si>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</si>
  <si>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</si>
  <si>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</si>
  <si>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</si>
  <si>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</si>
  <si>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</si>
  <si>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</si>
  <si>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</si>
  <si>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</si>
  <si>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</si>
  <si>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</si>
  <si>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</si>
  <si>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</si>
  <si>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</si>
  <si>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</si>
  <si>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</si>
  <si>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</si>
  <si>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</si>
  <si>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</si>
  <si>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</si>
  <si>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</si>
  <si>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</si>
  <si>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</si>
  <si>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</si>
  <si>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</si>
  <si>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</si>
  <si>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</si>
  <si>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</si>
  <si>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</si>
  <si>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</si>
  <si>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</si>
  <si>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</si>
  <si>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</si>
  <si>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</si>
  <si>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</si>
  <si>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</si>
  <si>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</si>
  <si>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</si>
  <si>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</si>
  <si>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</si>
  <si>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</si>
  <si>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</si>
  <si>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</si>
  <si>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</si>
  <si>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</si>
  <si>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</si>
  <si>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</si>
  <si>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</si>
  <si>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</si>
  <si>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</si>
  <si>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</si>
  <si>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</si>
  <si>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</si>
  <si>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</si>
  <si>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</si>
  <si>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</si>
  <si>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</si>
  <si>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</si>
  <si>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</si>
  <si>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</si>
  <si>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</si>
  <si>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</si>
  <si>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</si>
  <si>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</si>
  <si>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</si>
  <si>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</si>
  <si>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</si>
  <si>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</si>
  <si>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</si>
  <si>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</si>
  <si>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</si>
  <si>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</si>
  <si>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</si>
  <si>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</si>
  <si>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</si>
  <si>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</si>
  <si>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</si>
  <si>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</si>
  <si>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</si>
  <si>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</si>
  <si>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</si>
  <si>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</si>
  <si>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</si>
  <si>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</si>
  <si>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</si>
  <si>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</si>
  <si>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</si>
  <si>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</si>
  <si>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</si>
  <si>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</si>
  <si>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</si>
  <si>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</si>
  <si>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</si>
  <si>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</si>
  <si>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</si>
  <si>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</si>
  <si>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</si>
  <si>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</si>
  <si>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</si>
  <si>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</si>
  <si>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</si>
  <si>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</si>
  <si>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</si>
  <si>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</si>
  <si>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</si>
  <si>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</si>
  <si>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</si>
  <si>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</si>
  <si>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</si>
  <si>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</si>
  <si>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</si>
  <si>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</si>
  <si>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</si>
  <si>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</si>
  <si>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</si>
  <si>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</si>
  <si>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</si>
  <si>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</si>
  <si>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</si>
  <si>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</si>
  <si>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</si>
  <si>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</si>
  <si>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</si>
  <si>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</si>
  <si>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</si>
  <si>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</si>
  <si>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</si>
  <si>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</si>
  <si>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</si>
  <si>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</si>
  <si>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</si>
  <si>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</si>
  <si>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</si>
  <si>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</si>
  <si>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</si>
  <si>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</si>
  <si>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</si>
  <si>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</si>
  <si>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</si>
  <si>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</si>
  <si>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</si>
  <si>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</si>
  <si>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</si>
  <si>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</si>
  <si>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</si>
  <si>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</si>
  <si>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</si>
  <si>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</si>
  <si>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</si>
  <si>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</si>
  <si>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</si>
  <si>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</si>
  <si>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</si>
  <si>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</si>
  <si>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</si>
  <si>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</si>
  <si>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</si>
  <si>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</si>
  <si>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</si>
  <si>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</si>
  <si>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</si>
  <si>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</si>
  <si>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</si>
  <si>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</si>
  <si>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</si>
  <si>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</si>
  <si>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</si>
  <si>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</si>
  <si>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</si>
  <si>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</si>
  <si>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</si>
  <si>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</si>
  <si>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</si>
  <si>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</si>
  <si>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</si>
  <si>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</si>
  <si>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</si>
  <si>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</si>
  <si>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</si>
  <si>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</si>
  <si>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</si>
  <si>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</si>
  <si>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</si>
  <si>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</si>
  <si>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</si>
  <si>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</si>
  <si>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</si>
  <si>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</si>
  <si>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</si>
  <si>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</si>
  <si>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</si>
  <si>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</si>
  <si>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</si>
  <si>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</si>
  <si>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</si>
  <si>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</si>
  <si>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</si>
  <si>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</si>
  <si>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</si>
  <si>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</si>
  <si>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</si>
  <si>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</si>
  <si>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</si>
  <si>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</si>
  <si>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</si>
  <si>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</si>
  <si>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</si>
  <si>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</si>
  <si>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</si>
  <si>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</si>
  <si>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</si>
  <si>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</si>
  <si>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</si>
  <si>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</si>
  <si>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</si>
  <si>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</si>
  <si>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</si>
  <si>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</si>
  <si>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</si>
  <si>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</si>
  <si>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</si>
  <si>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</si>
  <si>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</si>
  <si>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</si>
  <si>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</si>
  <si>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</si>
  <si>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</si>
  <si>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</si>
  <si>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</si>
  <si>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</si>
  <si>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</si>
  <si>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</si>
  <si>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</si>
  <si>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</si>
  <si>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</si>
  <si>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</si>
  <si>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</si>
  <si>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</si>
  <si>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</si>
  <si>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</si>
  <si>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</si>
  <si>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</si>
  <si>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</si>
  <si>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</si>
  <si>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</si>
  <si>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</si>
  <si>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</si>
  <si>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</si>
  <si>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</si>
  <si>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</si>
  <si>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</si>
  <si>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</si>
  <si>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</si>
  <si>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</si>
  <si>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</si>
  <si>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</si>
  <si>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</si>
  <si>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</si>
  <si>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</si>
  <si>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</si>
  <si>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</si>
  <si>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</si>
  <si>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</si>
  <si>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</si>
  <si>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</si>
  <si>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</si>
  <si>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</si>
  <si>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</si>
  <si>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</si>
  <si>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</si>
  <si>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</si>
  <si>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</si>
  <si>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</si>
  <si>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</si>
  <si>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</si>
  <si>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</si>
  <si>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</si>
  <si>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</si>
  <si>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</si>
  <si>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</si>
  <si>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</si>
  <si>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</si>
  <si>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</si>
  <si>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</si>
  <si>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</si>
  <si>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</si>
  <si>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</si>
  <si>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</si>
  <si>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</si>
  <si>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</si>
  <si>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</si>
  <si>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</si>
  <si>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</si>
  <si>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</si>
  <si>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</si>
  <si>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</si>
  <si>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</si>
  <si>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</si>
  <si>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</si>
  <si>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</si>
  <si>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</si>
  <si>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</si>
  <si>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</si>
  <si>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</si>
  <si>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</si>
  <si>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</si>
  <si>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</si>
  <si>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</si>
  <si>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</si>
  <si>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</si>
  <si>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</si>
  <si>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</si>
  <si>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</si>
  <si>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</si>
  <si>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</si>
  <si>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</si>
  <si>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</si>
  <si>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</si>
  <si>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</si>
  <si>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</si>
  <si>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</si>
  <si>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</si>
  <si>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</si>
  <si>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</si>
  <si>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</si>
  <si>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</si>
  <si>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</si>
  <si>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</si>
  <si>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</si>
  <si>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</si>
  <si>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</si>
  <si>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</si>
  <si>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</si>
  <si>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</si>
  <si>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</si>
  <si>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</si>
  <si>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</si>
  <si>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</si>
  <si>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</si>
  <si>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</si>
  <si>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</si>
  <si>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</si>
  <si>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</si>
  <si>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</si>
  <si>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</si>
  <si>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</si>
  <si>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</si>
  <si>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</si>
  <si>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</si>
  <si>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</si>
  <si>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</si>
  <si>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</si>
  <si>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</si>
  <si>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</si>
  <si>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</si>
  <si>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</si>
  <si>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</si>
  <si>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</si>
  <si>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</si>
  <si>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</si>
  <si>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</si>
  <si>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</si>
  <si>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</si>
  <si>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</si>
  <si>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</si>
  <si>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</si>
  <si>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</si>
  <si>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</si>
  <si>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</si>
  <si>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</si>
  <si>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</si>
  <si>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</si>
  <si>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</si>
  <si>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</si>
  <si>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</si>
  <si>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</si>
  <si>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</si>
  <si>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</si>
  <si>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</si>
  <si>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</si>
  <si>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</si>
  <si>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</si>
  <si>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</si>
  <si>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</si>
  <si>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</si>
  <si>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</si>
  <si>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</si>
  <si>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</si>
  <si>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</si>
  <si>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</si>
  <si>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</si>
  <si>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</si>
  <si>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</si>
  <si>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</si>
  <si>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</si>
  <si>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</si>
  <si>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</si>
  <si>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</si>
  <si>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</si>
  <si>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</si>
  <si>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</si>
  <si>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</si>
  <si>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</si>
  <si>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</si>
  <si>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</si>
  <si>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</si>
  <si>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</si>
  <si>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</si>
  <si>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</si>
  <si>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</si>
  <si>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</si>
  <si>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</si>
  <si>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</si>
  <si>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</si>
  <si>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</si>
  <si>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</si>
  <si>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</si>
  <si>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</si>
  <si>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</si>
  <si>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</si>
  <si>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</si>
  <si>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</si>
  <si>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</si>
  <si>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</si>
  <si>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</si>
  <si>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</si>
  <si>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</si>
  <si>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</si>
  <si>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</si>
  <si>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</si>
  <si>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</si>
  <si>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</si>
  <si>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</si>
  <si>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</si>
  <si>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</si>
  <si>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</si>
  <si>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</si>
  <si>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</si>
  <si>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</si>
  <si>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</si>
  <si>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</si>
  <si>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</si>
  <si>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</si>
  <si>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</si>
  <si>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</si>
  <si>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</si>
  <si>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</si>
  <si>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</si>
  <si>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</si>
  <si>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</si>
  <si>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</si>
  <si>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</si>
  <si>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</si>
  <si>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</si>
  <si>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</si>
  <si>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</si>
  <si>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</si>
  <si>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</si>
  <si>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</si>
  <si>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</si>
  <si>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</si>
  <si>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</si>
  <si>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</si>
  <si>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</si>
  <si>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</si>
  <si>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</si>
  <si>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</si>
  <si>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</si>
  <si>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</si>
  <si>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</si>
  <si>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</si>
  <si>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</si>
  <si>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</si>
  <si>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</si>
  <si>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</si>
  <si>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</si>
  <si>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</si>
  <si>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</si>
  <si>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</si>
  <si>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</si>
  <si>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</si>
  <si>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</si>
  <si>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</si>
  <si>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</si>
  <si>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</si>
  <si>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</si>
  <si>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</si>
  <si>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</si>
  <si>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</si>
  <si>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</si>
  <si>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</si>
  <si>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</si>
  <si>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</si>
  <si>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</si>
  <si>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</si>
  <si>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</si>
  <si>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</si>
  <si>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</si>
  <si>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</si>
  <si>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</si>
  <si>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</si>
  <si>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</si>
  <si>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</si>
  <si>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</si>
  <si>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</si>
  <si>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</si>
  <si>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</si>
  <si>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</si>
  <si>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</si>
  <si>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</si>
  <si>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</si>
  <si>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</si>
  <si>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</si>
  <si>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</si>
  <si>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</si>
  <si>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</si>
  <si>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</si>
  <si>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</si>
  <si>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</si>
  <si>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</si>
  <si>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</si>
  <si>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</si>
  <si>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</si>
  <si>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</si>
  <si>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</si>
  <si>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</si>
  <si>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</si>
  <si>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</si>
  <si>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</si>
  <si>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</si>
  <si>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</si>
  <si>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</si>
  <si>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</si>
  <si>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</si>
  <si>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</si>
  <si>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</si>
  <si>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</si>
  <si>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</si>
  <si>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</si>
  <si>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</si>
  <si>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</si>
  <si>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</si>
  <si>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</si>
  <si>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</si>
  <si>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</si>
  <si>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</si>
  <si>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</si>
  <si>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</si>
  <si>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</si>
  <si>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</si>
  <si>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</si>
  <si>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</si>
  <si>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</si>
  <si>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</si>
  <si>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</si>
  <si>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</si>
  <si>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</si>
  <si>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</si>
  <si>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</si>
  <si>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</si>
  <si>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</si>
  <si>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</si>
  <si>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</si>
  <si>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</si>
  <si>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</si>
  <si>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</si>
  <si>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</si>
  <si>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</si>
  <si>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</si>
  <si>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</si>
  <si>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</si>
  <si>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</si>
  <si>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</si>
  <si>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</si>
  <si>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</si>
  <si>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</si>
  <si>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</si>
  <si>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</si>
  <si>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</si>
  <si>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</si>
  <si>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</si>
  <si>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</si>
  <si>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</si>
  <si>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</si>
  <si>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</si>
  <si>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</si>
  <si>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</si>
  <si>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</si>
  <si>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</si>
  <si>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</si>
  <si>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</si>
  <si>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</si>
  <si>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</si>
  <si>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</si>
  <si>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</si>
  <si>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</si>
  <si>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</si>
  <si>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</si>
  <si>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</si>
  <si>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</si>
  <si>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</si>
  <si>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</si>
  <si>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</si>
  <si>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</si>
  <si>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</si>
  <si>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</si>
  <si>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</si>
  <si>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</si>
  <si>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</si>
  <si>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</si>
  <si>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</si>
  <si>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</si>
  <si>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</si>
  <si>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</si>
  <si>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</si>
  <si>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</si>
  <si>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</si>
  <si>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</si>
  <si>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</si>
  <si>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</si>
  <si>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</si>
  <si>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</si>
  <si>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</si>
  <si>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</si>
  <si>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</si>
  <si>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</si>
  <si>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</si>
  <si>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</si>
  <si>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</si>
  <si>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</si>
  <si>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</si>
  <si>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</si>
  <si>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</si>
  <si>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</si>
  <si>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</si>
  <si>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</si>
  <si>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</si>
  <si>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</si>
  <si>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</si>
  <si>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</si>
  <si>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</si>
  <si>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</si>
  <si>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</si>
  <si>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</si>
  <si>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</si>
  <si>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</si>
  <si>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</si>
  <si>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</si>
  <si>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</si>
  <si>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</si>
  <si>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</si>
  <si>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</si>
  <si>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</si>
  <si>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</si>
  <si>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</si>
  <si>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</si>
  <si>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</si>
  <si>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</si>
  <si>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</si>
  <si>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</si>
  <si>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</si>
  <si>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</si>
  <si>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</si>
  <si>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</si>
  <si>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</si>
  <si>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</si>
  <si>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</si>
  <si>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</si>
  <si>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</si>
  <si>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</si>
  <si>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</si>
  <si>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</si>
  <si>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</si>
  <si>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</si>
  <si>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</si>
  <si>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</si>
  <si>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</si>
  <si>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</si>
  <si>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</si>
  <si>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</si>
  <si>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</si>
  <si>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</si>
  <si>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</si>
  <si>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</si>
  <si>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</si>
  <si>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</si>
  <si>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</si>
  <si>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</si>
  <si>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</si>
  <si>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</si>
  <si>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</si>
  <si>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</si>
  <si>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</si>
  <si>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</si>
  <si>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</si>
  <si>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</si>
  <si>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</si>
  <si>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</si>
  <si>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</si>
  <si>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</si>
  <si>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</si>
  <si>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</si>
  <si>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</si>
  <si>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</si>
  <si>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</si>
  <si>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</si>
  <si>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</si>
  <si>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</si>
  <si>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</si>
  <si>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</si>
  <si>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</si>
  <si>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</si>
  <si>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</si>
  <si>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</si>
  <si>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</si>
  <si>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</si>
  <si>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</si>
  <si>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</si>
  <si>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</si>
  <si>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</si>
  <si>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</si>
  <si>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</si>
  <si>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</si>
  <si>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</si>
  <si>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</si>
  <si>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</si>
  <si>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</si>
  <si>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</si>
  <si>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</si>
  <si>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</si>
  <si>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</si>
  <si>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</si>
  <si>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</si>
  <si>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</si>
  <si>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</si>
  <si>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</si>
  <si>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</si>
  <si>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</si>
  <si>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</si>
  <si>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</si>
  <si>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</si>
  <si>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</si>
  <si>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</si>
  <si>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</si>
  <si>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</si>
  <si>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</si>
  <si>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</si>
  <si>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</si>
  <si>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</si>
  <si>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</si>
  <si>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</si>
  <si>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</si>
  <si>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</si>
  <si>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</si>
  <si>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</si>
  <si>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</si>
  <si>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</si>
  <si>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</si>
  <si>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</si>
  <si>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</si>
  <si>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</si>
  <si>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</si>
  <si>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</si>
  <si>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</si>
  <si>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</si>
  <si>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</si>
  <si>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</si>
  <si>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</si>
  <si>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</si>
  <si>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</si>
  <si>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</si>
  <si>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</si>
  <si>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</si>
  <si>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</si>
  <si>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</si>
  <si>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</si>
  <si>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</si>
  <si>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</si>
  <si>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</si>
  <si>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</si>
  <si>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</si>
  <si>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</si>
  <si>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</si>
  <si>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</si>
  <si>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</si>
  <si>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</si>
  <si>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</si>
  <si>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</si>
  <si>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</si>
  <si>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</si>
  <si>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</si>
  <si>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</si>
  <si>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</si>
  <si>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</si>
  <si>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</si>
  <si>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</si>
  <si>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</si>
  <si>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</si>
  <si>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</si>
  <si>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</si>
  <si>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</si>
  <si>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</si>
  <si>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</si>
  <si>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</si>
  <si>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</si>
  <si>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</si>
  <si>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</si>
  <si>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</si>
  <si>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</si>
  <si>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</si>
  <si>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</si>
  <si>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</si>
  <si>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</si>
  <si>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</si>
  <si>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</si>
  <si>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</si>
  <si>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</si>
  <si>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</si>
  <si>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</si>
  <si>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</si>
  <si>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</si>
  <si>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</si>
  <si>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</si>
  <si>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</si>
  <si>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</si>
  <si>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</si>
  <si>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</si>
  <si>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</si>
  <si>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</si>
  <si>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</si>
  <si>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</si>
  <si>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</si>
  <si>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</si>
  <si>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</si>
  <si>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</si>
  <si>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</si>
  <si>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</si>
  <si>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</si>
  <si>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</si>
  <si>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</si>
  <si>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</si>
  <si>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</si>
  <si>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</si>
  <si>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</si>
  <si>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</si>
  <si>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</si>
  <si>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</si>
  <si>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</si>
  <si>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</si>
  <si>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</si>
  <si>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</si>
  <si>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</si>
  <si>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</si>
  <si>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</si>
  <si>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</si>
  <si>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</si>
  <si>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</si>
  <si>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</si>
  <si>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</si>
  <si>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</si>
  <si>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</si>
  <si>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</si>
  <si>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</si>
  <si>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</si>
  <si>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</si>
  <si>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</si>
  <si>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</si>
  <si>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</si>
  <si>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</si>
  <si>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</si>
  <si>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</si>
  <si>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</si>
  <si>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</si>
  <si>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</si>
  <si>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</si>
  <si>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</si>
  <si>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</si>
  <si>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</si>
  <si>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</si>
  <si>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</si>
  <si>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</si>
  <si>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</si>
  <si>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</si>
  <si>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</si>
  <si>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</si>
  <si>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</si>
  <si>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</si>
  <si>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</si>
  <si>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</si>
  <si>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</si>
  <si>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</si>
  <si>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</si>
  <si>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</si>
  <si>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</si>
  <si>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</si>
  <si>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</si>
  <si>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</si>
  <si>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</si>
  <si>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</si>
  <si>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</si>
  <si>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</si>
  <si>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</si>
  <si>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</si>
  <si>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</si>
  <si>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</si>
  <si>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</si>
  <si>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</si>
  <si>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</si>
  <si>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</si>
  <si>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</si>
  <si>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</si>
  <si>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</si>
  <si>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</si>
  <si>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</si>
  <si>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</si>
  <si>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</si>
  <si>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</si>
  <si>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</si>
  <si>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</si>
  <si>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</si>
  <si>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</si>
  <si>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</si>
  <si>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</si>
  <si>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</si>
  <si>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</si>
  <si>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</si>
  <si>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</si>
  <si>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</si>
  <si>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</si>
  <si>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</si>
  <si>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</si>
  <si>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</si>
  <si>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</si>
  <si>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</si>
  <si>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</si>
  <si>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</si>
  <si>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</si>
  <si>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</si>
  <si>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</si>
  <si>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</si>
  <si>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</si>
  <si>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</si>
  <si>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</si>
  <si>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</si>
  <si>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</si>
  <si>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</si>
  <si>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</si>
  <si>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</si>
  <si>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</si>
  <si>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</si>
  <si>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</si>
  <si>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</si>
  <si>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</si>
  <si>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</si>
  <si>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</si>
  <si>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</si>
  <si>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</si>
  <si>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</si>
  <si>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</si>
  <si>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</si>
  <si>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</si>
  <si>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</si>
  <si>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</si>
  <si>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</si>
  <si>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</si>
  <si>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</si>
  <si>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</si>
  <si>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</si>
  <si>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</si>
  <si>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</si>
  <si>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</si>
  <si>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</si>
  <si>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</si>
  <si>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</si>
  <si>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</si>
  <si>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</si>
  <si>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</si>
  <si>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</si>
  <si>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</si>
  <si>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</si>
  <si>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</si>
  <si>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</si>
  <si>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</si>
  <si>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</si>
  <si>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</si>
  <si>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</si>
  <si>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</si>
  <si>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</si>
  <si>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</si>
  <si>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</si>
  <si>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</si>
  <si>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</si>
  <si>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</si>
  <si>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</si>
  <si>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</si>
  <si>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</si>
  <si>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</si>
  <si>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</si>
  <si>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</si>
  <si>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</si>
  <si>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</si>
  <si>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</si>
  <si>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</si>
  <si>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</si>
  <si>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</si>
  <si>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</si>
  <si>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</si>
  <si>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</si>
  <si>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</si>
  <si>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</si>
  <si>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</si>
  <si>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</si>
  <si>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</si>
  <si>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</si>
  <si>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</si>
  <si>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</si>
  <si>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</si>
  <si>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</si>
  <si>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</si>
  <si>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</si>
  <si>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</si>
  <si>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</si>
  <si>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</si>
  <si>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</si>
  <si>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</si>
  <si>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</si>
  <si>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</si>
  <si>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</si>
  <si>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</si>
  <si>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</si>
  <si>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</si>
  <si>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</si>
  <si>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</si>
  <si>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</si>
  <si>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</si>
  <si>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</si>
  <si>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</si>
  <si>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</si>
  <si>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</si>
  <si>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</si>
  <si>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</si>
  <si>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</si>
  <si>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</si>
  <si>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</si>
  <si>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</si>
  <si>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</si>
  <si>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</si>
  <si>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</si>
  <si>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</si>
  <si>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</si>
  <si>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</si>
  <si>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</si>
  <si>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</si>
  <si>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</si>
  <si>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</si>
  <si>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</si>
  <si>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</si>
  <si>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</si>
  <si>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</si>
  <si>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</si>
  <si>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</si>
  <si>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</si>
  <si>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</si>
  <si>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</si>
  <si>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</si>
  <si>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</si>
  <si>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</si>
  <si>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</si>
  <si>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</si>
  <si>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</si>
  <si>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</si>
  <si>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</si>
  <si>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</si>
  <si>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</si>
  <si>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</si>
  <si>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</si>
  <si>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</si>
  <si>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</si>
  <si>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</si>
  <si>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</si>
  <si>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</si>
  <si>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</si>
  <si>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</si>
  <si>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</si>
  <si>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</si>
  <si>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</si>
  <si>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</si>
  <si>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</si>
  <si>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</si>
  <si>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</si>
  <si>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</si>
  <si>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</si>
  <si>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</si>
  <si>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</si>
  <si>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</si>
  <si>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</si>
  <si>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</si>
  <si>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</si>
  <si>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</si>
  <si>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</si>
  <si>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</si>
  <si>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</si>
  <si>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</si>
  <si>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</si>
  <si>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</si>
  <si>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</si>
  <si>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</si>
  <si>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</si>
  <si>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</si>
  <si>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</si>
  <si>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</si>
  <si>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</si>
  <si>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</si>
  <si>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</si>
  <si>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</si>
  <si>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</si>
  <si>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</si>
  <si>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</si>
  <si>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</si>
  <si>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</si>
  <si>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</si>
  <si>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</si>
  <si>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</si>
  <si>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</si>
  <si>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</si>
  <si>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</si>
  <si>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</si>
  <si>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</si>
  <si>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</si>
  <si>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</si>
  <si>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</si>
  <si>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</si>
  <si>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</si>
  <si>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</si>
  <si>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</si>
  <si>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</si>
  <si>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</si>
  <si>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</si>
  <si>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</si>
  <si>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</si>
  <si>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</si>
  <si>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</si>
  <si>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</si>
  <si>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</si>
  <si>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</si>
  <si>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</si>
  <si>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</si>
  <si>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</si>
  <si>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</si>
  <si>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</si>
  <si>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</si>
  <si>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</si>
  <si>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</si>
  <si>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</si>
  <si>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</si>
  <si>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</si>
  <si>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</si>
  <si>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</si>
  <si>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</si>
  <si>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</si>
  <si>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</si>
  <si>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</si>
  <si>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</si>
  <si>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</si>
  <si>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</si>
  <si>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</si>
  <si>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</si>
  <si>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</si>
  <si>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</si>
  <si>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</si>
  <si>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</si>
  <si>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</si>
  <si>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</si>
  <si>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</si>
  <si>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</si>
  <si>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</si>
  <si>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</si>
  <si>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</si>
  <si>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</si>
  <si>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</si>
  <si>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</si>
  <si>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</si>
  <si>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</si>
  <si>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</si>
  <si>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</si>
  <si>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</si>
  <si>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</si>
  <si>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</si>
  <si>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</si>
  <si>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</si>
  <si>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</si>
  <si>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</si>
  <si>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</si>
  <si>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</si>
  <si>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</si>
  <si>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</si>
  <si>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</si>
  <si>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</si>
  <si>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</si>
  <si>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</si>
  <si>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</si>
  <si>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</si>
  <si>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</si>
  <si>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</si>
  <si>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</si>
  <si>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</si>
  <si>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</si>
  <si>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</si>
  <si>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</si>
  <si>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</si>
  <si>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</si>
  <si>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</si>
  <si>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</si>
  <si>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</si>
  <si>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</si>
  <si>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</si>
  <si>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</si>
  <si>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</si>
  <si>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</si>
  <si>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</si>
  <si>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</si>
  <si>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</si>
  <si>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</si>
  <si>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</si>
  <si>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</si>
  <si>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</si>
  <si>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</si>
  <si>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</si>
  <si>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</si>
  <si>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</si>
  <si>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</si>
  <si>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</si>
  <si>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</si>
  <si>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</si>
  <si>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</si>
  <si>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</si>
  <si>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</si>
  <si>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</si>
  <si>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</si>
  <si>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</si>
  <si>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</si>
  <si>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</si>
  <si>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</si>
  <si>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</si>
  <si>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</si>
  <si>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</si>
  <si>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</si>
  <si>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</si>
  <si>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</si>
  <si>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</si>
  <si>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</si>
  <si>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</si>
  <si>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</si>
  <si>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</si>
  <si>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</si>
  <si>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</si>
  <si>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</si>
  <si>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</si>
  <si>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</si>
  <si>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</si>
  <si>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</si>
  <si>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</si>
  <si>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</si>
  <si>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</si>
  <si>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</si>
  <si>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</si>
  <si>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</si>
  <si>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</si>
  <si>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</si>
  <si>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</si>
  <si>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</si>
  <si>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</si>
  <si>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</si>
  <si>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</si>
  <si>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</si>
  <si>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</si>
  <si>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</si>
  <si>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</si>
  <si>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</si>
  <si>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</si>
  <si>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</si>
  <si>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</si>
  <si>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</si>
  <si>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</si>
  <si>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</si>
  <si>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</si>
  <si>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</si>
  <si>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</si>
  <si>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</si>
  <si>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</si>
  <si>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</si>
  <si>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</si>
  <si>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</si>
  <si>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</si>
  <si>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</si>
  <si>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</si>
  <si>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</si>
  <si>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</si>
  <si>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</si>
  <si>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</si>
  <si>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</si>
  <si>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</si>
  <si>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</si>
  <si>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</si>
  <si>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</si>
  <si>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</si>
  <si>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</si>
  <si>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</si>
  <si>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</si>
  <si>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</si>
  <si>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</si>
  <si>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</si>
  <si>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</si>
  <si>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</si>
  <si>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</si>
  <si>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</si>
  <si>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</si>
  <si>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</si>
  <si>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</si>
  <si>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</si>
  <si>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</si>
  <si>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</si>
  <si>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</si>
  <si>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</si>
  <si>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</si>
  <si>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</si>
  <si>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</si>
  <si>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</si>
  <si>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</si>
  <si>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</si>
  <si>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</si>
  <si>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</si>
  <si>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</si>
  <si>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</si>
  <si>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</si>
  <si>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</si>
  <si>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</si>
  <si>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</si>
  <si>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</si>
  <si>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</si>
  <si>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</si>
  <si>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</si>
  <si>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</si>
  <si>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</si>
  <si>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</si>
  <si>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</si>
  <si>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</si>
  <si>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</si>
  <si>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</si>
  <si>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</si>
  <si>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</si>
  <si>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</si>
  <si>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</si>
  <si>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</si>
  <si>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</si>
  <si>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</si>
  <si>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</si>
  <si>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</si>
  <si>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</si>
  <si>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</si>
  <si>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</si>
  <si>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</si>
  <si>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</si>
  <si>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</si>
  <si>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</si>
  <si>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</si>
  <si>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</si>
  <si>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</si>
  <si>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</si>
  <si>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</si>
  <si>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</si>
  <si>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</si>
  <si>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</si>
  <si>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</si>
  <si>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</si>
  <si>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</si>
  <si>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</si>
  <si>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</si>
  <si>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</si>
  <si>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</si>
  <si>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</si>
  <si>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</si>
  <si>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</si>
  <si>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</si>
  <si>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</si>
  <si>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</si>
  <si>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</si>
  <si>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</si>
  <si>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</si>
  <si>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</si>
  <si>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</si>
  <si>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</si>
  <si>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</si>
  <si>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</si>
  <si>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</si>
  <si>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</si>
  <si>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</si>
  <si>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</si>
  <si>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</si>
  <si>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</si>
  <si>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</si>
  <si>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</si>
  <si>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</si>
  <si>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</si>
  <si>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</si>
  <si>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</si>
  <si>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</si>
  <si>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</si>
  <si>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</si>
  <si>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</si>
  <si>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</si>
  <si>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</si>
  <si>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</si>
  <si>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</si>
  <si>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</si>
  <si>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</si>
  <si>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</si>
  <si>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</si>
  <si>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</si>
  <si>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</si>
  <si>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</si>
  <si>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</si>
  <si>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</si>
  <si>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</si>
  <si>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</si>
  <si>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</si>
  <si>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</si>
  <si>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</si>
  <si>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</si>
  <si>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</si>
  <si>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</si>
  <si>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</si>
  <si>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</si>
  <si>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</si>
  <si>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</si>
  <si>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</si>
  <si>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</si>
  <si>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</si>
  <si>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</si>
  <si>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</si>
  <si>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</si>
  <si>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</si>
  <si>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</si>
  <si>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</si>
  <si>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</si>
  <si>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</si>
  <si>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</si>
  <si>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</si>
  <si>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</si>
  <si>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</si>
  <si>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</si>
  <si>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</si>
  <si>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</si>
  <si>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</si>
  <si>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</si>
  <si>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</si>
  <si>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</si>
  <si>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</si>
  <si>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</si>
  <si>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</si>
  <si>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</si>
  <si>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</si>
  <si>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</si>
  <si>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</si>
  <si>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</si>
  <si>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</si>
  <si>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</si>
  <si>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</si>
  <si>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</si>
  <si>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</si>
  <si>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</si>
  <si>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</si>
  <si>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</si>
  <si>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</si>
  <si>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</si>
  <si>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</si>
  <si>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</si>
  <si>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</si>
  <si>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</si>
  <si>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</si>
  <si>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</si>
  <si>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</si>
  <si>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</si>
  <si>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</si>
  <si>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</si>
  <si>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</si>
  <si>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</si>
  <si>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</si>
  <si>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</si>
  <si>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</si>
  <si>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</si>
  <si>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</si>
  <si>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</si>
  <si>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</si>
  <si>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</si>
  <si>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</si>
  <si>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</si>
  <si>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</si>
  <si>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</si>
  <si>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</si>
  <si>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</si>
  <si>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</si>
  <si>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</si>
  <si>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</si>
  <si>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</si>
  <si>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</si>
  <si>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</si>
  <si>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</si>
  <si>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</si>
  <si>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</si>
  <si>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</si>
  <si>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</si>
  <si>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</si>
  <si>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</si>
  <si>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</si>
  <si>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</si>
  <si>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</si>
  <si>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</si>
  <si>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</si>
  <si>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</si>
  <si>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</si>
  <si>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</si>
  <si>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</si>
  <si>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</si>
  <si>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</si>
  <si>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</si>
  <si>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</si>
  <si>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</si>
  <si>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</si>
  <si>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</si>
  <si>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</si>
  <si>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</si>
  <si>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</si>
  <si>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</si>
  <si>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</si>
  <si>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</si>
  <si>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</si>
  <si>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</si>
  <si>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</si>
  <si>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</si>
  <si>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</si>
  <si>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</si>
  <si>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</si>
  <si>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</si>
  <si>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</si>
  <si>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</si>
  <si>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</si>
  <si>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</si>
  <si>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</si>
  <si>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</si>
  <si>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</si>
  <si>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</si>
  <si>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</si>
  <si>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</si>
  <si>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</si>
  <si>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</si>
  <si>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</si>
  <si>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</si>
  <si>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</si>
  <si>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</si>
  <si>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</si>
  <si>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</si>
  <si>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</si>
  <si>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</si>
  <si>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</si>
  <si>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</si>
  <si>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</si>
  <si>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</si>
  <si>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</si>
  <si>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</si>
  <si>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</si>
  <si>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</si>
  <si>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</si>
  <si>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</si>
  <si>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</si>
  <si>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</si>
  <si>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</si>
  <si>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</si>
  <si>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</si>
  <si>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</si>
  <si>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</si>
  <si>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</si>
  <si>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</si>
  <si>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</si>
  <si>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</si>
  <si>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</si>
  <si>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</si>
  <si>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</si>
  <si>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</si>
  <si>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</si>
  <si>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</si>
  <si>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</si>
  <si>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</si>
  <si>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</si>
  <si>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</si>
  <si>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</si>
  <si>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</si>
  <si>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</si>
  <si>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</si>
  <si>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</si>
  <si>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</si>
  <si>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</si>
  <si>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</si>
  <si>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</si>
  <si>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</si>
  <si>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</si>
  <si>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</si>
  <si>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</si>
  <si>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</si>
  <si>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</si>
  <si>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</si>
  <si>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</si>
  <si>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</si>
  <si>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</si>
  <si>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</si>
  <si>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</si>
  <si>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</si>
  <si>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</si>
  <si>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</si>
  <si>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</si>
  <si>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</si>
  <si>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</si>
  <si>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</si>
  <si>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</si>
  <si>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</si>
  <si>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</si>
  <si>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</si>
  <si>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</si>
  <si>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</si>
  <si>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</si>
  <si>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</si>
  <si>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</si>
  <si>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</si>
  <si>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</si>
  <si>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</si>
  <si>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</si>
  <si>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</si>
  <si>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</si>
  <si>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</si>
  <si>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</si>
  <si>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</si>
  <si>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</si>
  <si>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</si>
  <si>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</si>
  <si>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</si>
  <si>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</si>
  <si>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</si>
  <si>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</si>
  <si>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</si>
  <si>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</si>
  <si>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</si>
  <si>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</si>
  <si>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</si>
  <si>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</si>
  <si>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</si>
  <si>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</si>
  <si>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</si>
  <si>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</si>
  <si>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</si>
  <si>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</si>
  <si>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</si>
  <si>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</si>
  <si>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</si>
  <si>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</si>
  <si>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</si>
  <si>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</si>
  <si>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</si>
  <si>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</si>
  <si>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</si>
  <si>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</si>
  <si>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</si>
  <si>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</si>
  <si>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</si>
  <si>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</si>
  <si>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</si>
  <si>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</si>
  <si>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</si>
  <si>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</si>
  <si>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</si>
  <si>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</si>
  <si>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</si>
  <si>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</si>
  <si>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</si>
  <si>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</si>
  <si>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</si>
  <si>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</si>
  <si>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</si>
  <si>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</si>
  <si>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</si>
  <si>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</si>
  <si>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</si>
  <si>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</si>
  <si>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</si>
  <si>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</si>
  <si>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</si>
  <si>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</si>
  <si>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</si>
  <si>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</si>
  <si>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</si>
  <si>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</si>
  <si>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</si>
  <si>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</si>
  <si>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</si>
  <si>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</si>
  <si>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</si>
  <si>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</si>
  <si>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</si>
  <si>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</si>
  <si>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</si>
  <si>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</si>
  <si>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</si>
  <si>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</si>
  <si>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</si>
  <si>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</si>
  <si>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</si>
  <si>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</si>
  <si>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</si>
  <si>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</si>
  <si>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</si>
  <si>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</si>
  <si>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</si>
  <si>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</si>
  <si>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</si>
  <si>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</si>
  <si>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</si>
  <si>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</si>
  <si>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</si>
  <si>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</si>
  <si>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</si>
  <si>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</si>
  <si>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</si>
  <si>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</si>
  <si>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</si>
  <si>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</si>
  <si>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</si>
  <si>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</si>
  <si>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</si>
  <si>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</si>
  <si>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</si>
  <si>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</si>
  <si>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</si>
  <si>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</si>
  <si>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</si>
  <si>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</si>
  <si>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</si>
  <si>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</si>
  <si>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</si>
  <si>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</si>
  <si>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</si>
  <si>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</si>
  <si>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</si>
  <si>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</si>
  <si>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</si>
  <si>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</si>
  <si>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</si>
  <si>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</si>
  <si>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</si>
  <si>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</si>
  <si>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</si>
  <si>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</si>
  <si>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</si>
  <si>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</si>
  <si>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</si>
  <si>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</si>
  <si>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</si>
  <si>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</si>
  <si>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</si>
  <si>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</si>
  <si>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</si>
  <si>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</si>
  <si>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</si>
  <si>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</si>
  <si>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</si>
  <si>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</si>
  <si>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</si>
  <si>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</si>
  <si>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</si>
  <si>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</si>
  <si>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</si>
  <si>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</si>
  <si>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</si>
  <si>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</si>
  <si>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</si>
  <si>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</si>
  <si>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</si>
  <si>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</si>
  <si>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</si>
  <si>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</si>
  <si>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</si>
  <si>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</si>
  <si>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</si>
  <si>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</si>
  <si>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</si>
  <si>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</si>
  <si>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</si>
  <si>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</si>
  <si>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</si>
  <si>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</si>
  <si>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</si>
  <si>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</si>
  <si>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</si>
  <si>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</si>
  <si>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</si>
  <si>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</si>
  <si>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</si>
  <si>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</si>
  <si>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</si>
  <si>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</si>
  <si>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</si>
  <si>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</si>
  <si>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</si>
  <si>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</si>
  <si>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</si>
  <si>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</si>
  <si>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</si>
  <si>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</si>
  <si>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</si>
  <si>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</si>
  <si>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</si>
  <si>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</si>
  <si>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</si>
  <si>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</si>
  <si>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</si>
  <si>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</si>
  <si>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</si>
  <si>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</si>
  <si>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</si>
  <si>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</si>
  <si>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</si>
  <si>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</si>
  <si>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</si>
  <si>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</si>
  <si>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</si>
  <si>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</si>
  <si>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</si>
  <si>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</si>
  <si>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</si>
  <si>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</si>
  <si>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</si>
  <si>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</si>
  <si>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</si>
  <si>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</si>
  <si>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</si>
  <si>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</si>
  <si>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</si>
  <si>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</si>
  <si>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</si>
  <si>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</si>
  <si>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</si>
  <si>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</si>
  <si>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</si>
  <si>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</si>
  <si>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</si>
  <si>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</si>
  <si>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</si>
  <si>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</si>
  <si>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</si>
  <si>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</si>
  <si>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</si>
  <si>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</si>
  <si>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</si>
  <si>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</si>
  <si>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</si>
  <si>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</si>
  <si>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</si>
  <si>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</si>
  <si>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</si>
  <si>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</si>
  <si>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</si>
  <si>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</si>
  <si>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</si>
  <si>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</si>
  <si>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</si>
  <si>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</si>
  <si>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</si>
  <si>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</si>
  <si>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</si>
  <si>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</si>
  <si>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</si>
  <si>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</si>
  <si>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</si>
  <si>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</si>
  <si>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</si>
  <si>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</si>
  <si>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</si>
  <si>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</si>
  <si>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</si>
  <si>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</si>
  <si>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</si>
  <si>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</si>
  <si>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</si>
  <si>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</si>
  <si>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</si>
  <si>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</si>
  <si>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</si>
  <si>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</si>
  <si>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</si>
  <si>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</si>
  <si>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</si>
  <si>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</si>
  <si>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</si>
  <si>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</si>
  <si>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</si>
  <si>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</si>
  <si>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</si>
  <si>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</si>
  <si>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</si>
  <si>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</si>
  <si>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</si>
  <si>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</si>
  <si>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</si>
  <si>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</si>
  <si>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</si>
  <si>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</si>
  <si>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</si>
  <si>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</si>
  <si>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</si>
  <si>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</si>
  <si>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</si>
  <si>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</si>
  <si>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</si>
  <si>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</si>
  <si>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</si>
  <si>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</si>
  <si>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</si>
  <si>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</si>
  <si>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</si>
  <si>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</si>
  <si>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</si>
  <si>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</si>
  <si>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</si>
  <si>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</si>
  <si>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</si>
  <si>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</si>
  <si>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</si>
  <si>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</si>
  <si>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</si>
  <si>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</si>
  <si>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</si>
  <si>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</si>
  <si>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</si>
  <si>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</si>
  <si>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</si>
  <si>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</si>
  <si>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</si>
  <si>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</si>
  <si>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</si>
  <si>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</si>
  <si>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</si>
  <si>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</si>
  <si>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</si>
  <si>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</si>
  <si>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</si>
  <si>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</si>
  <si>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</si>
  <si>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</si>
  <si>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</si>
  <si>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</si>
  <si>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</si>
  <si>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</si>
  <si>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</si>
  <si>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</si>
  <si>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</si>
  <si>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</si>
  <si>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</si>
  <si>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</si>
  <si>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</si>
  <si>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</si>
  <si>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</si>
  <si>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</si>
  <si>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</si>
  <si>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</si>
  <si>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</si>
  <si>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</si>
  <si>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</si>
  <si>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</si>
  <si>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</si>
  <si>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</si>
  <si>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</si>
  <si>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</si>
  <si>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</si>
  <si>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</si>
  <si>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</si>
  <si>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</si>
  <si>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</si>
  <si>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</si>
  <si>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</si>
  <si>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</si>
  <si>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</si>
  <si>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</si>
  <si>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</si>
  <si>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</si>
  <si>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</si>
  <si>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</si>
  <si>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</si>
  <si>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</si>
  <si>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</si>
  <si>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</si>
  <si>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</si>
  <si>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</si>
  <si>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</si>
  <si>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</si>
  <si>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</si>
  <si>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</si>
  <si>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</si>
  <si>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</si>
  <si>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</si>
  <si>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</si>
  <si>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</si>
  <si>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</si>
  <si>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</si>
  <si>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</si>
  <si>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</si>
  <si>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</si>
  <si>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</si>
  <si>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</si>
  <si>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</si>
  <si>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</si>
  <si>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</si>
  <si>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</si>
  <si>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</si>
  <si>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</si>
  <si>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</si>
  <si>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</si>
  <si>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</si>
  <si>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</si>
  <si>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</si>
  <si>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</si>
  <si>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</si>
  <si>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</si>
  <si>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</si>
  <si>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</si>
  <si>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</si>
  <si>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</si>
  <si>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</si>
  <si>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</si>
  <si>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</si>
  <si>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</si>
  <si>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</si>
  <si>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</si>
  <si>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</si>
  <si>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</si>
  <si>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</si>
  <si>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</si>
  <si>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</si>
  <si>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</si>
  <si>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</si>
  <si>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</si>
  <si>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</si>
  <si>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</si>
  <si>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</si>
  <si>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</si>
  <si>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</si>
  <si>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</si>
  <si>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</si>
  <si>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</si>
  <si>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</si>
  <si>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</si>
  <si>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</si>
  <si>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</si>
  <si>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</si>
  <si>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</si>
  <si>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</si>
  <si>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</si>
  <si>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</si>
  <si>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</si>
  <si>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</si>
  <si>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</si>
  <si>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</si>
  <si>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</si>
  <si>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</si>
  <si>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</si>
  <si>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</si>
  <si>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</si>
  <si>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</si>
  <si>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</si>
  <si>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</si>
  <si>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</si>
  <si>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</si>
  <si>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</si>
  <si>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</si>
  <si>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</si>
  <si>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</si>
  <si>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</si>
  <si>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</si>
  <si>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</si>
  <si>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</si>
  <si>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</si>
  <si>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</si>
  <si>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</si>
  <si>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</si>
  <si>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</si>
  <si>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</si>
  <si>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</si>
  <si>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</si>
  <si>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</si>
  <si>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</si>
  <si>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</si>
  <si>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</si>
  <si>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</si>
  <si>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</si>
  <si>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</si>
  <si>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</si>
  <si>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</si>
  <si>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</si>
  <si>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</si>
  <si>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</si>
  <si>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</si>
  <si>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</si>
  <si>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</si>
  <si>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</si>
  <si>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</si>
  <si>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</si>
  <si>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</si>
  <si>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</si>
  <si>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</si>
  <si>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</si>
  <si>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</si>
  <si>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</si>
  <si>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</si>
  <si>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</si>
  <si>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</si>
  <si>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</si>
  <si>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</si>
  <si>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</si>
  <si>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</si>
  <si>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</si>
  <si>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</si>
  <si>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</si>
  <si>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</si>
  <si>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</si>
  <si>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</si>
  <si>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</si>
  <si>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</si>
  <si>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</si>
  <si>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</si>
  <si>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</si>
  <si>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</si>
  <si>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</si>
  <si>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</si>
  <si>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</si>
  <si>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</si>
  <si>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</si>
  <si>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</si>
  <si>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</si>
  <si>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</si>
  <si>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</si>
  <si>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</si>
  <si>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</si>
  <si>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</si>
  <si>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</si>
  <si>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</si>
  <si>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</si>
  <si>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</si>
  <si>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</si>
  <si>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</si>
  <si>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</si>
  <si>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</si>
  <si>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</si>
  <si>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</si>
  <si>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</si>
  <si>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</si>
  <si>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</si>
  <si>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</si>
  <si>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</si>
  <si>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</si>
  <si>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</si>
  <si>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</si>
  <si>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</si>
  <si>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</si>
  <si>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</si>
  <si>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</si>
  <si>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</si>
  <si>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</si>
  <si>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</si>
  <si>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</si>
  <si>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</si>
  <si>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</si>
  <si>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</si>
  <si>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</si>
  <si>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</si>
  <si>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</si>
  <si>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</si>
  <si>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</si>
  <si>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</si>
  <si>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</si>
  <si>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</si>
  <si>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</si>
  <si>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</si>
  <si>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</si>
  <si>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</si>
  <si>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</si>
  <si>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</si>
  <si>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</si>
  <si>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</si>
  <si>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</si>
  <si>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</si>
  <si>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</si>
  <si>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</si>
  <si>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</si>
  <si>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</si>
  <si>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</si>
  <si>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</si>
  <si>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</si>
  <si>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</si>
  <si>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</si>
  <si>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</si>
  <si>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</si>
  <si>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</si>
  <si>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</si>
  <si>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</si>
  <si>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</si>
  <si>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</si>
  <si>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</si>
  <si>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</si>
  <si>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</si>
  <si>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</si>
  <si>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</si>
  <si>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</si>
  <si>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</si>
  <si>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</si>
  <si>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</si>
  <si>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</si>
  <si>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</si>
  <si>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</si>
  <si>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</si>
  <si>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</si>
  <si>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</si>
  <si>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</si>
  <si>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</si>
  <si>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</si>
  <si>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</si>
  <si>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</si>
  <si>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</si>
  <si>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</si>
  <si>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</si>
  <si>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</si>
  <si>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</si>
  <si>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</si>
  <si>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</si>
  <si>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</si>
  <si>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</si>
  <si>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</si>
  <si>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</si>
  <si>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</si>
  <si>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</si>
  <si>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</si>
  <si>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</si>
  <si>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</si>
  <si>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</si>
  <si>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</si>
  <si>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</si>
  <si>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</si>
  <si>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</si>
  <si>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</si>
  <si>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</si>
  <si>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</si>
  <si>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</si>
  <si>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</si>
  <si>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</si>
  <si>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</si>
  <si>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</si>
  <si>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</si>
  <si>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</si>
  <si>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</si>
  <si>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</si>
  <si>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</si>
  <si>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</si>
  <si>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</si>
  <si>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</si>
  <si>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</si>
  <si>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</si>
  <si>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</si>
  <si>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</si>
  <si>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</si>
  <si>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</si>
  <si>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</si>
  <si>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</si>
  <si>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</si>
  <si>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</si>
  <si>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</si>
  <si>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</si>
  <si>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</si>
  <si>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</si>
  <si>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</si>
  <si>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</si>
  <si>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</si>
  <si>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</si>
  <si>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</si>
  <si>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</si>
  <si>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</si>
  <si>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</si>
  <si>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</si>
  <si>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</si>
  <si>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</si>
  <si>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</si>
  <si>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</si>
  <si>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</si>
  <si>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</si>
  <si>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</si>
  <si>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</si>
  <si>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</si>
  <si>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</si>
  <si>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</si>
  <si>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</si>
  <si>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</si>
  <si>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</si>
  <si>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</si>
  <si>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</si>
  <si>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</si>
  <si>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</si>
  <si>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</si>
  <si>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</si>
  <si>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</si>
  <si>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</si>
  <si>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</si>
  <si>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</si>
  <si>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</si>
  <si>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</si>
  <si>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</si>
  <si>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</si>
  <si>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</si>
  <si>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</si>
  <si>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</si>
  <si>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</si>
  <si>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</si>
  <si>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</si>
  <si>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</si>
  <si>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</si>
  <si>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</si>
  <si>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</si>
  <si>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</si>
  <si>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</si>
  <si>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</si>
  <si>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</si>
  <si>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</si>
  <si>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</si>
  <si>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</si>
  <si>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</si>
  <si>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</si>
  <si>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</si>
  <si>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</si>
  <si>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</si>
  <si>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</si>
  <si>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</si>
  <si>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</si>
  <si>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</si>
  <si>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</si>
  <si>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</si>
  <si>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</si>
  <si>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</si>
  <si>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</si>
  <si>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</si>
  <si>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</si>
  <si>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</si>
  <si>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</si>
  <si>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</si>
  <si>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</si>
  <si>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</si>
  <si>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</si>
  <si>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</si>
  <si>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</si>
  <si>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</si>
  <si>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</si>
  <si>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</si>
  <si>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</si>
  <si>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</si>
  <si>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</si>
  <si>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</si>
  <si>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</si>
  <si>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</si>
  <si>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</si>
  <si>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</si>
  <si>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</si>
  <si>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</si>
  <si>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</si>
  <si>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</si>
  <si>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</si>
  <si>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</si>
  <si>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</si>
  <si>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</si>
  <si>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</si>
  <si>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</si>
  <si>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</si>
  <si>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</si>
  <si>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</si>
  <si>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</si>
  <si>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</si>
  <si>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</si>
  <si>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</si>
  <si>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</si>
  <si>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</si>
  <si>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</si>
  <si>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</si>
  <si>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</si>
  <si>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</si>
  <si>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</si>
  <si>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</si>
  <si>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</si>
  <si>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</si>
  <si>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</si>
  <si>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</si>
  <si>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</si>
  <si>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</si>
  <si>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</si>
  <si>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</si>
  <si>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</si>
  <si>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</si>
  <si>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</si>
  <si>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</si>
  <si>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</si>
  <si>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</si>
  <si>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</si>
  <si>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</si>
  <si>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</si>
  <si>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</si>
  <si>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</si>
  <si>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</si>
  <si>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</si>
  <si>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</si>
  <si>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</si>
  <si>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</si>
  <si>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</si>
  <si>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</si>
  <si>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</si>
  <si>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</si>
  <si>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</si>
  <si>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</si>
  <si>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</si>
  <si>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</si>
  <si>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</si>
  <si>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</si>
  <si>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</si>
  <si>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</si>
  <si>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</si>
  <si>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</si>
  <si>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</si>
  <si>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</si>
  <si>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</si>
  <si>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</si>
  <si>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</si>
  <si>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</si>
  <si>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</si>
  <si>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</si>
  <si>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</si>
  <si>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</si>
  <si>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</si>
  <si>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</si>
  <si>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</si>
  <si>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</si>
  <si>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</si>
  <si>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</si>
  <si>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</si>
  <si>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</si>
  <si>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</si>
  <si>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</si>
  <si>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</si>
  <si>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</si>
  <si>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</si>
  <si>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</si>
  <si>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</si>
  <si>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</si>
  <si>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</si>
  <si>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</si>
  <si>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</si>
  <si>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</si>
  <si>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</si>
  <si>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</si>
  <si>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</si>
  <si>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</si>
  <si>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</si>
  <si>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</si>
  <si>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</si>
  <si>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</si>
  <si>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</si>
  <si>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</si>
  <si>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</si>
  <si>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</si>
  <si>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</si>
  <si>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</si>
  <si>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</si>
  <si>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</si>
  <si>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</si>
  <si>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</si>
  <si>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</si>
  <si>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</si>
  <si>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</si>
  <si>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</si>
  <si>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</si>
  <si>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</si>
  <si>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</si>
  <si>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</si>
  <si>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</si>
  <si>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</si>
  <si>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</si>
  <si>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</si>
  <si>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</si>
  <si>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</si>
  <si>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</si>
  <si>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</si>
  <si>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</si>
  <si>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</si>
  <si>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</si>
  <si>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</si>
  <si>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</si>
  <si>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</si>
  <si>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</si>
  <si>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</si>
  <si>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</si>
  <si>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</si>
  <si>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</si>
  <si>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</si>
  <si>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</si>
  <si>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</si>
  <si>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</si>
  <si>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</si>
  <si>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</si>
  <si>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</si>
  <si>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</si>
  <si>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</si>
  <si>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</si>
  <si>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</si>
  <si>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</si>
  <si>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</si>
  <si>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</si>
  <si>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</si>
  <si>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</si>
  <si>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</si>
  <si>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</si>
  <si>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</si>
  <si>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</si>
  <si>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</si>
  <si>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</si>
  <si>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</si>
  <si>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</si>
  <si>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</si>
  <si>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</si>
  <si>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</si>
  <si>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</si>
  <si>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</si>
  <si>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</si>
  <si>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</si>
  <si>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</si>
  <si>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</si>
  <si>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</si>
  <si>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</si>
  <si>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</si>
  <si>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</si>
  <si>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</si>
  <si>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</si>
  <si>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</si>
  <si>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</si>
  <si>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</si>
  <si>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</si>
  <si>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</si>
  <si>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</si>
  <si>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</si>
  <si>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</si>
  <si>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</si>
  <si>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</si>
  <si>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</si>
  <si>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</si>
  <si>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</si>
  <si>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</si>
  <si>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</si>
  <si>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</si>
  <si>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</si>
  <si>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</si>
  <si>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</si>
  <si>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</si>
  <si>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</si>
  <si>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</si>
  <si>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</si>
  <si>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</si>
  <si>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</si>
  <si>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</si>
  <si>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</si>
  <si>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</si>
  <si>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</si>
  <si>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</si>
  <si>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</si>
  <si>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</si>
  <si>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</si>
  <si>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</si>
  <si>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</si>
  <si>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</si>
  <si>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</si>
  <si>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</si>
  <si>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</si>
  <si>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</si>
  <si>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</si>
  <si>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</si>
  <si>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</si>
  <si>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</si>
  <si>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</si>
  <si>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</si>
  <si>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</si>
  <si>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</si>
  <si>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</si>
  <si>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</si>
  <si>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</si>
  <si>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</si>
  <si>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</si>
  <si>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</si>
  <si>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</si>
  <si>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</si>
  <si>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</si>
  <si>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</si>
  <si>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</si>
  <si>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</si>
  <si>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</si>
  <si>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</si>
  <si>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</si>
  <si>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</si>
  <si>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</si>
  <si>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</si>
  <si>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</si>
  <si>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</si>
  <si>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</si>
  <si>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</si>
  <si>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</si>
  <si>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</si>
  <si>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</si>
  <si>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</si>
  <si>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</si>
  <si>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</si>
  <si>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</si>
  <si>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</si>
  <si>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</si>
  <si>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</si>
  <si>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</si>
  <si>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</si>
  <si>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</si>
  <si>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</si>
  <si>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</si>
  <si>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</si>
  <si>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</si>
  <si>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</si>
  <si>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</si>
  <si>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</si>
  <si>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</si>
  <si>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</si>
  <si>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</si>
  <si>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</si>
  <si>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</si>
  <si>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</si>
  <si>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</si>
  <si>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</si>
  <si>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</si>
  <si>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</si>
  <si>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</si>
  <si>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</si>
  <si>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</si>
  <si>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</si>
  <si>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</si>
  <si>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</si>
  <si>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</si>
  <si>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</si>
  <si>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</si>
  <si>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</si>
  <si>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</si>
  <si>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</si>
  <si>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</si>
  <si>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</si>
  <si>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</si>
  <si>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</si>
  <si>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</si>
  <si>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</si>
  <si>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</si>
  <si>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</si>
  <si>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</si>
  <si>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</si>
  <si>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</si>
  <si>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</si>
  <si>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</si>
  <si>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</si>
  <si>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</si>
  <si>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</si>
  <si>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</si>
  <si>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</si>
  <si>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</si>
  <si>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</si>
  <si>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</si>
  <si>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</si>
  <si>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</si>
  <si>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</si>
  <si>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</si>
  <si>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</si>
  <si>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</si>
  <si>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</si>
  <si>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</si>
  <si>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</si>
  <si>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</si>
  <si>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</si>
  <si>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</si>
  <si>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</si>
  <si>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</si>
  <si>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</si>
  <si>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</si>
  <si>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</si>
  <si>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</si>
  <si>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</si>
  <si>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</si>
  <si>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</si>
  <si>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</si>
  <si>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</si>
  <si>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</si>
  <si>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</si>
  <si>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</si>
  <si>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</si>
  <si>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</si>
  <si>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</si>
  <si>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</si>
  <si>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</si>
  <si>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</si>
  <si>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</si>
  <si>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</si>
  <si>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</si>
  <si>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</si>
  <si>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</si>
  <si>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</si>
  <si>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</si>
  <si>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</si>
  <si>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</si>
  <si>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</si>
  <si>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</si>
  <si>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</si>
  <si>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</si>
  <si>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</si>
  <si>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</si>
  <si>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</si>
  <si>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</si>
  <si>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</si>
  <si>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</si>
  <si>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</si>
  <si>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</si>
  <si>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</si>
  <si>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</si>
  <si>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</si>
  <si>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</si>
  <si>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</si>
  <si>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</si>
  <si>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</si>
  <si>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</si>
  <si>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</si>
  <si>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</si>
  <si>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</si>
  <si>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</si>
  <si>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</si>
  <si>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</si>
  <si>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</si>
  <si>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</si>
  <si>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</si>
  <si>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</si>
  <si>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</si>
  <si>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</si>
  <si>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</si>
  <si>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</si>
  <si>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</si>
  <si>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</si>
  <si>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</si>
  <si>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</si>
  <si>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</si>
  <si>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</si>
  <si>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</si>
  <si>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</si>
  <si>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</si>
  <si>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</si>
  <si>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</si>
  <si>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</si>
  <si>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</si>
  <si>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</si>
  <si>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</si>
  <si>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</si>
  <si>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</si>
  <si>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</si>
  <si>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</si>
  <si>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</si>
  <si>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</si>
  <si>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</si>
  <si>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</si>
  <si>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</si>
  <si>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</si>
  <si>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</si>
  <si>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</si>
  <si>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</si>
  <si>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</si>
  <si>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</si>
  <si>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</si>
  <si>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</si>
  <si>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</si>
  <si>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</si>
  <si>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</si>
  <si>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</si>
  <si>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</si>
  <si>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</si>
  <si>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</si>
  <si>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</si>
  <si>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</si>
  <si>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</si>
  <si>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</si>
  <si>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</si>
  <si>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</si>
  <si>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</si>
  <si>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</si>
  <si>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</si>
  <si>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</si>
  <si>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</si>
  <si>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</si>
  <si>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</si>
  <si>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</si>
  <si>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</si>
  <si>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</si>
  <si>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</si>
  <si>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</si>
  <si>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</si>
  <si>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</si>
  <si>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</si>
  <si>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</si>
  <si>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</si>
  <si>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</si>
  <si>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</si>
  <si>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</si>
  <si>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</si>
  <si>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</si>
  <si>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</si>
  <si>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</si>
  <si>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</si>
  <si>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</si>
  <si>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</si>
  <si>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</si>
  <si>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</si>
  <si>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</si>
  <si>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</si>
  <si>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</si>
  <si>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</si>
  <si>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</si>
  <si>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</si>
  <si>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</si>
  <si>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</si>
  <si>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</si>
  <si>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</si>
  <si>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</si>
  <si>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</si>
  <si>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</si>
  <si>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</si>
  <si>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</si>
  <si>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</si>
  <si>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</si>
  <si>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</si>
  <si>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</si>
  <si>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</si>
  <si>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</si>
  <si>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</si>
  <si>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</si>
  <si>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</si>
  <si>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</si>
  <si>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</si>
  <si>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</si>
  <si>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</si>
  <si>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</si>
  <si>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</si>
  <si>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</si>
  <si>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</si>
  <si>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</si>
  <si>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</si>
  <si>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</si>
  <si>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</si>
  <si>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</si>
  <si>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</si>
  <si>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</si>
  <si>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</si>
  <si>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</si>
  <si>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</si>
  <si>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</si>
  <si>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</si>
  <si>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</si>
  <si>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</si>
  <si>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</si>
  <si>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</si>
  <si>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</si>
  <si>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</si>
  <si>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</si>
  <si>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</si>
  <si>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</si>
  <si>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</si>
  <si>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</si>
  <si>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</si>
  <si>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</si>
  <si>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</si>
  <si>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</si>
  <si>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</si>
  <si>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</si>
  <si>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</si>
  <si>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</si>
  <si>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</si>
  <si>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</si>
  <si>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</si>
  <si>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</si>
  <si>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</si>
  <si>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</si>
  <si>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</si>
  <si>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</si>
  <si>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</si>
  <si>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</si>
  <si>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</si>
  <si>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</si>
  <si>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</si>
  <si>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</si>
  <si>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</si>
  <si>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</si>
  <si>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</si>
  <si>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</si>
  <si>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</si>
  <si>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</si>
  <si>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</si>
  <si>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</si>
  <si>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</si>
  <si>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</si>
  <si>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</si>
  <si>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</si>
  <si>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</si>
  <si>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</si>
  <si>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</si>
  <si>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</si>
  <si>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</si>
  <si>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</si>
  <si>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</si>
  <si>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</si>
  <si>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</si>
  <si>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</si>
  <si>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</si>
  <si>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</si>
  <si>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</si>
  <si>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</si>
  <si>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</si>
  <si>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</si>
  <si>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</si>
  <si>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</si>
  <si>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</si>
  <si>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</si>
  <si>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</si>
  <si>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</si>
  <si>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</si>
  <si>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</si>
  <si>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</si>
  <si>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</si>
  <si>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</si>
  <si>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</si>
  <si>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</si>
  <si>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</si>
  <si>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</si>
  <si>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</si>
  <si>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</si>
  <si>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</si>
  <si>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</si>
  <si>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</si>
  <si>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</si>
  <si>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</si>
  <si>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</si>
  <si>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</si>
  <si>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</si>
  <si>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</si>
  <si>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</si>
  <si>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</si>
  <si>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</si>
  <si>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</si>
  <si>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</si>
  <si>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</si>
  <si>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</si>
  <si>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</si>
  <si>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</si>
  <si>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</si>
  <si>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</si>
  <si>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</si>
  <si>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</si>
  <si>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</si>
  <si>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</si>
  <si>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</si>
  <si>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</si>
  <si>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</si>
  <si>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</si>
  <si>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</si>
  <si>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</si>
  <si>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</si>
  <si>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</si>
  <si>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</si>
  <si>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</si>
  <si>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</si>
  <si>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</si>
  <si>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</si>
  <si>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</si>
  <si>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</si>
  <si>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</si>
  <si>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</si>
  <si>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</si>
  <si>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</si>
  <si>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</si>
  <si>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</si>
  <si>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</si>
  <si>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</si>
  <si>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</si>
  <si>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</si>
  <si>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</si>
  <si>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</si>
  <si>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</si>
  <si>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</si>
  <si>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</si>
  <si>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</si>
  <si>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</si>
  <si>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</si>
  <si>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</si>
  <si>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</si>
  <si>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</si>
  <si>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</si>
  <si>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</si>
  <si>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</si>
  <si>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</si>
  <si>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</si>
  <si>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</si>
  <si>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</si>
  <si>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</si>
  <si>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</si>
  <si>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</si>
  <si>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</si>
  <si>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</si>
  <si>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</si>
  <si>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</si>
  <si>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</si>
  <si>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</si>
  <si>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</si>
  <si>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</si>
  <si>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</si>
  <si>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</si>
  <si>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</si>
  <si>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</si>
  <si>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</si>
  <si>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</si>
  <si>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</si>
  <si>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</si>
  <si>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</si>
  <si>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</si>
  <si>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</si>
  <si>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</si>
  <si>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</si>
  <si>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</si>
  <si>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</si>
  <si>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</si>
  <si>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</si>
  <si>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</si>
  <si>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</si>
  <si>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</si>
  <si>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</si>
  <si>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</si>
  <si>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</si>
  <si>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</si>
  <si>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</si>
  <si>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</si>
  <si>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</si>
  <si>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</si>
  <si>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</si>
  <si>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</si>
  <si>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</si>
  <si>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</si>
  <si>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</si>
  <si>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</si>
  <si>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</si>
  <si>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</si>
  <si>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</si>
  <si>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</si>
  <si>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</si>
  <si>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</si>
  <si>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</si>
  <si>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</si>
  <si>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</si>
  <si>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</si>
  <si>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</si>
  <si>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</si>
  <si>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</si>
  <si>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</si>
  <si>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</si>
  <si>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</si>
  <si>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</si>
  <si>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</si>
  <si>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</si>
  <si>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</si>
  <si>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</si>
  <si>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</si>
  <si>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</si>
  <si>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</si>
  <si>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</si>
  <si>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</si>
  <si>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</si>
  <si>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</si>
  <si>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</si>
  <si>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</si>
  <si>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</si>
  <si>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</si>
  <si>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</si>
  <si>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</si>
  <si>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</si>
  <si>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</si>
  <si>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</si>
  <si>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</si>
  <si>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</si>
  <si>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</si>
  <si>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</si>
  <si>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</si>
  <si>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</si>
  <si>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</si>
  <si>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</si>
  <si>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</si>
  <si>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</si>
  <si>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</si>
  <si>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</si>
  <si>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</si>
  <si>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</si>
  <si>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</si>
  <si>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</si>
  <si>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</si>
  <si>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</si>
  <si>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</si>
  <si>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</si>
  <si>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</si>
  <si>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</si>
  <si>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</si>
  <si>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</si>
  <si>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</si>
  <si>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</si>
  <si>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</si>
  <si>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</si>
  <si>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</si>
  <si>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</si>
  <si>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</si>
  <si>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</si>
  <si>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</si>
  <si>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</si>
  <si>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</si>
  <si>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</si>
  <si>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</si>
  <si>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</si>
  <si>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</si>
  <si>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</si>
  <si>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</si>
  <si>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</si>
  <si>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</si>
  <si>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</si>
  <si>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</si>
  <si>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</si>
  <si>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</si>
  <si>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</si>
  <si>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</si>
  <si>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</si>
  <si>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</si>
  <si>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</si>
  <si>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</si>
  <si>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</si>
  <si>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</si>
  <si>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</si>
  <si>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</si>
  <si>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</si>
  <si>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</si>
  <si>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</si>
  <si>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</si>
  <si>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</si>
  <si>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</si>
  <si>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</si>
  <si>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</si>
  <si>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</si>
  <si>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</si>
  <si>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</si>
  <si>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</si>
  <si>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</si>
  <si>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</si>
  <si>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</si>
  <si>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</si>
  <si>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</si>
  <si>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</si>
  <si>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</si>
  <si>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</si>
  <si>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</si>
  <si>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</si>
  <si>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</si>
  <si>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</si>
  <si>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</si>
  <si>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</si>
  <si>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</si>
  <si>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</si>
  <si>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</si>
  <si>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</si>
  <si>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</si>
  <si>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</si>
  <si>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</si>
  <si>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</si>
  <si>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</si>
  <si>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</si>
  <si>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</si>
  <si>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</si>
  <si>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</si>
  <si>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</si>
  <si>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</si>
  <si>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</si>
  <si>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</si>
  <si>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</si>
  <si>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</si>
  <si>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</si>
  <si>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</si>
  <si>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</si>
  <si>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</si>
  <si>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</si>
  <si>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</si>
  <si>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</si>
  <si>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</si>
  <si>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</si>
  <si>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</si>
  <si>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</si>
  <si>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</si>
  <si>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</si>
  <si>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</si>
  <si>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</si>
  <si>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</si>
  <si>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</si>
  <si>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</si>
  <si>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</si>
  <si>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</si>
  <si>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</si>
  <si>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</si>
  <si>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</si>
  <si>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</si>
  <si>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</si>
  <si>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</si>
  <si>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</si>
  <si>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</si>
  <si>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</si>
  <si>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</si>
  <si>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</si>
  <si>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</si>
  <si>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</si>
  <si>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</si>
  <si>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</si>
  <si>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</si>
  <si>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</si>
  <si>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</si>
  <si>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</si>
  <si>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</si>
  <si>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</si>
  <si>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</si>
  <si>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</si>
  <si>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</si>
  <si>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</si>
  <si>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</si>
  <si>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</si>
  <si>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</si>
  <si>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</si>
  <si>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</si>
  <si>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</si>
  <si>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</si>
  <si>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</si>
  <si>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</si>
  <si>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</si>
  <si>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</si>
  <si>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</si>
  <si>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</si>
  <si>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</si>
  <si>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</si>
  <si>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</si>
  <si>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</si>
  <si>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</si>
  <si>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</si>
  <si>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</si>
  <si>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</si>
  <si>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</si>
  <si>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</si>
  <si>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</si>
  <si>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</si>
  <si>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</si>
  <si>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</si>
  <si>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</si>
  <si>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</si>
  <si>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</si>
  <si>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</si>
  <si>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</si>
  <si>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</si>
  <si>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</si>
  <si>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</si>
  <si>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</si>
  <si>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</si>
  <si>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</si>
  <si>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</si>
  <si>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</si>
  <si>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</si>
  <si>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</si>
  <si>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</si>
  <si>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</si>
  <si>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</si>
  <si>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</si>
  <si>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</si>
  <si>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</si>
  <si>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</si>
  <si>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</si>
  <si>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</si>
  <si>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</si>
  <si>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</si>
  <si>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</si>
  <si>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</si>
  <si>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</si>
  <si>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</si>
  <si>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</si>
  <si>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</si>
  <si>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</si>
  <si>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</si>
  <si>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</si>
  <si>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</si>
  <si>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</si>
  <si>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</si>
  <si>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</si>
  <si>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</si>
  <si>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</si>
  <si>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</si>
  <si>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</si>
  <si>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</si>
  <si>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</si>
  <si>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</si>
  <si>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</si>
  <si>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</si>
  <si>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</si>
  <si>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</si>
  <si>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</si>
  <si>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</si>
  <si>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</si>
  <si>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</si>
  <si>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</si>
  <si>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</si>
  <si>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</si>
  <si>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</si>
  <si>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</si>
  <si>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</si>
  <si>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</si>
  <si>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</si>
  <si>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</si>
  <si>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</si>
  <si>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</si>
  <si>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</si>
  <si>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</si>
  <si>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</si>
  <si>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</si>
  <si>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</si>
  <si>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</si>
  <si>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</si>
  <si>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</si>
  <si>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</si>
  <si>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</si>
  <si>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</si>
  <si>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</si>
  <si>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</si>
  <si>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</si>
  <si>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</si>
  <si>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</si>
  <si>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</si>
  <si>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</si>
  <si>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</si>
  <si>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</si>
  <si>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</si>
  <si>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</si>
  <si>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</si>
  <si>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</si>
  <si>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</si>
  <si>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</si>
  <si>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</si>
  <si>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</si>
  <si>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</si>
  <si>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</si>
  <si>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</si>
  <si>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</si>
  <si>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</si>
  <si>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</si>
  <si>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</si>
  <si>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</si>
  <si>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</si>
  <si>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</si>
  <si>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</si>
  <si>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</si>
  <si>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</si>
  <si>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</si>
  <si>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</si>
  <si>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</si>
  <si>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</si>
  <si>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</si>
  <si>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</si>
  <si>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</si>
  <si>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</si>
  <si>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</si>
  <si>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</si>
  <si>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</si>
  <si>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</si>
  <si>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</si>
  <si>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</si>
  <si>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</si>
  <si>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</si>
  <si>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</si>
  <si>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</si>
  <si>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</si>
  <si>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</si>
  <si>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</si>
  <si>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</si>
  <si>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</si>
  <si>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</si>
  <si>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</si>
  <si>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</si>
  <si>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</si>
  <si>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</si>
  <si>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</si>
  <si>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</si>
  <si>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</si>
  <si>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</si>
  <si>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</si>
  <si>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</si>
  <si>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</si>
  <si>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</si>
  <si>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</si>
  <si>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</si>
  <si>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</si>
  <si>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</si>
  <si>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</si>
  <si>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</si>
  <si>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</si>
  <si>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</si>
  <si>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</si>
  <si>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</si>
  <si>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</si>
  <si>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</si>
  <si>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</si>
  <si>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</si>
  <si>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</si>
  <si>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</si>
  <si>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</si>
  <si>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</si>
  <si>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</si>
  <si>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</si>
  <si>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</si>
  <si>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</si>
  <si>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</si>
  <si>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</si>
  <si>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</si>
  <si>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</si>
  <si>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</si>
  <si>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</si>
  <si>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</si>
  <si>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</si>
  <si>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</si>
  <si>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</si>
  <si>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</si>
  <si>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</si>
  <si>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</si>
  <si>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</si>
  <si>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</si>
  <si>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</si>
  <si>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</si>
  <si>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</si>
  <si>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</si>
  <si>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</si>
  <si>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</si>
  <si>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</si>
  <si>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</si>
  <si>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</si>
  <si>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</si>
  <si>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</si>
  <si>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</si>
  <si>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</si>
  <si>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</si>
  <si>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</si>
  <si>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</si>
  <si>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</si>
  <si>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</si>
  <si>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</si>
  <si>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</si>
  <si>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</si>
  <si>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</si>
  <si>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</si>
  <si>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</si>
  <si>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</si>
  <si>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</si>
  <si>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</si>
  <si>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</si>
  <si>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</si>
  <si>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</si>
  <si>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</si>
  <si>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</si>
  <si>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</si>
  <si>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</si>
  <si>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</si>
  <si>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</si>
  <si>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</si>
  <si>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</si>
  <si>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</si>
  <si>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</si>
  <si>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</si>
  <si>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</si>
  <si>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</si>
  <si>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</si>
  <si>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</si>
  <si>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</si>
  <si>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</si>
  <si>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</si>
  <si>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</si>
  <si>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</si>
  <si>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</si>
  <si>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</si>
  <si>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</si>
  <si>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</si>
  <si>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</si>
  <si>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</si>
  <si>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</si>
  <si>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</si>
  <si>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</si>
  <si>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</si>
  <si>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</si>
  <si>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</si>
  <si>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</si>
  <si>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</si>
  <si>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</si>
  <si>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</si>
  <si>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</si>
  <si>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</si>
  <si>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</si>
  <si>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</si>
  <si>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</si>
  <si>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</si>
  <si>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</si>
  <si>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</si>
  <si>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</si>
  <si>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</si>
  <si>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</si>
  <si>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</si>
  <si>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</si>
  <si>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</si>
  <si>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</si>
  <si>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</si>
  <si>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</si>
  <si>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</si>
  <si>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</si>
  <si>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</si>
  <si>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</si>
  <si>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</si>
  <si>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</si>
  <si>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</si>
  <si>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</si>
  <si>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</si>
  <si>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</si>
  <si>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</si>
  <si>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</si>
  <si>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</si>
  <si>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</si>
  <si>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</si>
  <si>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</si>
  <si>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</si>
  <si>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</si>
  <si>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</si>
  <si>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</si>
  <si>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</si>
  <si>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</si>
  <si>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</si>
  <si>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</si>
  <si>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</si>
  <si>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</si>
  <si>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</si>
  <si>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</si>
  <si>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</si>
  <si>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</si>
  <si>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</si>
  <si>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</si>
  <si>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</si>
  <si>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</si>
  <si>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</si>
  <si>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</si>
  <si>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</si>
  <si>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</si>
  <si>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</si>
  <si>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</si>
  <si>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</si>
  <si>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</si>
  <si>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</si>
  <si>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</si>
  <si>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</si>
  <si>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</si>
  <si>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</si>
  <si>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</si>
  <si>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</si>
  <si>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</si>
  <si>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</si>
  <si>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</si>
  <si>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</si>
  <si>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</si>
  <si>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</si>
  <si>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</si>
  <si>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</si>
  <si>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</si>
  <si>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</si>
  <si>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</si>
  <si>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</si>
  <si>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</si>
  <si>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</si>
  <si>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</si>
  <si>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</si>
  <si>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</si>
  <si>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</si>
  <si>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</si>
  <si>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</si>
  <si>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</si>
  <si>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</si>
  <si>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</si>
  <si>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</si>
  <si>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</si>
  <si>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</si>
  <si>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</si>
  <si>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</si>
  <si>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</si>
  <si>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</si>
  <si>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</si>
  <si>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</si>
  <si>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</si>
  <si>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</si>
  <si>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</si>
  <si>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</si>
  <si>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</si>
  <si>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</si>
  <si>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</si>
  <si>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</si>
  <si>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</si>
  <si>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</si>
  <si>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</si>
  <si>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</si>
  <si>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</si>
  <si>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</si>
  <si>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</si>
  <si>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</si>
  <si>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</si>
  <si>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</si>
  <si>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</si>
  <si>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</si>
  <si>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</si>
  <si>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</si>
  <si>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</si>
  <si>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</si>
  <si>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</si>
  <si>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</si>
  <si>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</si>
  <si>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</si>
  <si>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</si>
  <si>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</si>
  <si>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</si>
  <si>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</si>
  <si>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</si>
  <si>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</si>
  <si>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</si>
  <si>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</si>
  <si>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</si>
  <si>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</si>
  <si>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</si>
  <si>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</si>
  <si>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</si>
  <si>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</si>
  <si>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</si>
  <si>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</si>
  <si>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</si>
  <si>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</si>
  <si>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</si>
  <si>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</si>
  <si>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</si>
  <si>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</si>
  <si>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</si>
  <si>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</si>
  <si>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</si>
  <si>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</si>
  <si>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</si>
  <si>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</si>
  <si>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</si>
  <si>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</si>
  <si>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</si>
  <si>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</si>
  <si>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</si>
  <si>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</si>
  <si>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</si>
  <si>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</si>
  <si>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</si>
  <si>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</si>
  <si>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</si>
  <si>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</si>
  <si>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</si>
  <si>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</si>
  <si>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</si>
  <si>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</si>
  <si>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</si>
  <si>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</si>
  <si>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</si>
  <si>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</si>
  <si>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</si>
  <si>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</si>
  <si>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</si>
  <si>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</si>
  <si>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</si>
  <si>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</si>
  <si>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</si>
  <si>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</si>
  <si>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</si>
  <si>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</si>
  <si>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</si>
  <si>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</si>
  <si>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</si>
  <si>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</si>
  <si>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</si>
  <si>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</si>
  <si>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</si>
  <si>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</si>
  <si>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</si>
  <si>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</si>
  <si>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</si>
  <si>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</si>
  <si>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</si>
  <si>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</si>
  <si>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</si>
  <si>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</si>
  <si>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</si>
  <si>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</si>
  <si>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</si>
  <si>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</si>
  <si>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</si>
  <si>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</si>
  <si>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</si>
  <si>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</si>
  <si>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</si>
  <si>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</si>
  <si>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</si>
  <si>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</si>
  <si>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</si>
  <si>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</si>
  <si>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</si>
  <si>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</si>
  <si>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</si>
  <si>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</si>
  <si>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</si>
  <si>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</si>
  <si>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</si>
  <si>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</si>
  <si>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</si>
  <si>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</si>
  <si>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</si>
  <si>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</si>
  <si>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</si>
  <si>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</si>
  <si>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</si>
  <si>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</si>
  <si>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</si>
  <si>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</si>
  <si>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</si>
  <si>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</si>
  <si>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</si>
  <si>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</si>
  <si>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</si>
  <si>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</si>
  <si>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</si>
  <si>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</si>
  <si>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</si>
  <si>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</si>
  <si>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</si>
  <si>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</si>
  <si>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</si>
  <si>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</si>
  <si>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</si>
  <si>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</si>
  <si>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</si>
  <si>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</si>
  <si>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</si>
  <si>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</si>
  <si>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</si>
  <si>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</si>
  <si>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</si>
  <si>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</si>
  <si>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</si>
  <si>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</si>
  <si>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</si>
  <si>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</si>
  <si>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</si>
  <si>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</si>
  <si>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</si>
  <si>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</si>
  <si>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</si>
  <si>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</si>
  <si>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</si>
  <si>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</si>
  <si>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</si>
  <si>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</si>
  <si>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</si>
  <si>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</si>
  <si>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</si>
  <si>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</si>
  <si>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</si>
  <si>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</si>
  <si>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</si>
  <si>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</si>
  <si>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</si>
  <si>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</si>
  <si>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</si>
  <si>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</si>
  <si>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</si>
  <si>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</si>
  <si>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</si>
  <si>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</si>
  <si>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</si>
  <si>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</si>
  <si>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</si>
  <si>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</si>
  <si>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</si>
  <si>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</si>
  <si>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</si>
  <si>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</si>
  <si>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</si>
  <si>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</si>
  <si>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</si>
  <si>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</si>
  <si>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</si>
  <si>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</si>
  <si>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</si>
  <si>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</si>
  <si>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</si>
  <si>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</si>
  <si>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</si>
  <si>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</si>
  <si>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</si>
  <si>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</si>
  <si>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</si>
  <si>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</si>
  <si>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</si>
  <si>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</si>
  <si>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</si>
  <si>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</si>
  <si>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</si>
  <si>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</si>
  <si>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</si>
  <si>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</si>
  <si>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</si>
  <si>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</si>
  <si>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</si>
  <si>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</si>
  <si>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</si>
  <si>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</si>
  <si>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</si>
  <si>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</si>
  <si>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</si>
  <si>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</si>
  <si>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</si>
  <si>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</si>
  <si>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</si>
  <si>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</si>
  <si>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</si>
  <si>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</si>
  <si>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</si>
  <si>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</si>
  <si>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</si>
  <si>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</si>
  <si>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</si>
  <si>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</si>
  <si>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</si>
  <si>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</si>
  <si>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</si>
  <si>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</si>
  <si>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</si>
  <si>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</si>
  <si>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</si>
  <si>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</si>
  <si>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</si>
  <si>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</si>
  <si>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</si>
  <si>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</si>
  <si>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</si>
  <si>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</si>
  <si>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</si>
  <si>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</si>
  <si>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</si>
  <si>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</si>
  <si>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</si>
  <si>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</si>
  <si>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</si>
  <si>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</si>
  <si>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</si>
  <si>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</si>
  <si>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</si>
  <si>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</si>
  <si>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</si>
  <si>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</si>
  <si>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</si>
  <si>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</si>
  <si>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</si>
  <si>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</si>
  <si>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</si>
  <si>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</si>
  <si>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</si>
  <si>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</si>
  <si>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</si>
  <si>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</si>
  <si>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</si>
  <si>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</si>
  <si>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</si>
  <si>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</si>
  <si>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</si>
  <si>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</si>
  <si>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</si>
  <si>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</si>
  <si>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</si>
  <si>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</si>
  <si>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</si>
  <si>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</si>
  <si>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</si>
  <si>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</si>
  <si>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</si>
  <si>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</si>
  <si>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</si>
  <si>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</si>
  <si>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</si>
  <si>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</si>
  <si>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</si>
  <si>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</si>
  <si>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</si>
  <si>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</si>
  <si>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</si>
  <si>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</si>
  <si>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</si>
  <si>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</si>
  <si>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</si>
  <si>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</si>
  <si>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</si>
  <si>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</si>
  <si>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</si>
  <si>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</si>
  <si>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</si>
  <si>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</si>
  <si>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</si>
  <si>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</si>
  <si>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</si>
  <si>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</si>
  <si>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</si>
  <si>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</si>
  <si>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</si>
  <si>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</si>
  <si>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</si>
  <si>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</si>
  <si>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</si>
  <si>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</si>
  <si>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</si>
  <si>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</si>
  <si>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</si>
  <si>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</si>
  <si>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</si>
  <si>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</si>
  <si>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</si>
  <si>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</si>
  <si>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</si>
  <si>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</si>
  <si>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</si>
  <si>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</si>
  <si>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</si>
  <si>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</si>
  <si>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</si>
  <si>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</si>
  <si>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</si>
  <si>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</si>
  <si>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</si>
  <si>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</si>
  <si>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</si>
  <si>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</si>
  <si>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</si>
  <si>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</si>
  <si>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</si>
  <si>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</si>
  <si>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</si>
  <si>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</si>
  <si>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</si>
  <si>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</si>
  <si>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</si>
  <si>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</si>
  <si>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</si>
  <si>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</si>
  <si>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</si>
  <si>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</si>
  <si>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</si>
  <si>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</si>
  <si>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</si>
  <si>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</si>
  <si>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</si>
  <si>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</si>
  <si>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</si>
  <si>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</si>
  <si>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</si>
  <si>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</si>
  <si>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</si>
  <si>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</si>
  <si>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</si>
  <si>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</si>
  <si>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</si>
  <si>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</si>
  <si>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</si>
  <si>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</si>
  <si>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</si>
  <si>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</si>
  <si>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</si>
  <si>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</si>
  <si>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</si>
  <si>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</si>
  <si>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</si>
  <si>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</si>
  <si>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</si>
  <si>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</si>
  <si>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</si>
  <si>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</si>
  <si>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</si>
  <si>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</si>
  <si>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</si>
  <si>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</si>
  <si>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</si>
  <si>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</si>
  <si>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</si>
  <si>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</si>
  <si>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</si>
  <si>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</si>
  <si>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</si>
  <si>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</si>
  <si>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</si>
  <si>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</si>
  <si>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</si>
  <si>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</si>
  <si>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</si>
  <si>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</si>
  <si>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</si>
  <si>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</si>
  <si>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</si>
  <si>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</si>
  <si>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</si>
  <si>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</si>
  <si>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</si>
  <si>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</si>
  <si>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</si>
  <si>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</si>
  <si>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</si>
  <si>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</si>
  <si>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</si>
  <si>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</si>
  <si>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</si>
  <si>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</si>
  <si>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</si>
  <si>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</si>
  <si>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</si>
  <si>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</si>
  <si>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</si>
  <si>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</si>
  <si>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</si>
  <si>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</si>
  <si>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</si>
  <si>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</si>
  <si>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</si>
  <si>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</si>
  <si>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</si>
  <si>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</si>
  <si>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</si>
  <si>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</si>
  <si>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</si>
  <si>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</si>
  <si>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</si>
  <si>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</si>
  <si>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</si>
  <si>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</si>
  <si>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</si>
  <si>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</si>
  <si>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</si>
  <si>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</si>
  <si>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</si>
  <si>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</si>
  <si>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</si>
  <si>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</si>
  <si>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</si>
  <si>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</si>
  <si>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</si>
  <si>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</si>
  <si>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</si>
  <si>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</si>
  <si>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</si>
  <si>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</si>
  <si>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</si>
  <si>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</si>
  <si>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</si>
  <si>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</si>
  <si>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</si>
  <si>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</si>
  <si>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</si>
  <si>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</si>
  <si>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</si>
  <si>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</si>
  <si>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</si>
  <si>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</si>
  <si>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</si>
  <si>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</si>
  <si>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</si>
  <si>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</si>
  <si>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</si>
  <si>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</si>
  <si>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</si>
  <si>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</si>
  <si>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</si>
  <si>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</si>
  <si>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</si>
  <si>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</si>
  <si>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</si>
  <si>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</si>
  <si>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</si>
  <si>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</si>
  <si>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</si>
  <si>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</si>
  <si>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</si>
  <si>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</si>
  <si>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</si>
  <si>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</si>
  <si>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</si>
  <si>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</si>
  <si>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</si>
  <si>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</si>
  <si>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</si>
  <si>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</si>
  <si>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</si>
  <si>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</si>
  <si>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</si>
  <si>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</si>
  <si>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</si>
  <si>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</si>
  <si>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</si>
  <si>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</si>
  <si>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</si>
  <si>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</si>
  <si>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</si>
  <si>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</si>
  <si>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</si>
  <si>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</si>
  <si>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</si>
  <si>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</si>
  <si>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</si>
  <si>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</si>
  <si>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</si>
  <si>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</si>
  <si>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</si>
  <si>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</si>
  <si>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</si>
  <si>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</si>
  <si>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</si>
  <si>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</si>
  <si>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</si>
  <si>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</si>
  <si>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</si>
  <si>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</si>
  <si>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</si>
  <si>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</si>
  <si>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</si>
  <si>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</si>
  <si>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</si>
  <si>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</si>
  <si>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</si>
  <si>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</si>
  <si>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</si>
  <si>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</si>
  <si>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</si>
  <si>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</si>
  <si>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</si>
  <si>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</si>
  <si>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</si>
  <si>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</si>
  <si>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</si>
  <si>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</si>
  <si>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</si>
  <si>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</si>
  <si>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</si>
  <si>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</si>
  <si>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</si>
  <si>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</si>
  <si>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</si>
  <si>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</si>
  <si>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</si>
  <si>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</si>
  <si>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</si>
  <si>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</si>
  <si>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</si>
  <si>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</si>
  <si>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</si>
  <si>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</si>
  <si>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</si>
  <si>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</si>
  <si>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</si>
  <si>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</si>
  <si>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</si>
  <si>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</si>
  <si>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</si>
  <si>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</si>
  <si>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</si>
  <si>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</si>
  <si>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</si>
  <si>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</si>
  <si>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</si>
  <si>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</si>
  <si>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</si>
  <si>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</si>
  <si>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</si>
  <si>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</si>
  <si>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</si>
  <si>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</si>
  <si>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</si>
  <si>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</si>
  <si>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</si>
  <si>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</si>
  <si>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</si>
  <si>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</si>
  <si>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</si>
  <si>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</si>
  <si>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</si>
  <si>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</si>
  <si>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</si>
  <si>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</si>
  <si>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</si>
  <si>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</si>
  <si>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</si>
  <si>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</si>
  <si>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</si>
  <si>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</si>
  <si>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</si>
  <si>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</si>
  <si>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</si>
  <si>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</si>
  <si>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</si>
  <si>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</si>
  <si>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</si>
  <si>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</si>
  <si>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</si>
  <si>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</si>
  <si>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</si>
  <si>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</si>
  <si>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</si>
  <si>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</si>
  <si>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</si>
  <si>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</si>
  <si>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</si>
  <si>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</si>
  <si>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</si>
  <si>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</si>
  <si>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</si>
  <si>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</si>
  <si>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</si>
  <si>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</si>
  <si>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</si>
  <si>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</si>
  <si>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</si>
  <si>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</si>
  <si>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</si>
  <si>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</si>
  <si>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</si>
  <si>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</si>
  <si>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</si>
  <si>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</si>
  <si>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</si>
  <si>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</si>
  <si>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</si>
  <si>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</si>
  <si>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</si>
  <si>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</si>
  <si>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</si>
  <si>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</si>
  <si>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</si>
  <si>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</si>
  <si>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</si>
  <si>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</si>
  <si>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</si>
  <si>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</si>
  <si>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</si>
  <si>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</si>
  <si>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</si>
  <si>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</si>
  <si>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</si>
  <si>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</si>
  <si>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</si>
  <si>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</si>
  <si>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</si>
  <si>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</si>
  <si>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</si>
  <si>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</si>
  <si>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</si>
  <si>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</si>
  <si>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</si>
  <si>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</si>
  <si>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</si>
  <si>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</si>
  <si>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</si>
  <si>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</si>
  <si>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</si>
  <si>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</si>
  <si>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</si>
  <si>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</si>
  <si>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</si>
  <si>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</si>
  <si>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</si>
  <si>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</si>
  <si>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</si>
  <si>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</si>
  <si>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</si>
  <si>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</si>
  <si>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</si>
  <si>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</si>
  <si>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</si>
  <si>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</si>
  <si>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</si>
  <si>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</si>
  <si>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</si>
  <si>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</si>
  <si>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</si>
  <si>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</si>
  <si>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</si>
  <si>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</si>
  <si>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</si>
  <si>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</si>
  <si>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</si>
  <si>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</si>
  <si>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</si>
  <si>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</si>
  <si>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</si>
  <si>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</si>
  <si>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</si>
  <si>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</si>
  <si>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</si>
  <si>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</si>
  <si>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</si>
  <si>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</si>
  <si>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</si>
  <si>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</si>
  <si>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</si>
  <si>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</si>
  <si>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</si>
  <si>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</si>
  <si>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</si>
  <si>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</si>
  <si>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</si>
  <si>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</si>
  <si>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</si>
  <si>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</si>
  <si>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</si>
  <si>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</si>
  <si>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</si>
  <si>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</si>
  <si>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</si>
  <si>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</si>
  <si>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</si>
  <si>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</si>
  <si>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</si>
  <si>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</si>
  <si>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</si>
  <si>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</si>
  <si>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</si>
  <si>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</si>
  <si>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</si>
  <si>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</si>
  <si>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</si>
  <si>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</si>
  <si>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</si>
  <si>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</si>
  <si>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</si>
  <si>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</si>
  <si>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</si>
  <si>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</si>
  <si>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</si>
  <si>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</si>
  <si>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</si>
  <si>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</si>
  <si>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</si>
  <si>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</si>
  <si>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</si>
  <si>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</si>
  <si>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</si>
  <si>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</si>
  <si>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</si>
  <si>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</si>
  <si>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</si>
  <si>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</si>
  <si>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</si>
  <si>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</si>
  <si>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</si>
  <si>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</si>
  <si>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</si>
  <si>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</si>
  <si>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</si>
  <si>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</si>
  <si>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</si>
  <si>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</si>
  <si>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</si>
  <si>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</si>
  <si>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</si>
  <si>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</si>
  <si>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</si>
  <si>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</si>
  <si>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</si>
  <si>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</si>
  <si>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</si>
  <si>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</si>
  <si>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</si>
  <si>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</si>
  <si>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</si>
  <si>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</si>
  <si>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</si>
  <si>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</si>
  <si>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</si>
  <si>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</si>
  <si>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</si>
  <si>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</si>
  <si>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</si>
  <si>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</si>
  <si>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</si>
  <si>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</si>
  <si>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</si>
  <si>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</si>
  <si>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</si>
  <si>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</si>
  <si>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</si>
  <si>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</si>
  <si>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</si>
  <si>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</si>
  <si>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</si>
  <si>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</si>
  <si>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</si>
  <si>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</si>
  <si>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</si>
  <si>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</si>
  <si>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</si>
  <si>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</si>
  <si>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</si>
  <si>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</si>
  <si>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</si>
  <si>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</si>
  <si>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</si>
  <si>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</si>
  <si>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</si>
  <si>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</si>
  <si>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</si>
  <si>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</si>
  <si>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</si>
  <si>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</si>
  <si>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</si>
  <si>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</si>
  <si>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</si>
  <si>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</si>
  <si>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</si>
  <si>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</si>
  <si>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</si>
  <si>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</si>
  <si>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</si>
  <si>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</si>
  <si>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</si>
  <si>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</si>
  <si>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</si>
  <si>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</si>
  <si>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</si>
  <si>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</si>
  <si>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</si>
  <si>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</si>
  <si>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</si>
  <si>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</si>
  <si>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</si>
  <si>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</si>
  <si>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</si>
  <si>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</si>
  <si>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</si>
  <si>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</si>
  <si>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</si>
  <si>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</si>
  <si>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</si>
  <si>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</si>
  <si>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</si>
  <si>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</si>
  <si>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</si>
  <si>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</si>
  <si>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</si>
  <si>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</si>
  <si>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</si>
  <si>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</si>
  <si>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</si>
  <si>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</si>
  <si>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</si>
  <si>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</si>
  <si>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</si>
  <si>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</si>
  <si>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</si>
  <si>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</si>
  <si>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</si>
  <si>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</si>
  <si>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</si>
  <si>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</si>
  <si>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</si>
  <si>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</si>
  <si>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</si>
  <si>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</si>
  <si>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</si>
  <si>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</si>
  <si>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</si>
  <si>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</si>
  <si>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</si>
  <si>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</si>
  <si>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</si>
  <si>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</si>
  <si>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</si>
  <si>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</si>
  <si>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</si>
  <si>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</si>
  <si>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</si>
  <si>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</si>
  <si>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</si>
  <si>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</si>
  <si>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</si>
  <si>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</si>
  <si>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</si>
  <si>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</si>
  <si>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</si>
  <si>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</si>
  <si>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</si>
  <si>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</si>
  <si>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</si>
  <si>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</si>
  <si>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</si>
  <si>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</si>
  <si>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</si>
  <si>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</si>
  <si>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</si>
  <si>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</si>
  <si>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</si>
  <si>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</si>
  <si>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</si>
  <si>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</si>
  <si>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</si>
  <si>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</si>
  <si>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</si>
  <si>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</si>
  <si>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</si>
  <si>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</si>
  <si>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</si>
  <si>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</si>
  <si>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</si>
  <si>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</si>
  <si>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</si>
  <si>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</si>
  <si>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</si>
  <si>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</si>
  <si>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</si>
  <si>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</si>
  <si>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</si>
  <si>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</si>
  <si>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</si>
  <si>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</si>
  <si>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</si>
  <si>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</si>
  <si>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</si>
  <si>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</si>
  <si>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</si>
  <si>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</si>
  <si>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</si>
  <si>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</si>
  <si>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</si>
  <si>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</si>
  <si>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</si>
  <si>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</si>
  <si>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</si>
  <si>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</si>
  <si>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</si>
  <si>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</si>
  <si>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</si>
  <si>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</si>
  <si>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</si>
  <si>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</si>
  <si>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</si>
  <si>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</si>
  <si>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</si>
  <si>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</si>
  <si>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</si>
  <si>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</si>
  <si>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</si>
  <si>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</si>
  <si>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</si>
  <si>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</si>
  <si>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</si>
  <si>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</si>
  <si>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</si>
  <si>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</si>
  <si>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</si>
  <si>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</si>
  <si>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</si>
  <si>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</si>
  <si>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</si>
  <si>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</si>
  <si>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</si>
  <si>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</si>
  <si>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</si>
  <si>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</si>
  <si>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</si>
  <si>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</si>
  <si>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</si>
  <si>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</si>
  <si>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</si>
  <si>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</si>
  <si>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</si>
  <si>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</si>
  <si>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</si>
  <si>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</si>
  <si>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</si>
  <si>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</si>
  <si>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</si>
  <si>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</si>
  <si>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</si>
  <si>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</si>
  <si>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</si>
  <si>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</si>
  <si>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</si>
  <si>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</si>
  <si>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</si>
  <si>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</si>
  <si>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</si>
  <si>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</si>
  <si>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</si>
  <si>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</si>
  <si>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</si>
  <si>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</si>
  <si>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</si>
  <si>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</si>
  <si>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</si>
  <si>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</si>
  <si>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</si>
  <si>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</si>
  <si>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</si>
  <si>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</si>
  <si>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</si>
  <si>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</si>
  <si>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</si>
  <si>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</si>
  <si>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</si>
  <si>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</si>
  <si>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</si>
  <si>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</si>
  <si>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</si>
  <si>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</si>
  <si>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</si>
  <si>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</si>
  <si>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</si>
  <si>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</si>
  <si>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</si>
  <si>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</si>
  <si>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</si>
  <si>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</si>
  <si>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</si>
  <si>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</si>
  <si>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</si>
  <si>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</si>
  <si>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</si>
  <si>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</si>
  <si>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</si>
  <si>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</si>
  <si>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</si>
  <si>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</si>
  <si>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</si>
  <si>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</si>
  <si>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</si>
  <si>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</si>
  <si>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</si>
  <si>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</si>
  <si>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</si>
  <si>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</si>
  <si>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</si>
  <si>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</si>
  <si>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</si>
  <si>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</si>
  <si>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</si>
  <si>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</si>
  <si>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</si>
  <si>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</si>
  <si>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</si>
  <si>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</si>
  <si>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</si>
  <si>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</si>
  <si>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</si>
  <si>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</si>
  <si>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</si>
  <si>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</si>
  <si>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</si>
  <si>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</si>
  <si>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</si>
  <si>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</si>
  <si>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</si>
  <si>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</si>
  <si>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</si>
  <si>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</si>
  <si>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</si>
  <si>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</si>
  <si>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</si>
  <si>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</si>
  <si>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</si>
  <si>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</si>
  <si>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</si>
  <si>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</si>
  <si>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</si>
  <si>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</si>
  <si>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</si>
  <si>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</si>
  <si>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</si>
  <si>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</si>
  <si>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</si>
  <si>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</si>
  <si>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</si>
  <si>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</si>
  <si>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</si>
  <si>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</si>
  <si>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</si>
  <si>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</si>
  <si>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</si>
  <si>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</si>
  <si>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</si>
  <si>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</si>
  <si>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</si>
  <si>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</si>
  <si>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</si>
  <si>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</si>
  <si>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</si>
  <si>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</si>
  <si>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</si>
  <si>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</si>
  <si>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</si>
  <si>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</si>
  <si>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</si>
  <si>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</si>
  <si>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</si>
  <si>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</si>
  <si>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</si>
  <si>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</si>
  <si>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</si>
  <si>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</si>
  <si>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</si>
  <si>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</si>
  <si>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</si>
  <si>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</si>
  <si>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</si>
  <si>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</si>
  <si>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</si>
  <si>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</si>
  <si>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</si>
  <si>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</si>
  <si>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</si>
  <si>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</si>
  <si>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</si>
  <si>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</si>
  <si>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</si>
  <si>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</si>
  <si>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</si>
  <si>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</si>
  <si>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</si>
  <si>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</si>
  <si>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</si>
  <si>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</si>
  <si>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</si>
  <si>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</si>
  <si>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</si>
  <si>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</si>
  <si>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</si>
  <si>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</si>
  <si>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</si>
  <si>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</si>
  <si>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</si>
  <si>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</si>
  <si>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</si>
  <si>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</si>
  <si>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</si>
  <si>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</si>
  <si>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</si>
  <si>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</si>
  <si>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</si>
  <si>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</si>
  <si>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</si>
  <si>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</si>
  <si>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</si>
  <si>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</si>
  <si>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</si>
  <si>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</si>
  <si>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</si>
  <si>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</si>
  <si>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</si>
  <si>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</si>
  <si>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</si>
  <si>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</si>
  <si>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</si>
  <si>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</si>
  <si>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</si>
  <si>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</si>
  <si>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</si>
  <si>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</si>
  <si>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</si>
  <si>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</si>
  <si>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</si>
  <si>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</si>
  <si>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</si>
  <si>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</si>
  <si>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</si>
  <si>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</si>
  <si>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</si>
  <si>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</si>
  <si>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</si>
  <si>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</si>
  <si>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</si>
  <si>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</si>
  <si>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</si>
  <si>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</si>
  <si>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</si>
  <si>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</si>
  <si>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</si>
  <si>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</si>
  <si>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</si>
  <si>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</si>
  <si>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</si>
  <si>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</si>
  <si>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</si>
  <si>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</si>
  <si>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</si>
  <si>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</si>
  <si>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</si>
  <si>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</si>
  <si>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</si>
  <si>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</si>
  <si>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</si>
  <si>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</si>
  <si>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</si>
  <si>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</si>
  <si>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</si>
  <si>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</si>
  <si>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</si>
  <si>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</si>
  <si>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</si>
  <si>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</si>
  <si>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</si>
  <si>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</si>
  <si>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</si>
  <si>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</si>
  <si>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</si>
  <si>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</si>
  <si>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</si>
  <si>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</si>
  <si>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</si>
  <si>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</si>
  <si>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</si>
  <si>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</si>
  <si>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</si>
  <si>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</si>
  <si>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</si>
  <si>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</si>
  <si>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</si>
  <si>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</si>
  <si>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</si>
  <si>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</si>
  <si>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</si>
  <si>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</si>
  <si>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</si>
  <si>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</si>
  <si>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</si>
  <si>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</si>
  <si>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</si>
  <si>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</si>
  <si>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</si>
  <si>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</si>
  <si>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</si>
  <si>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</si>
  <si>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</si>
  <si>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</si>
  <si>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</si>
  <si>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</si>
  <si>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</si>
  <si>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</si>
  <si>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</si>
  <si>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</si>
  <si>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</si>
  <si>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</si>
  <si>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</si>
  <si>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</si>
  <si>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</si>
  <si>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</si>
  <si>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</si>
  <si>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</si>
  <si>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</si>
  <si>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</si>
  <si>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</si>
  <si>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</si>
  <si>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</si>
  <si>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</si>
  <si>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</si>
  <si>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</si>
  <si>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</si>
  <si>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</si>
  <si>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</si>
  <si>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</si>
  <si>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</si>
  <si>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</si>
  <si>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</si>
  <si>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</si>
  <si>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</si>
  <si>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</si>
  <si>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</si>
  <si>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</si>
  <si>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</si>
  <si>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</si>
  <si>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</si>
  <si>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</si>
  <si>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</si>
  <si>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</si>
  <si>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</si>
  <si>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</si>
  <si>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</si>
  <si>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</si>
  <si>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</si>
  <si>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</si>
  <si>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</si>
  <si>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</si>
  <si>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</si>
  <si>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</si>
  <si>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</si>
  <si>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</si>
  <si>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</si>
  <si>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</si>
  <si>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</si>
  <si>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</si>
  <si>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</si>
  <si>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</si>
  <si>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</si>
  <si>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</si>
  <si>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</si>
  <si>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</si>
  <si>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</si>
  <si>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</si>
  <si>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</si>
  <si>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</si>
  <si>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</si>
  <si>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</si>
  <si>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</si>
  <si>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</si>
  <si>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</si>
  <si>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</si>
  <si>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</si>
  <si>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</si>
  <si>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</si>
  <si>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</si>
  <si>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</si>
  <si>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</si>
  <si>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</si>
  <si>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</si>
  <si>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</si>
  <si>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</si>
  <si>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</si>
  <si>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</si>
  <si>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</si>
  <si>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</si>
  <si>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</si>
  <si>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</si>
  <si>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</si>
  <si>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</si>
  <si>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</si>
  <si>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</si>
  <si>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</si>
  <si>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</si>
  <si>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</si>
  <si>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</si>
  <si>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</si>
  <si>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</si>
  <si>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</si>
  <si>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</si>
  <si>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</si>
  <si>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</si>
  <si>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</si>
  <si>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</si>
  <si>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</si>
  <si>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</si>
  <si>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</si>
  <si>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</si>
  <si>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</si>
  <si>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</si>
  <si>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</si>
  <si>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</si>
  <si>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</si>
  <si>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</si>
  <si>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</si>
  <si>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</si>
  <si>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</si>
  <si>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</si>
  <si>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</si>
  <si>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</si>
  <si>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</si>
  <si>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</si>
  <si>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</si>
  <si>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</si>
  <si>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</si>
  <si>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</si>
  <si>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</si>
  <si>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</si>
  <si>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</si>
  <si>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</si>
  <si>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</si>
  <si>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</si>
  <si>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</si>
  <si>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</si>
  <si>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</si>
  <si>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</si>
  <si>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</si>
  <si>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</si>
  <si>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</si>
  <si>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</si>
  <si>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</si>
  <si>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</si>
  <si>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</si>
  <si>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</si>
  <si>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</si>
  <si>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</si>
  <si>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</si>
  <si>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</si>
  <si>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</si>
  <si>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</si>
  <si>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</si>
  <si>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</si>
  <si>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</si>
  <si>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</si>
  <si>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</si>
  <si>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</si>
  <si>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</si>
  <si>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</si>
  <si>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</si>
  <si>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</si>
  <si>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</si>
  <si>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</si>
  <si>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</si>
  <si>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</si>
  <si>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</si>
  <si>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</si>
  <si>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</si>
  <si>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</si>
  <si>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</si>
  <si>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</si>
  <si>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</si>
  <si>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</si>
  <si>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</si>
  <si>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</si>
  <si>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</si>
  <si>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</si>
  <si>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</si>
  <si>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</si>
  <si>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</si>
  <si>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</si>
  <si>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</si>
  <si>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</si>
  <si>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</si>
  <si>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</si>
  <si>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</si>
  <si>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</si>
  <si>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</si>
  <si>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</si>
  <si>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</si>
  <si>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</si>
  <si>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</si>
  <si>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</si>
  <si>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</si>
  <si>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</si>
  <si>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</si>
  <si>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</si>
  <si>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</si>
  <si>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</si>
  <si>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</si>
  <si>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</si>
  <si>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</si>
  <si>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</si>
  <si>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</si>
  <si>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</si>
  <si>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</si>
  <si>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</si>
  <si>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</si>
  <si>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</si>
  <si>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</si>
  <si>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</si>
  <si>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</si>
  <si>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</si>
  <si>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</si>
  <si>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</si>
  <si>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</si>
  <si>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</si>
  <si>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</si>
  <si>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</si>
  <si>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</si>
  <si>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</si>
  <si>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</si>
  <si>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</si>
  <si>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</si>
  <si>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</si>
  <si>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</si>
  <si>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</si>
  <si>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</si>
  <si>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</si>
  <si>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</si>
  <si>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</si>
  <si>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</si>
  <si>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</si>
  <si>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</si>
  <si>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</si>
  <si>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</si>
  <si>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</si>
  <si>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</si>
  <si>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</si>
  <si>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</si>
  <si>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</si>
  <si>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</si>
  <si>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</si>
  <si>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</si>
  <si>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</si>
  <si>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</si>
  <si>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</si>
  <si>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</si>
  <si>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</si>
  <si>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</si>
  <si>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</si>
  <si>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</si>
  <si>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</si>
  <si>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</si>
  <si>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</si>
  <si>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</si>
  <si>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</si>
  <si>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</si>
  <si>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</si>
  <si>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</si>
  <si>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</si>
  <si>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</si>
  <si>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</si>
  <si>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</si>
  <si>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</si>
  <si>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</si>
  <si>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</si>
  <si>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</si>
  <si>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</si>
  <si>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</si>
  <si>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</si>
  <si>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</si>
  <si>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</si>
  <si>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</si>
  <si>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</si>
  <si>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</si>
  <si>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</si>
  <si>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</si>
  <si>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</si>
  <si>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</si>
  <si>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</si>
  <si>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</si>
  <si>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</si>
  <si>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</si>
  <si>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</si>
  <si>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</si>
  <si>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</si>
  <si>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</si>
  <si>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</si>
  <si>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</si>
  <si>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</si>
  <si>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</si>
  <si>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</si>
  <si>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</si>
  <si>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</si>
  <si>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</si>
  <si>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</si>
  <si>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</si>
  <si>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</si>
  <si>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</si>
  <si>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</si>
  <si>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</si>
  <si>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</si>
  <si>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</si>
  <si>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</si>
  <si>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</si>
  <si>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</si>
  <si>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</si>
  <si>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</si>
  <si>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</si>
  <si>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</si>
  <si>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</si>
  <si>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</si>
  <si>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</si>
  <si>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</si>
  <si>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</si>
  <si>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</si>
  <si>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</si>
  <si>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</si>
  <si>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</si>
  <si>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</si>
  <si>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</si>
  <si>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</si>
  <si>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</si>
  <si>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</si>
  <si>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</si>
  <si>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</si>
  <si>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</si>
  <si>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</si>
  <si>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</si>
  <si>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</si>
  <si>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</si>
  <si>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</si>
  <si>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</si>
  <si>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</si>
  <si>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</si>
  <si>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AK</t>
  </si>
  <si>
    <t>d740b66f-3983-45e4-9b6c-0dcc35f6ed13</t>
  </si>
  <si>
    <t>A Phantom of Truth</t>
  </si>
  <si>
    <t>APOT</t>
  </si>
  <si>
    <t>cee018b0-cbf5-411b-a67c-c3f949bb02b3</t>
  </si>
  <si>
    <t>"I'll see you in hell!"</t>
  </si>
  <si>
    <t>Each non-Elite enemy engaged with you is defeated. You are defeated and suffer 1 physical trauma. This action does not provoke attacks of opportunity.</t>
  </si>
  <si>
    <t>12c9ed22-e9b5-41a1-9d26-d193470ef674</t>
  </si>
  <si>
    <t>Uses (4 ammo)._x000D_
η Spend 1 ammo: Fight. You get +2 combat for this attack. This attack deals +1 damage. Ignore the retaliate keyword for this attack.</t>
  </si>
  <si>
    <t>a6a4b649-4263-42de-b703-02fbfc801a67</t>
  </si>
  <si>
    <t>Logical Reasoning</t>
  </si>
  <si>
    <t>Play only if you have at least 1 clue._x000D_
Choose an investigator at your location. That investigator either heals 2 horror or discards a Terror card from his or her threat area.</t>
  </si>
  <si>
    <t>f1958711-fd4b-4ea9-bfad-e15e476f7420</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</si>
  <si>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</si>
  <si>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</si>
  <si>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01ca79ac-1c9b-406f-b1bf-fc6366b5752a</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</si>
  <si>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</si>
  <si>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</si>
  <si>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94cfb893-22fa-4913-8d54-7c85a1352c43</t>
  </si>
  <si>
    <t>Cheap Shot</t>
  </si>
  <si>
    <t>Fight. Add your ί value to your skill value for this attack. If you succeed by 2 or more, automatically evade the attacked enemy.</t>
  </si>
  <si>
    <t>14ac735d-2620-4062-82bf-e87c0da58330</t>
  </si>
  <si>
    <t>Fast._x000D_
ι After you evade an enemy, exhaust Pickpocketing: Draw 1 card or gain 1 resource. If you succeeded by 2 or more, do both instead.</t>
  </si>
  <si>
    <t>f0275981-86c3-43b3-b6e2-f3fbfee542c9</t>
  </si>
  <si>
    <t>Quantum Flux</t>
  </si>
  <si>
    <t>Shuffle your discard pile into your deck and draw 1 card. Remove Quantum Flux from the game.</t>
  </si>
  <si>
    <t>29de29b6-dd56-4183-a4f0-9bd0d503ba62</t>
  </si>
  <si>
    <t>Recharge</t>
  </si>
  <si>
    <t>Choose a Spell or Relic asset controlled by an investigator at your location and reveal a random chaos token from the chaos bag. If you reveal a α, β, γ, δ, or ζ symbol, discard the chosen asset. Otherwise, add 3 charges to the chosen asset.</t>
  </si>
  <si>
    <t>1ec325ea-be6f-4227-92ae-acd90a5193b5</t>
  </si>
  <si>
    <t>Madame Labranche</t>
  </si>
  <si>
    <t>Mysterious Benefactress</t>
  </si>
  <si>
    <t>θ If you have no cards in your hand, exhaust Madame Labranche: Draw 1 card._x000D_
θ If you have no resources, exhaust Madame Labranche: Gain 1 resource.</t>
  </si>
  <si>
    <t>d5bd3471-2114-475c-bae6-572d64c21b1b</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</si>
  <si>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</si>
  <si>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</si>
  <si>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</si>
  <si>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2f2b29d1-5d89-4249-9a09-3e84d24f7590</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</si>
  <si>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</si>
  <si>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</si>
  <si>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157a0781-961a-454e-9d54-15e69ece8ebe</t>
  </si>
  <si>
    <t>The First Night</t>
  </si>
  <si>
    <t>While you have more Conviction than Doubt, this agenda gains:_x000D_
"When checking the doom threshold, doom on cards other than this agenda subtract from the total doom in play instead of adding to it."</t>
  </si>
  <si>
    <t>Each investigator disengages from each enemy engaged with him or her and may move to a connecting location. Move The Organist 1 location away from the nearest investigator (to a location with no investigators, if possible).</t>
  </si>
  <si>
    <t>324ee029-91bc-47c5-8e10-fcad2d3feb81</t>
  </si>
  <si>
    <t>The Second Night</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</si>
  <si>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</si>
  <si>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9de8ddb2-2338-438b-984e-eaea32ebd3a2</t>
  </si>
  <si>
    <t>The Third Night</t>
  </si>
  <si>
    <t>Check Campaign Log._x000D_
-If you have more (or equal) Doubt than Conviction, proceed to (→R3)._x000D_
-If you have more Conviction than Doubt, advance to act 2b.</t>
  </si>
  <si>
    <t>fc98bb4c-d45c-4c79-b836-9fb9c82afc71</t>
  </si>
  <si>
    <t>The Parisian Conspiracy (v. I)</t>
  </si>
  <si>
    <t>Objective - Spend the requisite number of clues to advance._x000D_
Objective - At the end of the round, if there are 3 or more doom in play, advance.</t>
  </si>
  <si>
    <t>If you spent clues to advance:_x000D_
&lt;blockquote&gt;You nearly bump into a tall man, his coat and hat as black as his skin is pale. You remember seeing him through the windows of St. Barnabé Church. His organ playing continues to haunt you…&lt;/blockquote&gt;_x000D_
Spawn the set-aside The Organist enemy at the lead investigator's location, (Draped in Mystery) side face-up. Advance to Act 2a - Pursuing Shadows._x000D_
&lt;hr&gt;Otherwise:_x000D_
&lt;blockquote&gt;The organ you heard earlier continues to haunt you. No matter where you are, the torturous chords play over and over in your head. Startled, you ask a passerby about the church. "St. Barnabé?" she replies in a thick accent. "There is no such place."&lt;/blockquote&gt;_x000D_
Each investigator takes 2 horror._x000D_
Spawn the set-aside The Organist enemy at the location farthest from all investigators, (Draped in Mystery) side face-up. Advance to Act 2a - Pursuing Shadows.</t>
  </si>
  <si>
    <t>96937b09-fd4f-482e-82c8-458c11c48f98</t>
  </si>
  <si>
    <t>The Parisian Conspiracy (v. II)</t>
  </si>
  <si>
    <t>If you spent clues to advance:_x000D_
&lt;blockquote&gt;The organ you heard earlier continues to haunt you. No matter where you are, the torturous chords play over and over in your head. The sensation that you are being watched tugs at your mind.&lt;/blockquote&gt;_x000D_
Spawn the set-aside The Organist enemy at the location farthest from all investigators, (Hopeless, I Defied Him) side face-up. Advance to Act 2a - Stalked by Shadows._x000D_
&lt;hr&gt;Otherwise:_x000D_
&lt;blockquote&gt;You nearly bump into a tall man, his coat and hat as black as his skin is pale. He gives you a look of hatred, as intense and as deadly as you have ever seen. You recoil at the mere sight of him, and shadows gather around his feet as he marches towards you.&lt;/blockquote&gt;_x000D_
Each investigator takes 2 horror._x000D_
Spawn the set-aside The Organist enemy at the lead investigator's location, (Hopeless, I Defied Him) side face-up. Advance to Act 2a - Stalked by Shadows.</t>
  </si>
  <si>
    <t>1e4c5f96-2a48-48cf-bcaa-a74c21a716e8</t>
  </si>
  <si>
    <t>Pursuing Shadows</t>
  </si>
  <si>
    <t>ι After you successfully attack The Organist: An investigator at your location may place 1 of his or her clues on The Organist. (Group limit 1 [per_investigator] times per round.)_x000D_
Objective - If there are 3 [per_investigator] clues on The Organist, advance.</t>
  </si>
  <si>
    <t>Check Campaign Log._x000D_
-If you intruded on a secret meeting, proceed to (→R2)._x000D_
-Otherwise, proceed to (→R1).</t>
  </si>
  <si>
    <t>202449e9-2c91-441b-b54a-9541371e419a</t>
  </si>
  <si>
    <t>Stalked by Shadows</t>
  </si>
  <si>
    <t>θ Spend 1 [per_investigator] clues, as a group: Either place 1 doom on the current agenda, or automatically evade The Organist. (Group limit once per round.)_x000D_
Objective - Survive three nights. (Do not advance until you are instructed.)</t>
  </si>
  <si>
    <t>495872f9-5461-435b-bd1b-f830279b18bc</t>
  </si>
  <si>
    <t>Montparnasse</t>
  </si>
  <si>
    <t>Paris. Rail.</t>
  </si>
  <si>
    <t>θ Discard a card from your hand: Gain resources equal to the number of ά icons on the discarded card. (Limit once per round.)</t>
  </si>
  <si>
    <t>96eca2b7-5f82-42a0-a4c8-58b5fe7fda73</t>
  </si>
  <si>
    <t>Montmartre</t>
  </si>
  <si>
    <t>η: Reveal the top card of each investigator's deck. You may play an asset revealed by this effect (paying its cost), under your control. Shuffle each investigator's deck. (Group limit once per round.)</t>
  </si>
  <si>
    <t>4987715d-a84d-4380-a478-3ad0b1ac0bfa</t>
  </si>
  <si>
    <t>η Spend 1 resource: Add 1 supply or ammo token to a card you control. (Limit once per round.)</t>
  </si>
  <si>
    <t>42ae82fa-d26b-4b30-ae93-7cc3f2b81cea</t>
  </si>
  <si>
    <t>Grand Guignol</t>
  </si>
  <si>
    <t>Paris.</t>
  </si>
  <si>
    <t>Theatre of the Great Puppet</t>
  </si>
  <si>
    <t>Forced - After you reveal Grand Guignol: You must either take 2 horror, or shuffle all non-weakness cards from your hand into your deck, then draw an equal number of cards.</t>
  </si>
  <si>
    <t>a1e75f9c-befb-4cfb-aab4-5397f8f62c81</t>
  </si>
  <si>
    <t>Opéra Garnier</t>
  </si>
  <si>
    <t>While you are investigating Opéra Garnier, double the number of skill icons committed to this skill test.</t>
  </si>
  <si>
    <t>c5d57cb3-ceb7-4c8b-800e-818d65414cc0</t>
  </si>
  <si>
    <t>While you are investigating Opéra Garnier, double the base value of your skill.</t>
  </si>
  <si>
    <t>851280fa-b807-493c-9c3d-048f70e8a05d</t>
  </si>
  <si>
    <t>Gare d'Orsay</t>
  </si>
  <si>
    <t>η Spend 1 resource: Move to any Rail location.</t>
  </si>
  <si>
    <t>05f0bf91-29ce-4925-8e3e-38d3b03e2542</t>
  </si>
  <si>
    <t>Père Lachaise Cemetery</t>
  </si>
  <si>
    <t>Forced - After you successfully investigate Père Lachaise Cemetery: You cannot leave Père Lachaise Cemetery until the end of the round.</t>
  </si>
  <si>
    <t>cc707388-cd37-4fbd-a38d-b4ef160569d2</t>
  </si>
  <si>
    <t>Canal Saint-Martin</t>
  </si>
  <si>
    <t>ι After you evade an enemy at Canal Saint-Martin: Move that enemy to a connecting location. (Limit once per round.)</t>
  </si>
  <si>
    <t>83e73174-af32-4f5a-be59-24013a471171</t>
  </si>
  <si>
    <t>Le Marais</t>
  </si>
  <si>
    <t>ι When your turn begins, if you are in Le Marais: Draw 1 card. (Group limit once per round.)</t>
  </si>
  <si>
    <t>0a3df1e4-0f7b-43de-be8a-808f2008f1a1</t>
  </si>
  <si>
    <t>Forced - After you enter Le Marais: For the remainder of the round, you cannot leave Le Marais.</t>
  </si>
  <si>
    <t>945d67fb-f8f4-4fe1-b646-9a2894acda75</t>
  </si>
  <si>
    <t>Notre-Dame</t>
  </si>
  <si>
    <t>Each enemy at Notre-Dame gets -1 fight and +1 evade._x000D_
η: Test ά (6). If you succeed, either place 1 doom on the current agenda, or remove 1 doom from the current agenda. (Group limit once per game.)</t>
  </si>
  <si>
    <t>095ec4ac-d52e-4893-808d-acdaf9d97e47</t>
  </si>
  <si>
    <t>Gardens of Luxembourg</t>
  </si>
  <si>
    <t>While a Byakhee enemy is moving, if there is an investigator at Gardens of Luxembourg, that enemy's location is considered to be connected to Gardens of Luxembourg.</t>
  </si>
  <si>
    <t>bd054df1-3678-49d3-9d47-077ef4718d48</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</si>
  <si>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</si>
  <si>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</si>
  <si>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</si>
  <si>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</si>
  <si>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25536baa-19ef-414a-bd5d-24f3d690250f</t>
  </si>
  <si>
    <t>Stealthy Byakhee</t>
  </si>
  <si>
    <t>Hunter._x000D_
While Stealthy Byakhee is exhausted, it gets -3 fight.</t>
  </si>
  <si>
    <t>4e4fa455-091c-491e-8e2b-74c6c0ff53f3</t>
  </si>
  <si>
    <t>Twin Suns</t>
  </si>
  <si>
    <t>Revelation - Test έ (4). If you fail, you must either remove 1 doom from the current agenda, or take 1 horror for each point you failed by.</t>
  </si>
  <si>
    <t>cc9074b9-0052-4233-8896-28222361b47d</t>
  </si>
  <si>
    <t>Deadly Fate</t>
  </si>
  <si>
    <t>Revelation - Test ά (3). If you fail, discard cards from the top of the encounter deck until an enemy is discarded. You must either draw that enemy, or that enemy attacks you (from the discard pile). If no enemy is discarded, take 1 horror instead.</t>
  </si>
  <si>
    <t>ecba1d09-d125-4463-89f6-5ac24ce8e1a7</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</si>
  <si>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</si>
  <si>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</si>
  <si>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5606fe5d-d328-419f-9819-d81e55d056dc</t>
  </si>
  <si>
    <t>791a6d1e-844d-4078-b4cb-c005483a1790</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</si>
  <si>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</si>
  <si>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</si>
  <si>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</si>
  <si>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AL</t>
  </si>
</sst>
</file>

<file path=xl/styles.xml><?xml version="1.0" encoding="utf-8"?>
<styleSheet xmlns="http://schemas.openxmlformats.org/spreadsheetml/2006/main">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scheme val="minor"/>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62">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3" fillId="17"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8"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23" fillId="2" borderId="0" xfId="0" applyNumberFormat="1" applyFont="1" applyFill="1" applyAlignment="1">
      <alignment horizontal="left" vertical="top" wrapText="1"/>
    </xf>
    <xf numFmtId="0" fontId="23" fillId="0" borderId="0" xfId="0" applyFont="1" applyAlignment="1">
      <alignment wrapText="1"/>
    </xf>
    <xf numFmtId="0" fontId="23" fillId="9" borderId="2" xfId="0" applyNumberFormat="1" applyFont="1" applyFill="1" applyBorder="1" applyAlignment="1">
      <alignment horizontal="left" vertical="top" wrapText="1"/>
    </xf>
    <xf numFmtId="0" fontId="23" fillId="4" borderId="2" xfId="0" applyNumberFormat="1" applyFont="1" applyFill="1" applyBorder="1" applyAlignment="1">
      <alignment horizontal="left" vertical="top" wrapText="1"/>
    </xf>
    <xf numFmtId="0" fontId="23" fillId="10" borderId="2" xfId="0" applyNumberFormat="1" applyFont="1" applyFill="1" applyBorder="1" applyAlignment="1">
      <alignment horizontal="left" vertical="top" wrapText="1"/>
    </xf>
    <xf numFmtId="0" fontId="23" fillId="8" borderId="2" xfId="0" applyFont="1" applyFill="1" applyBorder="1" applyAlignment="1">
      <alignment horizontal="left" vertical="top"/>
    </xf>
    <xf numFmtId="0" fontId="23" fillId="7" borderId="2" xfId="0" applyFont="1" applyFill="1" applyBorder="1" applyAlignment="1">
      <alignment horizontal="left" vertical="top" wrapText="1"/>
    </xf>
    <xf numFmtId="0" fontId="24" fillId="13" borderId="2" xfId="0" applyNumberFormat="1" applyFont="1" applyFill="1" applyBorder="1" applyAlignment="1">
      <alignment horizontal="left" vertical="top" wrapText="1"/>
    </xf>
    <xf numFmtId="0" fontId="24" fillId="14" borderId="2" xfId="0" applyNumberFormat="1" applyFont="1" applyFill="1" applyBorder="1" applyAlignment="1">
      <alignment horizontal="left" vertical="top" wrapText="1"/>
    </xf>
    <xf numFmtId="0" fontId="23" fillId="6" borderId="2" xfId="0" applyNumberFormat="1" applyFont="1" applyFill="1" applyBorder="1" applyAlignment="1">
      <alignment horizontal="left" vertical="top" wrapText="1"/>
    </xf>
    <xf numFmtId="0" fontId="23" fillId="5" borderId="2" xfId="0" applyNumberFormat="1" applyFont="1" applyFill="1" applyBorder="1" applyAlignment="1">
      <alignment horizontal="left" vertical="top" wrapText="1"/>
    </xf>
    <xf numFmtId="0" fontId="26" fillId="0" borderId="0" xfId="0" applyFont="1"/>
    <xf numFmtId="0" fontId="23" fillId="0" borderId="0" xfId="0" quotePrefix="1" applyFont="1" applyAlignment="1">
      <alignment horizontal="left" vertical="top" wrapText="1"/>
    </xf>
    <xf numFmtId="0" fontId="23" fillId="9" borderId="2" xfId="0" applyFont="1" applyFill="1" applyBorder="1" applyAlignment="1">
      <alignment horizontal="left" vertical="top" wrapText="1"/>
    </xf>
    <xf numFmtId="0" fontId="23" fillId="4" borderId="2" xfId="0" applyFont="1" applyFill="1" applyBorder="1" applyAlignment="1">
      <alignment horizontal="left" vertical="top" wrapText="1"/>
    </xf>
    <xf numFmtId="0" fontId="23" fillId="10" borderId="2" xfId="0" applyFont="1" applyFill="1" applyBorder="1" applyAlignment="1">
      <alignment horizontal="left" vertical="top" wrapText="1"/>
    </xf>
    <xf numFmtId="0" fontId="23" fillId="13" borderId="2" xfId="0" applyFont="1" applyFill="1" applyBorder="1" applyAlignment="1">
      <alignment horizontal="left" vertical="top" wrapText="1"/>
    </xf>
    <xf numFmtId="0" fontId="23" fillId="14" borderId="2" xfId="0" applyFont="1" applyFill="1" applyBorder="1" applyAlignment="1">
      <alignment horizontal="left" vertical="top" wrapText="1"/>
    </xf>
    <xf numFmtId="0" fontId="23" fillId="6" borderId="2" xfId="0" applyFont="1" applyFill="1" applyBorder="1" applyAlignment="1">
      <alignment horizontal="left" vertical="top" wrapText="1"/>
    </xf>
    <xf numFmtId="0" fontId="23" fillId="5"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49" fontId="3" fillId="17" borderId="0" xfId="0" applyNumberFormat="1" applyFont="1" applyFill="1"/>
    <xf numFmtId="0" fontId="23" fillId="0" borderId="0" xfId="0" applyFont="1" applyBorder="1" applyAlignment="1">
      <alignment horizontal="left" vertical="top" wrapText="1"/>
    </xf>
    <xf numFmtId="0" fontId="23" fillId="0" borderId="0" xfId="0" applyFont="1" applyBorder="1" applyAlignment="1">
      <alignment horizontal="center" vertical="top" wrapText="1"/>
    </xf>
    <xf numFmtId="0" fontId="23" fillId="0" borderId="0" xfId="0" applyNumberFormat="1" applyFont="1" applyBorder="1" applyAlignment="1">
      <alignment horizontal="left" vertical="top" wrapText="1"/>
    </xf>
    <xf numFmtId="0" fontId="23" fillId="0" borderId="10" xfId="0" applyFont="1" applyBorder="1" applyAlignment="1">
      <alignment horizontal="left" vertical="top" wrapText="1"/>
    </xf>
    <xf numFmtId="0" fontId="23" fillId="0" borderId="11" xfId="0" applyFont="1" applyBorder="1" applyAlignment="1">
      <alignment horizontal="center" vertical="top" wrapText="1"/>
    </xf>
    <xf numFmtId="0" fontId="23" fillId="17" borderId="0" xfId="0" applyNumberFormat="1" applyFont="1" applyFill="1" applyAlignment="1">
      <alignment horizontal="left" vertical="top" wrapText="1"/>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438">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sheetPr codeName="Sheet2"/>
  <dimension ref="A1:AA17"/>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B17" sqref="B17"/>
    </sheetView>
  </sheetViews>
  <sheetFormatPr baseColWidth="10"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58" t="s">
        <v>3303</v>
      </c>
      <c r="H1" s="159"/>
      <c r="I1" s="159"/>
      <c r="J1" s="160"/>
      <c r="K1" s="27"/>
      <c r="L1" s="35"/>
      <c r="M1" s="23"/>
      <c r="N1" s="161" t="s">
        <v>4</v>
      </c>
      <c r="O1" s="161"/>
      <c r="P1" s="161"/>
      <c r="Q1" s="161"/>
      <c r="R1" s="161"/>
      <c r="S1" s="161"/>
      <c r="T1" s="161"/>
      <c r="U1" s="21"/>
      <c r="V1" s="161" t="s">
        <v>4079</v>
      </c>
      <c r="W1" s="161"/>
      <c r="X1" s="161"/>
      <c r="Y1" s="161"/>
      <c r="Z1" s="161"/>
      <c r="AA1" s="161"/>
    </row>
    <row r="2" spans="1:27" ht="18.75">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Data'!$K:$K,"Burden")-J3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Data'!$K:$K,"Burden")-J4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Data'!$K:$K,"Burden")-J5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Data'!$K:$K,"Burden")-J6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Data'!$K:$K,"Burden")-J7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c r="A8" s="14" t="s">
        <v>5568</v>
      </c>
      <c r="B8" s="14" t="s">
        <v>5569</v>
      </c>
      <c r="C8" s="16" t="s">
        <v>2107</v>
      </c>
      <c r="E8" s="14" t="s">
        <v>5570</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Data'!$K:$K,"Burden")-J8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c r="A9" s="14" t="s">
        <v>5571</v>
      </c>
      <c r="B9" s="14" t="s">
        <v>5572</v>
      </c>
      <c r="C9" s="16" t="s">
        <v>2107</v>
      </c>
      <c r="E9" s="14" t="s">
        <v>5573</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Data'!$K:$K,"Burden")-J9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c r="A10" s="14" t="s">
        <v>5899</v>
      </c>
      <c r="B10" s="14" t="s">
        <v>5837</v>
      </c>
      <c r="C10" s="16" t="s">
        <v>2107</v>
      </c>
      <c r="E10" s="14" t="s">
        <v>5942</v>
      </c>
      <c r="G10" s="24">
        <f>SUMIF('Card Data'!$A:$A,$A10,'Card Data'!$E:$E)</f>
        <v>60</v>
      </c>
      <c r="H10" s="24">
        <f>SUMIFS('Card Data'!$E:$E,'Card Data'!$A:$A,$A10,'Card Data'!$K:$K,"&lt;&gt;",'Card Data'!$J:$J,"&lt;&gt;Investigator")-SUMIFS('Card Data'!$E:$E,'Card Data'!$A:$A,$A10,'Card Data'!$K:$K,"&lt;&gt;",'Card Data'!$J:$J,"Mini")</f>
        <v>22</v>
      </c>
      <c r="I10" s="24">
        <f>SUMIFS('Card Data'!$E:$E,'Card Data'!$A:$A,$A10,'Card Data'!$K:$K,"",'Card Data'!$J:$J,"&lt;&gt;Campaign")+SUMIFS('Card Data'!$E:$E,'Card Data'!$A:$A,$A10,'Card Data'!$K:$K,"Burden")-J10</f>
        <v>35</v>
      </c>
      <c r="J10" s="24">
        <f>SUMIFS('Card Data'!$E:$E,'Card Data'!$J:$J,J$2,'Card Data'!$A:$A,$A10,'Card Data'!$AD:$AD,"&lt;&gt;*Side Quest.*")</f>
        <v>3</v>
      </c>
      <c r="K10" s="24">
        <f>COUNTIFS('Card Data'!$J:$J,K$2,'Card Data'!$A:$A,$A10,'Card Data'!$AD:$AD,"&lt;&gt;*Side Quest.*")</f>
        <v>2</v>
      </c>
      <c r="L10" s="24">
        <f>COUNTIFS('Card Data'!$J:$J,L$2,'Card Data'!$A:$A,$A10,'Card Data'!$AD:$AD,"&lt;&gt;*Side Quest.*")</f>
        <v>1</v>
      </c>
      <c r="M10" s="26"/>
      <c r="N10" s="24">
        <f>COUNTIFS('Card Data'!$J:$J,N$2,'Card Data'!$A:$A,$A10)</f>
        <v>0</v>
      </c>
      <c r="O10" s="24">
        <f>COUNTIFS('Card Data'!$J:$J,O$2,'Card Data'!$A:$A,$A10)</f>
        <v>10</v>
      </c>
      <c r="P10" s="24">
        <f>COUNTIFS('Card Data'!$J:$J,P$2,'Card Data'!$A:$A,$A10)</f>
        <v>3</v>
      </c>
      <c r="Q10" s="24">
        <f>COUNTIFS('Card Data'!$J:$J,Q$2,'Card Data'!$A:$A,$A10)</f>
        <v>2</v>
      </c>
      <c r="R10" s="24">
        <f>COUNTIFS('Card Data'!$J:$J,R$2,'Card Data'!$A:$A,$A10)</f>
        <v>2</v>
      </c>
      <c r="S10" s="24">
        <f>COUNTIFS('Card Data'!$J:$J,S$2,'Card Data'!$A:$A,$A10)</f>
        <v>14</v>
      </c>
      <c r="T10" s="24">
        <f>COUNTIFS('Card Data'!$J:$J,T$2,'Card Data'!$A:$A,$A10)</f>
        <v>4</v>
      </c>
      <c r="U10" s="26"/>
      <c r="V10" s="24">
        <f>COUNTIFS('Card Data'!$K:$K,V$2,'Card Data'!$A:$A,$A10)</f>
        <v>2</v>
      </c>
      <c r="W10" s="24">
        <f>COUNTIFS('Card Data'!$K:$K,W$2,'Card Data'!$A:$A,$A10)</f>
        <v>2</v>
      </c>
      <c r="X10" s="24">
        <f>COUNTIFS('Card Data'!$K:$K,X$2,'Card Data'!$A:$A,$A10)</f>
        <v>2</v>
      </c>
      <c r="Y10" s="24">
        <f>COUNTIFS('Card Data'!$K:$K,Y$2,'Card Data'!$A:$A,$A10)</f>
        <v>2</v>
      </c>
      <c r="Z10" s="24">
        <f>COUNTIFS('Card Data'!$K:$K,Z$2,'Card Data'!$A:$A,$A10)</f>
        <v>2</v>
      </c>
      <c r="AA10" s="24">
        <f>COUNTIFS('Card Data'!$K:$K,AA$2,'Card Data'!$A:$A,$A10)</f>
        <v>1</v>
      </c>
    </row>
    <row r="11" spans="1:27">
      <c r="A11" s="14" t="s">
        <v>5970</v>
      </c>
      <c r="B11" s="14" t="s">
        <v>5971</v>
      </c>
      <c r="C11" s="16" t="s">
        <v>2107</v>
      </c>
      <c r="E11" s="14" t="s">
        <v>5972</v>
      </c>
      <c r="G11" s="24">
        <f>SUMIF('Card Data'!$A:$A,$A11,'Card Data'!$E:$E)</f>
        <v>57</v>
      </c>
      <c r="H11" s="24">
        <f>SUMIFS('Card Data'!$E:$E,'Card Data'!$A:$A,$A11,'Card Data'!$K:$K,"&lt;&gt;",'Card Data'!$J:$J,"&lt;&gt;Investigator")-SUMIFS('Card Data'!$E:$E,'Card Data'!$A:$A,$A11,'Card Data'!$K:$K,"&lt;&gt;",'Card Data'!$J:$J,"Mini")</f>
        <v>23</v>
      </c>
      <c r="I11" s="24">
        <f>SUMIFS('Card Data'!$E:$E,'Card Data'!$A:$A,$A11,'Card Data'!$K:$K,"",'Card Data'!$J:$J,"&lt;&gt;Campaign")+SUMIFS('Card Data'!$E:$E,'Card Data'!$A:$A,$A11,'Card Data'!$K:$K,"Burden")-J11</f>
        <v>31</v>
      </c>
      <c r="J11" s="24">
        <f>SUMIFS('Card Data'!$E:$E,'Card Data'!$J:$J,J$2,'Card Data'!$A:$A,$A11,'Card Data'!$AD:$AD,"&lt;&gt;*Side Quest.*")</f>
        <v>3</v>
      </c>
      <c r="K11" s="24">
        <f>COUNTIFS('Card Data'!$J:$J,K$2,'Card Data'!$A:$A,$A11,'Card Data'!$AD:$AD,"&lt;&gt;*Side Quest.*")</f>
        <v>2</v>
      </c>
      <c r="L11" s="24">
        <f>COUNTIFS('Card Data'!$J:$J,L$2,'Card Data'!$A:$A,$A11,'Card Data'!$AD:$AD,"&lt;&gt;*Side Quest.*")</f>
        <v>1</v>
      </c>
      <c r="M11" s="26"/>
      <c r="N11" s="24">
        <f>COUNTIFS('Card Data'!$J:$J,N$2,'Card Data'!$A:$A,$A11)</f>
        <v>0</v>
      </c>
      <c r="O11" s="24">
        <f>COUNTIFS('Card Data'!$J:$J,O$2,'Card Data'!$A:$A,$A11)</f>
        <v>6</v>
      </c>
      <c r="P11" s="24">
        <f>COUNTIFS('Card Data'!$J:$J,P$2,'Card Data'!$A:$A,$A11)</f>
        <v>2</v>
      </c>
      <c r="Q11" s="24">
        <f>COUNTIFS('Card Data'!$J:$J,Q$2,'Card Data'!$A:$A,$A11)</f>
        <v>4</v>
      </c>
      <c r="R11" s="24">
        <f>COUNTIFS('Card Data'!$J:$J,R$2,'Card Data'!$A:$A,$A11)</f>
        <v>1</v>
      </c>
      <c r="S11" s="24">
        <f>COUNTIFS('Card Data'!$J:$J,S$2,'Card Data'!$A:$A,$A11)</f>
        <v>12</v>
      </c>
      <c r="T11" s="24">
        <f>COUNTIFS('Card Data'!$J:$J,T$2,'Card Data'!$A:$A,$A11)</f>
        <v>4</v>
      </c>
      <c r="U11" s="26"/>
      <c r="V11" s="24">
        <f>COUNTIFS('Card Data'!$K:$K,V$2,'Card Data'!$A:$A,$A11)</f>
        <v>2</v>
      </c>
      <c r="W11" s="24">
        <f>COUNTIFS('Card Data'!$K:$K,W$2,'Card Data'!$A:$A,$A11)</f>
        <v>2</v>
      </c>
      <c r="X11" s="24">
        <f>COUNTIFS('Card Data'!$K:$K,X$2,'Card Data'!$A:$A,$A11)</f>
        <v>3</v>
      </c>
      <c r="Y11" s="24">
        <f>COUNTIFS('Card Data'!$K:$K,Y$2,'Card Data'!$A:$A,$A11)</f>
        <v>2</v>
      </c>
      <c r="Z11" s="24">
        <f>COUNTIFS('Card Data'!$K:$K,Z$2,'Card Data'!$A:$A,$A11)</f>
        <v>2</v>
      </c>
      <c r="AA11" s="24">
        <f>COUNTIFS('Card Data'!$K:$K,AA$2,'Card Data'!$A:$A,$A11)</f>
        <v>1</v>
      </c>
    </row>
    <row r="12" spans="1:27">
      <c r="A12" s="14" t="s">
        <v>6085</v>
      </c>
      <c r="B12" s="14" t="s">
        <v>6086</v>
      </c>
      <c r="C12" s="16" t="s">
        <v>2107</v>
      </c>
      <c r="E12" s="14" t="s">
        <v>6087</v>
      </c>
      <c r="G12" s="24">
        <f>SUMIF('Card Data'!$A:$A,$A12,'Card Data'!$E:$E)</f>
        <v>60</v>
      </c>
      <c r="H12" s="24">
        <f>SUMIFS('Card Data'!$E:$E,'Card Data'!$A:$A,$A12,'Card Data'!$K:$K,"&lt;&gt;",'Card Data'!$J:$J,"&lt;&gt;Investigator")-SUMIFS('Card Data'!$E:$E,'Card Data'!$A:$A,$A12,'Card Data'!$K:$K,"&lt;&gt;",'Card Data'!$J:$J,"Mini")</f>
        <v>28</v>
      </c>
      <c r="I12" s="24">
        <f>SUMIFS('Card Data'!$E:$E,'Card Data'!$A:$A,$A12,'Card Data'!$K:$K,"",'Card Data'!$J:$J,"&lt;&gt;Campaign")+SUMIFS('Card Data'!$E:$E,'Card Data'!$A:$A,$A12,'Card Data'!$K:$K,"Burden")-J12</f>
        <v>30</v>
      </c>
      <c r="J12" s="24">
        <f>SUMIFS('Card Data'!$E:$E,'Card Data'!$J:$J,J$2,'Card Data'!$A:$A,$A12,'Card Data'!$AD:$AD,"&lt;&gt;*Side Quest.*")</f>
        <v>2</v>
      </c>
      <c r="K12" s="24">
        <f>COUNTIFS('Card Data'!$J:$J,K$2,'Card Data'!$A:$A,$A12,'Card Data'!$AD:$AD,"&lt;&gt;*Side Quest.*")</f>
        <v>5</v>
      </c>
      <c r="L12" s="24">
        <f>COUNTIFS('Card Data'!$J:$J,L$2,'Card Data'!$A:$A,$A12,'Card Data'!$AD:$AD,"&lt;&gt;*Side Quest.*")</f>
        <v>1</v>
      </c>
      <c r="M12" s="26"/>
      <c r="N12" s="24">
        <f>COUNTIFS('Card Data'!$J:$J,N$2,'Card Data'!$A:$A,$A12)</f>
        <v>0</v>
      </c>
      <c r="O12" s="24">
        <f>COUNTIFS('Card Data'!$J:$J,O$2,'Card Data'!$A:$A,$A12)</f>
        <v>6</v>
      </c>
      <c r="P12" s="24">
        <f>COUNTIFS('Card Data'!$J:$J,P$2,'Card Data'!$A:$A,$A12)</f>
        <v>5</v>
      </c>
      <c r="Q12" s="24">
        <f>COUNTIFS('Card Data'!$J:$J,Q$2,'Card Data'!$A:$A,$A12)</f>
        <v>3</v>
      </c>
      <c r="R12" s="24">
        <f>COUNTIFS('Card Data'!$J:$J,R$2,'Card Data'!$A:$A,$A12)</f>
        <v>3</v>
      </c>
      <c r="S12" s="24">
        <f>COUNTIFS('Card Data'!$J:$J,S$2,'Card Data'!$A:$A,$A12)</f>
        <v>11</v>
      </c>
      <c r="T12" s="24">
        <f>COUNTIFS('Card Data'!$J:$J,T$2,'Card Data'!$A:$A,$A12)</f>
        <v>3</v>
      </c>
      <c r="U12" s="26"/>
      <c r="V12" s="24">
        <f>COUNTIFS('Card Data'!$K:$K,V$2,'Card Data'!$A:$A,$A12)</f>
        <v>2</v>
      </c>
      <c r="W12" s="24">
        <f>COUNTIFS('Card Data'!$K:$K,W$2,'Card Data'!$A:$A,$A12)</f>
        <v>3</v>
      </c>
      <c r="X12" s="24">
        <f>COUNTIFS('Card Data'!$K:$K,X$2,'Card Data'!$A:$A,$A12)</f>
        <v>2</v>
      </c>
      <c r="Y12" s="24">
        <f>COUNTIFS('Card Data'!$K:$K,Y$2,'Card Data'!$A:$A,$A12)</f>
        <v>3</v>
      </c>
      <c r="Z12" s="24">
        <f>COUNTIFS('Card Data'!$K:$K,Z$2,'Card Data'!$A:$A,$A12)</f>
        <v>2</v>
      </c>
      <c r="AA12" s="24">
        <f>COUNTIFS('Card Data'!$K:$K,AA$2,'Card Data'!$A:$A,$A12)</f>
        <v>2</v>
      </c>
    </row>
    <row r="13" spans="1:27">
      <c r="A13" s="14" t="s">
        <v>6238</v>
      </c>
      <c r="B13" s="14" t="s">
        <v>6278</v>
      </c>
      <c r="C13" s="16" t="s">
        <v>2107</v>
      </c>
      <c r="E13" s="14" t="s">
        <v>6365</v>
      </c>
      <c r="G13" s="24">
        <f>SUMIF('Card Data'!$A:$A,$A13,'Card Data'!$E:$E)</f>
        <v>60</v>
      </c>
      <c r="H13" s="24">
        <f>SUMIFS('Card Data'!$E:$E,'Card Data'!$A:$A,$A13,'Card Data'!$K:$K,"&lt;&gt;",'Card Data'!$J:$J,"&lt;&gt;Investigator")-SUMIFS('Card Data'!$E:$E,'Card Data'!$A:$A,$A13,'Card Data'!$K:$K,"&lt;&gt;",'Card Data'!$J:$J,"Mini")</f>
        <v>24</v>
      </c>
      <c r="I13" s="24">
        <f>SUMIFS('Card Data'!$E:$E,'Card Data'!$A:$A,$A13,'Card Data'!$K:$K,"",'Card Data'!$J:$J,"&lt;&gt;Campaign")+SUMIFS('Card Data'!$E:$E,'Card Data'!$A:$A,$A13,'Card Data'!$K:$K,"Burden")-J13</f>
        <v>32</v>
      </c>
      <c r="J13" s="24">
        <f>SUMIFS('Card Data'!$E:$E,'Card Data'!$J:$J,J$2,'Card Data'!$A:$A,$A13,'Card Data'!$AD:$AD,"&lt;&gt;*Side Quest.*")</f>
        <v>4</v>
      </c>
      <c r="K13" s="24">
        <f>COUNTIFS('Card Data'!$J:$J,K$2,'Card Data'!$A:$A,$A13,'Card Data'!$AD:$AD,"&lt;&gt;*Side Quest.*")</f>
        <v>4</v>
      </c>
      <c r="L13" s="24">
        <f>COUNTIFS('Card Data'!$J:$J,L$2,'Card Data'!$A:$A,$A13,'Card Data'!$AD:$AD,"&lt;&gt;*Side Quest.*")</f>
        <v>1</v>
      </c>
      <c r="M13" s="26"/>
      <c r="N13" s="24">
        <f>COUNTIFS('Card Data'!$J:$J,N$2,'Card Data'!$A:$A,$A13)</f>
        <v>0</v>
      </c>
      <c r="O13" s="24">
        <f>COUNTIFS('Card Data'!$J:$J,O$2,'Card Data'!$A:$A,$A13)</f>
        <v>8</v>
      </c>
      <c r="P13" s="24">
        <f>COUNTIFS('Card Data'!$J:$J,P$2,'Card Data'!$A:$A,$A13)</f>
        <v>3</v>
      </c>
      <c r="Q13" s="24">
        <f>COUNTIFS('Card Data'!$J:$J,Q$2,'Card Data'!$A:$A,$A13)</f>
        <v>1</v>
      </c>
      <c r="R13" s="24">
        <f>COUNTIFS('Card Data'!$J:$J,R$2,'Card Data'!$A:$A,$A13)</f>
        <v>3</v>
      </c>
      <c r="S13" s="24">
        <f>COUNTIFS('Card Data'!$J:$J,S$2,'Card Data'!$A:$A,$A13)</f>
        <v>8</v>
      </c>
      <c r="T13" s="24">
        <f>COUNTIFS('Card Data'!$J:$J,T$2,'Card Data'!$A:$A,$A13)</f>
        <v>3</v>
      </c>
      <c r="U13" s="26"/>
      <c r="V13" s="24">
        <f>COUNTIFS('Card Data'!$K:$K,V$2,'Card Data'!$A:$A,$A13)</f>
        <v>3</v>
      </c>
      <c r="W13" s="24">
        <f>COUNTIFS('Card Data'!$K:$K,W$2,'Card Data'!$A:$A,$A13)</f>
        <v>2</v>
      </c>
      <c r="X13" s="24">
        <f>COUNTIFS('Card Data'!$K:$K,X$2,'Card Data'!$A:$A,$A13)</f>
        <v>2</v>
      </c>
      <c r="Y13" s="24">
        <f>COUNTIFS('Card Data'!$K:$K,Y$2,'Card Data'!$A:$A,$A13)</f>
        <v>2</v>
      </c>
      <c r="Z13" s="24">
        <f>COUNTIFS('Card Data'!$K:$K,Z$2,'Card Data'!$A:$A,$A13)</f>
        <v>2</v>
      </c>
      <c r="AA13" s="24">
        <f>COUNTIFS('Card Data'!$K:$K,AA$2,'Card Data'!$A:$A,$A13)</f>
        <v>1</v>
      </c>
    </row>
    <row r="14" spans="1:27">
      <c r="A14" s="52" t="s">
        <v>6791</v>
      </c>
      <c r="B14" s="52" t="s">
        <v>6792</v>
      </c>
      <c r="C14" s="151" t="s">
        <v>2107</v>
      </c>
      <c r="D14" s="52"/>
      <c r="E14" s="52" t="s">
        <v>6793</v>
      </c>
      <c r="G14" s="24">
        <f>SUMIF('Card Data'!$A:$A,$A14,'Card Data'!$E:$E)</f>
        <v>162</v>
      </c>
      <c r="H14" s="24">
        <f>SUMIFS('Card Data'!$E:$E,'Card Data'!$A:$A,$A14,'Card Data'!$K:$K,"&lt;&gt;",'Card Data'!$J:$J,"&lt;&gt;Investigator")-SUMIFS('Card Data'!$E:$E,'Card Data'!$A:$A,$A14,'Card Data'!$K:$K,"&lt;&gt;",'Card Data'!$J:$J,"Mini")</f>
        <v>66</v>
      </c>
      <c r="I14" s="24">
        <f>SUMIFS('Card Data'!$E:$E,'Card Data'!$A:$A,$A14,'Card Data'!$K:$K,"",'Card Data'!$J:$J,"&lt;&gt;Campaign")+SUMIFS('Card Data'!$E:$E,'Card Data'!$A:$A,$A14,'Card Data'!$K:$K,"Burden")-J14</f>
        <v>80</v>
      </c>
      <c r="J14" s="24">
        <f>SUMIFS('Card Data'!$E:$E,'Card Data'!$J:$J,J$2,'Card Data'!$A:$A,$A14,'Card Data'!$AD:$AD,"&lt;&gt;*Side Quest.*")</f>
        <v>4</v>
      </c>
      <c r="K14" s="24">
        <f>COUNTIFS('Card Data'!$J:$J,K$2,'Card Data'!$A:$A,$A14,'Card Data'!$AD:$AD,"&lt;&gt;*Side Quest.*")</f>
        <v>6</v>
      </c>
      <c r="L14" s="24">
        <f>COUNTIFS('Card Data'!$J:$J,L$2,'Card Data'!$A:$A,$A14,'Card Data'!$AD:$AD,"&lt;&gt;*Side Quest.*")</f>
        <v>2</v>
      </c>
      <c r="M14" s="26"/>
      <c r="N14" s="24">
        <f>COUNTIFS('Card Data'!$J:$J,N$2,'Card Data'!$A:$A,$A14)</f>
        <v>6</v>
      </c>
      <c r="O14" s="24">
        <f>COUNTIFS('Card Data'!$J:$J,O$2,'Card Data'!$A:$A,$A14)</f>
        <v>20</v>
      </c>
      <c r="P14" s="24">
        <f>COUNTIFS('Card Data'!$J:$J,P$2,'Card Data'!$A:$A,$A14)</f>
        <v>11</v>
      </c>
      <c r="Q14" s="24">
        <f>COUNTIFS('Card Data'!$J:$J,Q$2,'Card Data'!$A:$A,$A14)</f>
        <v>2</v>
      </c>
      <c r="R14" s="24">
        <f>COUNTIFS('Card Data'!$J:$J,R$2,'Card Data'!$A:$A,$A14)</f>
        <v>14</v>
      </c>
      <c r="S14" s="24">
        <f>COUNTIFS('Card Data'!$J:$J,S$2,'Card Data'!$A:$A,$A14)</f>
        <v>16</v>
      </c>
      <c r="T14" s="24">
        <f>COUNTIFS('Card Data'!$J:$J,T$2,'Card Data'!$A:$A,$A14)</f>
        <v>24</v>
      </c>
      <c r="U14" s="26"/>
      <c r="V14" s="24">
        <f>COUNTIFS('Card Data'!$K:$K,V$2,'Card Data'!$A:$A,$A14)</f>
        <v>6</v>
      </c>
      <c r="W14" s="24">
        <f>COUNTIFS('Card Data'!$K:$K,W$2,'Card Data'!$A:$A,$A14)</f>
        <v>6</v>
      </c>
      <c r="X14" s="24">
        <f>COUNTIFS('Card Data'!$K:$K,X$2,'Card Data'!$A:$A,$A14)</f>
        <v>6</v>
      </c>
      <c r="Y14" s="24">
        <f>COUNTIFS('Card Data'!$K:$K,Y$2,'Card Data'!$A:$A,$A14)</f>
        <v>6</v>
      </c>
      <c r="Z14" s="24">
        <f>COUNTIFS('Card Data'!$K:$K,Z$2,'Card Data'!$A:$A,$A14)</f>
        <v>6</v>
      </c>
      <c r="AA14" s="24">
        <f>COUNTIFS('Card Data'!$K:$K,AA$2,'Card Data'!$A:$A,$A14)</f>
        <v>23</v>
      </c>
    </row>
    <row r="15" spans="1:27">
      <c r="A15" s="14" t="s">
        <v>6794</v>
      </c>
      <c r="B15" s="14" t="s">
        <v>6795</v>
      </c>
      <c r="C15" s="16" t="s">
        <v>2107</v>
      </c>
      <c r="E15" s="14" t="s">
        <v>6796</v>
      </c>
      <c r="G15" s="24">
        <f>SUMIF('Card Data'!$A:$A,$A15,'Card Data'!$E:$E)</f>
        <v>60</v>
      </c>
      <c r="H15" s="24">
        <f>SUMIFS('Card Data'!$E:$E,'Card Data'!$A:$A,$A15,'Card Data'!$K:$K,"&lt;&gt;",'Card Data'!$J:$J,"&lt;&gt;Investigator")-SUMIFS('Card Data'!$E:$E,'Card Data'!$A:$A,$A15,'Card Data'!$K:$K,"&lt;&gt;",'Card Data'!$J:$J,"Mini")</f>
        <v>31</v>
      </c>
      <c r="I15" s="24">
        <f>SUMIFS('Card Data'!$E:$E,'Card Data'!$A:$A,$A15,'Card Data'!$K:$K,"",'Card Data'!$J:$J,"&lt;&gt;Campaign")+SUMIFS('Card Data'!$E:$E,'Card Data'!$A:$A,$A15,'Card Data'!$K:$K,"Burden")-J15</f>
        <v>26</v>
      </c>
      <c r="J15" s="24">
        <f>SUMIFS('Card Data'!$E:$E,'Card Data'!$J:$J,J$2,'Card Data'!$A:$A,$A15,'Card Data'!$AD:$AD,"&lt;&gt;*Side Quest.*")</f>
        <v>3</v>
      </c>
      <c r="K15" s="24">
        <f>COUNTIFS('Card Data'!$J:$J,K$2,'Card Data'!$A:$A,$A15,'Card Data'!$AD:$AD,"&lt;&gt;*Side Quest.*")</f>
        <v>3</v>
      </c>
      <c r="L15" s="24">
        <f>COUNTIFS('Card Data'!$J:$J,L$2,'Card Data'!$A:$A,$A15,'Card Data'!$AD:$AD,"&lt;&gt;*Side Quest.*")</f>
        <v>1</v>
      </c>
      <c r="M15" s="26"/>
      <c r="N15" s="24">
        <f>COUNTIFS('Card Data'!$J:$J,N$2,'Card Data'!$A:$A,$A15)</f>
        <v>0</v>
      </c>
      <c r="O15" s="24">
        <f>COUNTIFS('Card Data'!$J:$J,O$2,'Card Data'!$A:$A,$A15)</f>
        <v>11</v>
      </c>
      <c r="P15" s="24">
        <f>COUNTIFS('Card Data'!$J:$J,P$2,'Card Data'!$A:$A,$A15)</f>
        <v>2</v>
      </c>
      <c r="Q15" s="24">
        <f>COUNTIFS('Card Data'!$J:$J,Q$2,'Card Data'!$A:$A,$A15)</f>
        <v>4</v>
      </c>
      <c r="R15" s="24">
        <f>COUNTIFS('Card Data'!$J:$J,R$2,'Card Data'!$A:$A,$A15)</f>
        <v>2</v>
      </c>
      <c r="S15" s="24">
        <f>COUNTIFS('Card Data'!$J:$J,S$2,'Card Data'!$A:$A,$A15)</f>
        <v>13</v>
      </c>
      <c r="T15" s="24">
        <f>COUNTIFS('Card Data'!$J:$J,T$2,'Card Data'!$A:$A,$A15)</f>
        <v>2</v>
      </c>
      <c r="U15" s="26"/>
      <c r="V15" s="24">
        <f>COUNTIFS('Card Data'!$K:$K,V$2,'Card Data'!$A:$A,$A15)</f>
        <v>2</v>
      </c>
      <c r="W15" s="24">
        <f>COUNTIFS('Card Data'!$K:$K,W$2,'Card Data'!$A:$A,$A15)</f>
        <v>2</v>
      </c>
      <c r="X15" s="24">
        <f>COUNTIFS('Card Data'!$K:$K,X$2,'Card Data'!$A:$A,$A15)</f>
        <v>2</v>
      </c>
      <c r="Y15" s="24">
        <f>COUNTIFS('Card Data'!$K:$K,Y$2,'Card Data'!$A:$A,$A15)</f>
        <v>2</v>
      </c>
      <c r="Z15" s="24">
        <f>COUNTIFS('Card Data'!$K:$K,Z$2,'Card Data'!$A:$A,$A15)</f>
        <v>2</v>
      </c>
      <c r="AA15" s="24">
        <f>COUNTIFS('Card Data'!$K:$K,AA$2,'Card Data'!$A:$A,$A15)</f>
        <v>7</v>
      </c>
    </row>
    <row r="16" spans="1:27">
      <c r="A16" s="14" t="s">
        <v>7051</v>
      </c>
      <c r="B16" s="14" t="s">
        <v>6969</v>
      </c>
      <c r="C16" s="16" t="s">
        <v>2107</v>
      </c>
      <c r="E16" s="14" t="s">
        <v>7094</v>
      </c>
      <c r="G16" s="24">
        <f>SUMIF('Card Data'!$A:$A,$A16,'Card Data'!$E:$E)</f>
        <v>60</v>
      </c>
      <c r="H16" s="24">
        <f>SUMIFS('Card Data'!$E:$E,'Card Data'!$A:$A,$A16,'Card Data'!$K:$K,"&lt;&gt;",'Card Data'!$J:$J,"&lt;&gt;Investigator")-SUMIFS('Card Data'!$E:$E,'Card Data'!$A:$A,$A16,'Card Data'!$K:$K,"&lt;&gt;",'Card Data'!$J:$J,"Mini")</f>
        <v>24</v>
      </c>
      <c r="I16" s="24">
        <f>SUMIFS('Card Data'!$E:$E,'Card Data'!$A:$A,$A16,'Card Data'!$K:$K,"",'Card Data'!$J:$J,"&lt;&gt;Campaign")+SUMIFS('Card Data'!$E:$E,'Card Data'!$A:$A,$A16,'Card Data'!$K:$K,"Burden")-J16</f>
        <v>33</v>
      </c>
      <c r="J16" s="24">
        <f>SUMIFS('Card Data'!$E:$E,'Card Data'!$J:$J,J$2,'Card Data'!$A:$A,$A16,'Card Data'!$AD:$AD,"&lt;&gt;*Side Quest.*")</f>
        <v>3</v>
      </c>
      <c r="K16" s="24">
        <f>COUNTIFS('Card Data'!$J:$J,K$2,'Card Data'!$A:$A,$A16,'Card Data'!$AD:$AD,"&lt;&gt;*Side Quest.*")</f>
        <v>5</v>
      </c>
      <c r="L16" s="24">
        <f>COUNTIFS('Card Data'!$J:$J,L$2,'Card Data'!$A:$A,$A16,'Card Data'!$AD:$AD,"&lt;&gt;*Side Quest.*")</f>
        <v>1</v>
      </c>
      <c r="M16" s="26"/>
      <c r="N16" s="24">
        <f>COUNTIFS('Card Data'!$J:$J,N$2,'Card Data'!$A:$A,$A16)</f>
        <v>0</v>
      </c>
      <c r="O16" s="24">
        <f>COUNTIFS('Card Data'!$J:$J,O$2,'Card Data'!$A:$A,$A16)</f>
        <v>4</v>
      </c>
      <c r="P16" s="24">
        <f>COUNTIFS('Card Data'!$J:$J,P$2,'Card Data'!$A:$A,$A16)</f>
        <v>8</v>
      </c>
      <c r="Q16" s="24">
        <f>COUNTIFS('Card Data'!$J:$J,Q$2,'Card Data'!$A:$A,$A16)</f>
        <v>0</v>
      </c>
      <c r="R16" s="24">
        <f>COUNTIFS('Card Data'!$J:$J,R$2,'Card Data'!$A:$A,$A16)</f>
        <v>3</v>
      </c>
      <c r="S16" s="24">
        <f>COUNTIFS('Card Data'!$J:$J,S$2,'Card Data'!$A:$A,$A16)</f>
        <v>14</v>
      </c>
      <c r="T16" s="24">
        <f>COUNTIFS('Card Data'!$J:$J,T$2,'Card Data'!$A:$A,$A16)</f>
        <v>4</v>
      </c>
      <c r="U16" s="26"/>
      <c r="V16" s="24">
        <f>COUNTIFS('Card Data'!$K:$K,V$2,'Card Data'!$A:$A,$A16)</f>
        <v>2</v>
      </c>
      <c r="W16" s="24">
        <f>COUNTIFS('Card Data'!$K:$K,W$2,'Card Data'!$A:$A,$A16)</f>
        <v>2</v>
      </c>
      <c r="X16" s="24">
        <f>COUNTIFS('Card Data'!$K:$K,X$2,'Card Data'!$A:$A,$A16)</f>
        <v>2</v>
      </c>
      <c r="Y16" s="24">
        <f>COUNTIFS('Card Data'!$K:$K,Y$2,'Card Data'!$A:$A,$A16)</f>
        <v>2</v>
      </c>
      <c r="Z16" s="24">
        <f>COUNTIFS('Card Data'!$K:$K,Z$2,'Card Data'!$A:$A,$A16)</f>
        <v>3</v>
      </c>
      <c r="AA16" s="24">
        <f>COUNTIFS('Card Data'!$K:$K,AA$2,'Card Data'!$A:$A,$A16)</f>
        <v>1</v>
      </c>
    </row>
    <row r="17" spans="1:27">
      <c r="A17" s="14" t="s">
        <v>7096</v>
      </c>
      <c r="B17" s="14" t="s">
        <v>7097</v>
      </c>
      <c r="C17" s="16" t="s">
        <v>2107</v>
      </c>
      <c r="E17" s="14" t="s">
        <v>7098</v>
      </c>
      <c r="G17" s="24">
        <f>SUMIF('Card Data'!$A:$A,$A17,'Card Data'!$E:$E)</f>
        <v>60</v>
      </c>
      <c r="H17" s="24">
        <f>SUMIFS('Card Data'!$E:$E,'Card Data'!$A:$A,$A17,'Card Data'!$K:$K,"&lt;&gt;",'Card Data'!$J:$J,"&lt;&gt;Investigator")-SUMIFS('Card Data'!$E:$E,'Card Data'!$A:$A,$A17,'Card Data'!$K:$K,"&lt;&gt;",'Card Data'!$J:$J,"Mini")</f>
        <v>26</v>
      </c>
      <c r="I17" s="24">
        <f>SUMIFS('Card Data'!$E:$E,'Card Data'!$A:$A,$A17,'Card Data'!$K:$K,"",'Card Data'!$J:$J,"&lt;&gt;Campaign")+SUMIFS('Card Data'!$E:$E,'Card Data'!$A:$A,$A17,'Card Data'!$K:$K,"Burden")-J17</f>
        <v>31</v>
      </c>
      <c r="J17" s="24">
        <f>SUMIFS('Card Data'!$E:$E,'Card Data'!$J:$J,J$2,'Card Data'!$A:$A,$A17,'Card Data'!$AD:$AD,"&lt;&gt;*Side Quest.*")</f>
        <v>3</v>
      </c>
      <c r="K17" s="24">
        <f>COUNTIFS('Card Data'!$J:$J,K$2,'Card Data'!$A:$A,$A17,'Card Data'!$AD:$AD,"&lt;&gt;*Side Quest.*")</f>
        <v>4</v>
      </c>
      <c r="L17" s="24">
        <f>COUNTIFS('Card Data'!$J:$J,L$2,'Card Data'!$A:$A,$A17,'Card Data'!$AD:$AD,"&lt;&gt;*Side Quest.*")</f>
        <v>1</v>
      </c>
      <c r="M17" s="26"/>
      <c r="N17" s="24">
        <f>COUNTIFS('Card Data'!$J:$J,N$2,'Card Data'!$A:$A,$A17)</f>
        <v>0</v>
      </c>
      <c r="O17" s="24">
        <f>COUNTIFS('Card Data'!$J:$J,O$2,'Card Data'!$A:$A,$A17)</f>
        <v>5</v>
      </c>
      <c r="P17" s="24">
        <f>COUNTIFS('Card Data'!$J:$J,P$2,'Card Data'!$A:$A,$A17)</f>
        <v>6</v>
      </c>
      <c r="Q17" s="24">
        <f>COUNTIFS('Card Data'!$J:$J,Q$2,'Card Data'!$A:$A,$A17)</f>
        <v>0</v>
      </c>
      <c r="R17" s="24">
        <f>COUNTIFS('Card Data'!$J:$J,R$2,'Card Data'!$A:$A,$A17)</f>
        <v>2</v>
      </c>
      <c r="S17" s="24">
        <f>COUNTIFS('Card Data'!$J:$J,S$2,'Card Data'!$A:$A,$A17)</f>
        <v>13</v>
      </c>
      <c r="T17" s="24">
        <f>COUNTIFS('Card Data'!$J:$J,T$2,'Card Data'!$A:$A,$A17)</f>
        <v>5</v>
      </c>
      <c r="U17" s="26"/>
      <c r="V17" s="24">
        <f>COUNTIFS('Card Data'!$K:$K,V$2,'Card Data'!$A:$A,$A17)</f>
        <v>2</v>
      </c>
      <c r="W17" s="24">
        <f>COUNTIFS('Card Data'!$K:$K,W$2,'Card Data'!$A:$A,$A17)</f>
        <v>3</v>
      </c>
      <c r="X17" s="24">
        <f>COUNTIFS('Card Data'!$K:$K,X$2,'Card Data'!$A:$A,$A17)</f>
        <v>2</v>
      </c>
      <c r="Y17" s="24">
        <f>COUNTIFS('Card Data'!$K:$K,Y$2,'Card Data'!$A:$A,$A17)</f>
        <v>2</v>
      </c>
      <c r="Z17" s="24">
        <f>COUNTIFS('Card Data'!$K:$K,Z$2,'Card Data'!$A:$A,$A17)</f>
        <v>2</v>
      </c>
      <c r="AA17" s="24">
        <f>COUNTIFS('Card Data'!$K:$K,AA$2,'Card Data'!$A:$A,$A17)</f>
        <v>1</v>
      </c>
    </row>
  </sheetData>
  <mergeCells count="3">
    <mergeCell ref="G1:J1"/>
    <mergeCell ref="N1:T1"/>
    <mergeCell ref="V1:AA1"/>
  </mergeCells>
  <conditionalFormatting sqref="V2">
    <cfRule type="cellIs" dxfId="437" priority="29" operator="equal">
      <formula>"Fellowship"</formula>
    </cfRule>
    <cfRule type="cellIs" dxfId="436" priority="30" operator="equal">
      <formula>"Neutral"</formula>
    </cfRule>
    <cfRule type="cellIs" dxfId="435" priority="31" operator="equal">
      <formula>"Baggins"</formula>
    </cfRule>
    <cfRule type="cellIs" dxfId="434" priority="32" operator="equal">
      <formula>"Lore"</formula>
    </cfRule>
    <cfRule type="cellIs" dxfId="433" priority="33" operator="equal">
      <formula>"Spirit"</formula>
    </cfRule>
    <cfRule type="cellIs" dxfId="432" priority="34" operator="equal">
      <formula>"Tactics"</formula>
    </cfRule>
    <cfRule type="cellIs" dxfId="431" priority="35" operator="equal">
      <formula>"Leadership"</formula>
    </cfRule>
  </conditionalFormatting>
  <conditionalFormatting sqref="W2">
    <cfRule type="cellIs" dxfId="430" priority="22" operator="equal">
      <formula>"Fellowship"</formula>
    </cfRule>
    <cfRule type="cellIs" dxfId="429" priority="23" operator="equal">
      <formula>"Neutral"</formula>
    </cfRule>
    <cfRule type="cellIs" dxfId="428" priority="24" operator="equal">
      <formula>"Baggins"</formula>
    </cfRule>
    <cfRule type="cellIs" dxfId="427" priority="25" operator="equal">
      <formula>"Lore"</formula>
    </cfRule>
    <cfRule type="cellIs" dxfId="426" priority="26" operator="equal">
      <formula>"Spirit"</formula>
    </cfRule>
    <cfRule type="cellIs" dxfId="425" priority="27" operator="equal">
      <formula>"Tactics"</formula>
    </cfRule>
    <cfRule type="cellIs" dxfId="424" priority="28" operator="equal">
      <formula>"Leadership"</formula>
    </cfRule>
  </conditionalFormatting>
  <conditionalFormatting sqref="X2">
    <cfRule type="cellIs" dxfId="423" priority="15" operator="equal">
      <formula>"Fellowship"</formula>
    </cfRule>
    <cfRule type="cellIs" dxfId="422" priority="16" operator="equal">
      <formula>"Neutral"</formula>
    </cfRule>
    <cfRule type="cellIs" dxfId="421" priority="17" operator="equal">
      <formula>"Baggins"</formula>
    </cfRule>
    <cfRule type="cellIs" dxfId="420" priority="18" operator="equal">
      <formula>"Lore"</formula>
    </cfRule>
    <cfRule type="cellIs" dxfId="419" priority="19" operator="equal">
      <formula>"Spirit"</formula>
    </cfRule>
    <cfRule type="cellIs" dxfId="418" priority="20" operator="equal">
      <formula>"Tactics"</formula>
    </cfRule>
    <cfRule type="cellIs" dxfId="417" priority="21" operator="equal">
      <formula>"Leadership"</formula>
    </cfRule>
  </conditionalFormatting>
  <conditionalFormatting sqref="Y2:Z2">
    <cfRule type="cellIs" dxfId="416" priority="8" operator="equal">
      <formula>"Fellowship"</formula>
    </cfRule>
    <cfRule type="cellIs" dxfId="415" priority="9" operator="equal">
      <formula>"Neutral"</formula>
    </cfRule>
    <cfRule type="cellIs" dxfId="414" priority="10" operator="equal">
      <formula>"Baggins"</formula>
    </cfRule>
    <cfRule type="cellIs" dxfId="413" priority="11" operator="equal">
      <formula>"Lore"</formula>
    </cfRule>
    <cfRule type="cellIs" dxfId="412" priority="12" operator="equal">
      <formula>"Spirit"</formula>
    </cfRule>
    <cfRule type="cellIs" dxfId="411" priority="13" operator="equal">
      <formula>"Tactics"</formula>
    </cfRule>
    <cfRule type="cellIs" dxfId="410" priority="14" operator="equal">
      <formula>"Leadership"</formula>
    </cfRule>
  </conditionalFormatting>
  <conditionalFormatting sqref="AA2">
    <cfRule type="cellIs" dxfId="409" priority="1" operator="equal">
      <formula>"Fellowship"</formula>
    </cfRule>
    <cfRule type="cellIs" dxfId="408" priority="2" operator="equal">
      <formula>"Neutral"</formula>
    </cfRule>
    <cfRule type="cellIs" dxfId="407" priority="3" operator="equal">
      <formula>"Baggins"</formula>
    </cfRule>
    <cfRule type="cellIs" dxfId="406" priority="4" operator="equal">
      <formula>"Lore"</formula>
    </cfRule>
    <cfRule type="cellIs" dxfId="405" priority="5" operator="equal">
      <formula>"Spirit"</formula>
    </cfRule>
    <cfRule type="cellIs" dxfId="404" priority="6" operator="equal">
      <formula>"Tactics"</formula>
    </cfRule>
    <cfRule type="cellIs" dxfId="403" priority="7" operator="equal">
      <formula>"Leadership"</formula>
    </cfRule>
  </conditionalFormatting>
  <pageMargins left="0.7" right="0.7" top="0.75" bottom="0.75" header="0.3" footer="0.3"/>
  <pageSetup paperSize="9" orientation="portrait" horizontalDpi="4294967293" verticalDpi="1200" r:id="rId1"/>
  <legacyDrawing r:id="rId2"/>
</worksheet>
</file>

<file path=xl/worksheets/sheet2.xml><?xml version="1.0" encoding="utf-8"?>
<worksheet xmlns="http://schemas.openxmlformats.org/spreadsheetml/2006/main" xmlns:r="http://schemas.openxmlformats.org/officeDocument/2006/relationships">
  <sheetPr codeName="Sheet1"/>
  <dimension ref="A1:BU1029"/>
  <sheetViews>
    <sheetView zoomScale="85" zoomScaleNormal="85" workbookViewId="0">
      <pane xSplit="7" ySplit="1" topLeftCell="H821" activePane="bottomRight" state="frozen"/>
      <selection activeCell="E1" sqref="E1"/>
      <selection pane="topRight" activeCell="F1" sqref="F1"/>
      <selection pane="bottomLeft" activeCell="E2" sqref="E2"/>
      <selection pane="bottomRight" activeCell="C826" sqref="C826"/>
    </sheetView>
  </sheetViews>
  <sheetFormatPr baseColWidth="10" defaultColWidth="9.140625" defaultRowHeight="12" outlineLevelCol="1"/>
  <cols>
    <col min="1" max="1" width="38" style="36" customWidth="1" outlineLevel="1"/>
    <col min="2" max="2" width="42.8554687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6.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7" customFormat="1" ht="99.75" customHeight="1">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15" customHeight="1">
      <c r="A2" s="39" t="s">
        <v>4037</v>
      </c>
      <c r="B2" s="39" t="s">
        <v>4348</v>
      </c>
      <c r="C2" s="39" t="s">
        <v>57</v>
      </c>
      <c r="D2" s="40">
        <v>1</v>
      </c>
      <c r="E2" s="39">
        <v>1</v>
      </c>
      <c r="F2" s="39"/>
      <c r="G2" s="39" t="s">
        <v>4038</v>
      </c>
      <c r="H2" s="41" t="s">
        <v>4081</v>
      </c>
      <c r="I2" s="36" t="s">
        <v>4077</v>
      </c>
      <c r="J2" s="36" t="s">
        <v>4057</v>
      </c>
      <c r="K2" s="36" t="s">
        <v>4052</v>
      </c>
      <c r="O2" s="76">
        <v>3</v>
      </c>
      <c r="P2" s="77">
        <v>3</v>
      </c>
      <c r="Q2" s="78">
        <v>4</v>
      </c>
      <c r="R2" s="79">
        <v>2</v>
      </c>
      <c r="T2" s="81">
        <v>9</v>
      </c>
      <c r="U2" s="76">
        <v>5</v>
      </c>
      <c r="AB2" s="55"/>
      <c r="AD2" s="36" t="s">
        <v>4082</v>
      </c>
      <c r="AF2" s="36" t="s">
        <v>4093</v>
      </c>
      <c r="AI2" s="41" t="s">
        <v>4038</v>
      </c>
      <c r="AJ2" s="41" t="s">
        <v>4081</v>
      </c>
      <c r="AK2" s="36" t="s">
        <v>4077</v>
      </c>
      <c r="AL2" s="36" t="s">
        <v>4057</v>
      </c>
      <c r="AM2" s="36" t="s">
        <v>4052</v>
      </c>
      <c r="AO2" s="37"/>
      <c r="BE2" s="37"/>
      <c r="BF2" s="36"/>
    </row>
    <row r="3" spans="1:62" ht="15" customHeight="1">
      <c r="A3" s="36" t="s">
        <v>4037</v>
      </c>
      <c r="B3" s="36" t="s">
        <v>4349</v>
      </c>
      <c r="C3" s="36" t="s">
        <v>57</v>
      </c>
      <c r="D3" s="37">
        <v>2</v>
      </c>
      <c r="E3" s="36">
        <v>1</v>
      </c>
      <c r="G3" s="36" t="s">
        <v>4094</v>
      </c>
      <c r="H3" s="36" t="s">
        <v>4095</v>
      </c>
      <c r="I3" s="36" t="s">
        <v>4077</v>
      </c>
      <c r="J3" s="36" t="s">
        <v>4057</v>
      </c>
      <c r="K3" s="36" t="s">
        <v>4053</v>
      </c>
      <c r="O3" s="76">
        <v>3</v>
      </c>
      <c r="P3" s="77">
        <v>5</v>
      </c>
      <c r="Q3" s="78">
        <v>2</v>
      </c>
      <c r="R3" s="79">
        <v>2</v>
      </c>
      <c r="T3" s="81">
        <v>5</v>
      </c>
      <c r="U3" s="76">
        <v>9</v>
      </c>
      <c r="AB3" s="55"/>
      <c r="AD3" s="36" t="s">
        <v>4096</v>
      </c>
      <c r="AF3" s="36" t="s">
        <v>4097</v>
      </c>
      <c r="AI3" s="36" t="s">
        <v>4094</v>
      </c>
      <c r="AJ3" s="36" t="s">
        <v>4095</v>
      </c>
      <c r="AK3" s="36" t="s">
        <v>4077</v>
      </c>
      <c r="AL3" s="36" t="s">
        <v>4057</v>
      </c>
      <c r="AM3" s="36" t="s">
        <v>4053</v>
      </c>
      <c r="AO3" s="37"/>
      <c r="BE3" s="37"/>
      <c r="BF3" s="36"/>
    </row>
    <row r="4" spans="1:62" ht="15" customHeight="1">
      <c r="A4" s="36" t="s">
        <v>4037</v>
      </c>
      <c r="B4" s="36" t="s">
        <v>4350</v>
      </c>
      <c r="C4" s="36" t="s">
        <v>57</v>
      </c>
      <c r="D4" s="37">
        <v>3</v>
      </c>
      <c r="E4" s="36">
        <v>1</v>
      </c>
      <c r="G4" s="36" t="s">
        <v>4098</v>
      </c>
      <c r="H4" s="36" t="s">
        <v>4099</v>
      </c>
      <c r="I4" s="36" t="s">
        <v>4077</v>
      </c>
      <c r="J4" s="36" t="s">
        <v>4057</v>
      </c>
      <c r="K4" s="36" t="s">
        <v>4055</v>
      </c>
      <c r="O4" s="76">
        <v>2</v>
      </c>
      <c r="P4" s="77">
        <v>3</v>
      </c>
      <c r="Q4" s="78">
        <v>3</v>
      </c>
      <c r="R4" s="79">
        <v>4</v>
      </c>
      <c r="T4" s="81">
        <v>8</v>
      </c>
      <c r="U4" s="76">
        <v>6</v>
      </c>
      <c r="AB4" s="55"/>
      <c r="AD4" s="36" t="s">
        <v>4100</v>
      </c>
      <c r="AF4" s="36" t="s">
        <v>4101</v>
      </c>
      <c r="AI4" s="36" t="s">
        <v>4098</v>
      </c>
      <c r="AJ4" s="36" t="s">
        <v>4099</v>
      </c>
      <c r="AK4" s="36" t="s">
        <v>4077</v>
      </c>
      <c r="AL4" s="36" t="s">
        <v>4057</v>
      </c>
      <c r="AM4" s="36" t="s">
        <v>4055</v>
      </c>
      <c r="AO4" s="37"/>
      <c r="BE4" s="37"/>
      <c r="BF4" s="36"/>
    </row>
    <row r="5" spans="1:62" ht="15" customHeight="1">
      <c r="A5" s="36" t="s">
        <v>4037</v>
      </c>
      <c r="B5" s="36" t="s">
        <v>4351</v>
      </c>
      <c r="C5" s="36" t="s">
        <v>57</v>
      </c>
      <c r="D5" s="37">
        <v>4</v>
      </c>
      <c r="E5" s="36">
        <v>1</v>
      </c>
      <c r="G5" s="36" t="s">
        <v>4102</v>
      </c>
      <c r="H5" s="36" t="s">
        <v>4103</v>
      </c>
      <c r="I5" s="36" t="s">
        <v>4077</v>
      </c>
      <c r="J5" s="36" t="s">
        <v>4057</v>
      </c>
      <c r="K5" s="36" t="s">
        <v>4054</v>
      </c>
      <c r="O5" s="76">
        <v>5</v>
      </c>
      <c r="P5" s="77">
        <v>2</v>
      </c>
      <c r="Q5" s="78">
        <v>2</v>
      </c>
      <c r="R5" s="79">
        <v>3</v>
      </c>
      <c r="T5" s="81">
        <v>6</v>
      </c>
      <c r="U5" s="76">
        <v>8</v>
      </c>
      <c r="AB5" s="55"/>
      <c r="AD5" s="36" t="s">
        <v>4104</v>
      </c>
      <c r="AF5" s="36" t="s">
        <v>4105</v>
      </c>
      <c r="AI5" s="36" t="s">
        <v>4102</v>
      </c>
      <c r="AJ5" s="36" t="s">
        <v>4103</v>
      </c>
      <c r="AK5" s="36" t="s">
        <v>4077</v>
      </c>
      <c r="AL5" s="36" t="s">
        <v>4057</v>
      </c>
      <c r="AM5" s="36" t="s">
        <v>4054</v>
      </c>
      <c r="AO5" s="37"/>
      <c r="BE5" s="37"/>
      <c r="BF5" s="36"/>
    </row>
    <row r="6" spans="1:62" ht="15" customHeight="1">
      <c r="A6" s="36" t="s">
        <v>4037</v>
      </c>
      <c r="B6" s="36" t="s">
        <v>4352</v>
      </c>
      <c r="C6" s="36" t="s">
        <v>57</v>
      </c>
      <c r="D6" s="36">
        <v>5</v>
      </c>
      <c r="E6" s="36">
        <v>1</v>
      </c>
      <c r="G6" s="36" t="s">
        <v>4106</v>
      </c>
      <c r="H6" s="36" t="s">
        <v>4107</v>
      </c>
      <c r="I6" s="36" t="s">
        <v>4077</v>
      </c>
      <c r="J6" s="36" t="s">
        <v>4057</v>
      </c>
      <c r="K6" s="36" t="s">
        <v>4056</v>
      </c>
      <c r="N6" s="86"/>
      <c r="O6" s="76">
        <v>4</v>
      </c>
      <c r="P6" s="77">
        <v>3</v>
      </c>
      <c r="Q6" s="78">
        <v>1</v>
      </c>
      <c r="R6" s="79">
        <v>4</v>
      </c>
      <c r="T6" s="81">
        <v>7</v>
      </c>
      <c r="U6" s="76">
        <v>7</v>
      </c>
      <c r="AB6" s="55"/>
      <c r="AD6" s="36" t="s">
        <v>4108</v>
      </c>
      <c r="AE6" s="36"/>
      <c r="AF6" s="36" t="s">
        <v>4109</v>
      </c>
      <c r="AI6" s="36" t="s">
        <v>4106</v>
      </c>
      <c r="AJ6" s="36" t="s">
        <v>4107</v>
      </c>
      <c r="AK6" s="36" t="s">
        <v>4077</v>
      </c>
      <c r="AL6" s="36" t="s">
        <v>4057</v>
      </c>
      <c r="AM6" s="36" t="s">
        <v>4056</v>
      </c>
      <c r="AO6" s="37"/>
      <c r="AP6" s="86"/>
      <c r="BE6" s="37"/>
      <c r="BF6" s="36"/>
    </row>
    <row r="7" spans="1:62" ht="15" customHeight="1">
      <c r="A7" s="36" t="s">
        <v>4037</v>
      </c>
      <c r="B7" s="36" t="s">
        <v>4353</v>
      </c>
      <c r="C7" s="36" t="s">
        <v>57</v>
      </c>
      <c r="D7" s="36">
        <v>6</v>
      </c>
      <c r="E7" s="36">
        <v>1</v>
      </c>
      <c r="G7" s="36" t="s">
        <v>4110</v>
      </c>
      <c r="I7" s="36" t="s">
        <v>4077</v>
      </c>
      <c r="J7" s="36" t="s">
        <v>4111</v>
      </c>
      <c r="K7" s="36" t="s">
        <v>26</v>
      </c>
      <c r="N7" s="86">
        <v>3</v>
      </c>
      <c r="Q7" s="78">
        <v>1</v>
      </c>
      <c r="R7" s="79">
        <v>1</v>
      </c>
      <c r="S7" s="126">
        <v>1</v>
      </c>
      <c r="AB7" s="65" t="s">
        <v>4932</v>
      </c>
      <c r="AC7" s="36" t="s">
        <v>4112</v>
      </c>
      <c r="AD7" s="36" t="s">
        <v>4113</v>
      </c>
      <c r="AE7" s="36"/>
      <c r="AF7" s="36" t="s">
        <v>4114</v>
      </c>
      <c r="AO7" s="37"/>
      <c r="AP7" s="86"/>
      <c r="BE7" s="37"/>
      <c r="BF7" s="36"/>
    </row>
    <row r="8" spans="1:62" ht="15" customHeight="1">
      <c r="A8" s="36" t="s">
        <v>4037</v>
      </c>
      <c r="B8" s="36" t="s">
        <v>4354</v>
      </c>
      <c r="C8" s="36" t="s">
        <v>57</v>
      </c>
      <c r="D8" s="36">
        <v>7</v>
      </c>
      <c r="E8" s="36">
        <v>1</v>
      </c>
      <c r="G8" s="36" t="s">
        <v>4115</v>
      </c>
      <c r="J8" s="36" t="s">
        <v>28</v>
      </c>
      <c r="K8" s="36" t="s">
        <v>26</v>
      </c>
      <c r="M8" s="36" t="s">
        <v>4502</v>
      </c>
      <c r="N8" s="86"/>
      <c r="AB8" s="55"/>
      <c r="AD8" s="36" t="s">
        <v>4116</v>
      </c>
      <c r="AE8" s="36"/>
      <c r="AF8" s="36" t="s">
        <v>4117</v>
      </c>
      <c r="AO8" s="37"/>
      <c r="AP8" s="86"/>
      <c r="BE8" s="37"/>
      <c r="BF8" s="36"/>
    </row>
    <row r="9" spans="1:62" ht="15" customHeight="1">
      <c r="A9" s="36" t="s">
        <v>4037</v>
      </c>
      <c r="B9" s="36" t="s">
        <v>4355</v>
      </c>
      <c r="C9" s="36" t="s">
        <v>57</v>
      </c>
      <c r="D9" s="36">
        <v>8</v>
      </c>
      <c r="E9" s="36">
        <v>1</v>
      </c>
      <c r="G9" s="36" t="s">
        <v>4118</v>
      </c>
      <c r="I9" s="36" t="s">
        <v>4077</v>
      </c>
      <c r="J9" s="36" t="s">
        <v>4111</v>
      </c>
      <c r="K9" s="36" t="s">
        <v>26</v>
      </c>
      <c r="N9" s="86">
        <v>2</v>
      </c>
      <c r="O9" s="76">
        <v>1</v>
      </c>
      <c r="P9" s="77">
        <v>1</v>
      </c>
      <c r="S9" s="126">
        <v>1</v>
      </c>
      <c r="AB9" s="65" t="s">
        <v>4933</v>
      </c>
      <c r="AD9" s="36" t="s">
        <v>4119</v>
      </c>
      <c r="AE9" s="36"/>
      <c r="AF9" s="36" t="s">
        <v>4120</v>
      </c>
      <c r="AO9" s="37"/>
      <c r="AP9" s="86"/>
      <c r="BE9" s="37"/>
      <c r="BF9" s="36"/>
    </row>
    <row r="10" spans="1:62" ht="15" customHeight="1">
      <c r="A10" s="36" t="s">
        <v>4037</v>
      </c>
      <c r="B10" s="36" t="s">
        <v>4356</v>
      </c>
      <c r="C10" s="36" t="s">
        <v>57</v>
      </c>
      <c r="D10" s="36">
        <v>9</v>
      </c>
      <c r="E10" s="36">
        <v>1</v>
      </c>
      <c r="G10" s="36" t="s">
        <v>4121</v>
      </c>
      <c r="H10" s="36" t="s">
        <v>4122</v>
      </c>
      <c r="J10" s="36" t="s">
        <v>4111</v>
      </c>
      <c r="K10" s="36" t="s">
        <v>26</v>
      </c>
      <c r="M10" s="36" t="s">
        <v>4502</v>
      </c>
      <c r="N10" s="87" t="s">
        <v>38</v>
      </c>
      <c r="AB10" s="55"/>
      <c r="AC10" s="36" t="s">
        <v>4112</v>
      </c>
      <c r="AD10" s="36" t="s">
        <v>4123</v>
      </c>
      <c r="AE10" s="36"/>
      <c r="AF10" s="36" t="s">
        <v>4124</v>
      </c>
      <c r="AO10" s="37"/>
      <c r="AP10" s="86"/>
      <c r="BE10" s="37"/>
      <c r="BF10" s="36"/>
    </row>
    <row r="11" spans="1:62" ht="15" customHeight="1">
      <c r="A11" s="36" t="s">
        <v>4037</v>
      </c>
      <c r="B11" s="36" t="s">
        <v>4503</v>
      </c>
      <c r="C11" s="36" t="s">
        <v>57</v>
      </c>
      <c r="D11" s="36">
        <v>10</v>
      </c>
      <c r="E11" s="36">
        <v>1</v>
      </c>
      <c r="G11" s="36" t="s">
        <v>4499</v>
      </c>
      <c r="J11" s="36" t="s">
        <v>27</v>
      </c>
      <c r="K11" s="36" t="s">
        <v>26</v>
      </c>
      <c r="N11" s="86">
        <v>1</v>
      </c>
      <c r="S11" s="126">
        <v>2</v>
      </c>
      <c r="AB11" s="65" t="s">
        <v>4934</v>
      </c>
      <c r="AD11" s="36" t="s">
        <v>4161</v>
      </c>
      <c r="AE11" s="36" t="s">
        <v>4500</v>
      </c>
      <c r="AF11" s="36" t="s">
        <v>4501</v>
      </c>
      <c r="AO11" s="37"/>
      <c r="AP11" s="86"/>
      <c r="BE11" s="37"/>
      <c r="BF11" s="36"/>
    </row>
    <row r="12" spans="1:62" ht="15" customHeight="1">
      <c r="A12" s="36" t="s">
        <v>4037</v>
      </c>
      <c r="B12" s="36" t="s">
        <v>4357</v>
      </c>
      <c r="C12" s="36" t="s">
        <v>57</v>
      </c>
      <c r="D12" s="36">
        <v>11</v>
      </c>
      <c r="E12" s="36">
        <v>1</v>
      </c>
      <c r="G12" s="36" t="s">
        <v>4125</v>
      </c>
      <c r="J12" s="36" t="s">
        <v>28</v>
      </c>
      <c r="K12" s="36" t="s">
        <v>26</v>
      </c>
      <c r="M12" s="36" t="s">
        <v>4502</v>
      </c>
      <c r="N12" s="86"/>
      <c r="AB12" s="55"/>
      <c r="AD12" s="36" t="s">
        <v>4116</v>
      </c>
      <c r="AE12" s="36"/>
      <c r="AF12" s="36" t="s">
        <v>4126</v>
      </c>
      <c r="AO12" s="37"/>
      <c r="AP12" s="86"/>
      <c r="BE12" s="37"/>
      <c r="BF12" s="36"/>
    </row>
    <row r="13" spans="1:62" ht="15" customHeight="1">
      <c r="A13" s="36" t="s">
        <v>4037</v>
      </c>
      <c r="B13" s="36" t="s">
        <v>4358</v>
      </c>
      <c r="C13" s="36" t="s">
        <v>57</v>
      </c>
      <c r="D13" s="36">
        <v>12</v>
      </c>
      <c r="E13" s="36">
        <v>1</v>
      </c>
      <c r="G13" s="36" t="s">
        <v>4127</v>
      </c>
      <c r="H13" s="36" t="s">
        <v>4128</v>
      </c>
      <c r="I13" s="36" t="s">
        <v>4077</v>
      </c>
      <c r="J13" s="36" t="s">
        <v>4111</v>
      </c>
      <c r="K13" s="36" t="s">
        <v>26</v>
      </c>
      <c r="N13" s="86">
        <v>3</v>
      </c>
      <c r="O13" s="76">
        <v>1</v>
      </c>
      <c r="Q13" s="78">
        <v>1</v>
      </c>
      <c r="S13" s="126">
        <v>1</v>
      </c>
      <c r="AB13" s="65" t="s">
        <v>4935</v>
      </c>
      <c r="AC13" s="36" t="s">
        <v>4129</v>
      </c>
      <c r="AD13" s="36" t="s">
        <v>4130</v>
      </c>
      <c r="AE13" s="36"/>
      <c r="AF13" s="36" t="s">
        <v>4131</v>
      </c>
      <c r="AO13" s="37"/>
      <c r="AP13" s="86"/>
      <c r="BE13" s="37"/>
      <c r="BF13" s="36"/>
    </row>
    <row r="14" spans="1:62" ht="15" customHeight="1">
      <c r="A14" s="36" t="s">
        <v>4037</v>
      </c>
      <c r="B14" s="36" t="s">
        <v>4359</v>
      </c>
      <c r="C14" s="36" t="s">
        <v>57</v>
      </c>
      <c r="D14" s="36">
        <v>13</v>
      </c>
      <c r="E14" s="36">
        <v>1</v>
      </c>
      <c r="G14" s="36" t="s">
        <v>4132</v>
      </c>
      <c r="J14" s="36" t="s">
        <v>27</v>
      </c>
      <c r="K14" s="36" t="s">
        <v>26</v>
      </c>
      <c r="M14" s="36" t="s">
        <v>4502</v>
      </c>
      <c r="N14" s="86">
        <v>2</v>
      </c>
      <c r="AB14" s="55"/>
      <c r="AD14" s="36" t="s">
        <v>4133</v>
      </c>
      <c r="AE14" s="36"/>
      <c r="AF14" s="36" t="s">
        <v>4134</v>
      </c>
      <c r="AO14" s="37"/>
      <c r="AP14" s="86"/>
      <c r="BE14" s="37"/>
      <c r="BF14" s="36"/>
    </row>
    <row r="15" spans="1:62" ht="15" customHeight="1">
      <c r="A15" s="36" t="s">
        <v>4037</v>
      </c>
      <c r="B15" s="36" t="s">
        <v>4360</v>
      </c>
      <c r="C15" s="36" t="s">
        <v>57</v>
      </c>
      <c r="D15" s="36">
        <v>14</v>
      </c>
      <c r="E15" s="36">
        <v>1</v>
      </c>
      <c r="G15" s="36" t="s">
        <v>4135</v>
      </c>
      <c r="I15" s="36" t="s">
        <v>4077</v>
      </c>
      <c r="J15" s="36" t="s">
        <v>4111</v>
      </c>
      <c r="K15" s="36" t="s">
        <v>26</v>
      </c>
      <c r="N15" s="86">
        <v>2</v>
      </c>
      <c r="S15" s="126">
        <v>2</v>
      </c>
      <c r="AB15" s="65" t="s">
        <v>4936</v>
      </c>
      <c r="AC15" s="36" t="s">
        <v>4129</v>
      </c>
      <c r="AD15" s="36" t="s">
        <v>4130</v>
      </c>
      <c r="AE15" s="36"/>
      <c r="AF15" s="36" t="s">
        <v>4136</v>
      </c>
      <c r="AO15" s="37"/>
      <c r="AP15" s="86"/>
      <c r="BE15" s="37"/>
      <c r="BF15" s="36"/>
    </row>
    <row r="16" spans="1:62" ht="15" customHeight="1">
      <c r="A16" s="36" t="s">
        <v>4037</v>
      </c>
      <c r="B16" s="36" t="s">
        <v>4361</v>
      </c>
      <c r="C16" s="36" t="s">
        <v>57</v>
      </c>
      <c r="D16" s="36">
        <v>15</v>
      </c>
      <c r="E16" s="36">
        <v>1</v>
      </c>
      <c r="G16" s="36" t="s">
        <v>4137</v>
      </c>
      <c r="J16" s="36" t="s">
        <v>28</v>
      </c>
      <c r="K16" s="36" t="s">
        <v>26</v>
      </c>
      <c r="M16" s="36" t="s">
        <v>4502</v>
      </c>
      <c r="N16" s="86"/>
      <c r="AB16" s="55"/>
      <c r="AD16" s="36" t="s">
        <v>4138</v>
      </c>
      <c r="AE16" s="36"/>
      <c r="AF16" s="36" t="s">
        <v>4139</v>
      </c>
      <c r="AO16" s="37"/>
      <c r="AP16" s="86"/>
      <c r="BE16" s="37"/>
      <c r="BF16" s="36"/>
    </row>
    <row r="17" spans="1:58" ht="15" customHeight="1">
      <c r="A17" s="36" t="s">
        <v>4037</v>
      </c>
      <c r="B17" s="36" t="s">
        <v>4362</v>
      </c>
      <c r="C17" s="36" t="s">
        <v>57</v>
      </c>
      <c r="D17" s="36">
        <v>16</v>
      </c>
      <c r="E17" s="36">
        <v>1</v>
      </c>
      <c r="G17" s="36" t="s">
        <v>4140</v>
      </c>
      <c r="J17" s="36" t="s">
        <v>4111</v>
      </c>
      <c r="K17" s="36" t="s">
        <v>4052</v>
      </c>
      <c r="N17" s="86">
        <v>4</v>
      </c>
      <c r="R17" s="79">
        <v>1</v>
      </c>
      <c r="AB17" s="65" t="s">
        <v>4061</v>
      </c>
      <c r="AC17" s="36" t="s">
        <v>4112</v>
      </c>
      <c r="AD17" s="36" t="s">
        <v>4113</v>
      </c>
      <c r="AE17" s="36"/>
      <c r="AF17" s="36" t="s">
        <v>4141</v>
      </c>
      <c r="AO17" s="37"/>
      <c r="AP17" s="86"/>
      <c r="BE17" s="37"/>
      <c r="BF17" s="36"/>
    </row>
    <row r="18" spans="1:58" ht="15" customHeight="1">
      <c r="A18" s="36" t="s">
        <v>4037</v>
      </c>
      <c r="B18" s="36" t="s">
        <v>4363</v>
      </c>
      <c r="C18" s="36" t="s">
        <v>57</v>
      </c>
      <c r="D18" s="36">
        <v>17</v>
      </c>
      <c r="E18" s="36">
        <v>1</v>
      </c>
      <c r="G18" s="36" t="s">
        <v>4142</v>
      </c>
      <c r="J18" s="36" t="s">
        <v>4111</v>
      </c>
      <c r="K18" s="36" t="s">
        <v>4052</v>
      </c>
      <c r="N18" s="86">
        <v>2</v>
      </c>
      <c r="O18" s="76">
        <v>1</v>
      </c>
      <c r="Q18" s="78">
        <v>1</v>
      </c>
      <c r="AB18" s="65" t="s">
        <v>4937</v>
      </c>
      <c r="AD18" s="36" t="s">
        <v>4143</v>
      </c>
      <c r="AE18" s="36"/>
      <c r="AF18" s="36" t="s">
        <v>4144</v>
      </c>
      <c r="AO18" s="37"/>
      <c r="AP18" s="86"/>
      <c r="BE18" s="37"/>
      <c r="BF18" s="36"/>
    </row>
    <row r="19" spans="1:58" ht="15" customHeight="1">
      <c r="A19" s="36" t="s">
        <v>4037</v>
      </c>
      <c r="B19" s="36" t="s">
        <v>4364</v>
      </c>
      <c r="C19" s="36" t="s">
        <v>57</v>
      </c>
      <c r="D19" s="36">
        <v>18</v>
      </c>
      <c r="E19" s="36">
        <v>1</v>
      </c>
      <c r="G19" s="36" t="s">
        <v>4145</v>
      </c>
      <c r="J19" s="36" t="s">
        <v>4111</v>
      </c>
      <c r="K19" s="36" t="s">
        <v>4052</v>
      </c>
      <c r="N19" s="86">
        <v>4</v>
      </c>
      <c r="Q19" s="78">
        <v>1</v>
      </c>
      <c r="T19" s="81">
        <v>2</v>
      </c>
      <c r="U19" s="76">
        <v>2</v>
      </c>
      <c r="AB19" s="65" t="s">
        <v>4060</v>
      </c>
      <c r="AC19" s="36" t="s">
        <v>25</v>
      </c>
      <c r="AD19" s="36" t="s">
        <v>4146</v>
      </c>
      <c r="AE19" s="36"/>
      <c r="AF19" s="36" t="s">
        <v>4147</v>
      </c>
      <c r="AO19" s="37"/>
      <c r="AP19" s="86"/>
      <c r="BE19" s="37"/>
      <c r="BF19" s="36"/>
    </row>
    <row r="20" spans="1:58" ht="15" customHeight="1">
      <c r="A20" s="36" t="s">
        <v>4037</v>
      </c>
      <c r="B20" s="36" t="s">
        <v>4365</v>
      </c>
      <c r="C20" s="36" t="s">
        <v>57</v>
      </c>
      <c r="D20" s="36">
        <v>19</v>
      </c>
      <c r="E20" s="36">
        <v>1</v>
      </c>
      <c r="G20" s="36" t="s">
        <v>4148</v>
      </c>
      <c r="J20" s="36" t="s">
        <v>4111</v>
      </c>
      <c r="K20" s="36" t="s">
        <v>4052</v>
      </c>
      <c r="N20" s="86">
        <v>2</v>
      </c>
      <c r="O20" s="76">
        <v>1</v>
      </c>
      <c r="AB20" s="65" t="s">
        <v>4058</v>
      </c>
      <c r="AD20" s="36" t="s">
        <v>4149</v>
      </c>
      <c r="AE20" s="36"/>
      <c r="AF20" s="36" t="s">
        <v>4150</v>
      </c>
      <c r="AO20" s="37"/>
      <c r="AP20" s="86"/>
      <c r="BE20" s="37"/>
      <c r="BF20" s="36"/>
    </row>
    <row r="21" spans="1:58" ht="15" customHeight="1">
      <c r="A21" s="36" t="s">
        <v>4037</v>
      </c>
      <c r="B21" s="36" t="s">
        <v>4366</v>
      </c>
      <c r="C21" s="36" t="s">
        <v>57</v>
      </c>
      <c r="D21" s="36">
        <v>20</v>
      </c>
      <c r="E21" s="36">
        <v>1</v>
      </c>
      <c r="G21" s="36" t="s">
        <v>4151</v>
      </c>
      <c r="J21" s="36" t="s">
        <v>4111</v>
      </c>
      <c r="K21" s="36" t="s">
        <v>4052</v>
      </c>
      <c r="N21" s="86">
        <v>3</v>
      </c>
      <c r="Q21" s="78">
        <v>1</v>
      </c>
      <c r="AB21" s="65" t="s">
        <v>4060</v>
      </c>
      <c r="AC21" s="36" t="s">
        <v>4112</v>
      </c>
      <c r="AD21" s="36" t="s">
        <v>4152</v>
      </c>
      <c r="AE21" s="36"/>
      <c r="AF21" s="36" t="s">
        <v>4153</v>
      </c>
      <c r="AO21" s="37"/>
      <c r="AP21" s="86"/>
      <c r="BE21" s="37"/>
      <c r="BF21" s="36"/>
    </row>
    <row r="22" spans="1:58" ht="15" customHeight="1">
      <c r="A22" s="36" t="s">
        <v>4037</v>
      </c>
      <c r="B22" s="36" t="s">
        <v>4367</v>
      </c>
      <c r="C22" s="36" t="s">
        <v>57</v>
      </c>
      <c r="D22" s="36">
        <v>21</v>
      </c>
      <c r="E22" s="36">
        <v>1</v>
      </c>
      <c r="G22" s="36" t="s">
        <v>4154</v>
      </c>
      <c r="J22" s="36" t="s">
        <v>4111</v>
      </c>
      <c r="K22" s="36" t="s">
        <v>4052</v>
      </c>
      <c r="N22" s="86">
        <v>3</v>
      </c>
      <c r="Q22" s="78">
        <v>1</v>
      </c>
      <c r="T22" s="81">
        <v>3</v>
      </c>
      <c r="U22" s="76">
        <v>1</v>
      </c>
      <c r="AB22" s="65" t="s">
        <v>4060</v>
      </c>
      <c r="AC22" s="36" t="s">
        <v>25</v>
      </c>
      <c r="AD22" s="36" t="s">
        <v>4155</v>
      </c>
      <c r="AE22" s="36"/>
      <c r="AF22" s="36" t="s">
        <v>4156</v>
      </c>
      <c r="AO22" s="37"/>
      <c r="AP22" s="86"/>
      <c r="BE22" s="37"/>
      <c r="BF22" s="36"/>
    </row>
    <row r="23" spans="1:58" ht="15" customHeight="1">
      <c r="A23" s="36" t="s">
        <v>4037</v>
      </c>
      <c r="B23" s="36" t="s">
        <v>4368</v>
      </c>
      <c r="C23" s="36" t="s">
        <v>57</v>
      </c>
      <c r="D23" s="36">
        <v>22</v>
      </c>
      <c r="E23" s="36">
        <v>1</v>
      </c>
      <c r="G23" s="36" t="s">
        <v>4157</v>
      </c>
      <c r="J23" s="36" t="s">
        <v>27</v>
      </c>
      <c r="K23" s="36" t="s">
        <v>4052</v>
      </c>
      <c r="N23" s="86">
        <v>1</v>
      </c>
      <c r="P23" s="77">
        <v>2</v>
      </c>
      <c r="AB23" s="65" t="s">
        <v>4938</v>
      </c>
      <c r="AD23" s="36" t="s">
        <v>4158</v>
      </c>
      <c r="AE23" s="36"/>
      <c r="AF23" s="36" t="s">
        <v>4159</v>
      </c>
      <c r="AO23" s="37"/>
      <c r="AP23" s="86"/>
      <c r="BE23" s="37"/>
      <c r="BF23" s="36"/>
    </row>
    <row r="24" spans="1:58" ht="15" customHeight="1">
      <c r="A24" s="36" t="s">
        <v>4037</v>
      </c>
      <c r="B24" s="36" t="s">
        <v>4369</v>
      </c>
      <c r="C24" s="36" t="s">
        <v>57</v>
      </c>
      <c r="D24" s="36">
        <v>23</v>
      </c>
      <c r="E24" s="36">
        <v>1</v>
      </c>
      <c r="G24" s="36" t="s">
        <v>4160</v>
      </c>
      <c r="J24" s="36" t="s">
        <v>27</v>
      </c>
      <c r="K24" s="36" t="s">
        <v>4052</v>
      </c>
      <c r="N24" s="86">
        <v>1</v>
      </c>
      <c r="O24" s="76">
        <v>1</v>
      </c>
      <c r="R24" s="79">
        <v>1</v>
      </c>
      <c r="AB24" s="65" t="s">
        <v>4939</v>
      </c>
      <c r="AD24" s="36" t="s">
        <v>4161</v>
      </c>
      <c r="AE24" s="36"/>
      <c r="AF24" s="36" t="s">
        <v>4162</v>
      </c>
      <c r="AO24" s="37"/>
      <c r="AP24" s="86"/>
      <c r="BE24" s="37"/>
      <c r="BF24" s="36"/>
    </row>
    <row r="25" spans="1:58" ht="15" customHeight="1">
      <c r="A25" s="36" t="s">
        <v>4037</v>
      </c>
      <c r="B25" s="36" t="s">
        <v>4370</v>
      </c>
      <c r="C25" s="36" t="s">
        <v>57</v>
      </c>
      <c r="D25" s="36">
        <v>24</v>
      </c>
      <c r="E25" s="36">
        <v>1</v>
      </c>
      <c r="G25" s="36" t="s">
        <v>4163</v>
      </c>
      <c r="J25" s="36" t="s">
        <v>27</v>
      </c>
      <c r="K25" s="36" t="s">
        <v>4052</v>
      </c>
      <c r="N25" s="86">
        <v>5</v>
      </c>
      <c r="O25" s="76">
        <v>1</v>
      </c>
      <c r="AB25" s="65" t="s">
        <v>4058</v>
      </c>
      <c r="AD25" s="36" t="s">
        <v>4161</v>
      </c>
      <c r="AE25" s="36"/>
      <c r="AF25" s="36" t="s">
        <v>4164</v>
      </c>
      <c r="AO25" s="37"/>
      <c r="AP25" s="86"/>
      <c r="BE25" s="37"/>
      <c r="BF25" s="36"/>
    </row>
    <row r="26" spans="1:58" ht="15" customHeight="1">
      <c r="A26" s="36" t="s">
        <v>4037</v>
      </c>
      <c r="B26" s="36" t="s">
        <v>4371</v>
      </c>
      <c r="C26" s="36" t="s">
        <v>57</v>
      </c>
      <c r="D26" s="36">
        <v>25</v>
      </c>
      <c r="E26" s="36">
        <v>1</v>
      </c>
      <c r="G26" s="36" t="s">
        <v>4165</v>
      </c>
      <c r="J26" s="36" t="s">
        <v>4166</v>
      </c>
      <c r="K26" s="36" t="s">
        <v>4052</v>
      </c>
      <c r="N26" s="86"/>
      <c r="Q26" s="78">
        <v>1</v>
      </c>
      <c r="AB26" s="65" t="s">
        <v>4060</v>
      </c>
      <c r="AD26" s="36" t="s">
        <v>4167</v>
      </c>
      <c r="AE26" s="36"/>
      <c r="AF26" s="36" t="s">
        <v>4168</v>
      </c>
      <c r="AO26" s="37"/>
      <c r="AP26" s="86"/>
      <c r="BE26" s="37"/>
      <c r="BF26" s="36"/>
    </row>
    <row r="27" spans="1:58" ht="15" customHeight="1">
      <c r="A27" s="36" t="s">
        <v>4037</v>
      </c>
      <c r="B27" s="36" t="s">
        <v>4372</v>
      </c>
      <c r="C27" s="36" t="s">
        <v>57</v>
      </c>
      <c r="D27" s="36">
        <v>26</v>
      </c>
      <c r="E27" s="36">
        <v>1</v>
      </c>
      <c r="G27" s="36" t="s">
        <v>4169</v>
      </c>
      <c r="J27" s="36" t="s">
        <v>27</v>
      </c>
      <c r="K27" s="36" t="s">
        <v>4052</v>
      </c>
      <c r="L27" s="36">
        <v>1</v>
      </c>
      <c r="N27" s="86">
        <v>2</v>
      </c>
      <c r="P27" s="77">
        <v>1</v>
      </c>
      <c r="AB27" s="65" t="s">
        <v>4059</v>
      </c>
      <c r="AD27" s="36" t="s">
        <v>4170</v>
      </c>
      <c r="AE27" s="36"/>
      <c r="AF27" s="36" t="s">
        <v>4171</v>
      </c>
      <c r="AO27" s="37"/>
      <c r="AP27" s="86"/>
      <c r="BE27" s="37"/>
      <c r="BF27" s="36"/>
    </row>
    <row r="28" spans="1:58" ht="15" customHeight="1">
      <c r="A28" s="36" t="s">
        <v>4037</v>
      </c>
      <c r="B28" s="36" t="s">
        <v>4373</v>
      </c>
      <c r="C28" s="36" t="s">
        <v>57</v>
      </c>
      <c r="D28" s="36">
        <v>27</v>
      </c>
      <c r="E28" s="36">
        <v>1</v>
      </c>
      <c r="G28" s="36" t="s">
        <v>4172</v>
      </c>
      <c r="J28" s="36" t="s">
        <v>4111</v>
      </c>
      <c r="K28" s="36" t="s">
        <v>4052</v>
      </c>
      <c r="L28" s="36">
        <v>2</v>
      </c>
      <c r="N28" s="86">
        <v>3</v>
      </c>
      <c r="O28" s="76">
        <v>1</v>
      </c>
      <c r="S28" s="126">
        <v>1</v>
      </c>
      <c r="AB28" s="65" t="s">
        <v>4940</v>
      </c>
      <c r="AC28" s="36" t="s">
        <v>4129</v>
      </c>
      <c r="AD28" s="36" t="s">
        <v>4119</v>
      </c>
      <c r="AE28" s="36"/>
      <c r="AF28" s="36" t="s">
        <v>4173</v>
      </c>
      <c r="AO28" s="37"/>
      <c r="AP28" s="86"/>
      <c r="BE28" s="37"/>
      <c r="BF28" s="36"/>
    </row>
    <row r="29" spans="1:58" ht="15" customHeight="1">
      <c r="A29" s="36" t="s">
        <v>4037</v>
      </c>
      <c r="B29" s="36" t="s">
        <v>4374</v>
      </c>
      <c r="C29" s="36" t="s">
        <v>57</v>
      </c>
      <c r="D29" s="36">
        <v>28</v>
      </c>
      <c r="E29" s="36">
        <v>1</v>
      </c>
      <c r="G29" s="36" t="s">
        <v>4145</v>
      </c>
      <c r="J29" s="36" t="s">
        <v>4111</v>
      </c>
      <c r="K29" s="36" t="s">
        <v>4052</v>
      </c>
      <c r="L29" s="36">
        <v>2</v>
      </c>
      <c r="N29" s="86">
        <v>4</v>
      </c>
      <c r="Q29" s="78">
        <v>1</v>
      </c>
      <c r="R29" s="79">
        <v>1</v>
      </c>
      <c r="T29" s="81">
        <v>3</v>
      </c>
      <c r="U29" s="76">
        <v>2</v>
      </c>
      <c r="AB29" s="65" t="s">
        <v>4941</v>
      </c>
      <c r="AC29" s="36" t="s">
        <v>25</v>
      </c>
      <c r="AD29" s="36" t="s">
        <v>4146</v>
      </c>
      <c r="AE29" s="36"/>
      <c r="AF29" s="36" t="s">
        <v>4174</v>
      </c>
      <c r="AO29" s="37"/>
      <c r="AP29" s="86"/>
      <c r="BE29" s="37"/>
      <c r="BF29" s="36"/>
    </row>
    <row r="30" spans="1:58" ht="15" customHeight="1">
      <c r="A30" s="36" t="s">
        <v>4037</v>
      </c>
      <c r="B30" s="36" t="s">
        <v>4375</v>
      </c>
      <c r="C30" s="36" t="s">
        <v>57</v>
      </c>
      <c r="D30" s="36">
        <v>29</v>
      </c>
      <c r="E30" s="36">
        <v>1</v>
      </c>
      <c r="G30" s="36" t="s">
        <v>4175</v>
      </c>
      <c r="J30" s="36" t="s">
        <v>4111</v>
      </c>
      <c r="K30" s="36" t="s">
        <v>4052</v>
      </c>
      <c r="L30" s="36">
        <v>4</v>
      </c>
      <c r="N30" s="86">
        <v>5</v>
      </c>
      <c r="Q30" s="78">
        <v>2</v>
      </c>
      <c r="AB30" s="65" t="s">
        <v>4942</v>
      </c>
      <c r="AC30" s="36" t="s">
        <v>4176</v>
      </c>
      <c r="AD30" s="36" t="s">
        <v>4113</v>
      </c>
      <c r="AE30" s="36"/>
      <c r="AF30" s="36" t="s">
        <v>4177</v>
      </c>
      <c r="AO30" s="37"/>
      <c r="AP30" s="86"/>
      <c r="BE30" s="37"/>
      <c r="BF30" s="36"/>
    </row>
    <row r="31" spans="1:58" ht="15" customHeight="1">
      <c r="A31" s="36" t="s">
        <v>4037</v>
      </c>
      <c r="B31" s="36" t="s">
        <v>4376</v>
      </c>
      <c r="C31" s="36" t="s">
        <v>57</v>
      </c>
      <c r="D31" s="36">
        <v>30</v>
      </c>
      <c r="E31" s="36">
        <v>1</v>
      </c>
      <c r="G31" s="36" t="s">
        <v>4178</v>
      </c>
      <c r="J31" s="36" t="s">
        <v>4111</v>
      </c>
      <c r="K31" s="36" t="s">
        <v>4053</v>
      </c>
      <c r="N31" s="86">
        <v>1</v>
      </c>
      <c r="P31" s="77">
        <v>1</v>
      </c>
      <c r="AB31" s="65" t="s">
        <v>4059</v>
      </c>
      <c r="AC31" s="36" t="s">
        <v>4112</v>
      </c>
      <c r="AD31" s="36" t="s">
        <v>4179</v>
      </c>
      <c r="AE31" s="36"/>
      <c r="AF31" s="36" t="s">
        <v>4180</v>
      </c>
      <c r="AO31" s="37"/>
      <c r="AP31" s="86"/>
      <c r="BE31" s="37"/>
      <c r="BF31" s="36"/>
    </row>
    <row r="32" spans="1:58" ht="15" customHeight="1">
      <c r="A32" s="36" t="s">
        <v>4037</v>
      </c>
      <c r="B32" s="36" t="s">
        <v>4377</v>
      </c>
      <c r="C32" s="36" t="s">
        <v>57</v>
      </c>
      <c r="D32" s="36">
        <v>31</v>
      </c>
      <c r="E32" s="36">
        <v>1</v>
      </c>
      <c r="G32" s="36" t="s">
        <v>4181</v>
      </c>
      <c r="J32" s="36" t="s">
        <v>4111</v>
      </c>
      <c r="K32" s="36" t="s">
        <v>4053</v>
      </c>
      <c r="N32" s="86">
        <v>3</v>
      </c>
      <c r="O32" s="76">
        <v>1</v>
      </c>
      <c r="AB32" s="65" t="s">
        <v>4058</v>
      </c>
      <c r="AC32" s="36" t="s">
        <v>4112</v>
      </c>
      <c r="AD32" s="36" t="s">
        <v>4123</v>
      </c>
      <c r="AE32" s="36"/>
      <c r="AF32" s="36" t="s">
        <v>4182</v>
      </c>
      <c r="AO32" s="37"/>
      <c r="AP32" s="86"/>
      <c r="BE32" s="37"/>
      <c r="BF32" s="36"/>
    </row>
    <row r="33" spans="1:58" ht="15" customHeight="1">
      <c r="A33" s="36" t="s">
        <v>4037</v>
      </c>
      <c r="B33" s="36" t="s">
        <v>4378</v>
      </c>
      <c r="C33" s="36" t="s">
        <v>57</v>
      </c>
      <c r="D33" s="36">
        <v>32</v>
      </c>
      <c r="E33" s="36">
        <v>1</v>
      </c>
      <c r="G33" s="36" t="s">
        <v>4183</v>
      </c>
      <c r="J33" s="36" t="s">
        <v>4111</v>
      </c>
      <c r="K33" s="36" t="s">
        <v>4053</v>
      </c>
      <c r="N33" s="86">
        <v>2</v>
      </c>
      <c r="R33" s="79">
        <v>1</v>
      </c>
      <c r="T33" s="81">
        <v>1</v>
      </c>
      <c r="U33" s="76">
        <v>1</v>
      </c>
      <c r="AB33" s="65" t="s">
        <v>4061</v>
      </c>
      <c r="AC33" s="36" t="s">
        <v>25</v>
      </c>
      <c r="AD33" s="36" t="s">
        <v>4184</v>
      </c>
      <c r="AE33" s="36"/>
      <c r="AF33" s="36" t="s">
        <v>4185</v>
      </c>
      <c r="AO33" s="37"/>
      <c r="AP33" s="86"/>
      <c r="BE33" s="37"/>
      <c r="BF33" s="36"/>
    </row>
    <row r="34" spans="1:58" ht="15" customHeight="1">
      <c r="A34" s="36" t="s">
        <v>4037</v>
      </c>
      <c r="B34" s="36" t="s">
        <v>4379</v>
      </c>
      <c r="C34" s="36" t="s">
        <v>57</v>
      </c>
      <c r="D34" s="36">
        <v>33</v>
      </c>
      <c r="E34" s="36">
        <v>1</v>
      </c>
      <c r="G34" s="36" t="s">
        <v>4186</v>
      </c>
      <c r="H34" s="36" t="s">
        <v>4187</v>
      </c>
      <c r="I34" s="36" t="s">
        <v>4077</v>
      </c>
      <c r="J34" s="36" t="s">
        <v>4111</v>
      </c>
      <c r="K34" s="36" t="s">
        <v>4053</v>
      </c>
      <c r="N34" s="86">
        <v>4</v>
      </c>
      <c r="P34" s="77">
        <v>1</v>
      </c>
      <c r="T34" s="81">
        <v>1</v>
      </c>
      <c r="U34" s="76">
        <v>2</v>
      </c>
      <c r="AB34" s="65" t="s">
        <v>4059</v>
      </c>
      <c r="AC34" s="36" t="s">
        <v>25</v>
      </c>
      <c r="AD34" s="36" t="s">
        <v>4184</v>
      </c>
      <c r="AE34" s="36"/>
      <c r="AF34" s="36" t="s">
        <v>4188</v>
      </c>
      <c r="AO34" s="37"/>
      <c r="AP34" s="86"/>
      <c r="BE34" s="37"/>
      <c r="BF34" s="36"/>
    </row>
    <row r="35" spans="1:58" ht="15" customHeight="1">
      <c r="A35" s="36" t="s">
        <v>4037</v>
      </c>
      <c r="B35" s="36" t="s">
        <v>4380</v>
      </c>
      <c r="C35" s="36" t="s">
        <v>57</v>
      </c>
      <c r="D35" s="36">
        <v>34</v>
      </c>
      <c r="E35" s="36">
        <v>1</v>
      </c>
      <c r="G35" s="36" t="s">
        <v>4189</v>
      </c>
      <c r="J35" s="36" t="s">
        <v>4111</v>
      </c>
      <c r="K35" s="36" t="s">
        <v>4053</v>
      </c>
      <c r="N35" s="86">
        <v>2</v>
      </c>
      <c r="P35" s="77">
        <v>1</v>
      </c>
      <c r="R35" s="79">
        <v>1</v>
      </c>
      <c r="AB35" s="65" t="s">
        <v>4943</v>
      </c>
      <c r="AD35" s="36" t="s">
        <v>4143</v>
      </c>
      <c r="AE35" s="36"/>
      <c r="AF35" s="36" t="s">
        <v>4190</v>
      </c>
      <c r="AO35" s="37"/>
      <c r="AP35" s="86"/>
      <c r="BE35" s="37"/>
      <c r="BF35" s="36"/>
    </row>
    <row r="36" spans="1:58" ht="15" customHeight="1">
      <c r="A36" s="36" t="s">
        <v>4037</v>
      </c>
      <c r="B36" s="36" t="s">
        <v>4381</v>
      </c>
      <c r="C36" s="36" t="s">
        <v>57</v>
      </c>
      <c r="D36" s="36">
        <v>35</v>
      </c>
      <c r="E36" s="36">
        <v>1</v>
      </c>
      <c r="G36" s="36" t="s">
        <v>4191</v>
      </c>
      <c r="J36" s="36" t="s">
        <v>4111</v>
      </c>
      <c r="K36" s="36" t="s">
        <v>4053</v>
      </c>
      <c r="N36" s="86">
        <v>2</v>
      </c>
      <c r="Q36" s="78">
        <v>1</v>
      </c>
      <c r="AB36" s="65" t="s">
        <v>4060</v>
      </c>
      <c r="AC36" s="36" t="s">
        <v>4112</v>
      </c>
      <c r="AD36" s="36" t="s">
        <v>4123</v>
      </c>
      <c r="AE36" s="36"/>
      <c r="AF36" s="36" t="s">
        <v>4192</v>
      </c>
      <c r="AO36" s="37"/>
      <c r="AP36" s="86"/>
      <c r="BE36" s="37"/>
      <c r="BF36" s="36"/>
    </row>
    <row r="37" spans="1:58" ht="15" customHeight="1">
      <c r="A37" s="36" t="s">
        <v>4037</v>
      </c>
      <c r="B37" s="43" t="s">
        <v>4382</v>
      </c>
      <c r="C37" s="36" t="s">
        <v>57</v>
      </c>
      <c r="D37" s="36">
        <v>36</v>
      </c>
      <c r="E37" s="36">
        <v>1</v>
      </c>
      <c r="G37" s="36" t="s">
        <v>4193</v>
      </c>
      <c r="J37" s="36" t="s">
        <v>27</v>
      </c>
      <c r="K37" s="36" t="s">
        <v>4053</v>
      </c>
      <c r="N37" s="86">
        <v>1</v>
      </c>
      <c r="Q37" s="78">
        <v>1</v>
      </c>
      <c r="R37" s="79">
        <v>1</v>
      </c>
      <c r="AB37" s="65" t="s">
        <v>4941</v>
      </c>
      <c r="AD37" s="36" t="s">
        <v>4194</v>
      </c>
      <c r="AE37" s="36"/>
      <c r="AF37" s="36" t="s">
        <v>4195</v>
      </c>
      <c r="AO37" s="37"/>
      <c r="AP37" s="86"/>
      <c r="BE37" s="37"/>
      <c r="BF37" s="36"/>
    </row>
    <row r="38" spans="1:58" ht="15" customHeight="1">
      <c r="A38" s="36" t="s">
        <v>4037</v>
      </c>
      <c r="B38" s="36" t="s">
        <v>4383</v>
      </c>
      <c r="C38" s="36" t="s">
        <v>57</v>
      </c>
      <c r="D38" s="36">
        <v>37</v>
      </c>
      <c r="E38" s="36">
        <v>1</v>
      </c>
      <c r="G38" s="36" t="s">
        <v>4196</v>
      </c>
      <c r="J38" s="36" t="s">
        <v>27</v>
      </c>
      <c r="K38" s="36" t="s">
        <v>4053</v>
      </c>
      <c r="N38" s="86">
        <v>2</v>
      </c>
      <c r="O38" s="88"/>
      <c r="P38" s="89"/>
      <c r="Q38" s="90"/>
      <c r="U38" s="88"/>
      <c r="V38" s="91"/>
      <c r="W38" s="92"/>
      <c r="X38" s="93"/>
      <c r="AA38" s="94"/>
      <c r="AB38" s="65" t="s">
        <v>4938</v>
      </c>
      <c r="AD38" s="36" t="s">
        <v>4194</v>
      </c>
      <c r="AE38" s="36" t="s">
        <v>4511</v>
      </c>
      <c r="AF38" s="36" t="s">
        <v>4776</v>
      </c>
      <c r="AO38" s="37"/>
      <c r="AP38" s="86"/>
      <c r="AQ38" s="88"/>
      <c r="AR38" s="89"/>
      <c r="AS38" s="90"/>
      <c r="AV38" s="88"/>
      <c r="AW38" s="96"/>
      <c r="AX38" s="97"/>
      <c r="AY38" s="93"/>
      <c r="BB38" s="94"/>
      <c r="BE38" s="37"/>
      <c r="BF38" s="36"/>
    </row>
    <row r="39" spans="1:58" ht="15" customHeight="1">
      <c r="A39" s="36" t="s">
        <v>4037</v>
      </c>
      <c r="B39" s="36" t="s">
        <v>4384</v>
      </c>
      <c r="C39" s="36" t="s">
        <v>57</v>
      </c>
      <c r="D39" s="36">
        <v>38</v>
      </c>
      <c r="E39" s="36">
        <v>1</v>
      </c>
      <c r="G39" s="36" t="s">
        <v>4197</v>
      </c>
      <c r="J39" s="36" t="s">
        <v>27</v>
      </c>
      <c r="K39" s="36" t="s">
        <v>4053</v>
      </c>
      <c r="N39" s="86">
        <v>0</v>
      </c>
      <c r="O39" s="88">
        <v>1</v>
      </c>
      <c r="P39" s="89">
        <v>1</v>
      </c>
      <c r="Q39" s="90"/>
      <c r="R39" s="79">
        <v>1</v>
      </c>
      <c r="U39" s="88"/>
      <c r="V39" s="91"/>
      <c r="W39" s="92"/>
      <c r="X39" s="93"/>
      <c r="AA39" s="94"/>
      <c r="AB39" s="65" t="s">
        <v>4944</v>
      </c>
      <c r="AD39" s="36" t="s">
        <v>4198</v>
      </c>
      <c r="AE39" s="36"/>
      <c r="AF39" s="36" t="s">
        <v>4199</v>
      </c>
      <c r="AO39" s="37"/>
      <c r="AP39" s="86"/>
      <c r="AQ39" s="88"/>
      <c r="AR39" s="89"/>
      <c r="AS39" s="90"/>
      <c r="AV39" s="88"/>
      <c r="AW39" s="96"/>
      <c r="AX39" s="97"/>
      <c r="AY39" s="93"/>
      <c r="BB39" s="94"/>
      <c r="BE39" s="37"/>
      <c r="BF39" s="36"/>
    </row>
    <row r="40" spans="1:58" ht="15" customHeight="1">
      <c r="A40" s="36" t="s">
        <v>4037</v>
      </c>
      <c r="B40" s="36" t="s">
        <v>4385</v>
      </c>
      <c r="C40" s="36" t="s">
        <v>57</v>
      </c>
      <c r="D40" s="36">
        <v>39</v>
      </c>
      <c r="E40" s="36">
        <v>1</v>
      </c>
      <c r="G40" s="36" t="s">
        <v>4200</v>
      </c>
      <c r="J40" s="36" t="s">
        <v>4166</v>
      </c>
      <c r="K40" s="36" t="s">
        <v>4053</v>
      </c>
      <c r="N40" s="86"/>
      <c r="O40" s="88"/>
      <c r="P40" s="89">
        <v>1</v>
      </c>
      <c r="Q40" s="90"/>
      <c r="U40" s="88"/>
      <c r="V40" s="91"/>
      <c r="W40" s="92"/>
      <c r="X40" s="93"/>
      <c r="AA40" s="94"/>
      <c r="AB40" s="65" t="s">
        <v>4059</v>
      </c>
      <c r="AD40" s="36" t="s">
        <v>4167</v>
      </c>
      <c r="AE40" s="36"/>
      <c r="AF40" s="36" t="s">
        <v>4201</v>
      </c>
      <c r="AO40" s="37"/>
      <c r="AP40" s="86"/>
      <c r="AQ40" s="88"/>
      <c r="AR40" s="89"/>
      <c r="AS40" s="90"/>
      <c r="AV40" s="88"/>
      <c r="AW40" s="96"/>
      <c r="AX40" s="97"/>
      <c r="AY40" s="93"/>
      <c r="BB40" s="94"/>
      <c r="BE40" s="37"/>
      <c r="BF40" s="36"/>
    </row>
    <row r="41" spans="1:58" ht="15" customHeight="1">
      <c r="A41" s="36" t="s">
        <v>4037</v>
      </c>
      <c r="B41" s="36" t="s">
        <v>4386</v>
      </c>
      <c r="C41" s="36" t="s">
        <v>57</v>
      </c>
      <c r="D41" s="36">
        <v>40</v>
      </c>
      <c r="E41" s="36">
        <v>1</v>
      </c>
      <c r="G41" s="36" t="s">
        <v>4178</v>
      </c>
      <c r="J41" s="36" t="s">
        <v>4111</v>
      </c>
      <c r="K41" s="36" t="s">
        <v>4053</v>
      </c>
      <c r="L41" s="36">
        <v>1</v>
      </c>
      <c r="N41" s="86">
        <v>0</v>
      </c>
      <c r="O41" s="88"/>
      <c r="P41" s="89">
        <v>1</v>
      </c>
      <c r="Q41" s="90"/>
      <c r="U41" s="88"/>
      <c r="V41" s="91"/>
      <c r="W41" s="92"/>
      <c r="X41" s="93"/>
      <c r="AA41" s="94"/>
      <c r="AB41" s="65" t="s">
        <v>4059</v>
      </c>
      <c r="AC41" s="36" t="s">
        <v>4112</v>
      </c>
      <c r="AD41" s="36" t="s">
        <v>4179</v>
      </c>
      <c r="AE41" s="36"/>
      <c r="AF41" s="36" t="s">
        <v>4202</v>
      </c>
      <c r="AO41" s="37"/>
      <c r="AP41" s="86"/>
      <c r="AQ41" s="88"/>
      <c r="AR41" s="89"/>
      <c r="AS41" s="90"/>
      <c r="AV41" s="88"/>
      <c r="AW41" s="96"/>
      <c r="AX41" s="97"/>
      <c r="AY41" s="93"/>
      <c r="BB41" s="94"/>
      <c r="BE41" s="37"/>
      <c r="BF41" s="36"/>
    </row>
    <row r="42" spans="1:58" ht="15" customHeight="1">
      <c r="A42" s="36" t="s">
        <v>4037</v>
      </c>
      <c r="B42" s="36" t="s">
        <v>4504</v>
      </c>
      <c r="C42" s="36" t="s">
        <v>57</v>
      </c>
      <c r="D42" s="36">
        <v>41</v>
      </c>
      <c r="E42" s="36">
        <v>1</v>
      </c>
      <c r="G42" s="36" t="s">
        <v>4505</v>
      </c>
      <c r="H42" s="36" t="s">
        <v>4506</v>
      </c>
      <c r="I42" s="36" t="s">
        <v>4077</v>
      </c>
      <c r="J42" s="36" t="s">
        <v>4111</v>
      </c>
      <c r="K42" s="36" t="s">
        <v>4053</v>
      </c>
      <c r="L42" s="36">
        <v>2</v>
      </c>
      <c r="N42" s="86">
        <v>3</v>
      </c>
      <c r="O42" s="88">
        <v>1</v>
      </c>
      <c r="P42" s="89">
        <v>1</v>
      </c>
      <c r="Q42" s="90">
        <v>1</v>
      </c>
      <c r="S42" s="126">
        <v>1</v>
      </c>
      <c r="U42" s="88"/>
      <c r="V42" s="91"/>
      <c r="W42" s="92"/>
      <c r="X42" s="93"/>
      <c r="AA42" s="94"/>
      <c r="AB42" s="65" t="s">
        <v>4933</v>
      </c>
      <c r="AC42" s="36" t="s">
        <v>4507</v>
      </c>
      <c r="AD42" s="36" t="s">
        <v>4130</v>
      </c>
      <c r="AE42" s="36"/>
      <c r="AF42" s="36" t="s">
        <v>4508</v>
      </c>
      <c r="AO42" s="37"/>
      <c r="AP42" s="86"/>
      <c r="AQ42" s="88"/>
      <c r="AR42" s="89"/>
      <c r="AS42" s="90"/>
      <c r="AV42" s="88"/>
      <c r="AW42" s="96"/>
      <c r="AX42" s="97"/>
      <c r="AY42" s="93"/>
      <c r="BB42" s="94"/>
      <c r="BE42" s="37"/>
      <c r="BF42" s="36"/>
    </row>
    <row r="43" spans="1:58" ht="15" customHeight="1">
      <c r="A43" s="36" t="s">
        <v>4037</v>
      </c>
      <c r="B43" s="36" t="s">
        <v>4387</v>
      </c>
      <c r="C43" s="36" t="s">
        <v>57</v>
      </c>
      <c r="D43" s="36">
        <v>42</v>
      </c>
      <c r="E43" s="36">
        <v>1</v>
      </c>
      <c r="G43" s="36" t="s">
        <v>4203</v>
      </c>
      <c r="J43" s="36" t="s">
        <v>4111</v>
      </c>
      <c r="K43" s="36" t="s">
        <v>4053</v>
      </c>
      <c r="L43" s="36">
        <v>2</v>
      </c>
      <c r="N43" s="86">
        <v>2</v>
      </c>
      <c r="O43" s="88"/>
      <c r="P43" s="89"/>
      <c r="Q43" s="90"/>
      <c r="S43" s="126">
        <v>1</v>
      </c>
      <c r="U43" s="88"/>
      <c r="V43" s="91"/>
      <c r="W43" s="92"/>
      <c r="X43" s="93"/>
      <c r="AA43" s="94"/>
      <c r="AB43" s="65" t="s">
        <v>4062</v>
      </c>
      <c r="AC43" s="36" t="s">
        <v>4112</v>
      </c>
      <c r="AD43" s="36" t="s">
        <v>4123</v>
      </c>
      <c r="AE43" s="36"/>
      <c r="AF43" s="36" t="s">
        <v>4204</v>
      </c>
      <c r="AO43" s="37"/>
      <c r="AP43" s="86"/>
      <c r="AQ43" s="88"/>
      <c r="AR43" s="89"/>
      <c r="AS43" s="90"/>
      <c r="AV43" s="88"/>
      <c r="AW43" s="96"/>
      <c r="AX43" s="97"/>
      <c r="AY43" s="93"/>
      <c r="BB43" s="94"/>
      <c r="BE43" s="37"/>
      <c r="BF43" s="36"/>
    </row>
    <row r="44" spans="1:58" ht="15" customHeight="1">
      <c r="A44" s="36" t="s">
        <v>4037</v>
      </c>
      <c r="B44" s="36" t="s">
        <v>4509</v>
      </c>
      <c r="C44" s="36" t="s">
        <v>57</v>
      </c>
      <c r="D44" s="36">
        <v>43</v>
      </c>
      <c r="E44" s="36">
        <v>1</v>
      </c>
      <c r="G44" s="36" t="s">
        <v>4510</v>
      </c>
      <c r="J44" s="36" t="s">
        <v>27</v>
      </c>
      <c r="K44" s="36" t="s">
        <v>4053</v>
      </c>
      <c r="L44" s="36">
        <v>4</v>
      </c>
      <c r="N44" s="86">
        <v>0</v>
      </c>
      <c r="O44" s="88"/>
      <c r="P44" s="89"/>
      <c r="Q44" s="90"/>
      <c r="U44" s="88"/>
      <c r="V44" s="91"/>
      <c r="W44" s="92"/>
      <c r="X44" s="93"/>
      <c r="AA44" s="94"/>
      <c r="AB44" s="55"/>
      <c r="AD44" s="36" t="s">
        <v>4194</v>
      </c>
      <c r="AE44" s="36" t="s">
        <v>4511</v>
      </c>
      <c r="AF44" s="36" t="s">
        <v>4512</v>
      </c>
      <c r="AO44" s="37"/>
      <c r="AP44" s="86"/>
      <c r="AQ44" s="88"/>
      <c r="AR44" s="89"/>
      <c r="AS44" s="90"/>
      <c r="AV44" s="88"/>
      <c r="AW44" s="96"/>
      <c r="AX44" s="97"/>
      <c r="AY44" s="93"/>
      <c r="BB44" s="94"/>
      <c r="BE44" s="37"/>
      <c r="BF44" s="36"/>
    </row>
    <row r="45" spans="1:58" ht="15" customHeight="1">
      <c r="A45" s="36" t="s">
        <v>4037</v>
      </c>
      <c r="B45" s="36" t="s">
        <v>4388</v>
      </c>
      <c r="C45" s="36" t="s">
        <v>57</v>
      </c>
      <c r="D45" s="36">
        <v>44</v>
      </c>
      <c r="E45" s="36">
        <v>1</v>
      </c>
      <c r="G45" s="36" t="s">
        <v>4205</v>
      </c>
      <c r="J45" s="36" t="s">
        <v>4111</v>
      </c>
      <c r="K45" s="36" t="s">
        <v>4055</v>
      </c>
      <c r="N45" s="86">
        <v>1</v>
      </c>
      <c r="O45" s="88"/>
      <c r="P45" s="89"/>
      <c r="Q45" s="90"/>
      <c r="R45" s="79">
        <v>1</v>
      </c>
      <c r="U45" s="88"/>
      <c r="V45" s="91"/>
      <c r="W45" s="92"/>
      <c r="X45" s="93"/>
      <c r="AA45" s="94"/>
      <c r="AB45" s="65" t="s">
        <v>4061</v>
      </c>
      <c r="AC45" s="36" t="s">
        <v>4112</v>
      </c>
      <c r="AD45" s="36" t="s">
        <v>4206</v>
      </c>
      <c r="AE45" s="36"/>
      <c r="AF45" s="36" t="s">
        <v>4207</v>
      </c>
      <c r="AO45" s="37"/>
      <c r="AP45" s="86"/>
      <c r="AQ45" s="88"/>
      <c r="AR45" s="89"/>
      <c r="AS45" s="90"/>
      <c r="AV45" s="88"/>
      <c r="AW45" s="96"/>
      <c r="AX45" s="97"/>
      <c r="AY45" s="93"/>
      <c r="BB45" s="94"/>
      <c r="BE45" s="37"/>
      <c r="BF45" s="36"/>
    </row>
    <row r="46" spans="1:58" ht="15" customHeight="1">
      <c r="A46" s="36" t="s">
        <v>4037</v>
      </c>
      <c r="B46" s="36" t="s">
        <v>4389</v>
      </c>
      <c r="C46" s="36" t="s">
        <v>57</v>
      </c>
      <c r="D46" s="36">
        <v>45</v>
      </c>
      <c r="E46" s="36">
        <v>1</v>
      </c>
      <c r="G46" s="36" t="s">
        <v>4208</v>
      </c>
      <c r="J46" s="36" t="s">
        <v>4111</v>
      </c>
      <c r="K46" s="36" t="s">
        <v>4055</v>
      </c>
      <c r="N46" s="86">
        <v>1</v>
      </c>
      <c r="O46" s="88"/>
      <c r="P46" s="89">
        <v>1</v>
      </c>
      <c r="Q46" s="90"/>
      <c r="U46" s="88"/>
      <c r="V46" s="91"/>
      <c r="W46" s="92"/>
      <c r="X46" s="93"/>
      <c r="AA46" s="94"/>
      <c r="AB46" s="65" t="s">
        <v>4059</v>
      </c>
      <c r="AD46" s="36" t="s">
        <v>4209</v>
      </c>
      <c r="AE46" s="36"/>
      <c r="AF46" s="36" t="s">
        <v>4210</v>
      </c>
      <c r="AO46" s="37"/>
      <c r="AP46" s="86"/>
      <c r="AQ46" s="88"/>
      <c r="AR46" s="89"/>
      <c r="AS46" s="90"/>
      <c r="AV46" s="88"/>
      <c r="AW46" s="96"/>
      <c r="AX46" s="97"/>
      <c r="AY46" s="93"/>
      <c r="BB46" s="94"/>
      <c r="BE46" s="37"/>
      <c r="BF46" s="36"/>
    </row>
    <row r="47" spans="1:58" ht="15" customHeight="1">
      <c r="A47" s="36" t="s">
        <v>4037</v>
      </c>
      <c r="B47" s="36" t="s">
        <v>4390</v>
      </c>
      <c r="C47" s="36" t="s">
        <v>57</v>
      </c>
      <c r="D47" s="36">
        <v>46</v>
      </c>
      <c r="E47" s="36">
        <v>1</v>
      </c>
      <c r="G47" s="36" t="s">
        <v>4211</v>
      </c>
      <c r="J47" s="36" t="s">
        <v>4111</v>
      </c>
      <c r="K47" s="36" t="s">
        <v>4055</v>
      </c>
      <c r="N47" s="86">
        <v>2</v>
      </c>
      <c r="O47" s="88"/>
      <c r="P47" s="89"/>
      <c r="Q47" s="90"/>
      <c r="R47" s="79">
        <v>1</v>
      </c>
      <c r="U47" s="88"/>
      <c r="V47" s="91"/>
      <c r="W47" s="92"/>
      <c r="X47" s="93"/>
      <c r="AA47" s="94"/>
      <c r="AB47" s="65" t="s">
        <v>4061</v>
      </c>
      <c r="AD47" s="36" t="s">
        <v>4209</v>
      </c>
      <c r="AE47" s="36"/>
      <c r="AF47" s="36" t="s">
        <v>4212</v>
      </c>
      <c r="AO47" s="37"/>
      <c r="AP47" s="86"/>
      <c r="AQ47" s="88"/>
      <c r="AR47" s="89"/>
      <c r="AS47" s="90"/>
      <c r="AV47" s="88"/>
      <c r="AW47" s="96"/>
      <c r="AX47" s="97"/>
      <c r="AY47" s="93"/>
      <c r="BB47" s="94"/>
      <c r="BE47" s="37"/>
      <c r="BF47" s="36"/>
    </row>
    <row r="48" spans="1:58" ht="15" customHeight="1">
      <c r="A48" s="36" t="s">
        <v>4037</v>
      </c>
      <c r="B48" s="36" t="s">
        <v>4391</v>
      </c>
      <c r="C48" s="36" t="s">
        <v>57</v>
      </c>
      <c r="D48" s="36">
        <v>47</v>
      </c>
      <c r="E48" s="36">
        <v>1</v>
      </c>
      <c r="G48" s="36" t="s">
        <v>4213</v>
      </c>
      <c r="J48" s="36" t="s">
        <v>4111</v>
      </c>
      <c r="K48" s="36" t="s">
        <v>4055</v>
      </c>
      <c r="N48" s="86">
        <v>3</v>
      </c>
      <c r="O48" s="88"/>
      <c r="P48" s="89"/>
      <c r="Q48" s="90"/>
      <c r="U48" s="88"/>
      <c r="V48" s="91"/>
      <c r="W48" s="92"/>
      <c r="X48" s="93"/>
      <c r="AA48" s="94"/>
      <c r="AB48" s="65" t="s">
        <v>4060</v>
      </c>
      <c r="AC48" s="36" t="s">
        <v>4112</v>
      </c>
      <c r="AD48" s="36" t="s">
        <v>4777</v>
      </c>
      <c r="AE48" s="36" t="s">
        <v>4778</v>
      </c>
      <c r="AF48" s="36" t="s">
        <v>4779</v>
      </c>
      <c r="AO48" s="37"/>
      <c r="AP48" s="86"/>
      <c r="AQ48" s="88"/>
      <c r="AR48" s="89"/>
      <c r="AS48" s="90"/>
      <c r="AV48" s="88"/>
      <c r="AW48" s="96"/>
      <c r="AX48" s="97"/>
      <c r="AY48" s="93"/>
      <c r="BB48" s="94"/>
      <c r="BE48" s="37"/>
      <c r="BF48" s="36"/>
    </row>
    <row r="49" spans="1:58" ht="15" customHeight="1">
      <c r="A49" s="36" t="s">
        <v>4037</v>
      </c>
      <c r="B49" s="36" t="s">
        <v>4392</v>
      </c>
      <c r="C49" s="36" t="s">
        <v>57</v>
      </c>
      <c r="D49" s="36">
        <v>48</v>
      </c>
      <c r="E49" s="36">
        <v>1</v>
      </c>
      <c r="G49" s="36" t="s">
        <v>4214</v>
      </c>
      <c r="H49" s="36" t="s">
        <v>4215</v>
      </c>
      <c r="I49" s="36" t="s">
        <v>4077</v>
      </c>
      <c r="J49" s="36" t="s">
        <v>4111</v>
      </c>
      <c r="K49" s="36" t="s">
        <v>4055</v>
      </c>
      <c r="N49" s="86">
        <v>6</v>
      </c>
      <c r="O49" s="88"/>
      <c r="P49" s="89">
        <v>1</v>
      </c>
      <c r="Q49" s="90"/>
      <c r="T49" s="81">
        <v>2</v>
      </c>
      <c r="U49" s="88">
        <v>2</v>
      </c>
      <c r="V49" s="91"/>
      <c r="W49" s="92"/>
      <c r="X49" s="93"/>
      <c r="AA49" s="94"/>
      <c r="AB49" s="65" t="s">
        <v>4059</v>
      </c>
      <c r="AC49" s="36" t="s">
        <v>25</v>
      </c>
      <c r="AD49" s="36" t="s">
        <v>4216</v>
      </c>
      <c r="AE49" s="36"/>
      <c r="AF49" s="36" t="s">
        <v>4217</v>
      </c>
      <c r="AO49" s="37"/>
      <c r="AP49" s="86"/>
      <c r="AQ49" s="88"/>
      <c r="AR49" s="89"/>
      <c r="AS49" s="90"/>
      <c r="AV49" s="88"/>
      <c r="AW49" s="96"/>
      <c r="AX49" s="97"/>
      <c r="AY49" s="93"/>
      <c r="BB49" s="94"/>
      <c r="BE49" s="37"/>
      <c r="BF49" s="36"/>
    </row>
    <row r="50" spans="1:58" ht="15" customHeight="1">
      <c r="A50" s="36" t="s">
        <v>4037</v>
      </c>
      <c r="B50" s="36" t="s">
        <v>4393</v>
      </c>
      <c r="C50" s="36" t="s">
        <v>57</v>
      </c>
      <c r="D50" s="36">
        <v>49</v>
      </c>
      <c r="E50" s="36">
        <v>1</v>
      </c>
      <c r="G50" s="36" t="s">
        <v>4218</v>
      </c>
      <c r="J50" s="36" t="s">
        <v>4111</v>
      </c>
      <c r="K50" s="36" t="s">
        <v>4055</v>
      </c>
      <c r="N50" s="86">
        <v>2</v>
      </c>
      <c r="O50" s="88"/>
      <c r="P50" s="89"/>
      <c r="Q50" s="90">
        <v>1</v>
      </c>
      <c r="R50" s="79">
        <v>1</v>
      </c>
      <c r="U50" s="88"/>
      <c r="V50" s="91"/>
      <c r="W50" s="92"/>
      <c r="X50" s="93"/>
      <c r="AA50" s="94"/>
      <c r="AB50" s="65" t="s">
        <v>4941</v>
      </c>
      <c r="AD50" s="36" t="s">
        <v>4143</v>
      </c>
      <c r="AE50" s="36"/>
      <c r="AF50" s="36" t="s">
        <v>4219</v>
      </c>
      <c r="AO50" s="37"/>
      <c r="AP50" s="86"/>
      <c r="AQ50" s="88"/>
      <c r="AR50" s="89"/>
      <c r="AS50" s="90"/>
      <c r="AV50" s="88"/>
      <c r="AW50" s="96"/>
      <c r="AX50" s="97"/>
      <c r="AY50" s="93"/>
      <c r="BB50" s="94"/>
      <c r="BE50" s="37"/>
      <c r="BF50" s="36"/>
    </row>
    <row r="51" spans="1:58" ht="15" customHeight="1">
      <c r="A51" s="36" t="s">
        <v>4037</v>
      </c>
      <c r="B51" s="36" t="s">
        <v>4394</v>
      </c>
      <c r="C51" s="36" t="s">
        <v>57</v>
      </c>
      <c r="D51" s="36">
        <v>50</v>
      </c>
      <c r="E51" s="36">
        <v>1</v>
      </c>
      <c r="G51" s="36" t="s">
        <v>4220</v>
      </c>
      <c r="J51" s="36" t="s">
        <v>27</v>
      </c>
      <c r="K51" s="36" t="s">
        <v>4055</v>
      </c>
      <c r="N51" s="86">
        <v>2</v>
      </c>
      <c r="O51" s="88"/>
      <c r="P51" s="89"/>
      <c r="Q51" s="90"/>
      <c r="U51" s="88"/>
      <c r="V51" s="91"/>
      <c r="W51" s="92"/>
      <c r="X51" s="93"/>
      <c r="AA51" s="94"/>
      <c r="AB51" s="65" t="s">
        <v>4943</v>
      </c>
      <c r="AD51" s="36" t="s">
        <v>4161</v>
      </c>
      <c r="AE51" s="36" t="s">
        <v>4511</v>
      </c>
      <c r="AF51" s="36" t="s">
        <v>4780</v>
      </c>
      <c r="AO51" s="37"/>
      <c r="AP51" s="86"/>
      <c r="AQ51" s="88"/>
      <c r="AR51" s="89"/>
      <c r="AS51" s="90"/>
      <c r="AV51" s="88"/>
      <c r="AW51" s="96"/>
      <c r="AX51" s="97"/>
      <c r="AY51" s="93"/>
      <c r="BB51" s="94"/>
      <c r="BE51" s="37"/>
      <c r="BF51" s="36"/>
    </row>
    <row r="52" spans="1:58" ht="15" customHeight="1">
      <c r="A52" s="36" t="s">
        <v>4037</v>
      </c>
      <c r="B52" s="36" t="s">
        <v>4395</v>
      </c>
      <c r="C52" s="36" t="s">
        <v>57</v>
      </c>
      <c r="D52" s="36">
        <v>51</v>
      </c>
      <c r="E52" s="36">
        <v>1</v>
      </c>
      <c r="G52" s="36" t="s">
        <v>4221</v>
      </c>
      <c r="J52" s="36" t="s">
        <v>27</v>
      </c>
      <c r="K52" s="36" t="s">
        <v>4055</v>
      </c>
      <c r="N52" s="86">
        <v>3</v>
      </c>
      <c r="O52" s="88"/>
      <c r="P52" s="89"/>
      <c r="Q52" s="90">
        <v>1</v>
      </c>
      <c r="R52" s="79">
        <v>1</v>
      </c>
      <c r="U52" s="88"/>
      <c r="V52" s="91"/>
      <c r="W52" s="92"/>
      <c r="X52" s="93"/>
      <c r="AA52" s="94"/>
      <c r="AB52" s="65" t="s">
        <v>4941</v>
      </c>
      <c r="AD52" s="36" t="s">
        <v>4161</v>
      </c>
      <c r="AE52" s="36"/>
      <c r="AF52" s="36" t="s">
        <v>4222</v>
      </c>
      <c r="AO52" s="37"/>
      <c r="AP52" s="86"/>
      <c r="AQ52" s="88"/>
      <c r="AR52" s="89"/>
      <c r="AS52" s="90"/>
      <c r="AV52" s="88"/>
      <c r="AW52" s="96"/>
      <c r="AX52" s="97"/>
      <c r="AY52" s="93"/>
      <c r="BB52" s="94"/>
      <c r="BE52" s="37"/>
      <c r="BF52" s="36"/>
    </row>
    <row r="53" spans="1:58" ht="15" customHeight="1">
      <c r="A53" s="36" t="s">
        <v>4037</v>
      </c>
      <c r="B53" s="36" t="s">
        <v>4396</v>
      </c>
      <c r="C53" s="36" t="s">
        <v>57</v>
      </c>
      <c r="D53" s="36">
        <v>52</v>
      </c>
      <c r="E53" s="36">
        <v>1</v>
      </c>
      <c r="G53" s="36" t="s">
        <v>4223</v>
      </c>
      <c r="J53" s="36" t="s">
        <v>27</v>
      </c>
      <c r="K53" s="36" t="s">
        <v>4055</v>
      </c>
      <c r="N53" s="86">
        <v>2</v>
      </c>
      <c r="O53" s="88"/>
      <c r="P53" s="89"/>
      <c r="Q53" s="90"/>
      <c r="U53" s="88"/>
      <c r="V53" s="91"/>
      <c r="W53" s="92"/>
      <c r="X53" s="93"/>
      <c r="AA53" s="94"/>
      <c r="AB53" s="65" t="s">
        <v>4945</v>
      </c>
      <c r="AD53" s="36" t="s">
        <v>4161</v>
      </c>
      <c r="AE53" s="36"/>
      <c r="AF53" s="36" t="s">
        <v>4781</v>
      </c>
      <c r="AO53" s="37"/>
      <c r="AP53" s="86"/>
      <c r="AQ53" s="88"/>
      <c r="AR53" s="89"/>
      <c r="AS53" s="90"/>
      <c r="AV53" s="88"/>
      <c r="AW53" s="96"/>
      <c r="AX53" s="97"/>
      <c r="AY53" s="93"/>
      <c r="BB53" s="94"/>
      <c r="BE53" s="37"/>
      <c r="BF53" s="36"/>
    </row>
    <row r="54" spans="1:58" ht="15" customHeight="1">
      <c r="A54" s="36" t="s">
        <v>4037</v>
      </c>
      <c r="B54" s="36" t="s">
        <v>4397</v>
      </c>
      <c r="C54" s="36" t="s">
        <v>57</v>
      </c>
      <c r="D54" s="36">
        <v>53</v>
      </c>
      <c r="E54" s="36">
        <v>1</v>
      </c>
      <c r="G54" s="36" t="s">
        <v>4224</v>
      </c>
      <c r="J54" s="36" t="s">
        <v>4166</v>
      </c>
      <c r="K54" s="36" t="s">
        <v>4055</v>
      </c>
      <c r="N54" s="86"/>
      <c r="O54" s="88"/>
      <c r="P54" s="89"/>
      <c r="Q54" s="90"/>
      <c r="S54" s="126">
        <v>1</v>
      </c>
      <c r="U54" s="88"/>
      <c r="V54" s="91"/>
      <c r="W54" s="92"/>
      <c r="X54" s="93"/>
      <c r="AA54" s="94"/>
      <c r="AB54" s="65" t="s">
        <v>4062</v>
      </c>
      <c r="AD54" s="36" t="s">
        <v>4266</v>
      </c>
      <c r="AE54" s="36" t="s">
        <v>4782</v>
      </c>
      <c r="AF54" s="36" t="s">
        <v>4783</v>
      </c>
      <c r="AO54" s="37"/>
      <c r="AP54" s="86"/>
      <c r="AQ54" s="88"/>
      <c r="AR54" s="89"/>
      <c r="AS54" s="90"/>
      <c r="AV54" s="88"/>
      <c r="AW54" s="96"/>
      <c r="AX54" s="97"/>
      <c r="AY54" s="93"/>
      <c r="BB54" s="94"/>
      <c r="BE54" s="37"/>
      <c r="BF54" s="36"/>
    </row>
    <row r="55" spans="1:58" ht="15" customHeight="1">
      <c r="A55" s="36" t="s">
        <v>4037</v>
      </c>
      <c r="B55" s="36" t="s">
        <v>4398</v>
      </c>
      <c r="C55" s="36" t="s">
        <v>57</v>
      </c>
      <c r="D55" s="36">
        <v>54</v>
      </c>
      <c r="E55" s="36">
        <v>1</v>
      </c>
      <c r="G55" s="36" t="s">
        <v>4214</v>
      </c>
      <c r="H55" s="36" t="s">
        <v>4215</v>
      </c>
      <c r="I55" s="36" t="s">
        <v>4077</v>
      </c>
      <c r="J55" s="36" t="s">
        <v>4111</v>
      </c>
      <c r="K55" s="36" t="s">
        <v>4055</v>
      </c>
      <c r="L55" s="36">
        <v>1</v>
      </c>
      <c r="N55" s="86">
        <v>5</v>
      </c>
      <c r="O55" s="88"/>
      <c r="P55" s="89">
        <v>1</v>
      </c>
      <c r="Q55" s="90"/>
      <c r="T55" s="81">
        <v>2</v>
      </c>
      <c r="U55" s="88">
        <v>2</v>
      </c>
      <c r="V55" s="91"/>
      <c r="W55" s="92"/>
      <c r="X55" s="93"/>
      <c r="AA55" s="94"/>
      <c r="AB55" s="65" t="s">
        <v>4059</v>
      </c>
      <c r="AC55" s="36" t="s">
        <v>25</v>
      </c>
      <c r="AD55" s="36" t="s">
        <v>4216</v>
      </c>
      <c r="AE55" s="36"/>
      <c r="AF55" s="36" t="s">
        <v>4217</v>
      </c>
      <c r="AO55" s="37"/>
      <c r="AP55" s="86"/>
      <c r="AQ55" s="88"/>
      <c r="AR55" s="89"/>
      <c r="AS55" s="90"/>
      <c r="AV55" s="88"/>
      <c r="AW55" s="96"/>
      <c r="AX55" s="97"/>
      <c r="AY55" s="93"/>
      <c r="BB55" s="94"/>
      <c r="BE55" s="37"/>
      <c r="BF55" s="36"/>
    </row>
    <row r="56" spans="1:58" ht="15" customHeight="1">
      <c r="A56" s="36" t="s">
        <v>4037</v>
      </c>
      <c r="B56" s="36" t="s">
        <v>4513</v>
      </c>
      <c r="C56" s="36" t="s">
        <v>57</v>
      </c>
      <c r="D56" s="36">
        <v>55</v>
      </c>
      <c r="E56" s="36">
        <v>1</v>
      </c>
      <c r="G56" s="36" t="s">
        <v>4951</v>
      </c>
      <c r="J56" s="36" t="s">
        <v>4111</v>
      </c>
      <c r="K56" s="36" t="s">
        <v>4055</v>
      </c>
      <c r="L56" s="36">
        <v>1</v>
      </c>
      <c r="N56" s="86">
        <v>4</v>
      </c>
      <c r="O56" s="88">
        <v>1</v>
      </c>
      <c r="P56" s="89"/>
      <c r="Q56" s="90"/>
      <c r="R56" s="79">
        <v>1</v>
      </c>
      <c r="T56" s="81">
        <v>2</v>
      </c>
      <c r="U56" s="88">
        <v>2</v>
      </c>
      <c r="V56" s="91"/>
      <c r="W56" s="92"/>
      <c r="X56" s="93"/>
      <c r="AA56" s="94"/>
      <c r="AB56" s="65" t="s">
        <v>4939</v>
      </c>
      <c r="AC56" s="36" t="s">
        <v>25</v>
      </c>
      <c r="AD56" s="36" t="s">
        <v>4216</v>
      </c>
      <c r="AE56" s="36" t="s">
        <v>4515</v>
      </c>
      <c r="AF56" s="36" t="s">
        <v>4516</v>
      </c>
      <c r="AO56" s="37"/>
      <c r="AP56" s="86"/>
      <c r="AQ56" s="88"/>
      <c r="AR56" s="89"/>
      <c r="AS56" s="90"/>
      <c r="AV56" s="88"/>
      <c r="AW56" s="96"/>
      <c r="AX56" s="97"/>
      <c r="AY56" s="93"/>
      <c r="BB56" s="94"/>
      <c r="BE56" s="37"/>
      <c r="BF56" s="36"/>
    </row>
    <row r="57" spans="1:58" ht="15" customHeight="1">
      <c r="A57" s="36" t="s">
        <v>4037</v>
      </c>
      <c r="B57" s="36" t="s">
        <v>4514</v>
      </c>
      <c r="C57" s="36" t="s">
        <v>57</v>
      </c>
      <c r="D57" s="36">
        <v>56</v>
      </c>
      <c r="E57" s="36">
        <v>1</v>
      </c>
      <c r="G57" s="36" t="s">
        <v>4517</v>
      </c>
      <c r="J57" s="36" t="s">
        <v>27</v>
      </c>
      <c r="K57" s="36" t="s">
        <v>4055</v>
      </c>
      <c r="L57" s="36">
        <v>3</v>
      </c>
      <c r="N57" s="86">
        <v>2</v>
      </c>
      <c r="O57" s="88"/>
      <c r="P57" s="89"/>
      <c r="Q57" s="90"/>
      <c r="U57" s="88"/>
      <c r="V57" s="91"/>
      <c r="W57" s="92"/>
      <c r="X57" s="93"/>
      <c r="AA57" s="94"/>
      <c r="AB57" s="55"/>
      <c r="AD57" s="36" t="s">
        <v>4518</v>
      </c>
      <c r="AE57" s="36"/>
      <c r="AF57" s="36" t="s">
        <v>4519</v>
      </c>
      <c r="AO57" s="37"/>
      <c r="AP57" s="86"/>
      <c r="AQ57" s="88"/>
      <c r="AR57" s="89"/>
      <c r="AS57" s="90"/>
      <c r="AV57" s="88"/>
      <c r="AW57" s="96"/>
      <c r="AX57" s="97"/>
      <c r="AY57" s="93"/>
      <c r="BB57" s="94"/>
      <c r="BE57" s="37"/>
      <c r="BF57" s="36"/>
    </row>
    <row r="58" spans="1:58" ht="15" customHeight="1">
      <c r="A58" s="36" t="s">
        <v>4037</v>
      </c>
      <c r="B58" s="36" t="s">
        <v>4399</v>
      </c>
      <c r="C58" s="36" t="s">
        <v>57</v>
      </c>
      <c r="D58" s="36">
        <v>57</v>
      </c>
      <c r="E58" s="36">
        <v>1</v>
      </c>
      <c r="G58" s="36" t="s">
        <v>4225</v>
      </c>
      <c r="J58" s="36" t="s">
        <v>27</v>
      </c>
      <c r="K58" s="36" t="s">
        <v>4055</v>
      </c>
      <c r="L58" s="36">
        <v>4</v>
      </c>
      <c r="N58" s="86">
        <v>3</v>
      </c>
      <c r="O58" s="88"/>
      <c r="P58" s="89"/>
      <c r="Q58" s="90"/>
      <c r="S58" s="126">
        <v>1</v>
      </c>
      <c r="U58" s="88"/>
      <c r="V58" s="91"/>
      <c r="W58" s="92"/>
      <c r="X58" s="93"/>
      <c r="AA58" s="94"/>
      <c r="AB58" s="65" t="s">
        <v>4062</v>
      </c>
      <c r="AD58" s="36" t="s">
        <v>4226</v>
      </c>
      <c r="AE58" s="36"/>
      <c r="AF58" s="36" t="s">
        <v>4227</v>
      </c>
      <c r="AO58" s="37"/>
      <c r="AP58" s="86"/>
      <c r="AQ58" s="88"/>
      <c r="AR58" s="89"/>
      <c r="AS58" s="90"/>
      <c r="AV58" s="88"/>
      <c r="AW58" s="96"/>
      <c r="AX58" s="97"/>
      <c r="AY58" s="93"/>
      <c r="BB58" s="94"/>
      <c r="BE58" s="37"/>
      <c r="BF58" s="36"/>
    </row>
    <row r="59" spans="1:58" ht="15" customHeight="1">
      <c r="A59" s="36" t="s">
        <v>4037</v>
      </c>
      <c r="B59" s="36" t="s">
        <v>4400</v>
      </c>
      <c r="C59" s="36" t="s">
        <v>57</v>
      </c>
      <c r="D59" s="36">
        <v>58</v>
      </c>
      <c r="E59" s="36">
        <v>1</v>
      </c>
      <c r="G59" s="36" t="s">
        <v>4520</v>
      </c>
      <c r="J59" s="36" t="s">
        <v>4111</v>
      </c>
      <c r="K59" s="36" t="s">
        <v>4054</v>
      </c>
      <c r="N59" s="86">
        <v>0</v>
      </c>
      <c r="O59" s="88"/>
      <c r="P59" s="89">
        <v>1</v>
      </c>
      <c r="Q59" s="90"/>
      <c r="U59" s="88"/>
      <c r="V59" s="91"/>
      <c r="W59" s="92"/>
      <c r="X59" s="93"/>
      <c r="AA59" s="94"/>
      <c r="AB59" s="65" t="s">
        <v>4059</v>
      </c>
      <c r="AD59" s="36" t="s">
        <v>4143</v>
      </c>
      <c r="AE59" s="36"/>
      <c r="AF59" s="36" t="s">
        <v>4521</v>
      </c>
      <c r="AO59" s="37"/>
      <c r="AP59" s="86"/>
      <c r="AQ59" s="88"/>
      <c r="AR59" s="89"/>
      <c r="AS59" s="90"/>
      <c r="AV59" s="88"/>
      <c r="AW59" s="96"/>
      <c r="AX59" s="97"/>
      <c r="AY59" s="93"/>
      <c r="BB59" s="94"/>
      <c r="BE59" s="37"/>
      <c r="BF59" s="36"/>
    </row>
    <row r="60" spans="1:58" ht="15" customHeight="1">
      <c r="A60" s="36" t="s">
        <v>4037</v>
      </c>
      <c r="B60" s="36" t="s">
        <v>4401</v>
      </c>
      <c r="C60" s="36" t="s">
        <v>57</v>
      </c>
      <c r="D60" s="36">
        <v>59</v>
      </c>
      <c r="E60" s="36">
        <v>1</v>
      </c>
      <c r="G60" s="36" t="s">
        <v>4228</v>
      </c>
      <c r="J60" s="36" t="s">
        <v>4111</v>
      </c>
      <c r="K60" s="36" t="s">
        <v>4054</v>
      </c>
      <c r="N60" s="86">
        <v>2</v>
      </c>
      <c r="O60" s="88">
        <v>1</v>
      </c>
      <c r="P60" s="89"/>
      <c r="Q60" s="90"/>
      <c r="T60" s="81" t="s">
        <v>38</v>
      </c>
      <c r="U60" s="88">
        <v>2</v>
      </c>
      <c r="V60" s="91"/>
      <c r="W60" s="92"/>
      <c r="X60" s="93"/>
      <c r="AA60" s="94"/>
      <c r="AB60" s="65" t="s">
        <v>4058</v>
      </c>
      <c r="AC60" s="36" t="s">
        <v>4129</v>
      </c>
      <c r="AD60" s="36" t="s">
        <v>4229</v>
      </c>
      <c r="AE60" s="36"/>
      <c r="AF60" s="36" t="s">
        <v>4230</v>
      </c>
      <c r="AO60" s="37"/>
      <c r="AP60" s="86"/>
      <c r="AQ60" s="88"/>
      <c r="AR60" s="89"/>
      <c r="AS60" s="90"/>
      <c r="AV60" s="88"/>
      <c r="AW60" s="96"/>
      <c r="AX60" s="97"/>
      <c r="AY60" s="93"/>
      <c r="BB60" s="94"/>
      <c r="BE60" s="37"/>
      <c r="BF60" s="36"/>
    </row>
    <row r="61" spans="1:58" ht="15" customHeight="1">
      <c r="A61" s="36" t="s">
        <v>4037</v>
      </c>
      <c r="B61" s="36" t="s">
        <v>4402</v>
      </c>
      <c r="C61" s="36" t="s">
        <v>57</v>
      </c>
      <c r="D61" s="36">
        <v>60</v>
      </c>
      <c r="E61" s="36">
        <v>1</v>
      </c>
      <c r="G61" s="36" t="s">
        <v>4231</v>
      </c>
      <c r="J61" s="36" t="s">
        <v>4111</v>
      </c>
      <c r="K61" s="36" t="s">
        <v>4054</v>
      </c>
      <c r="N61" s="86">
        <v>3</v>
      </c>
      <c r="O61" s="88"/>
      <c r="P61" s="89"/>
      <c r="Q61" s="90">
        <v>1</v>
      </c>
      <c r="U61" s="88"/>
      <c r="V61" s="91"/>
      <c r="W61" s="92"/>
      <c r="X61" s="93"/>
      <c r="AA61" s="94"/>
      <c r="AB61" s="65" t="s">
        <v>4060</v>
      </c>
      <c r="AC61" s="36" t="s">
        <v>4232</v>
      </c>
      <c r="AD61" s="36" t="s">
        <v>4133</v>
      </c>
      <c r="AE61" s="36"/>
      <c r="AF61" s="36" t="s">
        <v>4233</v>
      </c>
      <c r="AO61" s="37"/>
      <c r="AP61" s="86"/>
      <c r="AQ61" s="88"/>
      <c r="AR61" s="89"/>
      <c r="AS61" s="90"/>
      <c r="AV61" s="88"/>
      <c r="AW61" s="96"/>
      <c r="AX61" s="97"/>
      <c r="AY61" s="93"/>
      <c r="BB61" s="94"/>
      <c r="BE61" s="37"/>
      <c r="BF61" s="36"/>
    </row>
    <row r="62" spans="1:58" ht="15" customHeight="1">
      <c r="A62" s="36" t="s">
        <v>4037</v>
      </c>
      <c r="B62" s="36" t="s">
        <v>4403</v>
      </c>
      <c r="C62" s="36" t="s">
        <v>57</v>
      </c>
      <c r="D62" s="36">
        <v>61</v>
      </c>
      <c r="E62" s="36">
        <v>1</v>
      </c>
      <c r="G62" s="36" t="s">
        <v>4234</v>
      </c>
      <c r="J62" s="36" t="s">
        <v>4111</v>
      </c>
      <c r="K62" s="36" t="s">
        <v>4054</v>
      </c>
      <c r="N62" s="86">
        <v>1</v>
      </c>
      <c r="O62" s="88"/>
      <c r="P62" s="89">
        <v>1</v>
      </c>
      <c r="Q62" s="90"/>
      <c r="U62" s="88"/>
      <c r="V62" s="91"/>
      <c r="W62" s="92"/>
      <c r="X62" s="93"/>
      <c r="AA62" s="94"/>
      <c r="AB62" s="65" t="s">
        <v>4059</v>
      </c>
      <c r="AC62" s="36" t="s">
        <v>4232</v>
      </c>
      <c r="AD62" s="36" t="s">
        <v>4133</v>
      </c>
      <c r="AE62" s="36"/>
      <c r="AF62" s="36" t="s">
        <v>4235</v>
      </c>
      <c r="AO62" s="37"/>
      <c r="AP62" s="86"/>
      <c r="AQ62" s="88"/>
      <c r="AR62" s="89"/>
      <c r="AS62" s="90"/>
      <c r="AV62" s="88"/>
      <c r="AW62" s="96"/>
      <c r="AX62" s="97"/>
      <c r="AY62" s="93"/>
      <c r="BB62" s="94"/>
      <c r="BE62" s="37"/>
      <c r="BF62" s="36"/>
    </row>
    <row r="63" spans="1:58" ht="15" customHeight="1">
      <c r="A63" s="36" t="s">
        <v>4037</v>
      </c>
      <c r="B63" s="36" t="s">
        <v>4404</v>
      </c>
      <c r="C63" s="36" t="s">
        <v>57</v>
      </c>
      <c r="D63" s="36">
        <v>62</v>
      </c>
      <c r="E63" s="36">
        <v>1</v>
      </c>
      <c r="G63" s="36" t="s">
        <v>4236</v>
      </c>
      <c r="J63" s="36" t="s">
        <v>4111</v>
      </c>
      <c r="K63" s="36" t="s">
        <v>4054</v>
      </c>
      <c r="N63" s="86">
        <v>2</v>
      </c>
      <c r="O63" s="88">
        <v>1</v>
      </c>
      <c r="P63" s="89">
        <v>1</v>
      </c>
      <c r="Q63" s="90"/>
      <c r="U63" s="88"/>
      <c r="V63" s="91"/>
      <c r="W63" s="92"/>
      <c r="X63" s="93"/>
      <c r="AA63" s="94"/>
      <c r="AB63" s="65" t="s">
        <v>4946</v>
      </c>
      <c r="AD63" s="36" t="s">
        <v>4143</v>
      </c>
      <c r="AE63" s="36"/>
      <c r="AF63" s="36" t="s">
        <v>4237</v>
      </c>
      <c r="AO63" s="37"/>
      <c r="AP63" s="86"/>
      <c r="AQ63" s="88"/>
      <c r="AR63" s="89"/>
      <c r="AS63" s="90"/>
      <c r="AV63" s="88"/>
      <c r="AW63" s="96"/>
      <c r="AX63" s="97"/>
      <c r="AY63" s="93"/>
      <c r="BB63" s="94"/>
      <c r="BE63" s="37"/>
      <c r="BF63" s="36"/>
    </row>
    <row r="64" spans="1:58" ht="15" customHeight="1">
      <c r="A64" s="36" t="s">
        <v>4037</v>
      </c>
      <c r="B64" s="36" t="s">
        <v>4522</v>
      </c>
      <c r="C64" s="36" t="s">
        <v>57</v>
      </c>
      <c r="D64" s="36">
        <v>63</v>
      </c>
      <c r="E64" s="36">
        <v>1</v>
      </c>
      <c r="G64" s="36" t="s">
        <v>4523</v>
      </c>
      <c r="J64" s="36" t="s">
        <v>4111</v>
      </c>
      <c r="K64" s="36" t="s">
        <v>4054</v>
      </c>
      <c r="N64" s="86">
        <v>1</v>
      </c>
      <c r="O64" s="88">
        <v>1</v>
      </c>
      <c r="P64" s="89"/>
      <c r="Q64" s="90"/>
      <c r="T64" s="81">
        <v>1</v>
      </c>
      <c r="U64" s="88">
        <v>2</v>
      </c>
      <c r="V64" s="91"/>
      <c r="W64" s="92"/>
      <c r="X64" s="93"/>
      <c r="AA64" s="94"/>
      <c r="AB64" s="65" t="s">
        <v>4058</v>
      </c>
      <c r="AC64" s="36" t="s">
        <v>25</v>
      </c>
      <c r="AD64" s="36" t="s">
        <v>4524</v>
      </c>
      <c r="AE64" s="36"/>
      <c r="AF64" s="36" t="s">
        <v>4525</v>
      </c>
      <c r="AO64" s="37"/>
      <c r="AP64" s="86"/>
      <c r="AQ64" s="88"/>
      <c r="AR64" s="89"/>
      <c r="AS64" s="90"/>
      <c r="AV64" s="88"/>
      <c r="AW64" s="96"/>
      <c r="AX64" s="97"/>
      <c r="AY64" s="93"/>
      <c r="BB64" s="94"/>
      <c r="BE64" s="37"/>
      <c r="BF64" s="36"/>
    </row>
    <row r="65" spans="1:58" ht="15" customHeight="1">
      <c r="A65" s="36" t="s">
        <v>4037</v>
      </c>
      <c r="B65" s="36" t="s">
        <v>4405</v>
      </c>
      <c r="C65" s="36" t="s">
        <v>57</v>
      </c>
      <c r="D65" s="36">
        <v>64</v>
      </c>
      <c r="E65" s="36">
        <v>1</v>
      </c>
      <c r="G65" s="36" t="s">
        <v>4238</v>
      </c>
      <c r="J65" s="36" t="s">
        <v>27</v>
      </c>
      <c r="K65" s="36" t="s">
        <v>4054</v>
      </c>
      <c r="N65" s="86">
        <v>0</v>
      </c>
      <c r="O65" s="88">
        <v>1</v>
      </c>
      <c r="P65" s="89">
        <v>1</v>
      </c>
      <c r="Q65" s="90"/>
      <c r="U65" s="88"/>
      <c r="V65" s="91"/>
      <c r="W65" s="92"/>
      <c r="X65" s="93"/>
      <c r="AA65" s="94"/>
      <c r="AB65" s="65" t="s">
        <v>4946</v>
      </c>
      <c r="AD65" s="36" t="s">
        <v>4158</v>
      </c>
      <c r="AE65" s="36"/>
      <c r="AF65" s="36" t="s">
        <v>4239</v>
      </c>
      <c r="AO65" s="37"/>
      <c r="AP65" s="86"/>
      <c r="AQ65" s="88"/>
      <c r="AR65" s="89"/>
      <c r="AS65" s="90"/>
      <c r="AV65" s="88"/>
      <c r="AW65" s="96"/>
      <c r="AX65" s="97"/>
      <c r="AY65" s="93"/>
      <c r="BB65" s="94"/>
      <c r="BE65" s="37"/>
      <c r="BF65" s="36"/>
    </row>
    <row r="66" spans="1:58" ht="15" customHeight="1">
      <c r="A66" s="36" t="s">
        <v>4037</v>
      </c>
      <c r="B66" s="36" t="s">
        <v>4526</v>
      </c>
      <c r="C66" s="36" t="s">
        <v>57</v>
      </c>
      <c r="D66" s="36">
        <v>65</v>
      </c>
      <c r="E66" s="36">
        <v>1</v>
      </c>
      <c r="G66" s="36" t="s">
        <v>4527</v>
      </c>
      <c r="J66" s="36" t="s">
        <v>27</v>
      </c>
      <c r="K66" s="36" t="s">
        <v>4054</v>
      </c>
      <c r="N66" s="86">
        <v>1</v>
      </c>
      <c r="O66" s="88"/>
      <c r="P66" s="89"/>
      <c r="Q66" s="90"/>
      <c r="S66" s="126">
        <v>1</v>
      </c>
      <c r="U66" s="88"/>
      <c r="V66" s="91"/>
      <c r="W66" s="92"/>
      <c r="X66" s="93"/>
      <c r="AA66" s="94"/>
      <c r="AB66" s="65" t="s">
        <v>4062</v>
      </c>
      <c r="AD66" s="36" t="s">
        <v>4528</v>
      </c>
      <c r="AE66" s="36"/>
      <c r="AF66" s="36" t="s">
        <v>4529</v>
      </c>
      <c r="AO66" s="37"/>
      <c r="AP66" s="86"/>
      <c r="AQ66" s="88"/>
      <c r="AR66" s="89"/>
      <c r="AS66" s="90"/>
      <c r="AV66" s="88"/>
      <c r="AW66" s="96"/>
      <c r="AX66" s="97"/>
      <c r="AY66" s="93"/>
      <c r="BB66" s="94"/>
      <c r="BE66" s="37"/>
      <c r="BF66" s="36"/>
    </row>
    <row r="67" spans="1:58" ht="15" customHeight="1">
      <c r="A67" s="36" t="s">
        <v>4037</v>
      </c>
      <c r="B67" s="36" t="s">
        <v>4406</v>
      </c>
      <c r="C67" s="36" t="s">
        <v>57</v>
      </c>
      <c r="D67" s="36">
        <v>66</v>
      </c>
      <c r="E67" s="36">
        <v>1</v>
      </c>
      <c r="G67" s="36" t="s">
        <v>4240</v>
      </c>
      <c r="J67" s="36" t="s">
        <v>27</v>
      </c>
      <c r="K67" s="36" t="s">
        <v>4054</v>
      </c>
      <c r="N67" s="86">
        <v>2</v>
      </c>
      <c r="O67" s="88">
        <v>1</v>
      </c>
      <c r="P67" s="89"/>
      <c r="Q67" s="90"/>
      <c r="R67" s="79">
        <v>1</v>
      </c>
      <c r="U67" s="88"/>
      <c r="V67" s="91"/>
      <c r="W67" s="92"/>
      <c r="X67" s="93"/>
      <c r="AA67" s="94"/>
      <c r="AB67" s="65" t="s">
        <v>4939</v>
      </c>
      <c r="AD67" s="36" t="s">
        <v>4241</v>
      </c>
      <c r="AE67" s="36"/>
      <c r="AF67" s="36" t="s">
        <v>4242</v>
      </c>
      <c r="AO67" s="37"/>
      <c r="AP67" s="86"/>
      <c r="AQ67" s="88"/>
      <c r="AR67" s="89"/>
      <c r="AS67" s="90"/>
      <c r="AV67" s="88"/>
      <c r="AW67" s="96"/>
      <c r="AX67" s="97"/>
      <c r="AY67" s="93"/>
      <c r="BB67" s="94"/>
      <c r="BE67" s="37"/>
      <c r="BF67" s="36"/>
    </row>
    <row r="68" spans="1:58" ht="15" customHeight="1">
      <c r="A68" s="36" t="s">
        <v>4037</v>
      </c>
      <c r="B68" s="36" t="s">
        <v>4530</v>
      </c>
      <c r="C68" s="36" t="s">
        <v>57</v>
      </c>
      <c r="D68" s="36">
        <v>67</v>
      </c>
      <c r="E68" s="36">
        <v>1</v>
      </c>
      <c r="G68" s="36" t="s">
        <v>4532</v>
      </c>
      <c r="J68" s="36" t="s">
        <v>4166</v>
      </c>
      <c r="K68" s="36" t="s">
        <v>4054</v>
      </c>
      <c r="N68" s="86"/>
      <c r="O68" s="88">
        <v>1</v>
      </c>
      <c r="P68" s="89"/>
      <c r="Q68" s="90"/>
      <c r="U68" s="88"/>
      <c r="V68" s="91"/>
      <c r="W68" s="92"/>
      <c r="X68" s="93"/>
      <c r="AA68" s="94"/>
      <c r="AB68" s="65" t="s">
        <v>4058</v>
      </c>
      <c r="AD68" s="36" t="s">
        <v>4266</v>
      </c>
      <c r="AE68" s="36"/>
      <c r="AF68" s="36" t="s">
        <v>4533</v>
      </c>
      <c r="AO68" s="37"/>
      <c r="AP68" s="86"/>
      <c r="AQ68" s="88"/>
      <c r="AR68" s="89"/>
      <c r="AS68" s="90"/>
      <c r="AV68" s="88"/>
      <c r="AW68" s="96"/>
      <c r="AX68" s="97"/>
      <c r="AY68" s="93"/>
      <c r="BB68" s="94"/>
      <c r="BE68" s="37"/>
      <c r="BF68" s="36"/>
    </row>
    <row r="69" spans="1:58" ht="15" customHeight="1">
      <c r="A69" s="36" t="s">
        <v>4037</v>
      </c>
      <c r="B69" s="36" t="s">
        <v>4531</v>
      </c>
      <c r="C69" s="36" t="s">
        <v>57</v>
      </c>
      <c r="D69" s="36">
        <v>68</v>
      </c>
      <c r="E69" s="36">
        <v>1</v>
      </c>
      <c r="G69" s="36" t="s">
        <v>4534</v>
      </c>
      <c r="J69" s="36" t="s">
        <v>27</v>
      </c>
      <c r="K69" s="36" t="s">
        <v>4054</v>
      </c>
      <c r="L69" s="36">
        <v>1</v>
      </c>
      <c r="N69" s="86">
        <v>1</v>
      </c>
      <c r="O69" s="88">
        <v>1</v>
      </c>
      <c r="P69" s="89"/>
      <c r="Q69" s="90">
        <v>1</v>
      </c>
      <c r="U69" s="88"/>
      <c r="V69" s="91"/>
      <c r="W69" s="92"/>
      <c r="X69" s="93"/>
      <c r="AA69" s="94"/>
      <c r="AB69" s="65" t="s">
        <v>4937</v>
      </c>
      <c r="AD69" s="36" t="s">
        <v>4133</v>
      </c>
      <c r="AE69" s="36" t="s">
        <v>4535</v>
      </c>
      <c r="AF69" s="36" t="s">
        <v>4536</v>
      </c>
      <c r="AO69" s="37"/>
      <c r="AP69" s="86"/>
      <c r="AQ69" s="88"/>
      <c r="AR69" s="89"/>
      <c r="AS69" s="90"/>
      <c r="AV69" s="88"/>
      <c r="AW69" s="96"/>
      <c r="AX69" s="97"/>
      <c r="AY69" s="93"/>
      <c r="BB69" s="94"/>
      <c r="BE69" s="37"/>
      <c r="BF69" s="36"/>
    </row>
    <row r="70" spans="1:58" ht="15" customHeight="1">
      <c r="A70" s="36" t="s">
        <v>4037</v>
      </c>
      <c r="B70" s="36" t="s">
        <v>4407</v>
      </c>
      <c r="C70" s="36" t="s">
        <v>57</v>
      </c>
      <c r="D70" s="36">
        <v>69</v>
      </c>
      <c r="E70" s="36">
        <v>1</v>
      </c>
      <c r="G70" s="36" t="s">
        <v>4240</v>
      </c>
      <c r="J70" s="36" t="s">
        <v>27</v>
      </c>
      <c r="K70" s="36" t="s">
        <v>4054</v>
      </c>
      <c r="L70" s="36">
        <v>2</v>
      </c>
      <c r="N70" s="86">
        <v>1</v>
      </c>
      <c r="O70" s="88">
        <v>1</v>
      </c>
      <c r="P70" s="89"/>
      <c r="Q70" s="90"/>
      <c r="R70" s="79">
        <v>1</v>
      </c>
      <c r="U70" s="88"/>
      <c r="V70" s="91"/>
      <c r="W70" s="92"/>
      <c r="X70" s="93"/>
      <c r="AA70" s="94"/>
      <c r="AB70" s="65" t="s">
        <v>4939</v>
      </c>
      <c r="AD70" s="36" t="s">
        <v>4241</v>
      </c>
      <c r="AE70" s="36"/>
      <c r="AF70" s="36" t="s">
        <v>4243</v>
      </c>
      <c r="AO70" s="37"/>
      <c r="AP70" s="86"/>
      <c r="AQ70" s="88"/>
      <c r="AR70" s="89"/>
      <c r="AS70" s="90"/>
      <c r="AV70" s="88"/>
      <c r="AW70" s="96"/>
      <c r="AX70" s="97"/>
      <c r="AY70" s="93"/>
      <c r="BB70" s="94"/>
      <c r="BE70" s="37"/>
      <c r="BF70" s="36"/>
    </row>
    <row r="71" spans="1:58" ht="15" customHeight="1">
      <c r="A71" s="36" t="s">
        <v>4037</v>
      </c>
      <c r="B71" s="36" t="s">
        <v>4537</v>
      </c>
      <c r="C71" s="36" t="s">
        <v>57</v>
      </c>
      <c r="D71" s="36">
        <v>70</v>
      </c>
      <c r="E71" s="36">
        <v>1</v>
      </c>
      <c r="G71" s="36" t="s">
        <v>4538</v>
      </c>
      <c r="J71" s="36" t="s">
        <v>4111</v>
      </c>
      <c r="K71" s="36" t="s">
        <v>4054</v>
      </c>
      <c r="L71" s="36">
        <v>3</v>
      </c>
      <c r="N71" s="86">
        <v>4</v>
      </c>
      <c r="O71" s="88">
        <v>1</v>
      </c>
      <c r="P71" s="89">
        <v>1</v>
      </c>
      <c r="Q71" s="90"/>
      <c r="U71" s="88"/>
      <c r="V71" s="91"/>
      <c r="W71" s="92"/>
      <c r="X71" s="93"/>
      <c r="AA71" s="94"/>
      <c r="AB71" s="65" t="s">
        <v>4946</v>
      </c>
      <c r="AC71" s="36" t="s">
        <v>4112</v>
      </c>
      <c r="AD71" s="36" t="s">
        <v>4123</v>
      </c>
      <c r="AE71" s="36" t="s">
        <v>4539</v>
      </c>
      <c r="AF71" s="36" t="s">
        <v>4540</v>
      </c>
      <c r="AO71" s="37"/>
      <c r="AP71" s="86"/>
      <c r="AQ71" s="88"/>
      <c r="AR71" s="89"/>
      <c r="AS71" s="90"/>
      <c r="AV71" s="88"/>
      <c r="AW71" s="96"/>
      <c r="AX71" s="97"/>
      <c r="AY71" s="93"/>
      <c r="BB71" s="94"/>
      <c r="BE71" s="37"/>
      <c r="BF71" s="36"/>
    </row>
    <row r="72" spans="1:58" ht="15" customHeight="1">
      <c r="A72" s="36" t="s">
        <v>4037</v>
      </c>
      <c r="B72" s="36" t="s">
        <v>4408</v>
      </c>
      <c r="C72" s="36" t="s">
        <v>57</v>
      </c>
      <c r="D72" s="36">
        <v>71</v>
      </c>
      <c r="E72" s="36">
        <v>1</v>
      </c>
      <c r="G72" s="36" t="s">
        <v>4244</v>
      </c>
      <c r="J72" s="36" t="s">
        <v>4111</v>
      </c>
      <c r="K72" s="36" t="s">
        <v>4054</v>
      </c>
      <c r="L72" s="36">
        <v>4</v>
      </c>
      <c r="N72" s="86">
        <v>2</v>
      </c>
      <c r="O72" s="88"/>
      <c r="P72" s="89"/>
      <c r="Q72" s="90"/>
      <c r="S72" s="126">
        <v>1</v>
      </c>
      <c r="U72" s="88"/>
      <c r="V72" s="91"/>
      <c r="W72" s="92"/>
      <c r="X72" s="93"/>
      <c r="AA72" s="94"/>
      <c r="AB72" s="65" t="s">
        <v>4062</v>
      </c>
      <c r="AC72" s="36" t="s">
        <v>4112</v>
      </c>
      <c r="AD72" s="36" t="s">
        <v>4130</v>
      </c>
      <c r="AE72" s="36"/>
      <c r="AF72" s="36" t="s">
        <v>4245</v>
      </c>
      <c r="AO72" s="37"/>
      <c r="AP72" s="86"/>
      <c r="AQ72" s="88"/>
      <c r="AR72" s="89"/>
      <c r="AS72" s="90"/>
      <c r="AV72" s="88"/>
      <c r="AW72" s="96"/>
      <c r="AX72" s="97"/>
      <c r="AY72" s="93"/>
      <c r="BB72" s="94"/>
      <c r="BE72" s="37"/>
      <c r="BF72" s="36"/>
    </row>
    <row r="73" spans="1:58" ht="15" customHeight="1">
      <c r="A73" s="36" t="s">
        <v>4037</v>
      </c>
      <c r="B73" s="36" t="s">
        <v>4409</v>
      </c>
      <c r="C73" s="36" t="s">
        <v>57</v>
      </c>
      <c r="D73" s="36">
        <v>72</v>
      </c>
      <c r="E73" s="36">
        <v>1</v>
      </c>
      <c r="G73" s="36" t="s">
        <v>4246</v>
      </c>
      <c r="J73" s="36" t="s">
        <v>4111</v>
      </c>
      <c r="K73" s="36" t="s">
        <v>4056</v>
      </c>
      <c r="N73" s="86">
        <v>0</v>
      </c>
      <c r="O73" s="88"/>
      <c r="P73" s="89"/>
      <c r="Q73" s="90">
        <v>1</v>
      </c>
      <c r="T73" s="81">
        <v>2</v>
      </c>
      <c r="U73" s="88" t="s">
        <v>38</v>
      </c>
      <c r="V73" s="91"/>
      <c r="W73" s="92"/>
      <c r="X73" s="93"/>
      <c r="AA73" s="94"/>
      <c r="AB73" s="65" t="s">
        <v>4060</v>
      </c>
      <c r="AC73" s="36" t="s">
        <v>4247</v>
      </c>
      <c r="AD73" s="36" t="s">
        <v>4248</v>
      </c>
      <c r="AE73" s="36"/>
      <c r="AO73" s="37"/>
      <c r="AP73" s="86"/>
      <c r="AQ73" s="88"/>
      <c r="AR73" s="89"/>
      <c r="AS73" s="90"/>
      <c r="AV73" s="88"/>
      <c r="AW73" s="96"/>
      <c r="AX73" s="97"/>
      <c r="AY73" s="93"/>
      <c r="BB73" s="94"/>
      <c r="BE73" s="37"/>
      <c r="BF73" s="36"/>
    </row>
    <row r="74" spans="1:58" ht="15" customHeight="1">
      <c r="A74" s="36" t="s">
        <v>4037</v>
      </c>
      <c r="B74" s="36" t="s">
        <v>4410</v>
      </c>
      <c r="C74" s="36" t="s">
        <v>57</v>
      </c>
      <c r="D74" s="36">
        <v>73</v>
      </c>
      <c r="E74" s="36">
        <v>1</v>
      </c>
      <c r="G74" s="36" t="s">
        <v>4249</v>
      </c>
      <c r="J74" s="36" t="s">
        <v>4111</v>
      </c>
      <c r="K74" s="36" t="s">
        <v>4056</v>
      </c>
      <c r="N74" s="86">
        <v>1</v>
      </c>
      <c r="O74" s="88"/>
      <c r="P74" s="89">
        <v>1</v>
      </c>
      <c r="Q74" s="90"/>
      <c r="U74" s="88"/>
      <c r="V74" s="91"/>
      <c r="W74" s="92"/>
      <c r="X74" s="93"/>
      <c r="AA74" s="94"/>
      <c r="AB74" s="65" t="s">
        <v>4059</v>
      </c>
      <c r="AD74" s="36" t="s">
        <v>4143</v>
      </c>
      <c r="AE74" s="36"/>
      <c r="AF74" s="36" t="s">
        <v>4250</v>
      </c>
      <c r="AO74" s="37"/>
      <c r="AP74" s="86"/>
      <c r="AQ74" s="88"/>
      <c r="AR74" s="89"/>
      <c r="AS74" s="90"/>
      <c r="AV74" s="88"/>
      <c r="AW74" s="96"/>
      <c r="AX74" s="97"/>
      <c r="AY74" s="93"/>
      <c r="BB74" s="94"/>
      <c r="BE74" s="37"/>
      <c r="BF74" s="36"/>
    </row>
    <row r="75" spans="1:58" ht="15" customHeight="1">
      <c r="A75" s="36" t="s">
        <v>4037</v>
      </c>
      <c r="B75" s="36" t="s">
        <v>4411</v>
      </c>
      <c r="C75" s="36" t="s">
        <v>57</v>
      </c>
      <c r="D75" s="36">
        <v>74</v>
      </c>
      <c r="E75" s="36">
        <v>1</v>
      </c>
      <c r="G75" s="36" t="s">
        <v>4251</v>
      </c>
      <c r="J75" s="36" t="s">
        <v>4111</v>
      </c>
      <c r="K75" s="36" t="s">
        <v>4056</v>
      </c>
      <c r="N75" s="86">
        <v>2</v>
      </c>
      <c r="O75" s="88"/>
      <c r="P75" s="89"/>
      <c r="Q75" s="90">
        <v>1</v>
      </c>
      <c r="U75" s="88"/>
      <c r="V75" s="91"/>
      <c r="W75" s="92"/>
      <c r="X75" s="93"/>
      <c r="AA75" s="94"/>
      <c r="AB75" s="65" t="s">
        <v>4060</v>
      </c>
      <c r="AC75" s="36" t="s">
        <v>4176</v>
      </c>
      <c r="AD75" s="36" t="s">
        <v>4152</v>
      </c>
      <c r="AE75" s="36"/>
      <c r="AF75" s="36" t="s">
        <v>4252</v>
      </c>
      <c r="AO75" s="37"/>
      <c r="AP75" s="86"/>
      <c r="AQ75" s="88"/>
      <c r="AR75" s="89"/>
      <c r="AS75" s="90"/>
      <c r="AV75" s="88"/>
      <c r="AW75" s="96"/>
      <c r="AX75" s="97"/>
      <c r="AY75" s="93"/>
      <c r="BB75" s="94"/>
      <c r="BE75" s="37"/>
      <c r="BF75" s="36"/>
    </row>
    <row r="76" spans="1:58" ht="15" customHeight="1">
      <c r="A76" s="36" t="s">
        <v>4037</v>
      </c>
      <c r="B76" s="36" t="s">
        <v>4412</v>
      </c>
      <c r="C76" s="36" t="s">
        <v>57</v>
      </c>
      <c r="D76" s="36">
        <v>75</v>
      </c>
      <c r="E76" s="36">
        <v>1</v>
      </c>
      <c r="G76" s="36" t="s">
        <v>4253</v>
      </c>
      <c r="J76" s="36" t="s">
        <v>4111</v>
      </c>
      <c r="K76" s="36" t="s">
        <v>4056</v>
      </c>
      <c r="N76" s="86">
        <v>1</v>
      </c>
      <c r="O76" s="88"/>
      <c r="P76" s="89"/>
      <c r="Q76" s="90"/>
      <c r="S76" s="126">
        <v>1</v>
      </c>
      <c r="U76" s="88"/>
      <c r="V76" s="91"/>
      <c r="W76" s="92"/>
      <c r="X76" s="93"/>
      <c r="AA76" s="94"/>
      <c r="AB76" s="65" t="s">
        <v>4062</v>
      </c>
      <c r="AC76" s="36" t="s">
        <v>4129</v>
      </c>
      <c r="AD76" s="36" t="s">
        <v>4229</v>
      </c>
      <c r="AE76" s="36"/>
      <c r="AF76" s="36" t="s">
        <v>4254</v>
      </c>
      <c r="AO76" s="37"/>
      <c r="AP76" s="86"/>
      <c r="AQ76" s="88"/>
      <c r="AR76" s="89"/>
      <c r="AS76" s="90"/>
      <c r="AV76" s="88"/>
      <c r="AW76" s="96"/>
      <c r="AX76" s="97"/>
      <c r="AY76" s="93"/>
      <c r="BB76" s="94"/>
      <c r="BE76" s="37"/>
      <c r="BF76" s="36"/>
    </row>
    <row r="77" spans="1:58" ht="15" customHeight="1">
      <c r="A77" s="36" t="s">
        <v>4037</v>
      </c>
      <c r="B77" s="36" t="s">
        <v>4413</v>
      </c>
      <c r="C77" s="36" t="s">
        <v>57</v>
      </c>
      <c r="D77" s="36">
        <v>76</v>
      </c>
      <c r="E77" s="36">
        <v>1</v>
      </c>
      <c r="G77" s="36" t="s">
        <v>4255</v>
      </c>
      <c r="J77" s="36" t="s">
        <v>4111</v>
      </c>
      <c r="K77" s="36" t="s">
        <v>4056</v>
      </c>
      <c r="N77" s="86">
        <v>1</v>
      </c>
      <c r="O77" s="88"/>
      <c r="P77" s="89"/>
      <c r="Q77" s="90"/>
      <c r="R77" s="79">
        <v>1</v>
      </c>
      <c r="T77" s="81">
        <v>1</v>
      </c>
      <c r="U77" s="88" t="s">
        <v>38</v>
      </c>
      <c r="V77" s="91"/>
      <c r="W77" s="92"/>
      <c r="X77" s="93"/>
      <c r="AA77" s="94"/>
      <c r="AB77" s="65" t="s">
        <v>4061</v>
      </c>
      <c r="AC77" s="36" t="s">
        <v>25</v>
      </c>
      <c r="AD77" s="36" t="s">
        <v>4155</v>
      </c>
      <c r="AE77" s="36"/>
      <c r="AF77" s="36" t="s">
        <v>4256</v>
      </c>
      <c r="AO77" s="37"/>
      <c r="AP77" s="86"/>
      <c r="AQ77" s="88"/>
      <c r="AR77" s="89"/>
      <c r="AS77" s="90"/>
      <c r="AV77" s="88"/>
      <c r="AW77" s="96"/>
      <c r="AX77" s="97"/>
      <c r="AY77" s="93"/>
      <c r="BB77" s="94"/>
      <c r="BE77" s="37"/>
      <c r="BF77" s="36"/>
    </row>
    <row r="78" spans="1:58" ht="15" customHeight="1">
      <c r="A78" s="36" t="s">
        <v>4037</v>
      </c>
      <c r="B78" s="36" t="s">
        <v>4414</v>
      </c>
      <c r="C78" s="36" t="s">
        <v>57</v>
      </c>
      <c r="D78" s="36">
        <v>77</v>
      </c>
      <c r="E78" s="36">
        <v>1</v>
      </c>
      <c r="G78" s="36" t="s">
        <v>4257</v>
      </c>
      <c r="J78" s="36" t="s">
        <v>4111</v>
      </c>
      <c r="K78" s="36" t="s">
        <v>4056</v>
      </c>
      <c r="N78" s="86">
        <v>2</v>
      </c>
      <c r="O78" s="88">
        <v>1</v>
      </c>
      <c r="P78" s="89"/>
      <c r="Q78" s="90"/>
      <c r="R78" s="79">
        <v>1</v>
      </c>
      <c r="U78" s="88"/>
      <c r="V78" s="91"/>
      <c r="W78" s="92"/>
      <c r="X78" s="93"/>
      <c r="AA78" s="94"/>
      <c r="AB78" s="65" t="s">
        <v>4939</v>
      </c>
      <c r="AD78" s="36" t="s">
        <v>4143</v>
      </c>
      <c r="AE78" s="36"/>
      <c r="AF78" s="36" t="s">
        <v>4258</v>
      </c>
      <c r="AO78" s="37"/>
      <c r="AP78" s="86"/>
      <c r="AQ78" s="88"/>
      <c r="AR78" s="89"/>
      <c r="AS78" s="90"/>
      <c r="AV78" s="88"/>
      <c r="AW78" s="96"/>
      <c r="AX78" s="97"/>
      <c r="AY78" s="93"/>
      <c r="BB78" s="94"/>
      <c r="BE78" s="37"/>
      <c r="BF78" s="36"/>
    </row>
    <row r="79" spans="1:58" ht="15" customHeight="1">
      <c r="A79" s="36" t="s">
        <v>4037</v>
      </c>
      <c r="B79" s="36" t="s">
        <v>4415</v>
      </c>
      <c r="C79" s="36" t="s">
        <v>57</v>
      </c>
      <c r="D79" s="36">
        <v>78</v>
      </c>
      <c r="E79" s="36">
        <v>1</v>
      </c>
      <c r="G79" s="36" t="s">
        <v>4259</v>
      </c>
      <c r="J79" s="36" t="s">
        <v>27</v>
      </c>
      <c r="K79" s="36" t="s">
        <v>4056</v>
      </c>
      <c r="N79" s="86">
        <v>5</v>
      </c>
      <c r="O79" s="88">
        <v>1</v>
      </c>
      <c r="P79" s="89"/>
      <c r="Q79" s="90"/>
      <c r="S79" s="126">
        <v>1</v>
      </c>
      <c r="U79" s="88"/>
      <c r="V79" s="91"/>
      <c r="W79" s="92"/>
      <c r="X79" s="93"/>
      <c r="AA79" s="94"/>
      <c r="AB79" s="65" t="s">
        <v>4940</v>
      </c>
      <c r="AD79" s="36" t="s">
        <v>4161</v>
      </c>
      <c r="AE79" s="36"/>
      <c r="AF79" s="36" t="s">
        <v>4260</v>
      </c>
      <c r="AO79" s="37"/>
      <c r="AP79" s="86"/>
      <c r="AQ79" s="88"/>
      <c r="AR79" s="89"/>
      <c r="AS79" s="90"/>
      <c r="AV79" s="88"/>
      <c r="AW79" s="96"/>
      <c r="AX79" s="97"/>
      <c r="AY79" s="93"/>
      <c r="BB79" s="94"/>
      <c r="BE79" s="37"/>
      <c r="BF79" s="36"/>
    </row>
    <row r="80" spans="1:58" ht="15" customHeight="1">
      <c r="A80" s="36" t="s">
        <v>4037</v>
      </c>
      <c r="B80" s="36" t="s">
        <v>4416</v>
      </c>
      <c r="C80" s="36" t="s">
        <v>57</v>
      </c>
      <c r="D80" s="36">
        <v>79</v>
      </c>
      <c r="E80" s="36">
        <v>1</v>
      </c>
      <c r="G80" s="36" t="s">
        <v>4261</v>
      </c>
      <c r="J80" s="36" t="s">
        <v>27</v>
      </c>
      <c r="K80" s="36" t="s">
        <v>4056</v>
      </c>
      <c r="N80" s="86">
        <v>2</v>
      </c>
      <c r="O80" s="88"/>
      <c r="P80" s="89">
        <v>2</v>
      </c>
      <c r="Q80" s="90"/>
      <c r="U80" s="88"/>
      <c r="V80" s="91"/>
      <c r="W80" s="92"/>
      <c r="X80" s="93"/>
      <c r="AA80" s="94"/>
      <c r="AB80" s="65" t="s">
        <v>4938</v>
      </c>
      <c r="AD80" s="36" t="s">
        <v>4226</v>
      </c>
      <c r="AE80" s="36"/>
      <c r="AF80" s="36" t="s">
        <v>4262</v>
      </c>
      <c r="AO80" s="37"/>
      <c r="AP80" s="86"/>
      <c r="AQ80" s="88"/>
      <c r="AR80" s="89"/>
      <c r="AS80" s="90"/>
      <c r="AV80" s="88"/>
      <c r="AW80" s="96"/>
      <c r="AX80" s="97"/>
      <c r="AY80" s="93"/>
      <c r="BB80" s="94"/>
      <c r="BE80" s="37"/>
      <c r="BF80" s="36"/>
    </row>
    <row r="81" spans="1:58" ht="15" customHeight="1">
      <c r="A81" s="36" t="s">
        <v>4037</v>
      </c>
      <c r="B81" s="36" t="s">
        <v>4417</v>
      </c>
      <c r="C81" s="36" t="s">
        <v>57</v>
      </c>
      <c r="D81" s="36">
        <v>80</v>
      </c>
      <c r="E81" s="36">
        <v>1</v>
      </c>
      <c r="G81" s="36" t="s">
        <v>4263</v>
      </c>
      <c r="J81" s="36" t="s">
        <v>27</v>
      </c>
      <c r="K81" s="36" t="s">
        <v>4056</v>
      </c>
      <c r="N81" s="86">
        <v>1</v>
      </c>
      <c r="O81" s="88"/>
      <c r="P81" s="89"/>
      <c r="Q81" s="90"/>
      <c r="U81" s="88"/>
      <c r="V81" s="91"/>
      <c r="W81" s="92"/>
      <c r="X81" s="93"/>
      <c r="AA81" s="94"/>
      <c r="AB81" s="55"/>
      <c r="AD81" s="36" t="s">
        <v>4226</v>
      </c>
      <c r="AE81" s="36"/>
      <c r="AF81" s="36" t="s">
        <v>4264</v>
      </c>
      <c r="AO81" s="37"/>
      <c r="AP81" s="86"/>
      <c r="AQ81" s="88"/>
      <c r="AR81" s="89"/>
      <c r="AS81" s="90"/>
      <c r="AV81" s="88"/>
      <c r="AW81" s="96"/>
      <c r="AX81" s="97"/>
      <c r="AY81" s="93"/>
      <c r="BB81" s="94"/>
      <c r="BE81" s="37"/>
      <c r="BF81" s="36"/>
    </row>
    <row r="82" spans="1:58" ht="15" customHeight="1">
      <c r="A82" s="36" t="s">
        <v>4037</v>
      </c>
      <c r="B82" s="36" t="s">
        <v>4418</v>
      </c>
      <c r="C82" s="36" t="s">
        <v>57</v>
      </c>
      <c r="D82" s="36">
        <v>81</v>
      </c>
      <c r="E82" s="36">
        <v>1</v>
      </c>
      <c r="G82" s="36" t="s">
        <v>4265</v>
      </c>
      <c r="J82" s="36" t="s">
        <v>4166</v>
      </c>
      <c r="K82" s="36" t="s">
        <v>4056</v>
      </c>
      <c r="N82" s="86"/>
      <c r="O82" s="88"/>
      <c r="P82" s="89"/>
      <c r="Q82" s="90"/>
      <c r="R82" s="79">
        <v>1</v>
      </c>
      <c r="U82" s="88"/>
      <c r="V82" s="91"/>
      <c r="W82" s="92"/>
      <c r="X82" s="93"/>
      <c r="AA82" s="94"/>
      <c r="AB82" s="65" t="s">
        <v>4061</v>
      </c>
      <c r="AD82" s="36" t="s">
        <v>4266</v>
      </c>
      <c r="AE82" s="36"/>
      <c r="AF82" s="36" t="s">
        <v>4267</v>
      </c>
      <c r="AO82" s="37"/>
      <c r="AP82" s="86"/>
      <c r="AQ82" s="88"/>
      <c r="AR82" s="89"/>
      <c r="AS82" s="90"/>
      <c r="AV82" s="88"/>
      <c r="AW82" s="96"/>
      <c r="AX82" s="97"/>
      <c r="AY82" s="93"/>
      <c r="BB82" s="94"/>
      <c r="BE82" s="37"/>
      <c r="BF82" s="36"/>
    </row>
    <row r="83" spans="1:58" ht="15" customHeight="1">
      <c r="A83" s="36" t="s">
        <v>4037</v>
      </c>
      <c r="B83" s="36" t="s">
        <v>4541</v>
      </c>
      <c r="C83" s="36" t="s">
        <v>57</v>
      </c>
      <c r="D83" s="36">
        <v>82</v>
      </c>
      <c r="E83" s="36">
        <v>1</v>
      </c>
      <c r="G83" s="36" t="s">
        <v>4542</v>
      </c>
      <c r="H83" s="36" t="s">
        <v>4543</v>
      </c>
      <c r="I83" s="36" t="s">
        <v>4077</v>
      </c>
      <c r="J83" s="36" t="s">
        <v>4111</v>
      </c>
      <c r="K83" s="36" t="s">
        <v>4056</v>
      </c>
      <c r="L83" s="36">
        <v>1</v>
      </c>
      <c r="N83" s="86">
        <v>5</v>
      </c>
      <c r="O83" s="88">
        <v>1</v>
      </c>
      <c r="P83" s="89"/>
      <c r="Q83" s="90"/>
      <c r="T83" s="81">
        <v>1</v>
      </c>
      <c r="U83" s="88">
        <v>4</v>
      </c>
      <c r="V83" s="91"/>
      <c r="W83" s="92"/>
      <c r="X83" s="93"/>
      <c r="AA83" s="94"/>
      <c r="AB83" s="65" t="s">
        <v>4058</v>
      </c>
      <c r="AC83" s="36" t="s">
        <v>25</v>
      </c>
      <c r="AD83" s="36" t="s">
        <v>4312</v>
      </c>
      <c r="AE83" s="36"/>
      <c r="AF83" s="36" t="s">
        <v>4544</v>
      </c>
      <c r="AO83" s="37"/>
      <c r="AP83" s="86"/>
      <c r="AQ83" s="88"/>
      <c r="AR83" s="89"/>
      <c r="AS83" s="90"/>
      <c r="AV83" s="88"/>
      <c r="AW83" s="96"/>
      <c r="AX83" s="97"/>
      <c r="AY83" s="93"/>
      <c r="BB83" s="94"/>
      <c r="BE83" s="37"/>
      <c r="BF83" s="36"/>
    </row>
    <row r="84" spans="1:58" ht="15" customHeight="1">
      <c r="A84" s="36" t="s">
        <v>4037</v>
      </c>
      <c r="B84" s="36" t="s">
        <v>4419</v>
      </c>
      <c r="C84" s="36" t="s">
        <v>57</v>
      </c>
      <c r="D84" s="36">
        <v>83</v>
      </c>
      <c r="E84" s="36">
        <v>1</v>
      </c>
      <c r="G84" s="36" t="s">
        <v>4268</v>
      </c>
      <c r="J84" s="36" t="s">
        <v>27</v>
      </c>
      <c r="K84" s="36" t="s">
        <v>4056</v>
      </c>
      <c r="L84" s="36">
        <v>2</v>
      </c>
      <c r="N84" s="86">
        <v>2</v>
      </c>
      <c r="O84" s="88"/>
      <c r="P84" s="89"/>
      <c r="Q84" s="90">
        <v>1</v>
      </c>
      <c r="R84" s="79">
        <v>1</v>
      </c>
      <c r="U84" s="88"/>
      <c r="V84" s="91"/>
      <c r="W84" s="92"/>
      <c r="X84" s="93"/>
      <c r="AA84" s="94"/>
      <c r="AB84" s="65" t="s">
        <v>4941</v>
      </c>
      <c r="AD84" s="36" t="s">
        <v>4226</v>
      </c>
      <c r="AE84" s="36"/>
      <c r="AF84" s="36" t="s">
        <v>4269</v>
      </c>
      <c r="AO84" s="37"/>
      <c r="AP84" s="86"/>
      <c r="AQ84" s="88"/>
      <c r="AR84" s="89"/>
      <c r="AS84" s="90"/>
      <c r="AV84" s="88"/>
      <c r="AW84" s="96"/>
      <c r="AX84" s="97"/>
      <c r="AY84" s="93"/>
      <c r="BB84" s="94"/>
      <c r="BE84" s="37"/>
      <c r="BF84" s="36"/>
    </row>
    <row r="85" spans="1:58" ht="15" customHeight="1">
      <c r="A85" s="36" t="s">
        <v>4037</v>
      </c>
      <c r="B85" s="36" t="s">
        <v>4420</v>
      </c>
      <c r="C85" s="36" t="s">
        <v>57</v>
      </c>
      <c r="D85" s="36">
        <v>84</v>
      </c>
      <c r="E85" s="36">
        <v>1</v>
      </c>
      <c r="G85" s="36" t="s">
        <v>4263</v>
      </c>
      <c r="J85" s="36" t="s">
        <v>27</v>
      </c>
      <c r="K85" s="36" t="s">
        <v>4056</v>
      </c>
      <c r="L85" s="36">
        <v>2</v>
      </c>
      <c r="N85" s="86">
        <v>1</v>
      </c>
      <c r="O85" s="88"/>
      <c r="P85" s="89"/>
      <c r="Q85" s="90"/>
      <c r="U85" s="88"/>
      <c r="V85" s="91"/>
      <c r="W85" s="92"/>
      <c r="X85" s="93"/>
      <c r="AA85" s="94"/>
      <c r="AB85" s="55"/>
      <c r="AD85" s="36" t="s">
        <v>4226</v>
      </c>
      <c r="AE85" s="36"/>
      <c r="AF85" s="36" t="s">
        <v>4270</v>
      </c>
      <c r="AO85" s="37"/>
      <c r="AP85" s="86"/>
      <c r="AQ85" s="88"/>
      <c r="AR85" s="89"/>
      <c r="AS85" s="90"/>
      <c r="AV85" s="88"/>
      <c r="AW85" s="96"/>
      <c r="AX85" s="97"/>
      <c r="AY85" s="93"/>
      <c r="BB85" s="94"/>
      <c r="BE85" s="37"/>
      <c r="BF85" s="36"/>
    </row>
    <row r="86" spans="1:58" ht="15" customHeight="1">
      <c r="A86" s="36" t="s">
        <v>4037</v>
      </c>
      <c r="B86" s="36" t="s">
        <v>4421</v>
      </c>
      <c r="C86" s="36" t="s">
        <v>57</v>
      </c>
      <c r="D86" s="36">
        <v>85</v>
      </c>
      <c r="E86" s="36">
        <v>1</v>
      </c>
      <c r="G86" s="36" t="s">
        <v>4271</v>
      </c>
      <c r="J86" s="36" t="s">
        <v>27</v>
      </c>
      <c r="K86" s="36" t="s">
        <v>4056</v>
      </c>
      <c r="L86" s="36">
        <v>3</v>
      </c>
      <c r="N86" s="86">
        <v>2</v>
      </c>
      <c r="O86" s="88"/>
      <c r="P86" s="89"/>
      <c r="Q86" s="90">
        <v>1</v>
      </c>
      <c r="S86" s="126">
        <v>1</v>
      </c>
      <c r="U86" s="88"/>
      <c r="V86" s="91"/>
      <c r="W86" s="92"/>
      <c r="X86" s="93"/>
      <c r="AA86" s="94"/>
      <c r="AB86" s="65" t="s">
        <v>4947</v>
      </c>
      <c r="AD86" s="36" t="s">
        <v>5659</v>
      </c>
      <c r="AE86" s="36"/>
      <c r="AF86" s="36" t="s">
        <v>4272</v>
      </c>
      <c r="AO86" s="37"/>
      <c r="AP86" s="86"/>
      <c r="AQ86" s="88"/>
      <c r="AR86" s="89"/>
      <c r="AS86" s="90"/>
      <c r="AV86" s="88"/>
      <c r="AW86" s="96"/>
      <c r="AX86" s="97"/>
      <c r="AY86" s="93"/>
      <c r="BB86" s="94"/>
      <c r="BE86" s="37"/>
      <c r="BF86" s="36"/>
    </row>
    <row r="87" spans="1:58" ht="15" customHeight="1">
      <c r="A87" s="36" t="s">
        <v>4037</v>
      </c>
      <c r="B87" s="36" t="s">
        <v>4422</v>
      </c>
      <c r="C87" s="36" t="s">
        <v>57</v>
      </c>
      <c r="D87" s="36">
        <v>86</v>
      </c>
      <c r="E87" s="36">
        <v>4</v>
      </c>
      <c r="G87" s="36" t="s">
        <v>4273</v>
      </c>
      <c r="J87" s="36" t="s">
        <v>4111</v>
      </c>
      <c r="K87" s="36" t="s">
        <v>26</v>
      </c>
      <c r="N87" s="86">
        <v>1</v>
      </c>
      <c r="O87" s="88"/>
      <c r="P87" s="89"/>
      <c r="Q87" s="90">
        <v>1</v>
      </c>
      <c r="U87" s="88"/>
      <c r="V87" s="91"/>
      <c r="W87" s="92"/>
      <c r="X87" s="93"/>
      <c r="AA87" s="94"/>
      <c r="AB87" s="65" t="s">
        <v>4060</v>
      </c>
      <c r="AC87" s="36" t="s">
        <v>4112</v>
      </c>
      <c r="AD87" s="36" t="s">
        <v>4152</v>
      </c>
      <c r="AE87" s="36"/>
      <c r="AF87" s="36" t="s">
        <v>4274</v>
      </c>
      <c r="AO87" s="37"/>
      <c r="AP87" s="86"/>
      <c r="AQ87" s="88"/>
      <c r="AR87" s="89"/>
      <c r="AS87" s="90"/>
      <c r="AV87" s="88"/>
      <c r="AW87" s="96"/>
      <c r="AX87" s="97"/>
      <c r="AY87" s="93"/>
      <c r="BB87" s="94"/>
      <c r="BE87" s="37"/>
      <c r="BF87" s="36"/>
    </row>
    <row r="88" spans="1:58" ht="15" customHeight="1">
      <c r="A88" s="36" t="s">
        <v>4037</v>
      </c>
      <c r="B88" s="36" t="s">
        <v>4423</v>
      </c>
      <c r="C88" s="36" t="s">
        <v>57</v>
      </c>
      <c r="D88" s="36">
        <v>87</v>
      </c>
      <c r="E88" s="36">
        <v>4</v>
      </c>
      <c r="G88" s="36" t="s">
        <v>4275</v>
      </c>
      <c r="J88" s="36" t="s">
        <v>4111</v>
      </c>
      <c r="K88" s="36" t="s">
        <v>26</v>
      </c>
      <c r="N88" s="86">
        <v>2</v>
      </c>
      <c r="O88" s="88"/>
      <c r="P88" s="89">
        <v>1</v>
      </c>
      <c r="Q88" s="90"/>
      <c r="U88" s="88"/>
      <c r="V88" s="91"/>
      <c r="W88" s="92"/>
      <c r="X88" s="93"/>
      <c r="AA88" s="94"/>
      <c r="AB88" s="65" t="s">
        <v>4059</v>
      </c>
      <c r="AC88" s="36" t="s">
        <v>4112</v>
      </c>
      <c r="AD88" s="36" t="s">
        <v>4179</v>
      </c>
      <c r="AE88" s="36"/>
      <c r="AF88" s="36" t="s">
        <v>4276</v>
      </c>
      <c r="AO88" s="37"/>
      <c r="AP88" s="86"/>
      <c r="AQ88" s="88"/>
      <c r="AR88" s="89"/>
      <c r="AS88" s="90"/>
      <c r="AV88" s="88"/>
      <c r="AW88" s="96"/>
      <c r="AX88" s="97"/>
      <c r="AY88" s="93"/>
      <c r="BB88" s="94"/>
      <c r="BE88" s="37"/>
      <c r="BF88" s="36"/>
    </row>
    <row r="89" spans="1:58" ht="15" customHeight="1">
      <c r="A89" s="36" t="s">
        <v>4037</v>
      </c>
      <c r="B89" s="36" t="s">
        <v>4424</v>
      </c>
      <c r="C89" s="36" t="s">
        <v>57</v>
      </c>
      <c r="D89" s="36">
        <v>88</v>
      </c>
      <c r="E89" s="36">
        <v>4</v>
      </c>
      <c r="G89" s="36" t="s">
        <v>4277</v>
      </c>
      <c r="J89" s="36" t="s">
        <v>27</v>
      </c>
      <c r="K89" s="36" t="s">
        <v>26</v>
      </c>
      <c r="N89" s="86">
        <v>0</v>
      </c>
      <c r="O89" s="88"/>
      <c r="P89" s="89"/>
      <c r="Q89" s="90"/>
      <c r="U89" s="88"/>
      <c r="V89" s="91"/>
      <c r="W89" s="92"/>
      <c r="X89" s="93"/>
      <c r="AA89" s="94"/>
      <c r="AB89" s="55"/>
      <c r="AD89" s="36" t="s">
        <v>4170</v>
      </c>
      <c r="AE89" s="36"/>
      <c r="AF89" s="36" t="s">
        <v>4278</v>
      </c>
      <c r="AO89" s="37"/>
      <c r="AP89" s="86"/>
      <c r="AQ89" s="88"/>
      <c r="AR89" s="89"/>
      <c r="AS89" s="90"/>
      <c r="AV89" s="88"/>
      <c r="AW89" s="96"/>
      <c r="AX89" s="97"/>
      <c r="AY89" s="93"/>
      <c r="BB89" s="94"/>
      <c r="BE89" s="37"/>
      <c r="BF89" s="36"/>
    </row>
    <row r="90" spans="1:58" ht="15" customHeight="1">
      <c r="A90" s="36" t="s">
        <v>4037</v>
      </c>
      <c r="B90" s="36" t="s">
        <v>4425</v>
      </c>
      <c r="C90" s="36" t="s">
        <v>57</v>
      </c>
      <c r="D90" s="36">
        <v>89</v>
      </c>
      <c r="E90" s="36">
        <v>2</v>
      </c>
      <c r="G90" s="36" t="s">
        <v>4279</v>
      </c>
      <c r="J90" s="36" t="s">
        <v>4166</v>
      </c>
      <c r="K90" s="36" t="s">
        <v>26</v>
      </c>
      <c r="N90" s="86"/>
      <c r="O90" s="88">
        <v>2</v>
      </c>
      <c r="P90" s="89"/>
      <c r="Q90" s="90"/>
      <c r="U90" s="88"/>
      <c r="V90" s="91"/>
      <c r="W90" s="92"/>
      <c r="X90" s="93"/>
      <c r="AA90" s="94"/>
      <c r="AB90" s="65" t="s">
        <v>4948</v>
      </c>
      <c r="AD90" s="36" t="s">
        <v>4266</v>
      </c>
      <c r="AE90" s="36"/>
      <c r="AF90" s="36" t="s">
        <v>4280</v>
      </c>
      <c r="AO90" s="37"/>
      <c r="AP90" s="86"/>
      <c r="AQ90" s="88"/>
      <c r="AR90" s="89"/>
      <c r="AS90" s="90"/>
      <c r="AV90" s="88"/>
      <c r="AW90" s="96"/>
      <c r="AX90" s="97"/>
      <c r="AY90" s="93"/>
      <c r="BB90" s="94"/>
      <c r="BE90" s="37"/>
      <c r="BF90" s="36"/>
    </row>
    <row r="91" spans="1:58" ht="15" customHeight="1">
      <c r="A91" s="36" t="s">
        <v>4037</v>
      </c>
      <c r="B91" s="36" t="s">
        <v>4426</v>
      </c>
      <c r="C91" s="36" t="s">
        <v>57</v>
      </c>
      <c r="D91" s="36">
        <v>90</v>
      </c>
      <c r="E91" s="36">
        <v>2</v>
      </c>
      <c r="G91" s="36" t="s">
        <v>4281</v>
      </c>
      <c r="J91" s="36" t="s">
        <v>4166</v>
      </c>
      <c r="K91" s="36" t="s">
        <v>26</v>
      </c>
      <c r="N91" s="86"/>
      <c r="O91" s="88"/>
      <c r="P91" s="89">
        <v>2</v>
      </c>
      <c r="Q91" s="90"/>
      <c r="U91" s="88"/>
      <c r="V91" s="91"/>
      <c r="W91" s="92"/>
      <c r="X91" s="93"/>
      <c r="AA91" s="94"/>
      <c r="AB91" s="65" t="s">
        <v>4938</v>
      </c>
      <c r="AD91" s="36" t="s">
        <v>4167</v>
      </c>
      <c r="AE91" s="36"/>
      <c r="AF91" s="36" t="s">
        <v>4280</v>
      </c>
      <c r="AO91" s="37"/>
      <c r="AP91" s="86"/>
      <c r="AQ91" s="88"/>
      <c r="AR91" s="89"/>
      <c r="AS91" s="90"/>
      <c r="AV91" s="88"/>
      <c r="AW91" s="96"/>
      <c r="AX91" s="97"/>
      <c r="AY91" s="93"/>
      <c r="BB91" s="94"/>
      <c r="BE91" s="37"/>
      <c r="BF91" s="36"/>
    </row>
    <row r="92" spans="1:58" ht="15" customHeight="1">
      <c r="A92" s="36" t="s">
        <v>4037</v>
      </c>
      <c r="B92" s="36" t="s">
        <v>4427</v>
      </c>
      <c r="C92" s="36" t="s">
        <v>57</v>
      </c>
      <c r="D92" s="36">
        <v>91</v>
      </c>
      <c r="E92" s="36">
        <v>2</v>
      </c>
      <c r="G92" s="36" t="s">
        <v>4282</v>
      </c>
      <c r="J92" s="36" t="s">
        <v>4166</v>
      </c>
      <c r="K92" s="36" t="s">
        <v>26</v>
      </c>
      <c r="N92" s="86"/>
      <c r="O92" s="88"/>
      <c r="P92" s="89"/>
      <c r="Q92" s="90">
        <v>2</v>
      </c>
      <c r="U92" s="88"/>
      <c r="V92" s="91"/>
      <c r="W92" s="92"/>
      <c r="X92" s="93"/>
      <c r="AA92" s="94"/>
      <c r="AB92" s="65" t="s">
        <v>4942</v>
      </c>
      <c r="AD92" s="36" t="s">
        <v>4167</v>
      </c>
      <c r="AE92" s="36"/>
      <c r="AF92" s="36" t="s">
        <v>4280</v>
      </c>
      <c r="AO92" s="37"/>
      <c r="AP92" s="86"/>
      <c r="AQ92" s="88"/>
      <c r="AR92" s="89"/>
      <c r="AS92" s="90"/>
      <c r="AV92" s="88"/>
      <c r="AW92" s="96"/>
      <c r="AX92" s="97"/>
      <c r="AY92" s="93"/>
      <c r="BB92" s="94"/>
      <c r="BE92" s="37"/>
      <c r="BF92" s="36"/>
    </row>
    <row r="93" spans="1:58" ht="15" customHeight="1">
      <c r="A93" s="36" t="s">
        <v>4037</v>
      </c>
      <c r="B93" s="36" t="s">
        <v>4428</v>
      </c>
      <c r="C93" s="36" t="s">
        <v>57</v>
      </c>
      <c r="D93" s="36">
        <v>92</v>
      </c>
      <c r="E93" s="36">
        <v>2</v>
      </c>
      <c r="G93" s="36" t="s">
        <v>4283</v>
      </c>
      <c r="J93" s="36" t="s">
        <v>4166</v>
      </c>
      <c r="K93" s="36" t="s">
        <v>26</v>
      </c>
      <c r="N93" s="86"/>
      <c r="O93" s="88"/>
      <c r="P93" s="89"/>
      <c r="Q93" s="90"/>
      <c r="R93" s="79">
        <v>2</v>
      </c>
      <c r="U93" s="88"/>
      <c r="V93" s="91"/>
      <c r="W93" s="92"/>
      <c r="X93" s="93"/>
      <c r="AA93" s="94"/>
      <c r="AB93" s="65" t="s">
        <v>4949</v>
      </c>
      <c r="AD93" s="36" t="s">
        <v>4266</v>
      </c>
      <c r="AE93" s="36"/>
      <c r="AF93" s="36" t="s">
        <v>4280</v>
      </c>
      <c r="AO93" s="37"/>
      <c r="AP93" s="86"/>
      <c r="AQ93" s="88"/>
      <c r="AR93" s="89"/>
      <c r="AS93" s="90"/>
      <c r="AV93" s="88"/>
      <c r="AW93" s="96"/>
      <c r="AX93" s="97"/>
      <c r="AY93" s="93"/>
      <c r="BB93" s="94"/>
      <c r="BE93" s="37"/>
      <c r="BF93" s="36"/>
    </row>
    <row r="94" spans="1:58" ht="15" customHeight="1">
      <c r="A94" s="36" t="s">
        <v>4037</v>
      </c>
      <c r="B94" s="36" t="s">
        <v>4429</v>
      </c>
      <c r="C94" s="36" t="s">
        <v>57</v>
      </c>
      <c r="D94" s="36">
        <v>93</v>
      </c>
      <c r="E94" s="36">
        <v>2</v>
      </c>
      <c r="G94" s="36" t="s">
        <v>4284</v>
      </c>
      <c r="J94" s="36" t="s">
        <v>4166</v>
      </c>
      <c r="K94" s="36" t="s">
        <v>26</v>
      </c>
      <c r="N94" s="86"/>
      <c r="O94" s="88"/>
      <c r="P94" s="89"/>
      <c r="Q94" s="90"/>
      <c r="S94" s="126">
        <v>2</v>
      </c>
      <c r="U94" s="88"/>
      <c r="V94" s="91"/>
      <c r="W94" s="92"/>
      <c r="X94" s="93"/>
      <c r="AA94" s="94"/>
      <c r="AB94" s="65" t="s">
        <v>4936</v>
      </c>
      <c r="AD94" s="36" t="s">
        <v>4266</v>
      </c>
      <c r="AE94" s="36"/>
      <c r="AF94" s="36" t="s">
        <v>4285</v>
      </c>
      <c r="AO94" s="37"/>
      <c r="AP94" s="86"/>
      <c r="AQ94" s="88"/>
      <c r="AR94" s="89"/>
      <c r="AS94" s="90"/>
      <c r="AV94" s="88"/>
      <c r="AW94" s="96"/>
      <c r="AX94" s="97"/>
      <c r="AY94" s="93"/>
      <c r="BB94" s="94"/>
      <c r="BE94" s="37"/>
      <c r="BF94" s="36"/>
    </row>
    <row r="95" spans="1:58" ht="15" customHeight="1">
      <c r="A95" s="36" t="s">
        <v>4037</v>
      </c>
      <c r="B95" s="36" t="s">
        <v>4430</v>
      </c>
      <c r="C95" s="36" t="s">
        <v>57</v>
      </c>
      <c r="D95" s="36">
        <v>94</v>
      </c>
      <c r="E95" s="36">
        <v>2</v>
      </c>
      <c r="G95" s="36" t="s">
        <v>4286</v>
      </c>
      <c r="J95" s="36" t="s">
        <v>4111</v>
      </c>
      <c r="K95" s="36" t="s">
        <v>26</v>
      </c>
      <c r="L95" s="36">
        <v>3</v>
      </c>
      <c r="N95" s="86">
        <v>2</v>
      </c>
      <c r="O95" s="88"/>
      <c r="P95" s="89"/>
      <c r="Q95" s="90">
        <v>1</v>
      </c>
      <c r="S95" s="126">
        <v>1</v>
      </c>
      <c r="T95" s="81">
        <v>4</v>
      </c>
      <c r="U95" s="88" t="s">
        <v>38</v>
      </c>
      <c r="V95" s="91"/>
      <c r="W95" s="92"/>
      <c r="X95" s="93"/>
      <c r="AA95" s="94"/>
      <c r="AB95" s="65" t="s">
        <v>4947</v>
      </c>
      <c r="AC95" s="36" t="s">
        <v>4247</v>
      </c>
      <c r="AD95" s="36" t="s">
        <v>4248</v>
      </c>
      <c r="AE95" s="36"/>
      <c r="AO95" s="37"/>
      <c r="AP95" s="86"/>
      <c r="AQ95" s="88"/>
      <c r="AR95" s="89"/>
      <c r="AS95" s="90"/>
      <c r="AV95" s="88"/>
      <c r="AW95" s="96"/>
      <c r="AX95" s="97"/>
      <c r="AY95" s="93"/>
      <c r="BB95" s="94"/>
      <c r="BE95" s="37"/>
      <c r="BF95" s="36"/>
    </row>
    <row r="96" spans="1:58" ht="15" customHeight="1">
      <c r="A96" s="36" t="s">
        <v>4037</v>
      </c>
      <c r="B96" s="36" t="s">
        <v>4431</v>
      </c>
      <c r="C96" s="36" t="s">
        <v>57</v>
      </c>
      <c r="D96" s="36">
        <v>95</v>
      </c>
      <c r="E96" s="36">
        <v>2</v>
      </c>
      <c r="G96" s="36" t="s">
        <v>4287</v>
      </c>
      <c r="J96" s="36" t="s">
        <v>4111</v>
      </c>
      <c r="K96" s="36" t="s">
        <v>26</v>
      </c>
      <c r="L96" s="36">
        <v>3</v>
      </c>
      <c r="N96" s="86">
        <v>2</v>
      </c>
      <c r="O96" s="88">
        <v>1</v>
      </c>
      <c r="P96" s="89"/>
      <c r="Q96" s="90"/>
      <c r="S96" s="126">
        <v>1</v>
      </c>
      <c r="T96" s="81" t="s">
        <v>38</v>
      </c>
      <c r="U96" s="88">
        <v>4</v>
      </c>
      <c r="V96" s="91"/>
      <c r="W96" s="92"/>
      <c r="X96" s="93"/>
      <c r="AA96" s="94"/>
      <c r="AB96" s="65" t="s">
        <v>4940</v>
      </c>
      <c r="AC96" s="36" t="s">
        <v>4129</v>
      </c>
      <c r="AD96" s="36" t="s">
        <v>4130</v>
      </c>
      <c r="AE96" s="36"/>
      <c r="AO96" s="37"/>
      <c r="AP96" s="86"/>
      <c r="AQ96" s="88"/>
      <c r="AR96" s="89"/>
      <c r="AS96" s="90"/>
      <c r="AV96" s="88"/>
      <c r="AW96" s="96"/>
      <c r="AX96" s="97"/>
      <c r="AY96" s="93"/>
      <c r="BB96" s="94"/>
      <c r="BE96" s="37"/>
      <c r="BF96" s="36"/>
    </row>
    <row r="97" spans="1:59" ht="15" customHeight="1">
      <c r="A97" s="36" t="s">
        <v>4037</v>
      </c>
      <c r="B97" s="36" t="s">
        <v>4432</v>
      </c>
      <c r="C97" s="36" t="s">
        <v>57</v>
      </c>
      <c r="D97" s="36">
        <v>96</v>
      </c>
      <c r="E97" s="36">
        <v>2</v>
      </c>
      <c r="G97" s="36" t="s">
        <v>4288</v>
      </c>
      <c r="J97" s="36" t="s">
        <v>28</v>
      </c>
      <c r="K97" s="36" t="s">
        <v>26</v>
      </c>
      <c r="M97" s="36" t="s">
        <v>4545</v>
      </c>
      <c r="N97" s="86"/>
      <c r="O97" s="88"/>
      <c r="P97" s="89"/>
      <c r="Q97" s="90"/>
      <c r="U97" s="88"/>
      <c r="V97" s="91"/>
      <c r="W97" s="92"/>
      <c r="X97" s="93"/>
      <c r="AA97" s="94"/>
      <c r="AB97" s="55"/>
      <c r="AD97" s="36" t="s">
        <v>4138</v>
      </c>
      <c r="AE97" s="36"/>
      <c r="AF97" s="36" t="s">
        <v>4289</v>
      </c>
      <c r="AO97" s="37"/>
      <c r="AP97" s="86"/>
      <c r="AQ97" s="88"/>
      <c r="AR97" s="89"/>
      <c r="AS97" s="90"/>
      <c r="AV97" s="88"/>
      <c r="AW97" s="96"/>
      <c r="AX97" s="97"/>
      <c r="AY97" s="93"/>
      <c r="BB97" s="94"/>
      <c r="BE97" s="37"/>
      <c r="BF97" s="36"/>
    </row>
    <row r="98" spans="1:59" ht="15" customHeight="1">
      <c r="A98" s="36" t="s">
        <v>4037</v>
      </c>
      <c r="B98" s="36" t="s">
        <v>4433</v>
      </c>
      <c r="C98" s="36" t="s">
        <v>57</v>
      </c>
      <c r="D98" s="36">
        <v>97</v>
      </c>
      <c r="E98" s="36">
        <v>2</v>
      </c>
      <c r="G98" s="36" t="s">
        <v>4290</v>
      </c>
      <c r="J98" s="36" t="s">
        <v>28</v>
      </c>
      <c r="K98" s="36" t="s">
        <v>26</v>
      </c>
      <c r="M98" s="36" t="s">
        <v>4545</v>
      </c>
      <c r="N98" s="86"/>
      <c r="O98" s="88"/>
      <c r="P98" s="89"/>
      <c r="Q98" s="90"/>
      <c r="U98" s="88"/>
      <c r="V98" s="91"/>
      <c r="W98" s="92"/>
      <c r="X98" s="93"/>
      <c r="AA98" s="94"/>
      <c r="AB98" s="55"/>
      <c r="AD98" s="36" t="s">
        <v>4138</v>
      </c>
      <c r="AE98" s="36"/>
      <c r="AF98" s="36" t="s">
        <v>4291</v>
      </c>
      <c r="AO98" s="37"/>
      <c r="AP98" s="86"/>
      <c r="AQ98" s="88"/>
      <c r="AR98" s="89"/>
      <c r="AS98" s="90"/>
      <c r="AV98" s="88"/>
      <c r="AW98" s="96"/>
      <c r="AX98" s="97"/>
      <c r="AY98" s="93"/>
      <c r="BB98" s="94"/>
      <c r="BE98" s="37"/>
      <c r="BF98" s="36"/>
    </row>
    <row r="99" spans="1:59" ht="15" customHeight="1">
      <c r="A99" s="36" t="s">
        <v>4037</v>
      </c>
      <c r="B99" s="36" t="s">
        <v>4434</v>
      </c>
      <c r="C99" s="36" t="s">
        <v>57</v>
      </c>
      <c r="D99" s="36">
        <v>98</v>
      </c>
      <c r="E99" s="36">
        <v>1</v>
      </c>
      <c r="G99" s="36" t="s">
        <v>4292</v>
      </c>
      <c r="J99" s="36" t="s">
        <v>28</v>
      </c>
      <c r="K99" s="36" t="s">
        <v>26</v>
      </c>
      <c r="M99" s="36" t="s">
        <v>4545</v>
      </c>
      <c r="N99" s="86"/>
      <c r="O99" s="88"/>
      <c r="P99" s="89"/>
      <c r="Q99" s="90"/>
      <c r="U99" s="88"/>
      <c r="V99" s="91"/>
      <c r="W99" s="92"/>
      <c r="X99" s="93"/>
      <c r="AA99" s="94"/>
      <c r="AB99" s="55"/>
      <c r="AD99" s="36" t="s">
        <v>4293</v>
      </c>
      <c r="AE99" s="36"/>
      <c r="AF99" s="36" t="s">
        <v>4294</v>
      </c>
      <c r="AO99" s="37"/>
      <c r="AP99" s="86"/>
      <c r="AQ99" s="88"/>
      <c r="AR99" s="89"/>
      <c r="AS99" s="90"/>
      <c r="AV99" s="88"/>
      <c r="AW99" s="96"/>
      <c r="AX99" s="97"/>
      <c r="AY99" s="93"/>
      <c r="BB99" s="94"/>
      <c r="BE99" s="37"/>
      <c r="BF99" s="36"/>
    </row>
    <row r="100" spans="1:59" ht="15" customHeight="1">
      <c r="A100" s="36" t="s">
        <v>4037</v>
      </c>
      <c r="B100" s="36" t="s">
        <v>4435</v>
      </c>
      <c r="C100" s="36" t="s">
        <v>57</v>
      </c>
      <c r="D100" s="36">
        <v>99</v>
      </c>
      <c r="E100" s="36">
        <v>1</v>
      </c>
      <c r="G100" s="36" t="s">
        <v>4550</v>
      </c>
      <c r="J100" s="36" t="s">
        <v>28</v>
      </c>
      <c r="K100" s="36" t="s">
        <v>26</v>
      </c>
      <c r="M100" s="36" t="s">
        <v>4545</v>
      </c>
      <c r="N100" s="86"/>
      <c r="O100" s="88"/>
      <c r="P100" s="89"/>
      <c r="Q100" s="90"/>
      <c r="U100" s="88"/>
      <c r="V100" s="91"/>
      <c r="W100" s="92"/>
      <c r="X100" s="93"/>
      <c r="AA100" s="94"/>
      <c r="AB100" s="55"/>
      <c r="AD100" s="36" t="s">
        <v>4138</v>
      </c>
      <c r="AE100" s="36"/>
      <c r="AF100" s="36" t="s">
        <v>4551</v>
      </c>
      <c r="AO100" s="37"/>
      <c r="AP100" s="86"/>
      <c r="AQ100" s="88"/>
      <c r="AR100" s="89"/>
      <c r="AS100" s="90"/>
      <c r="AV100" s="88"/>
      <c r="AW100" s="96"/>
      <c r="AX100" s="97"/>
      <c r="AY100" s="93"/>
      <c r="BB100" s="94"/>
      <c r="BE100" s="37"/>
      <c r="BF100" s="36"/>
    </row>
    <row r="101" spans="1:59" ht="15" customHeight="1">
      <c r="A101" s="36" t="s">
        <v>4037</v>
      </c>
      <c r="B101" s="36" t="s">
        <v>4546</v>
      </c>
      <c r="C101" s="36" t="s">
        <v>57</v>
      </c>
      <c r="D101" s="36">
        <v>100</v>
      </c>
      <c r="E101" s="36">
        <v>1</v>
      </c>
      <c r="G101" s="36" t="s">
        <v>4295</v>
      </c>
      <c r="J101" s="36" t="s">
        <v>28</v>
      </c>
      <c r="K101" s="36" t="s">
        <v>26</v>
      </c>
      <c r="M101" s="36" t="s">
        <v>4545</v>
      </c>
      <c r="N101" s="86"/>
      <c r="O101" s="88"/>
      <c r="P101" s="89"/>
      <c r="Q101" s="90"/>
      <c r="U101" s="88"/>
      <c r="V101" s="91"/>
      <c r="W101" s="92"/>
      <c r="X101" s="93"/>
      <c r="AA101" s="94"/>
      <c r="AB101" s="55"/>
      <c r="AD101" s="36" t="s">
        <v>4138</v>
      </c>
      <c r="AE101" s="36"/>
      <c r="AF101" s="36" t="s">
        <v>4552</v>
      </c>
      <c r="AO101" s="37"/>
      <c r="AP101" s="86"/>
      <c r="AQ101" s="88"/>
      <c r="AR101" s="89"/>
      <c r="AS101" s="90"/>
      <c r="AV101" s="88"/>
      <c r="AW101" s="96"/>
      <c r="AX101" s="97"/>
      <c r="AY101" s="93"/>
      <c r="BB101" s="94"/>
      <c r="BE101" s="37"/>
      <c r="BF101" s="36"/>
    </row>
    <row r="102" spans="1:59" ht="15" customHeight="1">
      <c r="A102" s="36" t="s">
        <v>4037</v>
      </c>
      <c r="B102" s="36" t="s">
        <v>4547</v>
      </c>
      <c r="C102" s="36" t="s">
        <v>57</v>
      </c>
      <c r="D102" s="36">
        <v>101</v>
      </c>
      <c r="E102" s="36">
        <v>1</v>
      </c>
      <c r="G102" s="36" t="s">
        <v>4553</v>
      </c>
      <c r="J102" s="36" t="s">
        <v>29</v>
      </c>
      <c r="K102" s="36" t="s">
        <v>26</v>
      </c>
      <c r="M102" s="36" t="s">
        <v>4545</v>
      </c>
      <c r="N102" s="86"/>
      <c r="O102" s="88"/>
      <c r="P102" s="89"/>
      <c r="Q102" s="90">
        <v>4</v>
      </c>
      <c r="R102" s="79">
        <v>3</v>
      </c>
      <c r="T102" s="81">
        <v>3</v>
      </c>
      <c r="U102" s="88"/>
      <c r="V102" s="91">
        <v>1</v>
      </c>
      <c r="W102" s="92"/>
      <c r="X102" s="93"/>
      <c r="AA102" s="94"/>
      <c r="AB102" s="55"/>
      <c r="AD102" s="36" t="s">
        <v>4554</v>
      </c>
      <c r="AE102" s="36" t="s">
        <v>4555</v>
      </c>
      <c r="AF102" s="36" t="s">
        <v>4556</v>
      </c>
      <c r="AO102" s="37"/>
      <c r="AP102" s="86"/>
      <c r="AQ102" s="88"/>
      <c r="AR102" s="89"/>
      <c r="AS102" s="90"/>
      <c r="AV102" s="88"/>
      <c r="AW102" s="96"/>
      <c r="AX102" s="97"/>
      <c r="AY102" s="93"/>
      <c r="BB102" s="94"/>
      <c r="BE102" s="37"/>
      <c r="BF102" s="36"/>
    </row>
    <row r="103" spans="1:59" ht="15" customHeight="1">
      <c r="A103" s="36" t="s">
        <v>4037</v>
      </c>
      <c r="B103" s="36" t="s">
        <v>4548</v>
      </c>
      <c r="C103" s="36" t="s">
        <v>57</v>
      </c>
      <c r="D103" s="36">
        <v>102</v>
      </c>
      <c r="E103" s="36">
        <v>1</v>
      </c>
      <c r="G103" s="36" t="s">
        <v>4557</v>
      </c>
      <c r="J103" s="36" t="s">
        <v>29</v>
      </c>
      <c r="K103" s="36" t="s">
        <v>26</v>
      </c>
      <c r="M103" s="36" t="s">
        <v>4545</v>
      </c>
      <c r="N103" s="86"/>
      <c r="O103" s="88"/>
      <c r="P103" s="89"/>
      <c r="Q103" s="90">
        <v>2</v>
      </c>
      <c r="R103" s="79">
        <v>3</v>
      </c>
      <c r="T103" s="81">
        <v>3</v>
      </c>
      <c r="U103" s="88"/>
      <c r="V103" s="91">
        <v>1</v>
      </c>
      <c r="W103" s="92"/>
      <c r="X103" s="93"/>
      <c r="AA103" s="94"/>
      <c r="AB103" s="55"/>
      <c r="AD103" s="36" t="s">
        <v>4558</v>
      </c>
      <c r="AE103" s="36" t="s">
        <v>4555</v>
      </c>
      <c r="AF103" s="36" t="s">
        <v>4559</v>
      </c>
      <c r="AO103" s="37"/>
      <c r="AP103" s="86"/>
      <c r="AQ103" s="88"/>
      <c r="AR103" s="89"/>
      <c r="AS103" s="90"/>
      <c r="AV103" s="88"/>
      <c r="AW103" s="96"/>
      <c r="AX103" s="97"/>
      <c r="AY103" s="93"/>
      <c r="BB103" s="94"/>
      <c r="BE103" s="37"/>
      <c r="BF103" s="36"/>
    </row>
    <row r="104" spans="1:59" ht="15" customHeight="1">
      <c r="A104" s="36" t="s">
        <v>4037</v>
      </c>
      <c r="B104" s="36" t="s">
        <v>4549</v>
      </c>
      <c r="C104" s="36" t="s">
        <v>57</v>
      </c>
      <c r="D104" s="36">
        <v>103</v>
      </c>
      <c r="E104" s="36">
        <v>1</v>
      </c>
      <c r="G104" s="36" t="s">
        <v>4560</v>
      </c>
      <c r="J104" s="36" t="s">
        <v>29</v>
      </c>
      <c r="K104" s="36" t="s">
        <v>26</v>
      </c>
      <c r="M104" s="36" t="s">
        <v>4545</v>
      </c>
      <c r="N104" s="86"/>
      <c r="O104" s="88"/>
      <c r="P104" s="89"/>
      <c r="Q104" s="90">
        <v>3</v>
      </c>
      <c r="R104" s="79">
        <v>2</v>
      </c>
      <c r="T104" s="81">
        <v>2</v>
      </c>
      <c r="U104" s="88"/>
      <c r="V104" s="91">
        <v>1</v>
      </c>
      <c r="W104" s="92"/>
      <c r="X104" s="93"/>
      <c r="AA104" s="94"/>
      <c r="AB104" s="55"/>
      <c r="AD104" s="36" t="s">
        <v>4561</v>
      </c>
      <c r="AE104" s="36" t="s">
        <v>4555</v>
      </c>
      <c r="AF104" s="36" t="s">
        <v>4562</v>
      </c>
      <c r="AO104" s="37"/>
      <c r="AP104" s="86"/>
      <c r="AQ104" s="88"/>
      <c r="AR104" s="89"/>
      <c r="AS104" s="90"/>
      <c r="AV104" s="88"/>
      <c r="AW104" s="96"/>
      <c r="AX104" s="97"/>
      <c r="AY104" s="93"/>
      <c r="BB104" s="94"/>
      <c r="BE104" s="37"/>
      <c r="BF104" s="36"/>
    </row>
    <row r="105" spans="1:59" ht="15" customHeight="1">
      <c r="A105" s="36" t="s">
        <v>4037</v>
      </c>
      <c r="B105" s="36" t="s">
        <v>4436</v>
      </c>
      <c r="C105" s="36" t="s">
        <v>57</v>
      </c>
      <c r="D105" s="44">
        <v>104</v>
      </c>
      <c r="E105" s="41">
        <v>1</v>
      </c>
      <c r="F105" s="41" t="s">
        <v>4296</v>
      </c>
      <c r="G105" s="41" t="s">
        <v>4296</v>
      </c>
      <c r="H105" s="36" t="s">
        <v>4563</v>
      </c>
      <c r="J105" s="36" t="s">
        <v>4472</v>
      </c>
      <c r="AB105" s="55"/>
      <c r="AF105" s="36" t="s">
        <v>4784</v>
      </c>
      <c r="AI105" s="39" t="s">
        <v>4296</v>
      </c>
      <c r="AJ105" s="41" t="s">
        <v>4564</v>
      </c>
      <c r="AL105" s="36" t="s">
        <v>4472</v>
      </c>
      <c r="AO105" s="37"/>
      <c r="AP105" s="86"/>
      <c r="AQ105" s="88"/>
      <c r="AR105" s="89"/>
      <c r="AS105" s="90"/>
      <c r="AV105" s="88"/>
      <c r="AW105" s="96"/>
      <c r="AX105" s="97"/>
      <c r="AY105" s="93"/>
      <c r="BB105" s="94"/>
      <c r="BE105" s="37"/>
      <c r="BF105" s="36"/>
      <c r="BG105" s="36" t="s">
        <v>4785</v>
      </c>
    </row>
    <row r="106" spans="1:59" ht="15" customHeight="1">
      <c r="A106" s="36" t="s">
        <v>4037</v>
      </c>
      <c r="B106" s="36" t="s">
        <v>4437</v>
      </c>
      <c r="C106" s="36" t="s">
        <v>57</v>
      </c>
      <c r="D106" s="37">
        <v>105</v>
      </c>
      <c r="E106" s="36">
        <v>1</v>
      </c>
      <c r="F106" s="41" t="s">
        <v>4296</v>
      </c>
      <c r="G106" s="36" t="s">
        <v>4297</v>
      </c>
      <c r="J106" s="36" t="s">
        <v>4473</v>
      </c>
      <c r="L106" s="36">
        <v>1</v>
      </c>
      <c r="Z106" s="81">
        <v>3</v>
      </c>
      <c r="AB106" s="55"/>
      <c r="AI106" s="36" t="s">
        <v>4565</v>
      </c>
      <c r="AL106" s="36" t="s">
        <v>4473</v>
      </c>
      <c r="AN106" s="36">
        <v>1</v>
      </c>
      <c r="AO106" s="37"/>
      <c r="AP106" s="86"/>
      <c r="AQ106" s="88"/>
      <c r="AR106" s="89"/>
      <c r="AS106" s="90"/>
      <c r="AV106" s="88"/>
      <c r="AW106" s="96"/>
      <c r="AX106" s="97"/>
      <c r="AY106" s="93"/>
      <c r="BB106" s="94"/>
      <c r="BE106" s="37"/>
      <c r="BF106" s="36"/>
      <c r="BG106" s="36" t="s">
        <v>4566</v>
      </c>
    </row>
    <row r="107" spans="1:59" ht="15" customHeight="1">
      <c r="A107" s="36" t="s">
        <v>4037</v>
      </c>
      <c r="B107" s="36" t="s">
        <v>4438</v>
      </c>
      <c r="C107" s="36" t="s">
        <v>57</v>
      </c>
      <c r="D107" s="37">
        <v>106</v>
      </c>
      <c r="E107" s="36">
        <v>1</v>
      </c>
      <c r="F107" s="41" t="s">
        <v>4296</v>
      </c>
      <c r="G107" s="36" t="s">
        <v>4298</v>
      </c>
      <c r="J107" s="36" t="s">
        <v>4473</v>
      </c>
      <c r="L107" s="36">
        <v>2</v>
      </c>
      <c r="Z107" s="81">
        <v>7</v>
      </c>
      <c r="AB107" s="55"/>
      <c r="AI107" s="36" t="s">
        <v>4567</v>
      </c>
      <c r="AL107" s="36" t="s">
        <v>4473</v>
      </c>
      <c r="AN107" s="36">
        <v>2</v>
      </c>
      <c r="AO107" s="37"/>
      <c r="AP107" s="86"/>
      <c r="AQ107" s="88"/>
      <c r="AR107" s="89"/>
      <c r="AS107" s="90"/>
      <c r="AV107" s="88"/>
      <c r="AW107" s="96"/>
      <c r="AX107" s="97"/>
      <c r="AY107" s="93"/>
      <c r="BB107" s="94"/>
      <c r="BE107" s="37"/>
      <c r="BF107" s="36"/>
      <c r="BG107" s="36" t="s">
        <v>4568</v>
      </c>
    </row>
    <row r="108" spans="1:59" ht="15" customHeight="1">
      <c r="A108" s="36" t="s">
        <v>4037</v>
      </c>
      <c r="B108" s="36" t="s">
        <v>4439</v>
      </c>
      <c r="C108" s="36" t="s">
        <v>57</v>
      </c>
      <c r="D108" s="37">
        <v>107</v>
      </c>
      <c r="E108" s="36">
        <v>1</v>
      </c>
      <c r="F108" s="41" t="s">
        <v>4296</v>
      </c>
      <c r="G108" s="36" t="s">
        <v>4299</v>
      </c>
      <c r="J108" s="36" t="s">
        <v>4473</v>
      </c>
      <c r="L108" s="36">
        <v>3</v>
      </c>
      <c r="Z108" s="81">
        <v>10</v>
      </c>
      <c r="AB108" s="55"/>
      <c r="AF108" s="36" t="s">
        <v>4474</v>
      </c>
      <c r="AI108" s="36" t="s">
        <v>4569</v>
      </c>
      <c r="AL108" s="36" t="s">
        <v>4473</v>
      </c>
      <c r="AN108" s="36">
        <v>3</v>
      </c>
      <c r="AO108" s="37"/>
      <c r="AP108" s="86"/>
      <c r="AQ108" s="88"/>
      <c r="AR108" s="89"/>
      <c r="AS108" s="90"/>
      <c r="AV108" s="88"/>
      <c r="AW108" s="96"/>
      <c r="AX108" s="97"/>
      <c r="AY108" s="93"/>
      <c r="BB108" s="94"/>
      <c r="BE108" s="37"/>
      <c r="BF108" s="36"/>
      <c r="BG108" s="36" t="s">
        <v>4570</v>
      </c>
    </row>
    <row r="109" spans="1:59" ht="15" customHeight="1">
      <c r="A109" s="36" t="s">
        <v>4037</v>
      </c>
      <c r="B109" s="36" t="s">
        <v>4440</v>
      </c>
      <c r="C109" s="36" t="s">
        <v>57</v>
      </c>
      <c r="D109" s="36">
        <v>108</v>
      </c>
      <c r="E109" s="36">
        <v>1</v>
      </c>
      <c r="F109" s="41" t="s">
        <v>4296</v>
      </c>
      <c r="G109" s="36" t="s">
        <v>4300</v>
      </c>
      <c r="J109" s="36" t="s">
        <v>4475</v>
      </c>
      <c r="L109" s="36">
        <v>1</v>
      </c>
      <c r="N109" s="86"/>
      <c r="S109" s="126">
        <v>1</v>
      </c>
      <c r="Y109" s="79" t="s">
        <v>4965</v>
      </c>
      <c r="AB109" s="55"/>
      <c r="AE109" s="36"/>
      <c r="AI109" s="36" t="s">
        <v>4571</v>
      </c>
      <c r="AL109" s="36" t="s">
        <v>4475</v>
      </c>
      <c r="AN109" s="36">
        <v>1</v>
      </c>
      <c r="AO109" s="37"/>
      <c r="AP109" s="86"/>
      <c r="AQ109" s="88"/>
      <c r="AR109" s="89"/>
      <c r="AS109" s="90"/>
      <c r="AV109" s="88"/>
      <c r="AW109" s="96"/>
      <c r="AX109" s="97"/>
      <c r="AY109" s="93"/>
      <c r="BB109" s="94"/>
      <c r="BE109" s="37"/>
      <c r="BF109" s="36"/>
      <c r="BG109" s="36" t="s">
        <v>4572</v>
      </c>
    </row>
    <row r="110" spans="1:59" ht="15" customHeight="1">
      <c r="A110" s="36" t="s">
        <v>4037</v>
      </c>
      <c r="B110" s="36" t="s">
        <v>4441</v>
      </c>
      <c r="C110" s="36" t="s">
        <v>57</v>
      </c>
      <c r="D110" s="36">
        <v>109</v>
      </c>
      <c r="E110" s="36">
        <v>1</v>
      </c>
      <c r="F110" s="41" t="s">
        <v>4296</v>
      </c>
      <c r="G110" s="36" t="s">
        <v>4301</v>
      </c>
      <c r="J110" s="36" t="s">
        <v>4475</v>
      </c>
      <c r="L110" s="36">
        <v>2</v>
      </c>
      <c r="N110" s="86"/>
      <c r="Y110" s="79" t="s">
        <v>4966</v>
      </c>
      <c r="AB110" s="55"/>
      <c r="AE110" s="36"/>
      <c r="AF110" s="36" t="s">
        <v>4476</v>
      </c>
      <c r="AI110" s="36" t="s">
        <v>4573</v>
      </c>
      <c r="AL110" s="36" t="s">
        <v>4475</v>
      </c>
      <c r="AN110" s="36">
        <v>2</v>
      </c>
      <c r="AO110" s="37"/>
      <c r="AP110" s="86"/>
      <c r="AQ110" s="88"/>
      <c r="AR110" s="89"/>
      <c r="AS110" s="90"/>
      <c r="AV110" s="88"/>
      <c r="AW110" s="96"/>
      <c r="AX110" s="97"/>
      <c r="AY110" s="93"/>
      <c r="BB110" s="94"/>
      <c r="BE110" s="37"/>
      <c r="BF110" s="36"/>
      <c r="BG110" s="36" t="s">
        <v>4574</v>
      </c>
    </row>
    <row r="111" spans="1:59" ht="15" customHeight="1">
      <c r="A111" s="36" t="s">
        <v>4037</v>
      </c>
      <c r="B111" s="36" t="s">
        <v>4442</v>
      </c>
      <c r="C111" s="36" t="s">
        <v>57</v>
      </c>
      <c r="D111" s="36">
        <v>110</v>
      </c>
      <c r="E111" s="36">
        <v>1</v>
      </c>
      <c r="F111" s="41" t="s">
        <v>4296</v>
      </c>
      <c r="G111" s="36" t="s">
        <v>4302</v>
      </c>
      <c r="J111" s="36" t="s">
        <v>4475</v>
      </c>
      <c r="L111" s="36">
        <v>3</v>
      </c>
      <c r="N111" s="86"/>
      <c r="S111" s="126">
        <v>1</v>
      </c>
      <c r="Y111" s="95" t="s">
        <v>38</v>
      </c>
      <c r="AB111" s="55"/>
      <c r="AE111" s="36"/>
      <c r="AF111" s="36" t="s">
        <v>4477</v>
      </c>
      <c r="AI111" s="36" t="s">
        <v>4575</v>
      </c>
      <c r="AL111" s="36" t="s">
        <v>4475</v>
      </c>
      <c r="AN111" s="36">
        <v>3</v>
      </c>
      <c r="AO111" s="37"/>
      <c r="AP111" s="86"/>
      <c r="AQ111" s="88"/>
      <c r="AR111" s="89"/>
      <c r="AS111" s="90"/>
      <c r="AV111" s="88"/>
      <c r="AW111" s="96"/>
      <c r="AX111" s="97"/>
      <c r="AY111" s="93"/>
      <c r="BB111" s="94"/>
      <c r="BE111" s="37"/>
      <c r="BF111" s="36"/>
      <c r="BG111" s="36" t="s">
        <v>4576</v>
      </c>
    </row>
    <row r="112" spans="1:59" ht="15" customHeight="1">
      <c r="A112" s="36" t="s">
        <v>4037</v>
      </c>
      <c r="B112" s="36" t="s">
        <v>4443</v>
      </c>
      <c r="C112" s="36" t="s">
        <v>57</v>
      </c>
      <c r="D112" s="36">
        <v>111</v>
      </c>
      <c r="E112" s="36">
        <v>1</v>
      </c>
      <c r="F112" s="41" t="s">
        <v>4296</v>
      </c>
      <c r="G112" s="36" t="s">
        <v>4303</v>
      </c>
      <c r="J112" s="36" t="s">
        <v>31</v>
      </c>
      <c r="N112" s="86"/>
      <c r="AB112" s="55"/>
      <c r="AE112" s="36"/>
      <c r="AI112" s="36" t="s">
        <v>4303</v>
      </c>
      <c r="AL112" s="36" t="s">
        <v>31</v>
      </c>
      <c r="AP112" s="86"/>
      <c r="AY112" s="84">
        <v>2</v>
      </c>
      <c r="AZ112" s="79" t="s">
        <v>4965</v>
      </c>
      <c r="BF112" s="36"/>
    </row>
    <row r="113" spans="1:59" ht="15" customHeight="1">
      <c r="A113" s="36" t="s">
        <v>4037</v>
      </c>
      <c r="B113" s="36" t="s">
        <v>4444</v>
      </c>
      <c r="C113" s="36" t="s">
        <v>57</v>
      </c>
      <c r="D113" s="36">
        <v>112</v>
      </c>
      <c r="E113" s="36">
        <v>1</v>
      </c>
      <c r="F113" s="41" t="s">
        <v>4296</v>
      </c>
      <c r="G113" s="36" t="s">
        <v>4304</v>
      </c>
      <c r="J113" s="36" t="s">
        <v>31</v>
      </c>
      <c r="N113" s="86"/>
      <c r="S113" s="126">
        <v>1</v>
      </c>
      <c r="AB113" s="55"/>
      <c r="AE113" s="36"/>
      <c r="AI113" s="36" t="s">
        <v>4304</v>
      </c>
      <c r="AL113" s="36" t="s">
        <v>31</v>
      </c>
      <c r="AP113" s="86"/>
      <c r="AY113" s="84">
        <v>1</v>
      </c>
      <c r="AZ113" s="79">
        <v>0</v>
      </c>
      <c r="BF113" s="36"/>
    </row>
    <row r="114" spans="1:59" ht="15" customHeight="1">
      <c r="A114" s="36" t="s">
        <v>4037</v>
      </c>
      <c r="B114" s="36" t="s">
        <v>4445</v>
      </c>
      <c r="C114" s="36" t="s">
        <v>57</v>
      </c>
      <c r="D114" s="36">
        <v>113</v>
      </c>
      <c r="E114" s="36">
        <v>1</v>
      </c>
      <c r="F114" s="41" t="s">
        <v>4296</v>
      </c>
      <c r="G114" s="36" t="s">
        <v>4305</v>
      </c>
      <c r="J114" s="36" t="s">
        <v>31</v>
      </c>
      <c r="N114" s="86"/>
      <c r="AB114" s="55"/>
      <c r="AE114" s="36"/>
      <c r="AI114" s="36" t="s">
        <v>4305</v>
      </c>
      <c r="AL114" s="36" t="s">
        <v>31</v>
      </c>
      <c r="AP114" s="86"/>
      <c r="AY114" s="84">
        <v>1</v>
      </c>
      <c r="AZ114" s="79" t="s">
        <v>4965</v>
      </c>
      <c r="BB114" s="85">
        <v>1</v>
      </c>
      <c r="BF114" s="36"/>
      <c r="BG114" s="36" t="s">
        <v>4478</v>
      </c>
    </row>
    <row r="115" spans="1:59" ht="15" customHeight="1">
      <c r="A115" s="36" t="s">
        <v>4037</v>
      </c>
      <c r="B115" s="36" t="s">
        <v>4446</v>
      </c>
      <c r="C115" s="36" t="s">
        <v>57</v>
      </c>
      <c r="D115" s="36">
        <v>114</v>
      </c>
      <c r="E115" s="36">
        <v>1</v>
      </c>
      <c r="F115" s="41" t="s">
        <v>4296</v>
      </c>
      <c r="G115" s="36" t="s">
        <v>4306</v>
      </c>
      <c r="J115" s="36" t="s">
        <v>31</v>
      </c>
      <c r="N115" s="86"/>
      <c r="S115" s="126">
        <v>1</v>
      </c>
      <c r="AB115" s="55"/>
      <c r="AE115" s="36"/>
      <c r="AI115" s="36" t="s">
        <v>4306</v>
      </c>
      <c r="AL115" s="36" t="s">
        <v>31</v>
      </c>
      <c r="AP115" s="86"/>
      <c r="AY115" s="84">
        <v>4</v>
      </c>
      <c r="AZ115" s="79" t="s">
        <v>4965</v>
      </c>
      <c r="BB115" s="85">
        <v>1</v>
      </c>
      <c r="BF115" s="36"/>
      <c r="BG115" s="36" t="s">
        <v>4479</v>
      </c>
    </row>
    <row r="116" spans="1:59" ht="15" customHeight="1">
      <c r="A116" s="36" t="s">
        <v>4037</v>
      </c>
      <c r="B116" s="36" t="s">
        <v>4447</v>
      </c>
      <c r="C116" s="36" t="s">
        <v>57</v>
      </c>
      <c r="D116" s="36">
        <v>115</v>
      </c>
      <c r="E116" s="36">
        <v>1</v>
      </c>
      <c r="F116" s="41" t="s">
        <v>4296</v>
      </c>
      <c r="G116" s="36" t="s">
        <v>4307</v>
      </c>
      <c r="J116" s="36" t="s">
        <v>31</v>
      </c>
      <c r="N116" s="86"/>
      <c r="AB116" s="55"/>
      <c r="AE116" s="36"/>
      <c r="AI116" s="36" t="s">
        <v>4307</v>
      </c>
      <c r="AL116" s="36" t="s">
        <v>31</v>
      </c>
      <c r="AP116" s="86"/>
      <c r="AY116" s="84">
        <v>2</v>
      </c>
      <c r="AZ116" s="79">
        <v>0</v>
      </c>
      <c r="BF116" s="36"/>
      <c r="BG116" s="36" t="s">
        <v>4480</v>
      </c>
    </row>
    <row r="117" spans="1:59" ht="15" customHeight="1">
      <c r="A117" s="36" t="s">
        <v>4037</v>
      </c>
      <c r="B117" s="36" t="s">
        <v>4448</v>
      </c>
      <c r="C117" s="36" t="s">
        <v>57</v>
      </c>
      <c r="D117" s="36">
        <v>116</v>
      </c>
      <c r="E117" s="36">
        <v>1</v>
      </c>
      <c r="F117" s="41" t="s">
        <v>4296</v>
      </c>
      <c r="G117" s="36" t="s">
        <v>4308</v>
      </c>
      <c r="J117" s="36" t="s">
        <v>29</v>
      </c>
      <c r="N117" s="86"/>
      <c r="Q117" s="78">
        <v>4</v>
      </c>
      <c r="R117" s="79">
        <v>4</v>
      </c>
      <c r="S117" s="126">
        <v>1</v>
      </c>
      <c r="T117" s="81" t="s">
        <v>4931</v>
      </c>
      <c r="V117" s="82">
        <v>2</v>
      </c>
      <c r="W117" s="83">
        <v>2</v>
      </c>
      <c r="AA117" s="85">
        <v>2</v>
      </c>
      <c r="AB117" s="55"/>
      <c r="AD117" s="36" t="s">
        <v>4309</v>
      </c>
      <c r="AE117" s="36"/>
      <c r="AF117" s="36" t="s">
        <v>4481</v>
      </c>
      <c r="AO117" s="37"/>
      <c r="AP117" s="86"/>
      <c r="AQ117" s="88"/>
      <c r="AR117" s="89"/>
      <c r="AS117" s="90"/>
      <c r="AV117" s="88"/>
      <c r="AW117" s="96"/>
      <c r="AX117" s="97"/>
      <c r="AY117" s="93"/>
      <c r="BB117" s="94"/>
      <c r="BE117" s="37"/>
      <c r="BF117" s="36"/>
    </row>
    <row r="118" spans="1:59" ht="15" customHeight="1">
      <c r="A118" s="36" t="s">
        <v>4037</v>
      </c>
      <c r="B118" s="36" t="s">
        <v>4449</v>
      </c>
      <c r="C118" s="36" t="s">
        <v>57</v>
      </c>
      <c r="D118" s="36">
        <v>117</v>
      </c>
      <c r="E118" s="36">
        <v>1</v>
      </c>
      <c r="F118" s="41" t="s">
        <v>4296</v>
      </c>
      <c r="G118" s="36" t="s">
        <v>4310</v>
      </c>
      <c r="H118" s="36" t="s">
        <v>4311</v>
      </c>
      <c r="I118" s="36" t="s">
        <v>4077</v>
      </c>
      <c r="J118" s="36" t="s">
        <v>4111</v>
      </c>
      <c r="N118" s="86"/>
      <c r="S118" s="126">
        <v>1</v>
      </c>
      <c r="T118" s="81">
        <v>3</v>
      </c>
      <c r="U118" s="76">
        <v>3</v>
      </c>
      <c r="AB118" s="55"/>
      <c r="AC118" s="36" t="s">
        <v>25</v>
      </c>
      <c r="AD118" s="36" t="s">
        <v>4312</v>
      </c>
      <c r="AE118" s="36"/>
      <c r="AF118" s="36" t="s">
        <v>4482</v>
      </c>
      <c r="AO118" s="37"/>
      <c r="AP118" s="86"/>
      <c r="AQ118" s="88"/>
      <c r="AR118" s="89"/>
      <c r="AS118" s="90"/>
      <c r="AV118" s="88"/>
      <c r="AW118" s="96"/>
      <c r="AX118" s="97"/>
      <c r="AY118" s="93"/>
      <c r="BB118" s="94"/>
      <c r="BE118" s="37"/>
      <c r="BF118" s="36"/>
    </row>
    <row r="119" spans="1:59" ht="15" customHeight="1">
      <c r="A119" s="36" t="s">
        <v>4037</v>
      </c>
      <c r="B119" s="36" t="s">
        <v>4450</v>
      </c>
      <c r="C119" s="36" t="s">
        <v>57</v>
      </c>
      <c r="D119" s="36">
        <v>118</v>
      </c>
      <c r="E119" s="36">
        <v>1</v>
      </c>
      <c r="F119" s="41" t="s">
        <v>4296</v>
      </c>
      <c r="G119" s="36" t="s">
        <v>4313</v>
      </c>
      <c r="J119" s="36" t="s">
        <v>29</v>
      </c>
      <c r="N119" s="86"/>
      <c r="Q119" s="78">
        <v>4</v>
      </c>
      <c r="R119" s="79">
        <v>1</v>
      </c>
      <c r="T119" s="81">
        <v>4</v>
      </c>
      <c r="V119" s="82">
        <v>1</v>
      </c>
      <c r="W119" s="83">
        <v>2</v>
      </c>
      <c r="AA119" s="85">
        <v>1</v>
      </c>
      <c r="AB119" s="55"/>
      <c r="AD119" s="36" t="s">
        <v>4314</v>
      </c>
      <c r="AE119" s="36"/>
      <c r="AF119" s="36" t="s">
        <v>4483</v>
      </c>
      <c r="AO119" s="37"/>
      <c r="AP119" s="86"/>
      <c r="AQ119" s="88"/>
      <c r="AR119" s="89"/>
      <c r="AS119" s="90"/>
      <c r="AV119" s="88"/>
      <c r="AW119" s="96"/>
      <c r="AX119" s="97"/>
      <c r="AY119" s="93"/>
      <c r="BB119" s="94"/>
      <c r="BE119" s="37"/>
      <c r="BF119" s="36"/>
    </row>
    <row r="120" spans="1:59" ht="15" customHeight="1">
      <c r="A120" s="36" t="s">
        <v>4037</v>
      </c>
      <c r="B120" s="36" t="s">
        <v>4451</v>
      </c>
      <c r="C120" s="36" t="s">
        <v>57</v>
      </c>
      <c r="D120" s="36">
        <v>119</v>
      </c>
      <c r="E120" s="36">
        <v>1</v>
      </c>
      <c r="F120" s="41" t="s">
        <v>4296</v>
      </c>
      <c r="G120" s="36" t="s">
        <v>4315</v>
      </c>
      <c r="J120" s="36" t="s">
        <v>29</v>
      </c>
      <c r="N120" s="86"/>
      <c r="Q120" s="78">
        <v>3</v>
      </c>
      <c r="R120" s="79">
        <v>4</v>
      </c>
      <c r="S120" s="126">
        <v>1</v>
      </c>
      <c r="T120" s="81">
        <v>4</v>
      </c>
      <c r="V120" s="82">
        <v>2</v>
      </c>
      <c r="W120" s="83">
        <v>1</v>
      </c>
      <c r="AA120" s="85">
        <v>1</v>
      </c>
      <c r="AB120" s="55"/>
      <c r="AD120" s="36" t="s">
        <v>4314</v>
      </c>
      <c r="AE120" s="36"/>
      <c r="AF120" s="36" t="s">
        <v>4484</v>
      </c>
      <c r="AO120" s="37"/>
      <c r="AP120" s="86"/>
      <c r="AQ120" s="88"/>
      <c r="AR120" s="89"/>
      <c r="AS120" s="90"/>
      <c r="AV120" s="88"/>
      <c r="AW120" s="96"/>
      <c r="AX120" s="97"/>
      <c r="AY120" s="93"/>
      <c r="BB120" s="94"/>
      <c r="BE120" s="37"/>
      <c r="BF120" s="36"/>
    </row>
    <row r="121" spans="1:59" ht="15" customHeight="1">
      <c r="A121" s="36" t="s">
        <v>4037</v>
      </c>
      <c r="B121" s="36" t="s">
        <v>4756</v>
      </c>
      <c r="C121" s="36" t="s">
        <v>57</v>
      </c>
      <c r="D121" s="36">
        <v>120</v>
      </c>
      <c r="E121" s="36">
        <v>1</v>
      </c>
      <c r="F121" s="36" t="s">
        <v>4577</v>
      </c>
      <c r="G121" s="36" t="s">
        <v>4577</v>
      </c>
      <c r="H121" s="36" t="s">
        <v>4563</v>
      </c>
      <c r="J121" s="36" t="s">
        <v>4472</v>
      </c>
      <c r="N121" s="86"/>
      <c r="AB121" s="55"/>
      <c r="AE121" s="36"/>
      <c r="AF121" s="36" t="s">
        <v>4578</v>
      </c>
      <c r="AI121" s="36" t="s">
        <v>4577</v>
      </c>
      <c r="AJ121" s="36" t="s">
        <v>4564</v>
      </c>
      <c r="AL121" s="36" t="s">
        <v>4472</v>
      </c>
      <c r="AO121" s="37"/>
      <c r="AP121" s="86"/>
      <c r="AQ121" s="88"/>
      <c r="AR121" s="89"/>
      <c r="AS121" s="90"/>
      <c r="AV121" s="88"/>
      <c r="AW121" s="96"/>
      <c r="AX121" s="97"/>
      <c r="AY121" s="93"/>
      <c r="BB121" s="94"/>
      <c r="BE121" s="37"/>
      <c r="BF121" s="36"/>
      <c r="BG121" s="36" t="s">
        <v>4579</v>
      </c>
    </row>
    <row r="122" spans="1:59" ht="15" customHeight="1">
      <c r="A122" s="36" t="s">
        <v>4037</v>
      </c>
      <c r="B122" s="36" t="s">
        <v>4757</v>
      </c>
      <c r="C122" s="36" t="s">
        <v>57</v>
      </c>
      <c r="D122" s="36">
        <v>121</v>
      </c>
      <c r="E122" s="36">
        <v>1</v>
      </c>
      <c r="F122" s="36" t="s">
        <v>4577</v>
      </c>
      <c r="G122" s="36" t="s">
        <v>4580</v>
      </c>
      <c r="J122" s="36" t="s">
        <v>4473</v>
      </c>
      <c r="L122" s="36">
        <v>1</v>
      </c>
      <c r="N122" s="86"/>
      <c r="Z122" s="81">
        <v>6</v>
      </c>
      <c r="AB122" s="55"/>
      <c r="AE122" s="36"/>
      <c r="AF122" s="36" t="s">
        <v>4581</v>
      </c>
      <c r="AI122" s="36" t="s">
        <v>4582</v>
      </c>
      <c r="AJ122" s="36" t="s">
        <v>4583</v>
      </c>
      <c r="AK122" s="36" t="s">
        <v>4077</v>
      </c>
      <c r="AL122" s="36" t="s">
        <v>29</v>
      </c>
      <c r="AO122" s="37"/>
      <c r="AP122" s="86"/>
      <c r="AQ122" s="88"/>
      <c r="AR122" s="89"/>
      <c r="AS122" s="90">
        <v>4</v>
      </c>
      <c r="AT122" s="79">
        <v>2</v>
      </c>
      <c r="AU122" s="81">
        <v>4</v>
      </c>
      <c r="AV122" s="88"/>
      <c r="AW122" s="96">
        <v>2</v>
      </c>
      <c r="AX122" s="97">
        <v>1</v>
      </c>
      <c r="AY122" s="93"/>
      <c r="BB122" s="94">
        <v>2</v>
      </c>
      <c r="BE122" s="37"/>
      <c r="BF122" s="36" t="s">
        <v>4584</v>
      </c>
      <c r="BG122" s="36" t="s">
        <v>4585</v>
      </c>
    </row>
    <row r="123" spans="1:59" ht="15" customHeight="1">
      <c r="A123" s="36" t="s">
        <v>4037</v>
      </c>
      <c r="B123" s="36" t="s">
        <v>4950</v>
      </c>
      <c r="C123" s="36" t="s">
        <v>57</v>
      </c>
      <c r="D123" s="36">
        <v>121</v>
      </c>
      <c r="E123" s="36">
        <v>1</v>
      </c>
      <c r="F123" s="36" t="s">
        <v>4577</v>
      </c>
      <c r="G123" s="36" t="s">
        <v>4582</v>
      </c>
      <c r="H123" s="36" t="s">
        <v>4583</v>
      </c>
      <c r="I123" s="36" t="s">
        <v>4077</v>
      </c>
      <c r="J123" s="36" t="s">
        <v>29</v>
      </c>
      <c r="M123" s="37"/>
      <c r="N123" s="86"/>
      <c r="O123" s="88"/>
      <c r="P123" s="89"/>
      <c r="Q123" s="90">
        <v>4</v>
      </c>
      <c r="R123" s="79">
        <v>2</v>
      </c>
      <c r="T123" s="81">
        <v>4</v>
      </c>
      <c r="U123" s="88"/>
      <c r="V123" s="96">
        <v>2</v>
      </c>
      <c r="W123" s="97">
        <v>1</v>
      </c>
      <c r="X123" s="93"/>
      <c r="AA123" s="94">
        <v>2</v>
      </c>
      <c r="AD123" s="37"/>
      <c r="AE123" s="36" t="s">
        <v>4584</v>
      </c>
      <c r="AF123" s="36" t="s">
        <v>4585</v>
      </c>
      <c r="AO123" s="37"/>
      <c r="AP123" s="86"/>
      <c r="AQ123" s="88"/>
      <c r="AR123" s="89"/>
      <c r="AS123" s="90"/>
      <c r="AV123" s="88"/>
      <c r="AW123" s="96"/>
      <c r="AX123" s="97"/>
      <c r="AY123" s="93"/>
      <c r="BB123" s="94"/>
      <c r="BE123" s="37"/>
      <c r="BF123" s="36"/>
    </row>
    <row r="124" spans="1:59" ht="15" customHeight="1">
      <c r="A124" s="36" t="s">
        <v>4037</v>
      </c>
      <c r="B124" s="36" t="s">
        <v>4758</v>
      </c>
      <c r="C124" s="36" t="s">
        <v>57</v>
      </c>
      <c r="D124" s="36">
        <v>122</v>
      </c>
      <c r="E124" s="36">
        <v>1</v>
      </c>
      <c r="F124" s="36" t="s">
        <v>4577</v>
      </c>
      <c r="G124" s="36" t="s">
        <v>4586</v>
      </c>
      <c r="J124" s="36" t="s">
        <v>4473</v>
      </c>
      <c r="L124" s="36">
        <v>2</v>
      </c>
      <c r="N124" s="86"/>
      <c r="Z124" s="81">
        <v>8</v>
      </c>
      <c r="AB124" s="55"/>
      <c r="AE124" s="36"/>
      <c r="AF124" s="36" t="s">
        <v>4581</v>
      </c>
      <c r="AI124" s="36" t="s">
        <v>4587</v>
      </c>
      <c r="AL124" s="36" t="s">
        <v>4473</v>
      </c>
      <c r="AN124" s="36">
        <v>2</v>
      </c>
      <c r="AO124" s="37"/>
      <c r="AP124" s="86"/>
      <c r="AQ124" s="88"/>
      <c r="AR124" s="89"/>
      <c r="AS124" s="90"/>
      <c r="AV124" s="88"/>
      <c r="AW124" s="96"/>
      <c r="AX124" s="97"/>
      <c r="AY124" s="93"/>
      <c r="BB124" s="94"/>
      <c r="BE124" s="37"/>
      <c r="BF124" s="36"/>
      <c r="BG124" s="36" t="s">
        <v>4588</v>
      </c>
    </row>
    <row r="125" spans="1:59" ht="15" customHeight="1">
      <c r="A125" s="36" t="s">
        <v>4037</v>
      </c>
      <c r="B125" s="36" t="s">
        <v>4759</v>
      </c>
      <c r="C125" s="36" t="s">
        <v>57</v>
      </c>
      <c r="D125" s="36">
        <v>123</v>
      </c>
      <c r="E125" s="36">
        <v>1</v>
      </c>
      <c r="F125" s="36" t="s">
        <v>4577</v>
      </c>
      <c r="G125" s="36" t="s">
        <v>4589</v>
      </c>
      <c r="J125" s="36" t="s">
        <v>4475</v>
      </c>
      <c r="L125" s="36">
        <v>1</v>
      </c>
      <c r="N125" s="86"/>
      <c r="Y125" s="95" t="s">
        <v>38</v>
      </c>
      <c r="AB125" s="55"/>
      <c r="AE125" s="36"/>
      <c r="AF125" s="36" t="s">
        <v>4590</v>
      </c>
      <c r="AI125" s="36" t="s">
        <v>4591</v>
      </c>
      <c r="AL125" s="36" t="s">
        <v>4475</v>
      </c>
      <c r="AN125" s="36">
        <v>1</v>
      </c>
      <c r="AO125" s="37"/>
      <c r="AP125" s="86"/>
      <c r="AQ125" s="88"/>
      <c r="AR125" s="89"/>
      <c r="AS125" s="90"/>
      <c r="AV125" s="88"/>
      <c r="AW125" s="96"/>
      <c r="AX125" s="97"/>
      <c r="AY125" s="93"/>
      <c r="BB125" s="94"/>
      <c r="BE125" s="37"/>
      <c r="BF125" s="36"/>
      <c r="BG125" s="36" t="s">
        <v>4592</v>
      </c>
    </row>
    <row r="126" spans="1:59" ht="15" customHeight="1">
      <c r="A126" s="36" t="s">
        <v>4037</v>
      </c>
      <c r="B126" s="36" t="s">
        <v>4760</v>
      </c>
      <c r="C126" s="36" t="s">
        <v>57</v>
      </c>
      <c r="D126" s="36">
        <v>124</v>
      </c>
      <c r="E126" s="36">
        <v>1</v>
      </c>
      <c r="F126" s="36" t="s">
        <v>4577</v>
      </c>
      <c r="G126" s="36" t="s">
        <v>4593</v>
      </c>
      <c r="J126" s="36" t="s">
        <v>31</v>
      </c>
      <c r="N126" s="86"/>
      <c r="AB126" s="55"/>
      <c r="AD126" s="36" t="s">
        <v>4317</v>
      </c>
      <c r="AE126" s="36"/>
      <c r="AI126" s="36" t="s">
        <v>4593</v>
      </c>
      <c r="AL126" s="36" t="s">
        <v>31</v>
      </c>
      <c r="AO126" s="37"/>
      <c r="AP126" s="86"/>
      <c r="AQ126" s="88"/>
      <c r="AR126" s="89"/>
      <c r="AS126" s="90"/>
      <c r="AV126" s="88"/>
      <c r="AW126" s="96"/>
      <c r="AX126" s="97"/>
      <c r="AY126" s="93">
        <v>2</v>
      </c>
      <c r="AZ126" s="79" t="s">
        <v>4927</v>
      </c>
      <c r="BB126" s="94"/>
      <c r="BE126" s="37" t="s">
        <v>4317</v>
      </c>
      <c r="BF126" s="36"/>
      <c r="BG126" s="36" t="s">
        <v>4594</v>
      </c>
    </row>
    <row r="127" spans="1:59" ht="15" customHeight="1">
      <c r="A127" s="36" t="s">
        <v>4037</v>
      </c>
      <c r="B127" s="36" t="s">
        <v>4761</v>
      </c>
      <c r="C127" s="36" t="s">
        <v>57</v>
      </c>
      <c r="D127" s="36">
        <v>125</v>
      </c>
      <c r="E127" s="36">
        <v>1</v>
      </c>
      <c r="F127" s="36" t="s">
        <v>4577</v>
      </c>
      <c r="G127" s="36" t="s">
        <v>4595</v>
      </c>
      <c r="J127" s="36" t="s">
        <v>31</v>
      </c>
      <c r="N127" s="86"/>
      <c r="AB127" s="55"/>
      <c r="AD127" s="36" t="s">
        <v>4596</v>
      </c>
      <c r="AE127" s="36"/>
      <c r="AI127" s="36" t="s">
        <v>4595</v>
      </c>
      <c r="AL127" s="36" t="s">
        <v>31</v>
      </c>
      <c r="AO127" s="37"/>
      <c r="AP127" s="86"/>
      <c r="AQ127" s="88"/>
      <c r="AR127" s="89"/>
      <c r="AS127" s="90"/>
      <c r="AV127" s="88"/>
      <c r="AW127" s="96"/>
      <c r="AX127" s="97"/>
      <c r="AY127" s="93">
        <v>1</v>
      </c>
      <c r="AZ127" s="79" t="s">
        <v>4927</v>
      </c>
      <c r="BB127" s="94"/>
      <c r="BE127" s="37" t="s">
        <v>4596</v>
      </c>
      <c r="BF127" s="36"/>
    </row>
    <row r="128" spans="1:59" ht="15" customHeight="1">
      <c r="A128" s="36" t="s">
        <v>4037</v>
      </c>
      <c r="B128" s="36" t="s">
        <v>4762</v>
      </c>
      <c r="C128" s="36" t="s">
        <v>57</v>
      </c>
      <c r="D128" s="36">
        <v>126</v>
      </c>
      <c r="E128" s="36">
        <v>1</v>
      </c>
      <c r="F128" s="36" t="s">
        <v>4577</v>
      </c>
      <c r="G128" s="36" t="s">
        <v>4597</v>
      </c>
      <c r="J128" s="36" t="s">
        <v>31</v>
      </c>
      <c r="N128" s="86"/>
      <c r="AB128" s="55"/>
      <c r="AD128" s="36" t="s">
        <v>4317</v>
      </c>
      <c r="AE128" s="36"/>
      <c r="AI128" s="36" t="s">
        <v>4597</v>
      </c>
      <c r="AJ128" s="36" t="s">
        <v>4598</v>
      </c>
      <c r="AL128" s="36" t="s">
        <v>31</v>
      </c>
      <c r="AO128" s="37"/>
      <c r="AP128" s="86"/>
      <c r="AQ128" s="88"/>
      <c r="AR128" s="89"/>
      <c r="AS128" s="90"/>
      <c r="AV128" s="88"/>
      <c r="AW128" s="96"/>
      <c r="AX128" s="97"/>
      <c r="AY128" s="93">
        <v>3</v>
      </c>
      <c r="AZ128" s="79" t="s">
        <v>4927</v>
      </c>
      <c r="BB128" s="94"/>
      <c r="BE128" s="37" t="s">
        <v>4317</v>
      </c>
      <c r="BF128" s="36"/>
      <c r="BG128" s="36" t="s">
        <v>4599</v>
      </c>
    </row>
    <row r="129" spans="1:59" ht="15" customHeight="1">
      <c r="A129" s="36" t="s">
        <v>4037</v>
      </c>
      <c r="B129" s="36" t="s">
        <v>4763</v>
      </c>
      <c r="C129" s="36" t="s">
        <v>57</v>
      </c>
      <c r="D129" s="36">
        <v>127</v>
      </c>
      <c r="E129" s="36">
        <v>1</v>
      </c>
      <c r="F129" s="36" t="s">
        <v>4577</v>
      </c>
      <c r="G129" s="36" t="s">
        <v>4597</v>
      </c>
      <c r="J129" s="36" t="s">
        <v>31</v>
      </c>
      <c r="N129" s="86"/>
      <c r="AB129" s="55"/>
      <c r="AD129" s="36" t="s">
        <v>4317</v>
      </c>
      <c r="AE129" s="36"/>
      <c r="AI129" s="36" t="s">
        <v>4597</v>
      </c>
      <c r="AJ129" s="36" t="s">
        <v>4600</v>
      </c>
      <c r="AL129" s="36" t="s">
        <v>31</v>
      </c>
      <c r="AO129" s="37"/>
      <c r="AP129" s="86"/>
      <c r="AQ129" s="88"/>
      <c r="AR129" s="89"/>
      <c r="AS129" s="90"/>
      <c r="AV129" s="88"/>
      <c r="AW129" s="96"/>
      <c r="AX129" s="97"/>
      <c r="AY129" s="93">
        <v>2</v>
      </c>
      <c r="AZ129" s="79" t="s">
        <v>4927</v>
      </c>
      <c r="BB129" s="94"/>
      <c r="BE129" s="37" t="s">
        <v>4317</v>
      </c>
      <c r="BF129" s="36"/>
      <c r="BG129" s="36" t="s">
        <v>4601</v>
      </c>
    </row>
    <row r="130" spans="1:59" ht="15" customHeight="1">
      <c r="A130" s="36" t="s">
        <v>4037</v>
      </c>
      <c r="B130" s="36" t="s">
        <v>4452</v>
      </c>
      <c r="C130" s="36" t="s">
        <v>57</v>
      </c>
      <c r="D130" s="36">
        <v>128</v>
      </c>
      <c r="E130" s="36">
        <v>1</v>
      </c>
      <c r="F130" s="36" t="s">
        <v>4577</v>
      </c>
      <c r="G130" s="36" t="s">
        <v>4316</v>
      </c>
      <c r="J130" s="36" t="s">
        <v>31</v>
      </c>
      <c r="N130" s="86"/>
      <c r="AB130" s="55"/>
      <c r="AD130" s="36" t="s">
        <v>4317</v>
      </c>
      <c r="AE130" s="36"/>
      <c r="AI130" s="36" t="s">
        <v>4316</v>
      </c>
      <c r="AL130" s="36" t="s">
        <v>31</v>
      </c>
      <c r="AP130" s="86"/>
      <c r="AY130" s="84">
        <v>2</v>
      </c>
      <c r="AZ130" s="79" t="s">
        <v>4927</v>
      </c>
      <c r="BE130" s="36" t="s">
        <v>4317</v>
      </c>
      <c r="BF130" s="36"/>
      <c r="BG130" s="36" t="s">
        <v>4485</v>
      </c>
    </row>
    <row r="131" spans="1:59" ht="15" customHeight="1">
      <c r="A131" s="36" t="s">
        <v>4037</v>
      </c>
      <c r="B131" s="36" t="s">
        <v>4453</v>
      </c>
      <c r="C131" s="36" t="s">
        <v>57</v>
      </c>
      <c r="D131" s="36">
        <v>129</v>
      </c>
      <c r="E131" s="36">
        <v>1</v>
      </c>
      <c r="F131" s="36" t="s">
        <v>4577</v>
      </c>
      <c r="G131" s="36" t="s">
        <v>4318</v>
      </c>
      <c r="J131" s="36" t="s">
        <v>31</v>
      </c>
      <c r="N131" s="86"/>
      <c r="AB131" s="55"/>
      <c r="AD131" s="36" t="s">
        <v>4317</v>
      </c>
      <c r="AE131" s="36"/>
      <c r="AI131" s="36" t="s">
        <v>4318</v>
      </c>
      <c r="AL131" s="36" t="s">
        <v>31</v>
      </c>
      <c r="AP131" s="86"/>
      <c r="AY131" s="84">
        <v>4</v>
      </c>
      <c r="AZ131" s="79" t="s">
        <v>4965</v>
      </c>
      <c r="BB131" s="85">
        <v>1</v>
      </c>
      <c r="BE131" s="36" t="s">
        <v>4317</v>
      </c>
      <c r="BF131" s="36"/>
      <c r="BG131" s="36" t="s">
        <v>4602</v>
      </c>
    </row>
    <row r="132" spans="1:59" ht="15" customHeight="1">
      <c r="A132" s="36" t="s">
        <v>4037</v>
      </c>
      <c r="B132" s="36" t="s">
        <v>4746</v>
      </c>
      <c r="C132" s="36" t="s">
        <v>57</v>
      </c>
      <c r="D132" s="36">
        <v>130</v>
      </c>
      <c r="E132" s="36">
        <v>1</v>
      </c>
      <c r="F132" s="36" t="s">
        <v>4577</v>
      </c>
      <c r="G132" s="36" t="s">
        <v>4603</v>
      </c>
      <c r="J132" s="36" t="s">
        <v>31</v>
      </c>
      <c r="N132" s="86"/>
      <c r="AB132" s="55"/>
      <c r="AD132" s="36" t="s">
        <v>4317</v>
      </c>
      <c r="AE132" s="36"/>
      <c r="AI132" s="36" t="s">
        <v>4603</v>
      </c>
      <c r="AJ132" s="36" t="s">
        <v>4604</v>
      </c>
      <c r="AL132" s="36" t="s">
        <v>31</v>
      </c>
      <c r="AO132" s="37"/>
      <c r="AP132" s="86"/>
      <c r="AQ132" s="88"/>
      <c r="AR132" s="89"/>
      <c r="AS132" s="90"/>
      <c r="AV132" s="88"/>
      <c r="AW132" s="96"/>
      <c r="AX132" s="97"/>
      <c r="AY132" s="93">
        <v>3</v>
      </c>
      <c r="AZ132" s="79" t="s">
        <v>4927</v>
      </c>
      <c r="BB132" s="94"/>
      <c r="BE132" s="37" t="s">
        <v>4317</v>
      </c>
      <c r="BF132" s="36"/>
      <c r="BG132" s="36" t="s">
        <v>4605</v>
      </c>
    </row>
    <row r="133" spans="1:59" ht="15" customHeight="1">
      <c r="A133" s="36" t="s">
        <v>4037</v>
      </c>
      <c r="B133" s="36" t="s">
        <v>4747</v>
      </c>
      <c r="C133" s="36" t="s">
        <v>57</v>
      </c>
      <c r="D133" s="36">
        <v>131</v>
      </c>
      <c r="E133" s="36">
        <v>1</v>
      </c>
      <c r="F133" s="36" t="s">
        <v>4577</v>
      </c>
      <c r="G133" s="36" t="s">
        <v>4603</v>
      </c>
      <c r="J133" s="36" t="s">
        <v>31</v>
      </c>
      <c r="N133" s="86"/>
      <c r="AB133" s="55"/>
      <c r="AD133" s="36" t="s">
        <v>4317</v>
      </c>
      <c r="AE133" s="36"/>
      <c r="AI133" s="36" t="s">
        <v>4603</v>
      </c>
      <c r="AJ133" s="36" t="s">
        <v>4606</v>
      </c>
      <c r="AL133" s="36" t="s">
        <v>31</v>
      </c>
      <c r="AO133" s="37"/>
      <c r="AP133" s="86"/>
      <c r="AQ133" s="88"/>
      <c r="AR133" s="89"/>
      <c r="AS133" s="90"/>
      <c r="AV133" s="88"/>
      <c r="AW133" s="96"/>
      <c r="AX133" s="97"/>
      <c r="AY133" s="93">
        <v>3</v>
      </c>
      <c r="AZ133" s="79" t="s">
        <v>4965</v>
      </c>
      <c r="BB133" s="94"/>
      <c r="BE133" s="37" t="s">
        <v>4317</v>
      </c>
      <c r="BF133" s="36"/>
      <c r="BG133" s="36" t="s">
        <v>4607</v>
      </c>
    </row>
    <row r="134" spans="1:59" ht="15" customHeight="1">
      <c r="A134" s="36" t="s">
        <v>4037</v>
      </c>
      <c r="B134" s="36" t="s">
        <v>4748</v>
      </c>
      <c r="C134" s="36" t="s">
        <v>57</v>
      </c>
      <c r="D134" s="36">
        <v>132</v>
      </c>
      <c r="E134" s="36">
        <v>1</v>
      </c>
      <c r="F134" s="36" t="s">
        <v>4577</v>
      </c>
      <c r="G134" s="36" t="s">
        <v>4608</v>
      </c>
      <c r="J134" s="36" t="s">
        <v>31</v>
      </c>
      <c r="N134" s="86"/>
      <c r="AB134" s="55"/>
      <c r="AD134" s="36" t="s">
        <v>4317</v>
      </c>
      <c r="AE134" s="36"/>
      <c r="AI134" s="36" t="s">
        <v>4608</v>
      </c>
      <c r="AL134" s="36" t="s">
        <v>31</v>
      </c>
      <c r="AO134" s="37"/>
      <c r="AP134" s="86"/>
      <c r="AQ134" s="88"/>
      <c r="AR134" s="89"/>
      <c r="AS134" s="90"/>
      <c r="AV134" s="88"/>
      <c r="AW134" s="96"/>
      <c r="AX134" s="97"/>
      <c r="AY134" s="93">
        <v>2</v>
      </c>
      <c r="AZ134" s="79" t="s">
        <v>4927</v>
      </c>
      <c r="BB134" s="94"/>
      <c r="BE134" s="37" t="s">
        <v>4317</v>
      </c>
      <c r="BF134" s="36"/>
      <c r="BG134" s="36" t="s">
        <v>4609</v>
      </c>
    </row>
    <row r="135" spans="1:59" ht="15" customHeight="1">
      <c r="A135" s="36" t="s">
        <v>4037</v>
      </c>
      <c r="B135" s="36" t="s">
        <v>4749</v>
      </c>
      <c r="C135" s="36" t="s">
        <v>57</v>
      </c>
      <c r="D135" s="36">
        <v>133</v>
      </c>
      <c r="E135" s="36">
        <v>1</v>
      </c>
      <c r="F135" s="36" t="s">
        <v>4577</v>
      </c>
      <c r="G135" s="36" t="s">
        <v>4610</v>
      </c>
      <c r="J135" s="36" t="s">
        <v>31</v>
      </c>
      <c r="N135" s="86"/>
      <c r="AB135" s="55"/>
      <c r="AD135" s="36" t="s">
        <v>4317</v>
      </c>
      <c r="AE135" s="36"/>
      <c r="AI135" s="36" t="s">
        <v>4610</v>
      </c>
      <c r="AL135" s="36" t="s">
        <v>31</v>
      </c>
      <c r="AO135" s="37"/>
      <c r="AP135" s="86"/>
      <c r="AQ135" s="88"/>
      <c r="AR135" s="89"/>
      <c r="AS135" s="90"/>
      <c r="AV135" s="88"/>
      <c r="AW135" s="96"/>
      <c r="AX135" s="97"/>
      <c r="AY135" s="93">
        <v>1</v>
      </c>
      <c r="AZ135" s="79" t="s">
        <v>4965</v>
      </c>
      <c r="BB135" s="94">
        <v>1</v>
      </c>
      <c r="BE135" s="37" t="s">
        <v>4317</v>
      </c>
      <c r="BF135" s="36"/>
      <c r="BG135" s="36" t="s">
        <v>4611</v>
      </c>
    </row>
    <row r="136" spans="1:59" ht="15" customHeight="1">
      <c r="A136" s="36" t="s">
        <v>4037</v>
      </c>
      <c r="B136" s="36" t="s">
        <v>4750</v>
      </c>
      <c r="C136" s="36" t="s">
        <v>57</v>
      </c>
      <c r="D136" s="36">
        <v>134</v>
      </c>
      <c r="E136" s="36">
        <v>1</v>
      </c>
      <c r="F136" s="36" t="s">
        <v>4577</v>
      </c>
      <c r="G136" s="36" t="s">
        <v>4612</v>
      </c>
      <c r="J136" s="36" t="s">
        <v>31</v>
      </c>
      <c r="N136" s="86"/>
      <c r="AB136" s="55"/>
      <c r="AD136" s="36" t="s">
        <v>4317</v>
      </c>
      <c r="AE136" s="36"/>
      <c r="AI136" s="36" t="s">
        <v>4612</v>
      </c>
      <c r="AL136" s="36" t="s">
        <v>31</v>
      </c>
      <c r="AO136" s="37"/>
      <c r="AP136" s="86"/>
      <c r="AQ136" s="88"/>
      <c r="AR136" s="89"/>
      <c r="AS136" s="90"/>
      <c r="AV136" s="88"/>
      <c r="AW136" s="96"/>
      <c r="AX136" s="97"/>
      <c r="AY136" s="93">
        <v>3</v>
      </c>
      <c r="AZ136" s="79" t="s">
        <v>4965</v>
      </c>
      <c r="BB136" s="94">
        <v>1</v>
      </c>
      <c r="BE136" s="37" t="s">
        <v>4317</v>
      </c>
      <c r="BF136" s="36"/>
      <c r="BG136" s="36" t="s">
        <v>4613</v>
      </c>
    </row>
    <row r="137" spans="1:59" ht="15" customHeight="1">
      <c r="A137" s="36" t="s">
        <v>4037</v>
      </c>
      <c r="B137" s="36" t="s">
        <v>4751</v>
      </c>
      <c r="C137" s="36" t="s">
        <v>57</v>
      </c>
      <c r="D137" s="36">
        <v>135</v>
      </c>
      <c r="E137" s="36">
        <v>3</v>
      </c>
      <c r="F137" s="36" t="s">
        <v>4577</v>
      </c>
      <c r="G137" s="36" t="s">
        <v>4614</v>
      </c>
      <c r="J137" s="36" t="s">
        <v>28</v>
      </c>
      <c r="N137" s="86"/>
      <c r="AB137" s="55"/>
      <c r="AD137" s="36" t="s">
        <v>4293</v>
      </c>
      <c r="AE137" s="36" t="s">
        <v>4615</v>
      </c>
      <c r="AF137" s="36" t="s">
        <v>4616</v>
      </c>
      <c r="AO137" s="37"/>
      <c r="AP137" s="86"/>
      <c r="AQ137" s="88"/>
      <c r="AR137" s="89"/>
      <c r="AS137" s="90"/>
      <c r="AV137" s="88"/>
      <c r="AW137" s="96"/>
      <c r="AX137" s="97"/>
      <c r="AY137" s="93"/>
      <c r="BB137" s="94"/>
      <c r="BE137" s="37"/>
      <c r="BF137" s="36"/>
    </row>
    <row r="138" spans="1:59" ht="15" customHeight="1">
      <c r="A138" s="36" t="s">
        <v>4037</v>
      </c>
      <c r="B138" s="36" t="s">
        <v>4752</v>
      </c>
      <c r="C138" s="36" t="s">
        <v>57</v>
      </c>
      <c r="D138" s="36">
        <v>136</v>
      </c>
      <c r="E138" s="36">
        <v>2</v>
      </c>
      <c r="F138" s="36" t="s">
        <v>4577</v>
      </c>
      <c r="G138" s="36" t="s">
        <v>4617</v>
      </c>
      <c r="J138" s="36" t="s">
        <v>28</v>
      </c>
      <c r="N138" s="86"/>
      <c r="AB138" s="55"/>
      <c r="AE138" s="36"/>
      <c r="AF138" s="36" t="s">
        <v>4618</v>
      </c>
      <c r="AO138" s="37"/>
      <c r="AP138" s="86"/>
      <c r="AQ138" s="88"/>
      <c r="AR138" s="89"/>
      <c r="AS138" s="90"/>
      <c r="AV138" s="88"/>
      <c r="AW138" s="96"/>
      <c r="AX138" s="97"/>
      <c r="AY138" s="93"/>
      <c r="BB138" s="94"/>
      <c r="BE138" s="37"/>
      <c r="BF138" s="36"/>
    </row>
    <row r="139" spans="1:59" ht="15" customHeight="1">
      <c r="A139" s="36" t="s">
        <v>4037</v>
      </c>
      <c r="B139" s="36" t="s">
        <v>4753</v>
      </c>
      <c r="C139" s="36" t="s">
        <v>57</v>
      </c>
      <c r="D139" s="36">
        <v>137</v>
      </c>
      <c r="E139" s="36">
        <v>1</v>
      </c>
      <c r="F139" s="36" t="s">
        <v>4764</v>
      </c>
      <c r="G139" s="36" t="s">
        <v>4619</v>
      </c>
      <c r="H139" s="36" t="s">
        <v>4620</v>
      </c>
      <c r="I139" s="36" t="s">
        <v>4077</v>
      </c>
      <c r="J139" s="36" t="s">
        <v>29</v>
      </c>
      <c r="N139" s="86"/>
      <c r="Q139" s="78">
        <v>4</v>
      </c>
      <c r="R139" s="79">
        <v>2</v>
      </c>
      <c r="T139" s="81">
        <v>4</v>
      </c>
      <c r="V139" s="82">
        <v>2</v>
      </c>
      <c r="W139" s="83">
        <v>0</v>
      </c>
      <c r="AA139" s="85">
        <v>1</v>
      </c>
      <c r="AB139" s="55"/>
      <c r="AD139" s="36" t="s">
        <v>4321</v>
      </c>
      <c r="AE139" s="36" t="s">
        <v>4621</v>
      </c>
      <c r="AF139" s="36" t="s">
        <v>4622</v>
      </c>
      <c r="AO139" s="37"/>
      <c r="AP139" s="86"/>
      <c r="AQ139" s="88"/>
      <c r="AR139" s="89"/>
      <c r="AS139" s="90"/>
      <c r="AV139" s="88"/>
      <c r="AW139" s="96"/>
      <c r="AX139" s="97"/>
      <c r="AY139" s="93"/>
      <c r="BB139" s="94"/>
      <c r="BE139" s="37"/>
      <c r="BF139" s="36"/>
    </row>
    <row r="140" spans="1:59" ht="15" customHeight="1">
      <c r="A140" s="36" t="s">
        <v>4037</v>
      </c>
      <c r="B140" s="36" t="s">
        <v>4754</v>
      </c>
      <c r="C140" s="36" t="s">
        <v>57</v>
      </c>
      <c r="D140" s="36">
        <v>138</v>
      </c>
      <c r="E140" s="36">
        <v>1</v>
      </c>
      <c r="F140" s="36" t="s">
        <v>4764</v>
      </c>
      <c r="G140" s="36" t="s">
        <v>4623</v>
      </c>
      <c r="H140" s="36" t="s">
        <v>4624</v>
      </c>
      <c r="I140" s="36" t="s">
        <v>4077</v>
      </c>
      <c r="J140" s="36" t="s">
        <v>29</v>
      </c>
      <c r="N140" s="86"/>
      <c r="Q140" s="78">
        <v>3</v>
      </c>
      <c r="R140" s="79">
        <v>4</v>
      </c>
      <c r="T140" s="81">
        <v>4</v>
      </c>
      <c r="V140" s="82">
        <v>1</v>
      </c>
      <c r="W140" s="83">
        <v>1</v>
      </c>
      <c r="AA140" s="85">
        <v>1</v>
      </c>
      <c r="AB140" s="55"/>
      <c r="AD140" s="36" t="s">
        <v>4321</v>
      </c>
      <c r="AE140" s="36" t="s">
        <v>4625</v>
      </c>
      <c r="AF140" s="36" t="s">
        <v>4626</v>
      </c>
      <c r="AO140" s="37"/>
      <c r="AP140" s="86"/>
      <c r="AQ140" s="88"/>
      <c r="AR140" s="89"/>
      <c r="AS140" s="90"/>
      <c r="AV140" s="88"/>
      <c r="AW140" s="96"/>
      <c r="AX140" s="97"/>
      <c r="AY140" s="93"/>
      <c r="BB140" s="94"/>
      <c r="BE140" s="37"/>
      <c r="BF140" s="36"/>
    </row>
    <row r="141" spans="1:59" ht="15" customHeight="1">
      <c r="A141" s="36" t="s">
        <v>4037</v>
      </c>
      <c r="B141" s="36" t="s">
        <v>4755</v>
      </c>
      <c r="C141" s="36" t="s">
        <v>57</v>
      </c>
      <c r="D141" s="36">
        <v>139</v>
      </c>
      <c r="E141" s="36">
        <v>1</v>
      </c>
      <c r="F141" s="36" t="s">
        <v>4764</v>
      </c>
      <c r="G141" s="36" t="s">
        <v>4627</v>
      </c>
      <c r="H141" s="36" t="s">
        <v>4628</v>
      </c>
      <c r="I141" s="36" t="s">
        <v>4077</v>
      </c>
      <c r="J141" s="36" t="s">
        <v>29</v>
      </c>
      <c r="N141" s="86"/>
      <c r="Q141" s="78">
        <v>2</v>
      </c>
      <c r="R141" s="79">
        <v>3</v>
      </c>
      <c r="T141" s="81">
        <v>3</v>
      </c>
      <c r="V141" s="82">
        <v>1</v>
      </c>
      <c r="W141" s="83">
        <v>0</v>
      </c>
      <c r="AA141" s="85">
        <v>1</v>
      </c>
      <c r="AB141" s="55"/>
      <c r="AD141" s="36" t="s">
        <v>4629</v>
      </c>
      <c r="AE141" s="36" t="s">
        <v>4630</v>
      </c>
      <c r="AF141" s="36" t="s">
        <v>4631</v>
      </c>
      <c r="AO141" s="37"/>
      <c r="AP141" s="86"/>
      <c r="AQ141" s="88"/>
      <c r="AR141" s="89"/>
      <c r="AS141" s="90"/>
      <c r="AV141" s="88"/>
      <c r="AW141" s="96"/>
      <c r="AX141" s="97"/>
      <c r="AY141" s="93"/>
      <c r="BB141" s="94"/>
      <c r="BE141" s="37"/>
      <c r="BF141" s="36"/>
    </row>
    <row r="142" spans="1:59" ht="15" customHeight="1">
      <c r="A142" s="36" t="s">
        <v>4037</v>
      </c>
      <c r="B142" s="36" t="s">
        <v>4454</v>
      </c>
      <c r="C142" s="36" t="s">
        <v>57</v>
      </c>
      <c r="D142" s="36">
        <v>140</v>
      </c>
      <c r="E142" s="36">
        <v>1</v>
      </c>
      <c r="F142" s="36" t="s">
        <v>4764</v>
      </c>
      <c r="G142" s="36" t="s">
        <v>4319</v>
      </c>
      <c r="H142" s="36" t="s">
        <v>4320</v>
      </c>
      <c r="I142" s="36" t="s">
        <v>4077</v>
      </c>
      <c r="J142" s="36" t="s">
        <v>29</v>
      </c>
      <c r="N142" s="86"/>
      <c r="Q142" s="78">
        <v>3</v>
      </c>
      <c r="R142" s="79">
        <v>3</v>
      </c>
      <c r="T142" s="81">
        <v>3</v>
      </c>
      <c r="V142" s="82">
        <v>1</v>
      </c>
      <c r="W142" s="83">
        <v>0</v>
      </c>
      <c r="AA142" s="85">
        <v>1</v>
      </c>
      <c r="AB142" s="55"/>
      <c r="AD142" s="36" t="s">
        <v>4321</v>
      </c>
      <c r="AE142" s="36" t="s">
        <v>4632</v>
      </c>
      <c r="AF142" s="36" t="s">
        <v>4633</v>
      </c>
      <c r="AO142" s="37"/>
      <c r="AP142" s="86"/>
      <c r="AQ142" s="88"/>
      <c r="AR142" s="89"/>
      <c r="AS142" s="90"/>
      <c r="AV142" s="88"/>
      <c r="AW142" s="96"/>
      <c r="AX142" s="97"/>
      <c r="AY142" s="93"/>
      <c r="BB142" s="94"/>
      <c r="BE142" s="37"/>
      <c r="BF142" s="36"/>
    </row>
    <row r="143" spans="1:59" ht="15" customHeight="1">
      <c r="A143" s="36" t="s">
        <v>4037</v>
      </c>
      <c r="B143" s="36" t="s">
        <v>4455</v>
      </c>
      <c r="C143" s="36" t="s">
        <v>57</v>
      </c>
      <c r="D143" s="36">
        <v>141</v>
      </c>
      <c r="E143" s="36">
        <v>1</v>
      </c>
      <c r="F143" s="36" t="s">
        <v>4764</v>
      </c>
      <c r="G143" s="36" t="s">
        <v>4322</v>
      </c>
      <c r="H143" s="36" t="s">
        <v>4323</v>
      </c>
      <c r="I143" s="36" t="s">
        <v>4077</v>
      </c>
      <c r="J143" s="36" t="s">
        <v>29</v>
      </c>
      <c r="N143" s="86"/>
      <c r="Q143" s="78">
        <v>2</v>
      </c>
      <c r="R143" s="79">
        <v>5</v>
      </c>
      <c r="T143" s="81">
        <v>4</v>
      </c>
      <c r="V143" s="82">
        <v>1</v>
      </c>
      <c r="W143" s="83">
        <v>0</v>
      </c>
      <c r="AA143" s="85">
        <v>1</v>
      </c>
      <c r="AB143" s="55"/>
      <c r="AD143" s="36" t="s">
        <v>4321</v>
      </c>
      <c r="AE143" s="36" t="s">
        <v>4634</v>
      </c>
      <c r="AF143" s="36" t="s">
        <v>4635</v>
      </c>
      <c r="AO143" s="37"/>
      <c r="AP143" s="86"/>
      <c r="AQ143" s="88"/>
      <c r="AR143" s="89"/>
      <c r="AS143" s="90"/>
      <c r="AV143" s="88"/>
      <c r="AW143" s="96"/>
      <c r="AX143" s="97"/>
      <c r="AY143" s="93"/>
      <c r="BB143" s="94"/>
      <c r="BE143" s="37"/>
      <c r="BF143" s="36"/>
    </row>
    <row r="144" spans="1:59" ht="15" customHeight="1">
      <c r="A144" s="36" t="s">
        <v>4037</v>
      </c>
      <c r="B144" s="36" t="s">
        <v>4743</v>
      </c>
      <c r="C144" s="36" t="s">
        <v>57</v>
      </c>
      <c r="D144" s="36">
        <v>142</v>
      </c>
      <c r="E144" s="36">
        <v>1</v>
      </c>
      <c r="F144" s="36" t="s">
        <v>4636</v>
      </c>
      <c r="G144" s="36" t="s">
        <v>4636</v>
      </c>
      <c r="H144" s="36" t="s">
        <v>4563</v>
      </c>
      <c r="J144" s="36" t="s">
        <v>4472</v>
      </c>
      <c r="N144" s="86"/>
      <c r="AB144" s="55"/>
      <c r="AE144" s="36"/>
      <c r="AF144" s="36" t="s">
        <v>4637</v>
      </c>
      <c r="AI144" s="36" t="s">
        <v>4636</v>
      </c>
      <c r="AJ144" s="36" t="s">
        <v>4564</v>
      </c>
      <c r="AL144" s="36" t="s">
        <v>4472</v>
      </c>
      <c r="AO144" s="37"/>
      <c r="AP144" s="86"/>
      <c r="AQ144" s="88"/>
      <c r="AR144" s="89"/>
      <c r="AS144" s="90"/>
      <c r="AV144" s="88"/>
      <c r="AW144" s="96"/>
      <c r="AX144" s="97"/>
      <c r="AY144" s="93"/>
      <c r="BB144" s="94"/>
      <c r="BE144" s="37"/>
      <c r="BF144" s="36"/>
      <c r="BG144" s="36" t="s">
        <v>4638</v>
      </c>
    </row>
    <row r="145" spans="1:59" ht="15" customHeight="1">
      <c r="A145" s="36" t="s">
        <v>4037</v>
      </c>
      <c r="B145" s="36" t="s">
        <v>4744</v>
      </c>
      <c r="C145" s="36" t="s">
        <v>57</v>
      </c>
      <c r="D145" s="36">
        <v>143</v>
      </c>
      <c r="E145" s="36">
        <v>1</v>
      </c>
      <c r="F145" s="36" t="s">
        <v>4636</v>
      </c>
      <c r="G145" s="36" t="s">
        <v>4639</v>
      </c>
      <c r="J145" s="36" t="s">
        <v>4473</v>
      </c>
      <c r="L145" s="36">
        <v>1</v>
      </c>
      <c r="N145" s="86"/>
      <c r="Z145" s="81">
        <v>3</v>
      </c>
      <c r="AB145" s="55"/>
      <c r="AE145" s="36"/>
      <c r="AI145" s="36" t="s">
        <v>4640</v>
      </c>
      <c r="AL145" s="36" t="s">
        <v>4473</v>
      </c>
      <c r="AN145" s="36">
        <v>1</v>
      </c>
      <c r="AO145" s="37"/>
      <c r="AP145" s="86"/>
      <c r="AQ145" s="88"/>
      <c r="AR145" s="89"/>
      <c r="AS145" s="90"/>
      <c r="AV145" s="88"/>
      <c r="AW145" s="96"/>
      <c r="AX145" s="97"/>
      <c r="AY145" s="93"/>
      <c r="BB145" s="94"/>
      <c r="BE145" s="37"/>
      <c r="BF145" s="36"/>
      <c r="BG145" s="36" t="s">
        <v>4641</v>
      </c>
    </row>
    <row r="146" spans="1:59" ht="15" customHeight="1">
      <c r="A146" s="36" t="s">
        <v>4037</v>
      </c>
      <c r="B146" s="36" t="s">
        <v>4745</v>
      </c>
      <c r="C146" s="36" t="s">
        <v>57</v>
      </c>
      <c r="D146" s="36">
        <v>144</v>
      </c>
      <c r="E146" s="36">
        <v>1</v>
      </c>
      <c r="F146" s="36" t="s">
        <v>4636</v>
      </c>
      <c r="G146" s="36" t="s">
        <v>4642</v>
      </c>
      <c r="J146" s="36" t="s">
        <v>4473</v>
      </c>
      <c r="L146" s="36">
        <v>2</v>
      </c>
      <c r="N146" s="86"/>
      <c r="Z146" s="81">
        <v>5</v>
      </c>
      <c r="AB146" s="55"/>
      <c r="AE146" s="36"/>
      <c r="AF146" s="36" t="s">
        <v>4643</v>
      </c>
      <c r="AI146" s="36" t="s">
        <v>4644</v>
      </c>
      <c r="AL146" s="36" t="s">
        <v>4473</v>
      </c>
      <c r="AN146" s="36">
        <v>2</v>
      </c>
      <c r="AO146" s="37"/>
      <c r="AP146" s="86"/>
      <c r="AQ146" s="88"/>
      <c r="AR146" s="89"/>
      <c r="AS146" s="90"/>
      <c r="AV146" s="88"/>
      <c r="AW146" s="96"/>
      <c r="AX146" s="97"/>
      <c r="AY146" s="93"/>
      <c r="BB146" s="94"/>
      <c r="BE146" s="37"/>
      <c r="BF146" s="36"/>
      <c r="BG146" s="36" t="s">
        <v>4645</v>
      </c>
    </row>
    <row r="147" spans="1:59" ht="15" customHeight="1">
      <c r="A147" s="36" t="s">
        <v>4037</v>
      </c>
      <c r="B147" s="36" t="s">
        <v>4456</v>
      </c>
      <c r="C147" s="36" t="s">
        <v>57</v>
      </c>
      <c r="D147" s="36">
        <v>145</v>
      </c>
      <c r="E147" s="36">
        <v>1</v>
      </c>
      <c r="F147" s="36" t="s">
        <v>4636</v>
      </c>
      <c r="G147" s="36" t="s">
        <v>4324</v>
      </c>
      <c r="J147" s="36" t="s">
        <v>4473</v>
      </c>
      <c r="L147" s="36">
        <v>3</v>
      </c>
      <c r="N147" s="86"/>
      <c r="Z147" s="81">
        <v>5</v>
      </c>
      <c r="AB147" s="55"/>
      <c r="AE147" s="36"/>
      <c r="AF147" s="36" t="s">
        <v>4646</v>
      </c>
      <c r="AI147" s="36" t="s">
        <v>4636</v>
      </c>
      <c r="AL147" s="36" t="s">
        <v>4473</v>
      </c>
      <c r="AN147" s="36">
        <v>3</v>
      </c>
      <c r="AO147" s="37"/>
      <c r="AP147" s="86"/>
      <c r="AQ147" s="88"/>
      <c r="AR147" s="89"/>
      <c r="AS147" s="90"/>
      <c r="AV147" s="88"/>
      <c r="AW147" s="96"/>
      <c r="AX147" s="97"/>
      <c r="AY147" s="93"/>
      <c r="BB147" s="94"/>
      <c r="BE147" s="37"/>
      <c r="BF147" s="36"/>
      <c r="BG147" s="36" t="s">
        <v>4647</v>
      </c>
    </row>
    <row r="148" spans="1:59" ht="15" customHeight="1">
      <c r="A148" s="36" t="s">
        <v>4037</v>
      </c>
      <c r="B148" s="36" t="s">
        <v>4740</v>
      </c>
      <c r="C148" s="36" t="s">
        <v>57</v>
      </c>
      <c r="D148" s="36">
        <v>146</v>
      </c>
      <c r="E148" s="36">
        <v>1</v>
      </c>
      <c r="F148" s="36" t="s">
        <v>4636</v>
      </c>
      <c r="G148" s="36" t="s">
        <v>4648</v>
      </c>
      <c r="J148" s="36" t="s">
        <v>4475</v>
      </c>
      <c r="L148" s="36">
        <v>1</v>
      </c>
      <c r="N148" s="86"/>
      <c r="Y148" s="79" t="s">
        <v>4966</v>
      </c>
      <c r="AB148" s="55"/>
      <c r="AE148" s="36"/>
      <c r="AI148" s="36" t="s">
        <v>4649</v>
      </c>
      <c r="AL148" s="36" t="s">
        <v>4475</v>
      </c>
      <c r="AN148" s="36">
        <v>1</v>
      </c>
      <c r="AO148" s="37"/>
      <c r="AP148" s="86"/>
      <c r="AQ148" s="88"/>
      <c r="AR148" s="89"/>
      <c r="AS148" s="90"/>
      <c r="AV148" s="88"/>
      <c r="AW148" s="96"/>
      <c r="AX148" s="97"/>
      <c r="AY148" s="93"/>
      <c r="BB148" s="94"/>
      <c r="BE148" s="37"/>
      <c r="BF148" s="36"/>
      <c r="BG148" s="36" t="s">
        <v>4650</v>
      </c>
    </row>
    <row r="149" spans="1:59" ht="15" customHeight="1">
      <c r="A149" s="36" t="s">
        <v>4037</v>
      </c>
      <c r="B149" s="36" t="s">
        <v>4741</v>
      </c>
      <c r="C149" s="36" t="s">
        <v>57</v>
      </c>
      <c r="D149" s="36">
        <v>147</v>
      </c>
      <c r="E149" s="36">
        <v>1</v>
      </c>
      <c r="F149" s="36" t="s">
        <v>4636</v>
      </c>
      <c r="G149" s="36" t="s">
        <v>4651</v>
      </c>
      <c r="J149" s="36" t="s">
        <v>4475</v>
      </c>
      <c r="L149" s="36">
        <v>2</v>
      </c>
      <c r="N149" s="86"/>
      <c r="Y149" s="95" t="s">
        <v>38</v>
      </c>
      <c r="AB149" s="55"/>
      <c r="AE149" s="36"/>
      <c r="AF149" s="36" t="s">
        <v>4652</v>
      </c>
      <c r="AI149" s="36" t="s">
        <v>4653</v>
      </c>
      <c r="AL149" s="36" t="s">
        <v>4475</v>
      </c>
      <c r="AN149" s="36">
        <v>2</v>
      </c>
      <c r="AO149" s="37"/>
      <c r="AP149" s="86"/>
      <c r="AQ149" s="88"/>
      <c r="AR149" s="89"/>
      <c r="AS149" s="90"/>
      <c r="AV149" s="88"/>
      <c r="AW149" s="96"/>
      <c r="AX149" s="97"/>
      <c r="AY149" s="93"/>
      <c r="BB149" s="94"/>
      <c r="BE149" s="37"/>
      <c r="BF149" s="36"/>
      <c r="BG149" s="36" t="s">
        <v>4654</v>
      </c>
    </row>
    <row r="150" spans="1:59" ht="15" customHeight="1">
      <c r="A150" s="36" t="s">
        <v>4037</v>
      </c>
      <c r="B150" s="36" t="s">
        <v>4742</v>
      </c>
      <c r="C150" s="36" t="s">
        <v>57</v>
      </c>
      <c r="D150" s="36">
        <v>148</v>
      </c>
      <c r="E150" s="36">
        <v>1</v>
      </c>
      <c r="F150" s="36" t="s">
        <v>4636</v>
      </c>
      <c r="G150" s="36" t="s">
        <v>4655</v>
      </c>
      <c r="J150" s="36" t="s">
        <v>4475</v>
      </c>
      <c r="L150" s="36">
        <v>3</v>
      </c>
      <c r="N150" s="86"/>
      <c r="Y150" s="95" t="s">
        <v>38</v>
      </c>
      <c r="AB150" s="55"/>
      <c r="AE150" s="36"/>
      <c r="AF150" s="36" t="s">
        <v>4656</v>
      </c>
      <c r="AI150" s="36" t="s">
        <v>4657</v>
      </c>
      <c r="AL150" s="36" t="s">
        <v>4475</v>
      </c>
      <c r="AN150" s="36">
        <v>3</v>
      </c>
      <c r="AO150" s="37"/>
      <c r="AP150" s="86"/>
      <c r="AQ150" s="88"/>
      <c r="AR150" s="89"/>
      <c r="AS150" s="90"/>
      <c r="AV150" s="88"/>
      <c r="AW150" s="96"/>
      <c r="AX150" s="97"/>
      <c r="AY150" s="93"/>
      <c r="BB150" s="94"/>
      <c r="BE150" s="37"/>
      <c r="BF150" s="36"/>
      <c r="BG150" s="36" t="s">
        <v>4592</v>
      </c>
    </row>
    <row r="151" spans="1:59" ht="15" customHeight="1">
      <c r="A151" s="36" t="s">
        <v>4037</v>
      </c>
      <c r="B151" s="36" t="s">
        <v>4457</v>
      </c>
      <c r="C151" s="36" t="s">
        <v>57</v>
      </c>
      <c r="D151" s="36">
        <v>149</v>
      </c>
      <c r="E151" s="36">
        <v>1</v>
      </c>
      <c r="F151" s="36" t="s">
        <v>4636</v>
      </c>
      <c r="G151" s="36" t="s">
        <v>4325</v>
      </c>
      <c r="J151" s="36" t="s">
        <v>31</v>
      </c>
      <c r="N151" s="86"/>
      <c r="AB151" s="55"/>
      <c r="AD151" s="36" t="s">
        <v>4326</v>
      </c>
      <c r="AE151" s="36"/>
      <c r="AI151" s="36" t="s">
        <v>4325</v>
      </c>
      <c r="AL151" s="36" t="s">
        <v>31</v>
      </c>
      <c r="AP151" s="86"/>
      <c r="AY151" s="84">
        <v>2</v>
      </c>
      <c r="AZ151" s="79">
        <v>0</v>
      </c>
      <c r="BE151" s="36" t="s">
        <v>4326</v>
      </c>
      <c r="BF151" s="36"/>
      <c r="BG151" s="36" t="s">
        <v>4658</v>
      </c>
    </row>
    <row r="152" spans="1:59" ht="15" customHeight="1">
      <c r="A152" s="36" t="s">
        <v>4037</v>
      </c>
      <c r="B152" s="36" t="s">
        <v>4732</v>
      </c>
      <c r="C152" s="36" t="s">
        <v>57</v>
      </c>
      <c r="D152" s="36">
        <v>150</v>
      </c>
      <c r="E152" s="36">
        <v>1</v>
      </c>
      <c r="F152" s="36" t="s">
        <v>4636</v>
      </c>
      <c r="G152" s="36" t="s">
        <v>4659</v>
      </c>
      <c r="J152" s="36" t="s">
        <v>31</v>
      </c>
      <c r="N152" s="86"/>
      <c r="AB152" s="55"/>
      <c r="AD152" s="36" t="s">
        <v>4326</v>
      </c>
      <c r="AE152" s="36"/>
      <c r="AI152" s="36" t="s">
        <v>4659</v>
      </c>
      <c r="AJ152" s="36" t="s">
        <v>4660</v>
      </c>
      <c r="AL152" s="36" t="s">
        <v>31</v>
      </c>
      <c r="AP152" s="86"/>
      <c r="AY152" s="84">
        <v>4</v>
      </c>
      <c r="AZ152" s="79" t="s">
        <v>4927</v>
      </c>
      <c r="BE152" s="36" t="s">
        <v>4326</v>
      </c>
      <c r="BF152" s="36"/>
      <c r="BG152" s="36" t="s">
        <v>4661</v>
      </c>
    </row>
    <row r="153" spans="1:59" ht="15" customHeight="1">
      <c r="A153" s="36" t="s">
        <v>4037</v>
      </c>
      <c r="B153" s="36" t="s">
        <v>4733</v>
      </c>
      <c r="C153" s="36" t="s">
        <v>57</v>
      </c>
      <c r="D153" s="36">
        <v>151</v>
      </c>
      <c r="E153" s="36">
        <v>1</v>
      </c>
      <c r="F153" s="36" t="s">
        <v>4636</v>
      </c>
      <c r="G153" s="36" t="s">
        <v>4659</v>
      </c>
      <c r="J153" s="36" t="s">
        <v>31</v>
      </c>
      <c r="N153" s="86"/>
      <c r="AB153" s="55"/>
      <c r="AD153" s="36" t="s">
        <v>4326</v>
      </c>
      <c r="AE153" s="36"/>
      <c r="AI153" s="36" t="s">
        <v>4659</v>
      </c>
      <c r="AJ153" s="36" t="s">
        <v>4662</v>
      </c>
      <c r="AL153" s="36" t="s">
        <v>31</v>
      </c>
      <c r="AP153" s="86"/>
      <c r="AY153" s="84">
        <v>3</v>
      </c>
      <c r="AZ153" s="79" t="s">
        <v>4927</v>
      </c>
      <c r="BE153" s="36" t="s">
        <v>4326</v>
      </c>
      <c r="BF153" s="36"/>
      <c r="BG153" s="36" t="s">
        <v>4663</v>
      </c>
    </row>
    <row r="154" spans="1:59" ht="15" customHeight="1">
      <c r="A154" s="36" t="s">
        <v>4037</v>
      </c>
      <c r="B154" s="36" t="s">
        <v>4734</v>
      </c>
      <c r="C154" s="36" t="s">
        <v>57</v>
      </c>
      <c r="D154" s="36">
        <v>152</v>
      </c>
      <c r="E154" s="36">
        <v>1</v>
      </c>
      <c r="F154" s="36" t="s">
        <v>4636</v>
      </c>
      <c r="G154" s="36" t="s">
        <v>4659</v>
      </c>
      <c r="J154" s="36" t="s">
        <v>31</v>
      </c>
      <c r="N154" s="86"/>
      <c r="AB154" s="55"/>
      <c r="AD154" s="36" t="s">
        <v>4326</v>
      </c>
      <c r="AE154" s="36"/>
      <c r="AI154" s="36" t="s">
        <v>4659</v>
      </c>
      <c r="AJ154" s="36" t="s">
        <v>4664</v>
      </c>
      <c r="AL154" s="36" t="s">
        <v>31</v>
      </c>
      <c r="AP154" s="86"/>
      <c r="AY154" s="84">
        <v>2</v>
      </c>
      <c r="AZ154" s="79" t="s">
        <v>4927</v>
      </c>
      <c r="BE154" s="36" t="s">
        <v>4326</v>
      </c>
      <c r="BF154" s="36"/>
      <c r="BG154" s="36" t="s">
        <v>4665</v>
      </c>
    </row>
    <row r="155" spans="1:59" ht="15" customHeight="1">
      <c r="A155" s="36" t="s">
        <v>4037</v>
      </c>
      <c r="B155" s="36" t="s">
        <v>4735</v>
      </c>
      <c r="C155" s="36" t="s">
        <v>57</v>
      </c>
      <c r="D155" s="36">
        <v>153</v>
      </c>
      <c r="E155" s="36">
        <v>1</v>
      </c>
      <c r="F155" s="36" t="s">
        <v>4636</v>
      </c>
      <c r="G155" s="36" t="s">
        <v>4659</v>
      </c>
      <c r="J155" s="36" t="s">
        <v>31</v>
      </c>
      <c r="N155" s="86"/>
      <c r="AB155" s="55"/>
      <c r="AD155" s="36" t="s">
        <v>4326</v>
      </c>
      <c r="AE155" s="36"/>
      <c r="AI155" s="36" t="s">
        <v>4659</v>
      </c>
      <c r="AJ155" s="36" t="s">
        <v>4666</v>
      </c>
      <c r="AL155" s="36" t="s">
        <v>31</v>
      </c>
      <c r="AP155" s="86"/>
      <c r="AY155" s="84">
        <v>2</v>
      </c>
      <c r="AZ155" s="79" t="s">
        <v>4927</v>
      </c>
      <c r="BE155" s="36" t="s">
        <v>4326</v>
      </c>
      <c r="BF155" s="36"/>
      <c r="BG155" s="36" t="s">
        <v>4667</v>
      </c>
    </row>
    <row r="156" spans="1:59" ht="15" customHeight="1">
      <c r="A156" s="36" t="s">
        <v>4037</v>
      </c>
      <c r="B156" s="36" t="s">
        <v>4736</v>
      </c>
      <c r="C156" s="36" t="s">
        <v>57</v>
      </c>
      <c r="D156" s="36">
        <v>154</v>
      </c>
      <c r="E156" s="36">
        <v>1</v>
      </c>
      <c r="F156" s="36" t="s">
        <v>4636</v>
      </c>
      <c r="G156" s="36" t="s">
        <v>4659</v>
      </c>
      <c r="J156" s="36" t="s">
        <v>31</v>
      </c>
      <c r="N156" s="86"/>
      <c r="AB156" s="55"/>
      <c r="AD156" s="36" t="s">
        <v>4326</v>
      </c>
      <c r="AE156" s="36"/>
      <c r="AI156" s="36" t="s">
        <v>4659</v>
      </c>
      <c r="AJ156" s="36" t="s">
        <v>4668</v>
      </c>
      <c r="AL156" s="36" t="s">
        <v>31</v>
      </c>
      <c r="AP156" s="86"/>
      <c r="AY156" s="84">
        <v>2</v>
      </c>
      <c r="AZ156" s="79" t="s">
        <v>4927</v>
      </c>
      <c r="BE156" s="36" t="s">
        <v>4326</v>
      </c>
      <c r="BF156" s="36"/>
      <c r="BG156" s="36" t="s">
        <v>4669</v>
      </c>
    </row>
    <row r="157" spans="1:59" ht="15" customHeight="1">
      <c r="A157" s="36" t="s">
        <v>4037</v>
      </c>
      <c r="B157" s="36" t="s">
        <v>4737</v>
      </c>
      <c r="C157" s="36" t="s">
        <v>57</v>
      </c>
      <c r="D157" s="36">
        <v>155</v>
      </c>
      <c r="E157" s="36">
        <v>1</v>
      </c>
      <c r="F157" s="36" t="s">
        <v>4636</v>
      </c>
      <c r="G157" s="36" t="s">
        <v>4659</v>
      </c>
      <c r="J157" s="36" t="s">
        <v>31</v>
      </c>
      <c r="N157" s="86"/>
      <c r="AB157" s="55"/>
      <c r="AD157" s="36" t="s">
        <v>4326</v>
      </c>
      <c r="AE157" s="36"/>
      <c r="AI157" s="36" t="s">
        <v>4659</v>
      </c>
      <c r="AJ157" s="36" t="s">
        <v>4670</v>
      </c>
      <c r="AL157" s="36" t="s">
        <v>31</v>
      </c>
      <c r="AP157" s="86"/>
      <c r="AY157" s="84">
        <v>1</v>
      </c>
      <c r="AZ157" s="79">
        <v>0</v>
      </c>
      <c r="BE157" s="36" t="s">
        <v>4326</v>
      </c>
      <c r="BF157" s="36"/>
      <c r="BG157" s="36" t="s">
        <v>4671</v>
      </c>
    </row>
    <row r="158" spans="1:59" ht="15" customHeight="1">
      <c r="A158" s="36" t="s">
        <v>4037</v>
      </c>
      <c r="B158" s="36" t="s">
        <v>4738</v>
      </c>
      <c r="C158" s="36" t="s">
        <v>57</v>
      </c>
      <c r="D158" s="36">
        <v>156</v>
      </c>
      <c r="E158" s="36">
        <v>1</v>
      </c>
      <c r="F158" s="36" t="s">
        <v>4636</v>
      </c>
      <c r="G158" s="36" t="s">
        <v>4672</v>
      </c>
      <c r="J158" s="36" t="s">
        <v>31</v>
      </c>
      <c r="N158" s="86"/>
      <c r="AB158" s="55"/>
      <c r="AD158" s="36" t="s">
        <v>4673</v>
      </c>
      <c r="AE158" s="36"/>
      <c r="AI158" s="36" t="s">
        <v>4672</v>
      </c>
      <c r="AL158" s="36" t="s">
        <v>31</v>
      </c>
      <c r="AP158" s="86"/>
      <c r="AY158" s="84">
        <v>3</v>
      </c>
      <c r="AZ158" s="79" t="s">
        <v>4965</v>
      </c>
      <c r="BE158" s="36" t="s">
        <v>4673</v>
      </c>
      <c r="BF158" s="36"/>
      <c r="BG158" s="36" t="s">
        <v>4674</v>
      </c>
    </row>
    <row r="159" spans="1:59" ht="15" customHeight="1">
      <c r="A159" s="36" t="s">
        <v>4037</v>
      </c>
      <c r="B159" s="36" t="s">
        <v>4739</v>
      </c>
      <c r="C159" s="36" t="s">
        <v>57</v>
      </c>
      <c r="D159" s="36">
        <v>157</v>
      </c>
      <c r="E159" s="36">
        <v>1</v>
      </c>
      <c r="F159" s="36" t="s">
        <v>4636</v>
      </c>
      <c r="G159" s="36" t="s">
        <v>4675</v>
      </c>
      <c r="H159" s="36" t="s">
        <v>4636</v>
      </c>
      <c r="J159" s="36" t="s">
        <v>29</v>
      </c>
      <c r="N159" s="86"/>
      <c r="Q159" s="78">
        <v>5</v>
      </c>
      <c r="R159" s="79">
        <v>6</v>
      </c>
      <c r="T159" s="81">
        <v>6</v>
      </c>
      <c r="V159" s="82">
        <v>3</v>
      </c>
      <c r="W159" s="83">
        <v>3</v>
      </c>
      <c r="AB159" s="55"/>
      <c r="AD159" s="36" t="s">
        <v>4676</v>
      </c>
      <c r="AE159" s="36" t="s">
        <v>4677</v>
      </c>
      <c r="AF159" s="36" t="s">
        <v>4678</v>
      </c>
      <c r="AP159" s="86"/>
      <c r="BF159" s="36"/>
    </row>
    <row r="160" spans="1:59" ht="15" customHeight="1">
      <c r="A160" s="36" t="s">
        <v>4037</v>
      </c>
      <c r="B160" s="36" t="s">
        <v>4458</v>
      </c>
      <c r="C160" s="36" t="s">
        <v>57</v>
      </c>
      <c r="D160" s="36">
        <v>158</v>
      </c>
      <c r="E160" s="36">
        <v>2</v>
      </c>
      <c r="F160" s="36" t="s">
        <v>4636</v>
      </c>
      <c r="G160" s="36" t="s">
        <v>4327</v>
      </c>
      <c r="J160" s="36" t="s">
        <v>28</v>
      </c>
      <c r="N160" s="86"/>
      <c r="AB160" s="55"/>
      <c r="AD160" s="36" t="s">
        <v>4293</v>
      </c>
      <c r="AE160" s="36"/>
      <c r="AF160" s="36" t="s">
        <v>4486</v>
      </c>
      <c r="AO160" s="37"/>
      <c r="AP160" s="86"/>
      <c r="AQ160" s="88"/>
      <c r="AR160" s="89"/>
      <c r="AS160" s="90"/>
      <c r="AV160" s="88"/>
      <c r="AW160" s="96"/>
      <c r="AX160" s="97"/>
      <c r="AY160" s="93"/>
      <c r="BB160" s="94"/>
      <c r="BE160" s="37"/>
      <c r="BF160" s="36"/>
    </row>
    <row r="161" spans="1:58" ht="15" customHeight="1">
      <c r="A161" s="36" t="s">
        <v>4037</v>
      </c>
      <c r="B161" s="36" t="s">
        <v>4459</v>
      </c>
      <c r="C161" s="36" t="s">
        <v>57</v>
      </c>
      <c r="D161" s="36">
        <v>159</v>
      </c>
      <c r="E161" s="36">
        <v>3</v>
      </c>
      <c r="F161" s="36" t="s">
        <v>4765</v>
      </c>
      <c r="G161" s="36" t="s">
        <v>4328</v>
      </c>
      <c r="J161" s="36" t="s">
        <v>29</v>
      </c>
      <c r="N161" s="86"/>
      <c r="Q161" s="78">
        <v>1</v>
      </c>
      <c r="R161" s="79">
        <v>3</v>
      </c>
      <c r="T161" s="81">
        <v>1</v>
      </c>
      <c r="V161" s="82">
        <v>1</v>
      </c>
      <c r="W161" s="83">
        <v>0</v>
      </c>
      <c r="AB161" s="55"/>
      <c r="AD161" s="36" t="s">
        <v>30</v>
      </c>
      <c r="AE161" s="36"/>
      <c r="AF161" s="36" t="s">
        <v>4329</v>
      </c>
      <c r="AO161" s="37"/>
      <c r="AP161" s="86"/>
      <c r="AQ161" s="88"/>
      <c r="AR161" s="89"/>
      <c r="AS161" s="90"/>
      <c r="AV161" s="88"/>
      <c r="AW161" s="96"/>
      <c r="AX161" s="97"/>
      <c r="AY161" s="93"/>
      <c r="BB161" s="94"/>
      <c r="BE161" s="37"/>
      <c r="BF161" s="36"/>
    </row>
    <row r="162" spans="1:58" ht="15" customHeight="1">
      <c r="A162" s="36" t="s">
        <v>4037</v>
      </c>
      <c r="B162" s="36" t="s">
        <v>4460</v>
      </c>
      <c r="C162" s="36" t="s">
        <v>57</v>
      </c>
      <c r="D162" s="36">
        <v>160</v>
      </c>
      <c r="E162" s="36">
        <v>3</v>
      </c>
      <c r="F162" s="36" t="s">
        <v>4766</v>
      </c>
      <c r="G162" s="36" t="s">
        <v>4330</v>
      </c>
      <c r="J162" s="36" t="s">
        <v>29</v>
      </c>
      <c r="N162" s="86"/>
      <c r="Q162" s="78">
        <v>2</v>
      </c>
      <c r="R162" s="79">
        <v>2</v>
      </c>
      <c r="T162" s="81">
        <v>2</v>
      </c>
      <c r="V162" s="82">
        <v>1</v>
      </c>
      <c r="W162" s="83">
        <v>1</v>
      </c>
      <c r="AB162" s="55"/>
      <c r="AD162" s="36" t="s">
        <v>4314</v>
      </c>
      <c r="AE162" s="36"/>
      <c r="AO162" s="37"/>
      <c r="AP162" s="86"/>
      <c r="AQ162" s="88"/>
      <c r="AR162" s="89"/>
      <c r="AS162" s="90"/>
      <c r="AV162" s="88"/>
      <c r="AW162" s="96"/>
      <c r="AX162" s="97"/>
      <c r="AY162" s="93"/>
      <c r="BB162" s="94"/>
      <c r="BE162" s="37"/>
      <c r="BF162" s="36"/>
    </row>
    <row r="163" spans="1:58" ht="15" customHeight="1">
      <c r="A163" s="36" t="s">
        <v>4037</v>
      </c>
      <c r="B163" s="36" t="s">
        <v>4461</v>
      </c>
      <c r="C163" s="36" t="s">
        <v>57</v>
      </c>
      <c r="D163" s="36">
        <v>161</v>
      </c>
      <c r="E163" s="36">
        <v>1</v>
      </c>
      <c r="F163" s="36" t="s">
        <v>4766</v>
      </c>
      <c r="G163" s="36" t="s">
        <v>4331</v>
      </c>
      <c r="J163" s="36" t="s">
        <v>29</v>
      </c>
      <c r="N163" s="86"/>
      <c r="Q163" s="78">
        <v>3</v>
      </c>
      <c r="R163" s="79">
        <v>3</v>
      </c>
      <c r="T163" s="81">
        <v>3</v>
      </c>
      <c r="V163" s="82">
        <v>1</v>
      </c>
      <c r="W163" s="83">
        <v>1</v>
      </c>
      <c r="AB163" s="55"/>
      <c r="AD163" s="36" t="s">
        <v>4314</v>
      </c>
      <c r="AE163" s="36"/>
      <c r="AF163" s="36" t="s">
        <v>4487</v>
      </c>
      <c r="AO163" s="37"/>
      <c r="AP163" s="86"/>
      <c r="AQ163" s="88"/>
      <c r="AR163" s="89"/>
      <c r="AS163" s="90"/>
      <c r="AV163" s="88"/>
      <c r="AW163" s="96"/>
      <c r="AX163" s="97"/>
      <c r="AY163" s="93"/>
      <c r="BB163" s="94"/>
      <c r="BE163" s="37"/>
      <c r="BF163" s="36"/>
    </row>
    <row r="164" spans="1:58" ht="15" customHeight="1">
      <c r="A164" s="36" t="s">
        <v>4037</v>
      </c>
      <c r="B164" s="36" t="s">
        <v>4462</v>
      </c>
      <c r="C164" s="36" t="s">
        <v>57</v>
      </c>
      <c r="D164" s="36">
        <v>162</v>
      </c>
      <c r="E164" s="36">
        <v>3</v>
      </c>
      <c r="F164" s="36" t="s">
        <v>4766</v>
      </c>
      <c r="G164" s="36" t="s">
        <v>4332</v>
      </c>
      <c r="J164" s="36" t="s">
        <v>28</v>
      </c>
      <c r="N164" s="86"/>
      <c r="AB164" s="55"/>
      <c r="AD164" s="36" t="s">
        <v>4333</v>
      </c>
      <c r="AE164" s="36"/>
      <c r="AF164" s="36" t="s">
        <v>4488</v>
      </c>
      <c r="AO164" s="37"/>
      <c r="AP164" s="86"/>
      <c r="AQ164" s="88"/>
      <c r="AR164" s="89"/>
      <c r="AS164" s="90"/>
      <c r="AV164" s="88"/>
      <c r="AW164" s="96"/>
      <c r="AX164" s="97"/>
      <c r="AY164" s="93"/>
      <c r="BB164" s="94"/>
      <c r="BE164" s="37"/>
      <c r="BF164" s="36"/>
    </row>
    <row r="165" spans="1:58" ht="15" customHeight="1">
      <c r="A165" s="36" t="s">
        <v>4037</v>
      </c>
      <c r="B165" s="36" t="s">
        <v>4463</v>
      </c>
      <c r="C165" s="36" t="s">
        <v>57</v>
      </c>
      <c r="D165" s="36">
        <v>163</v>
      </c>
      <c r="E165" s="36">
        <v>3</v>
      </c>
      <c r="F165" s="36" t="s">
        <v>4767</v>
      </c>
      <c r="G165" s="36" t="s">
        <v>4334</v>
      </c>
      <c r="J165" s="36" t="s">
        <v>28</v>
      </c>
      <c r="N165" s="86"/>
      <c r="AB165" s="55"/>
      <c r="AD165" s="36" t="s">
        <v>4335</v>
      </c>
      <c r="AE165" s="36"/>
      <c r="AF165" s="36" t="s">
        <v>4489</v>
      </c>
      <c r="AO165" s="37"/>
      <c r="AP165" s="86"/>
      <c r="AQ165" s="88"/>
      <c r="AR165" s="89"/>
      <c r="AS165" s="90"/>
      <c r="AV165" s="88"/>
      <c r="AW165" s="96"/>
      <c r="AX165" s="97"/>
      <c r="AY165" s="93"/>
      <c r="BB165" s="94"/>
      <c r="BE165" s="37"/>
      <c r="BF165" s="36"/>
    </row>
    <row r="166" spans="1:58" ht="15" customHeight="1">
      <c r="A166" s="36" t="s">
        <v>4037</v>
      </c>
      <c r="B166" s="36" t="s">
        <v>4464</v>
      </c>
      <c r="C166" s="36" t="s">
        <v>57</v>
      </c>
      <c r="D166" s="36">
        <v>164</v>
      </c>
      <c r="E166" s="36">
        <v>2</v>
      </c>
      <c r="F166" s="36" t="s">
        <v>4767</v>
      </c>
      <c r="G166" s="36" t="s">
        <v>4336</v>
      </c>
      <c r="J166" s="36" t="s">
        <v>28</v>
      </c>
      <c r="N166" s="86"/>
      <c r="AB166" s="55"/>
      <c r="AD166" s="36" t="s">
        <v>4335</v>
      </c>
      <c r="AE166" s="36"/>
      <c r="AF166" s="36" t="s">
        <v>4490</v>
      </c>
      <c r="AO166" s="37"/>
      <c r="AP166" s="86"/>
      <c r="AQ166" s="88"/>
      <c r="AR166" s="89"/>
      <c r="AS166" s="90"/>
      <c r="AV166" s="88"/>
      <c r="AW166" s="96"/>
      <c r="AX166" s="97"/>
      <c r="AY166" s="93"/>
      <c r="BB166" s="94"/>
      <c r="BE166" s="37"/>
      <c r="BF166" s="36"/>
    </row>
    <row r="167" spans="1:58" ht="15" customHeight="1">
      <c r="A167" s="36" t="s">
        <v>4037</v>
      </c>
      <c r="B167" s="36" t="s">
        <v>4465</v>
      </c>
      <c r="C167" s="36" t="s">
        <v>57</v>
      </c>
      <c r="D167" s="36">
        <v>165</v>
      </c>
      <c r="E167" s="36">
        <v>2</v>
      </c>
      <c r="F167" s="36" t="s">
        <v>4767</v>
      </c>
      <c r="G167" s="36" t="s">
        <v>4337</v>
      </c>
      <c r="J167" s="36" t="s">
        <v>28</v>
      </c>
      <c r="N167" s="86"/>
      <c r="AB167" s="55"/>
      <c r="AD167" s="36" t="s">
        <v>4335</v>
      </c>
      <c r="AE167" s="36"/>
      <c r="AF167" s="36" t="s">
        <v>4491</v>
      </c>
      <c r="AO167" s="37"/>
      <c r="AP167" s="86"/>
      <c r="AQ167" s="88"/>
      <c r="AR167" s="89"/>
      <c r="AS167" s="90"/>
      <c r="AV167" s="88"/>
      <c r="AW167" s="96"/>
      <c r="AX167" s="97"/>
      <c r="AY167" s="93"/>
      <c r="BB167" s="94"/>
      <c r="BE167" s="37"/>
      <c r="BF167" s="36"/>
    </row>
    <row r="168" spans="1:58" ht="15" customHeight="1">
      <c r="A168" s="36" t="s">
        <v>4037</v>
      </c>
      <c r="B168" s="36" t="s">
        <v>4470</v>
      </c>
      <c r="C168" s="36" t="s">
        <v>57</v>
      </c>
      <c r="D168" s="36">
        <v>166</v>
      </c>
      <c r="E168" s="36">
        <v>3</v>
      </c>
      <c r="F168" s="36" t="s">
        <v>4345</v>
      </c>
      <c r="G168" s="36" t="s">
        <v>4345</v>
      </c>
      <c r="J168" s="36" t="s">
        <v>28</v>
      </c>
      <c r="N168" s="86"/>
      <c r="AB168" s="55"/>
      <c r="AD168" s="36" t="s">
        <v>4346</v>
      </c>
      <c r="AE168" s="36"/>
      <c r="AF168" s="36" t="s">
        <v>4494</v>
      </c>
      <c r="AO168" s="37"/>
      <c r="AP168" s="86"/>
      <c r="AQ168" s="88"/>
      <c r="AR168" s="89"/>
      <c r="AS168" s="90"/>
      <c r="AV168" s="88"/>
      <c r="AW168" s="96"/>
      <c r="AX168" s="97"/>
      <c r="AY168" s="93"/>
      <c r="BB168" s="94"/>
      <c r="BE168" s="37"/>
      <c r="BF168" s="36"/>
    </row>
    <row r="169" spans="1:58" ht="15" customHeight="1">
      <c r="A169" s="36" t="s">
        <v>4037</v>
      </c>
      <c r="B169" s="36" t="s">
        <v>4730</v>
      </c>
      <c r="C169" s="36" t="s">
        <v>57</v>
      </c>
      <c r="D169" s="36">
        <v>167</v>
      </c>
      <c r="E169" s="36">
        <v>2</v>
      </c>
      <c r="F169" s="36" t="s">
        <v>4768</v>
      </c>
      <c r="G169" s="36" t="s">
        <v>4679</v>
      </c>
      <c r="J169" s="36" t="s">
        <v>28</v>
      </c>
      <c r="N169" s="86"/>
      <c r="AB169" s="55"/>
      <c r="AD169" s="36" t="s">
        <v>4333</v>
      </c>
      <c r="AE169" s="36"/>
      <c r="AF169" s="36" t="s">
        <v>4680</v>
      </c>
      <c r="AO169" s="37"/>
      <c r="AP169" s="86"/>
      <c r="AQ169" s="88"/>
      <c r="AR169" s="89"/>
      <c r="AS169" s="90"/>
      <c r="AV169" s="88"/>
      <c r="AW169" s="96"/>
      <c r="AX169" s="97"/>
      <c r="AY169" s="93"/>
      <c r="BB169" s="94"/>
      <c r="BE169" s="37"/>
      <c r="BF169" s="36"/>
    </row>
    <row r="170" spans="1:58" ht="15" customHeight="1">
      <c r="A170" s="36" t="s">
        <v>4037</v>
      </c>
      <c r="B170" s="36" t="s">
        <v>4471</v>
      </c>
      <c r="C170" s="36" t="s">
        <v>57</v>
      </c>
      <c r="D170" s="36">
        <v>168</v>
      </c>
      <c r="E170" s="36">
        <v>2</v>
      </c>
      <c r="F170" s="36" t="s">
        <v>4768</v>
      </c>
      <c r="G170" s="36" t="s">
        <v>4347</v>
      </c>
      <c r="J170" s="36" t="s">
        <v>28</v>
      </c>
      <c r="N170" s="86"/>
      <c r="O170" s="88"/>
      <c r="P170" s="89"/>
      <c r="Q170" s="90"/>
      <c r="U170" s="88"/>
      <c r="V170" s="91"/>
      <c r="W170" s="92"/>
      <c r="X170" s="93"/>
      <c r="AA170" s="94"/>
      <c r="AB170" s="55"/>
      <c r="AD170" s="36" t="s">
        <v>4333</v>
      </c>
      <c r="AE170" s="36"/>
      <c r="AF170" s="36" t="s">
        <v>4495</v>
      </c>
      <c r="AO170" s="37"/>
      <c r="AP170" s="86"/>
      <c r="AQ170" s="88"/>
      <c r="AR170" s="89"/>
      <c r="AS170" s="90"/>
      <c r="AV170" s="88"/>
      <c r="AW170" s="96"/>
      <c r="AX170" s="97"/>
      <c r="AY170" s="93"/>
      <c r="BB170" s="94"/>
      <c r="BE170" s="37"/>
      <c r="BF170" s="36"/>
    </row>
    <row r="171" spans="1:58" ht="15" customHeight="1">
      <c r="A171" s="36" t="s">
        <v>4037</v>
      </c>
      <c r="B171" s="36" t="s">
        <v>4466</v>
      </c>
      <c r="C171" s="36" t="s">
        <v>57</v>
      </c>
      <c r="D171" s="36">
        <v>169</v>
      </c>
      <c r="E171" s="36">
        <v>3</v>
      </c>
      <c r="F171" s="36" t="s">
        <v>4769</v>
      </c>
      <c r="G171" s="36" t="s">
        <v>4338</v>
      </c>
      <c r="J171" s="36" t="s">
        <v>29</v>
      </c>
      <c r="N171" s="86"/>
      <c r="Q171" s="78">
        <v>3</v>
      </c>
      <c r="R171" s="79">
        <v>2</v>
      </c>
      <c r="T171" s="81">
        <v>1</v>
      </c>
      <c r="V171" s="82">
        <v>1</v>
      </c>
      <c r="W171" s="83">
        <v>0</v>
      </c>
      <c r="AB171" s="55"/>
      <c r="AD171" s="36" t="s">
        <v>4321</v>
      </c>
      <c r="AE171" s="36"/>
      <c r="AF171" s="36" t="s">
        <v>4492</v>
      </c>
      <c r="AO171" s="37"/>
      <c r="AP171" s="86"/>
      <c r="AQ171" s="88"/>
      <c r="AR171" s="89"/>
      <c r="AS171" s="90"/>
      <c r="AV171" s="88"/>
      <c r="AW171" s="96"/>
      <c r="AX171" s="97"/>
      <c r="AY171" s="93"/>
      <c r="BB171" s="94"/>
      <c r="BE171" s="37"/>
      <c r="BF171" s="36"/>
    </row>
    <row r="172" spans="1:58" ht="15" customHeight="1">
      <c r="A172" s="36" t="s">
        <v>4037</v>
      </c>
      <c r="B172" s="36" t="s">
        <v>4731</v>
      </c>
      <c r="C172" s="36" t="s">
        <v>57</v>
      </c>
      <c r="D172" s="36">
        <v>170</v>
      </c>
      <c r="E172" s="36">
        <v>1</v>
      </c>
      <c r="F172" s="36" t="s">
        <v>4769</v>
      </c>
      <c r="G172" s="36" t="s">
        <v>4681</v>
      </c>
      <c r="J172" s="36" t="s">
        <v>29</v>
      </c>
      <c r="N172" s="86"/>
      <c r="Q172" s="78">
        <v>4</v>
      </c>
      <c r="R172" s="79">
        <v>2</v>
      </c>
      <c r="T172" s="81">
        <v>2</v>
      </c>
      <c r="V172" s="82">
        <v>1</v>
      </c>
      <c r="W172" s="83">
        <v>0</v>
      </c>
      <c r="AB172" s="55"/>
      <c r="AD172" s="36" t="s">
        <v>4321</v>
      </c>
      <c r="AE172" s="36" t="s">
        <v>4682</v>
      </c>
      <c r="AF172" s="36" t="s">
        <v>4683</v>
      </c>
      <c r="AO172" s="37"/>
      <c r="AP172" s="86"/>
      <c r="AQ172" s="88"/>
      <c r="AR172" s="89"/>
      <c r="AS172" s="90"/>
      <c r="AV172" s="88"/>
      <c r="AW172" s="96"/>
      <c r="AX172" s="97"/>
      <c r="AY172" s="93"/>
      <c r="BB172" s="94"/>
      <c r="BE172" s="37"/>
      <c r="BF172" s="36"/>
    </row>
    <row r="173" spans="1:58" ht="15" customHeight="1">
      <c r="A173" s="36" t="s">
        <v>4037</v>
      </c>
      <c r="B173" s="36" t="s">
        <v>4467</v>
      </c>
      <c r="C173" s="36" t="s">
        <v>57</v>
      </c>
      <c r="D173" s="36">
        <v>171</v>
      </c>
      <c r="E173" s="36">
        <v>2</v>
      </c>
      <c r="F173" s="36" t="s">
        <v>4769</v>
      </c>
      <c r="G173" s="36" t="s">
        <v>4339</v>
      </c>
      <c r="J173" s="36" t="s">
        <v>28</v>
      </c>
      <c r="N173" s="86"/>
      <c r="AB173" s="55"/>
      <c r="AD173" s="36" t="s">
        <v>4340</v>
      </c>
      <c r="AE173" s="36"/>
      <c r="AF173" s="36" t="s">
        <v>4493</v>
      </c>
      <c r="AO173" s="37"/>
      <c r="AP173" s="86"/>
      <c r="AQ173" s="88"/>
      <c r="AR173" s="89"/>
      <c r="AS173" s="90"/>
      <c r="AV173" s="88"/>
      <c r="AW173" s="96"/>
      <c r="AX173" s="97"/>
      <c r="AY173" s="93"/>
      <c r="BB173" s="94"/>
      <c r="BE173" s="37"/>
      <c r="BF173" s="36"/>
    </row>
    <row r="174" spans="1:58" ht="15" customHeight="1">
      <c r="A174" s="36" t="s">
        <v>4037</v>
      </c>
      <c r="B174" s="36" t="s">
        <v>4468</v>
      </c>
      <c r="C174" s="36" t="s">
        <v>57</v>
      </c>
      <c r="D174" s="36">
        <v>172</v>
      </c>
      <c r="E174" s="36">
        <v>2</v>
      </c>
      <c r="F174" s="36" t="s">
        <v>4770</v>
      </c>
      <c r="G174" s="36" t="s">
        <v>4341</v>
      </c>
      <c r="J174" s="36" t="s">
        <v>29</v>
      </c>
      <c r="N174" s="86"/>
      <c r="Q174" s="78">
        <v>3</v>
      </c>
      <c r="R174" s="79">
        <v>1</v>
      </c>
      <c r="T174" s="81">
        <v>4</v>
      </c>
      <c r="V174" s="82">
        <v>1</v>
      </c>
      <c r="W174" s="83">
        <v>1</v>
      </c>
      <c r="AB174" s="55"/>
      <c r="AD174" s="36" t="s">
        <v>4342</v>
      </c>
      <c r="AE174" s="36" t="s">
        <v>4329</v>
      </c>
      <c r="AF174" s="36" t="s">
        <v>4684</v>
      </c>
      <c r="AO174" s="37"/>
      <c r="AP174" s="86"/>
      <c r="AQ174" s="88"/>
      <c r="AR174" s="89"/>
      <c r="AS174" s="90"/>
      <c r="AV174" s="88"/>
      <c r="AW174" s="96"/>
      <c r="AX174" s="97"/>
      <c r="AY174" s="93"/>
      <c r="BB174" s="94"/>
      <c r="BE174" s="37"/>
      <c r="BF174" s="36"/>
    </row>
    <row r="175" spans="1:58" ht="15" customHeight="1">
      <c r="A175" s="36" t="s">
        <v>4037</v>
      </c>
      <c r="B175" s="36" t="s">
        <v>4726</v>
      </c>
      <c r="C175" s="36" t="s">
        <v>57</v>
      </c>
      <c r="D175" s="36">
        <v>173</v>
      </c>
      <c r="E175" s="36">
        <v>2</v>
      </c>
      <c r="F175" s="36" t="s">
        <v>4770</v>
      </c>
      <c r="G175" s="36" t="s">
        <v>4685</v>
      </c>
      <c r="J175" s="36" t="s">
        <v>28</v>
      </c>
      <c r="N175" s="86"/>
      <c r="AB175" s="55"/>
      <c r="AE175" s="36"/>
      <c r="AF175" s="36" t="s">
        <v>4686</v>
      </c>
      <c r="AO175" s="37"/>
      <c r="AP175" s="86"/>
      <c r="AQ175" s="88"/>
      <c r="AR175" s="89"/>
      <c r="AS175" s="90"/>
      <c r="AV175" s="88"/>
      <c r="AW175" s="96"/>
      <c r="AX175" s="97"/>
      <c r="AY175" s="93"/>
      <c r="BB175" s="94"/>
      <c r="BE175" s="37"/>
      <c r="BF175" s="36"/>
    </row>
    <row r="176" spans="1:58" ht="15" customHeight="1">
      <c r="A176" s="36" t="s">
        <v>4037</v>
      </c>
      <c r="B176" s="36" t="s">
        <v>4727</v>
      </c>
      <c r="C176" s="36" t="s">
        <v>57</v>
      </c>
      <c r="D176" s="36">
        <v>174</v>
      </c>
      <c r="E176" s="36">
        <v>2</v>
      </c>
      <c r="F176" s="36" t="s">
        <v>4771</v>
      </c>
      <c r="G176" s="36" t="s">
        <v>4687</v>
      </c>
      <c r="J176" s="36" t="s">
        <v>28</v>
      </c>
      <c r="N176" s="86"/>
      <c r="AB176" s="55"/>
      <c r="AD176" s="36" t="s">
        <v>4688</v>
      </c>
      <c r="AE176" s="36"/>
      <c r="AF176" s="36" t="s">
        <v>4689</v>
      </c>
      <c r="AO176" s="37"/>
      <c r="AP176" s="86"/>
      <c r="AQ176" s="88"/>
      <c r="AR176" s="89"/>
      <c r="AS176" s="90"/>
      <c r="AV176" s="88"/>
      <c r="AW176" s="96"/>
      <c r="AX176" s="97"/>
      <c r="AY176" s="93"/>
      <c r="BB176" s="94"/>
      <c r="BE176" s="37"/>
      <c r="BF176" s="36"/>
    </row>
    <row r="177" spans="1:59" ht="15" customHeight="1">
      <c r="A177" s="36" t="s">
        <v>4037</v>
      </c>
      <c r="B177" s="36" t="s">
        <v>4728</v>
      </c>
      <c r="C177" s="36" t="s">
        <v>57</v>
      </c>
      <c r="D177" s="36">
        <v>175</v>
      </c>
      <c r="E177" s="36">
        <v>2</v>
      </c>
      <c r="F177" s="36" t="s">
        <v>4772</v>
      </c>
      <c r="G177" s="36" t="s">
        <v>4693</v>
      </c>
      <c r="J177" s="36" t="s">
        <v>29</v>
      </c>
      <c r="N177" s="86"/>
      <c r="Q177" s="78">
        <v>3</v>
      </c>
      <c r="R177" s="79">
        <v>3</v>
      </c>
      <c r="T177" s="81">
        <v>4</v>
      </c>
      <c r="V177" s="82">
        <v>1</v>
      </c>
      <c r="W177" s="83">
        <v>2</v>
      </c>
      <c r="AA177" s="85">
        <v>1</v>
      </c>
      <c r="AB177" s="55"/>
      <c r="AD177" s="36" t="s">
        <v>4690</v>
      </c>
      <c r="AE177" s="36" t="s">
        <v>4691</v>
      </c>
      <c r="AF177" s="36" t="s">
        <v>4692</v>
      </c>
      <c r="AO177" s="37"/>
      <c r="AP177" s="86"/>
      <c r="AQ177" s="88"/>
      <c r="AR177" s="89"/>
      <c r="AS177" s="90"/>
      <c r="AV177" s="88"/>
      <c r="AW177" s="96"/>
      <c r="AX177" s="97"/>
      <c r="AY177" s="93"/>
      <c r="BB177" s="94"/>
      <c r="BE177" s="37"/>
      <c r="BF177" s="36"/>
    </row>
    <row r="178" spans="1:59" ht="15" customHeight="1">
      <c r="A178" s="36" t="s">
        <v>4037</v>
      </c>
      <c r="B178" s="36" t="s">
        <v>4729</v>
      </c>
      <c r="C178" s="36" t="s">
        <v>57</v>
      </c>
      <c r="D178" s="36">
        <v>176</v>
      </c>
      <c r="E178" s="36">
        <v>2</v>
      </c>
      <c r="F178" s="36" t="s">
        <v>4772</v>
      </c>
      <c r="G178" s="36" t="s">
        <v>4694</v>
      </c>
      <c r="J178" s="36" t="s">
        <v>28</v>
      </c>
      <c r="N178" s="86"/>
      <c r="AB178" s="55"/>
      <c r="AD178" s="36" t="s">
        <v>4346</v>
      </c>
      <c r="AE178" s="36"/>
      <c r="AF178" s="36" t="s">
        <v>4695</v>
      </c>
      <c r="AO178" s="37"/>
      <c r="AP178" s="86"/>
      <c r="AQ178" s="88"/>
      <c r="AR178" s="89"/>
      <c r="AS178" s="90"/>
      <c r="AV178" s="88"/>
      <c r="AW178" s="96"/>
      <c r="AX178" s="97"/>
      <c r="AY178" s="93"/>
      <c r="BB178" s="94"/>
      <c r="BE178" s="37"/>
      <c r="BF178" s="36"/>
    </row>
    <row r="179" spans="1:59" ht="15" customHeight="1">
      <c r="A179" s="36" t="s">
        <v>4037</v>
      </c>
      <c r="B179" s="36" t="s">
        <v>4469</v>
      </c>
      <c r="C179" s="36" t="s">
        <v>57</v>
      </c>
      <c r="D179" s="36">
        <v>177</v>
      </c>
      <c r="E179" s="36">
        <v>2</v>
      </c>
      <c r="F179" s="36" t="s">
        <v>4773</v>
      </c>
      <c r="G179" s="36" t="s">
        <v>4343</v>
      </c>
      <c r="J179" s="36" t="s">
        <v>29</v>
      </c>
      <c r="N179" s="86"/>
      <c r="Q179" s="78">
        <v>4</v>
      </c>
      <c r="R179" s="79">
        <v>3</v>
      </c>
      <c r="T179" s="81">
        <v>4</v>
      </c>
      <c r="V179" s="82">
        <v>1</v>
      </c>
      <c r="W179" s="83">
        <v>1</v>
      </c>
      <c r="AA179" s="85">
        <v>1</v>
      </c>
      <c r="AB179" s="55"/>
      <c r="AD179" s="36" t="s">
        <v>4344</v>
      </c>
      <c r="AE179" s="36" t="s">
        <v>4696</v>
      </c>
      <c r="AF179" s="36" t="s">
        <v>4697</v>
      </c>
      <c r="AO179" s="37"/>
      <c r="AP179" s="86"/>
      <c r="AQ179" s="88"/>
      <c r="AR179" s="89"/>
      <c r="AS179" s="90"/>
      <c r="AV179" s="88"/>
      <c r="AW179" s="96"/>
      <c r="AX179" s="97"/>
      <c r="AY179" s="93"/>
      <c r="BB179" s="94"/>
      <c r="BE179" s="37"/>
      <c r="BF179" s="36"/>
    </row>
    <row r="180" spans="1:59" ht="15" customHeight="1">
      <c r="A180" s="36" t="s">
        <v>4037</v>
      </c>
      <c r="B180" s="36" t="s">
        <v>4716</v>
      </c>
      <c r="C180" s="36" t="s">
        <v>57</v>
      </c>
      <c r="D180" s="36">
        <v>178</v>
      </c>
      <c r="E180" s="36">
        <v>2</v>
      </c>
      <c r="F180" s="36" t="s">
        <v>4773</v>
      </c>
      <c r="G180" s="36" t="s">
        <v>4698</v>
      </c>
      <c r="J180" s="36" t="s">
        <v>28</v>
      </c>
      <c r="N180" s="86"/>
      <c r="AB180" s="55"/>
      <c r="AD180" s="36" t="s">
        <v>4699</v>
      </c>
      <c r="AE180" s="36" t="s">
        <v>4615</v>
      </c>
      <c r="AF180" s="36" t="s">
        <v>4700</v>
      </c>
      <c r="AO180" s="37"/>
      <c r="AP180" s="86"/>
      <c r="AQ180" s="88"/>
      <c r="AR180" s="89"/>
      <c r="AS180" s="90"/>
      <c r="AV180" s="88"/>
      <c r="AW180" s="96"/>
      <c r="AX180" s="97"/>
      <c r="AY180" s="93"/>
      <c r="BB180" s="94"/>
      <c r="BE180" s="37"/>
      <c r="BF180" s="36"/>
    </row>
    <row r="181" spans="1:59" ht="15" customHeight="1">
      <c r="A181" s="36" t="s">
        <v>4037</v>
      </c>
      <c r="B181" s="36" t="s">
        <v>4717</v>
      </c>
      <c r="C181" s="36" t="s">
        <v>57</v>
      </c>
      <c r="D181" s="36">
        <v>179</v>
      </c>
      <c r="E181" s="36">
        <v>2</v>
      </c>
      <c r="F181" s="36" t="s">
        <v>4774</v>
      </c>
      <c r="G181" s="36" t="s">
        <v>4701</v>
      </c>
      <c r="J181" s="36" t="s">
        <v>29</v>
      </c>
      <c r="N181" s="86"/>
      <c r="O181" s="88"/>
      <c r="P181" s="89"/>
      <c r="Q181" s="90">
        <v>4</v>
      </c>
      <c r="R181" s="79">
        <v>2</v>
      </c>
      <c r="T181" s="81">
        <v>5</v>
      </c>
      <c r="U181" s="88"/>
      <c r="V181" s="96">
        <v>2</v>
      </c>
      <c r="W181" s="97">
        <v>1</v>
      </c>
      <c r="X181" s="93"/>
      <c r="AA181" s="94">
        <v>1</v>
      </c>
      <c r="AB181" s="55"/>
      <c r="AD181" s="36" t="s">
        <v>4702</v>
      </c>
      <c r="AE181" s="36" t="s">
        <v>4703</v>
      </c>
      <c r="AF181" s="36" t="s">
        <v>4704</v>
      </c>
      <c r="AO181" s="37"/>
      <c r="AP181" s="86"/>
      <c r="AQ181" s="88"/>
      <c r="AR181" s="89"/>
      <c r="AS181" s="90"/>
      <c r="AV181" s="88"/>
      <c r="AW181" s="96"/>
      <c r="AX181" s="97"/>
      <c r="AY181" s="93"/>
      <c r="BB181" s="94"/>
      <c r="BE181" s="37"/>
      <c r="BF181" s="36"/>
    </row>
    <row r="182" spans="1:59" ht="15" customHeight="1">
      <c r="A182" s="36" t="s">
        <v>4037</v>
      </c>
      <c r="B182" s="36" t="s">
        <v>4718</v>
      </c>
      <c r="C182" s="36" t="s">
        <v>57</v>
      </c>
      <c r="D182" s="36">
        <v>180</v>
      </c>
      <c r="E182" s="36">
        <v>2</v>
      </c>
      <c r="F182" s="36" t="s">
        <v>4774</v>
      </c>
      <c r="G182" s="36" t="s">
        <v>4705</v>
      </c>
      <c r="J182" s="36" t="s">
        <v>29</v>
      </c>
      <c r="N182" s="86"/>
      <c r="O182" s="88"/>
      <c r="P182" s="89"/>
      <c r="Q182" s="90">
        <v>3</v>
      </c>
      <c r="R182" s="79">
        <v>2</v>
      </c>
      <c r="T182" s="81">
        <v>3</v>
      </c>
      <c r="U182" s="88"/>
      <c r="V182" s="96">
        <v>1</v>
      </c>
      <c r="W182" s="97">
        <v>0</v>
      </c>
      <c r="X182" s="93"/>
      <c r="AA182" s="94"/>
      <c r="AB182" s="55"/>
      <c r="AD182" s="36" t="s">
        <v>4706</v>
      </c>
      <c r="AE182" s="36" t="s">
        <v>4707</v>
      </c>
      <c r="AF182" s="36" t="s">
        <v>4708</v>
      </c>
      <c r="AO182" s="37"/>
      <c r="AP182" s="86"/>
      <c r="AQ182" s="88"/>
      <c r="AR182" s="89"/>
      <c r="AS182" s="90"/>
      <c r="AV182" s="88"/>
      <c r="AW182" s="96"/>
      <c r="AX182" s="97"/>
      <c r="AY182" s="93"/>
      <c r="BB182" s="94"/>
      <c r="BE182" s="37"/>
      <c r="BF182" s="36"/>
    </row>
    <row r="183" spans="1:59" ht="15" customHeight="1">
      <c r="A183" s="36" t="s">
        <v>4037</v>
      </c>
      <c r="B183" s="36" t="s">
        <v>4719</v>
      </c>
      <c r="C183" s="36" t="s">
        <v>57</v>
      </c>
      <c r="D183" s="36">
        <v>181</v>
      </c>
      <c r="E183" s="36">
        <v>2</v>
      </c>
      <c r="F183" s="36" t="s">
        <v>4775</v>
      </c>
      <c r="G183" s="36" t="s">
        <v>4709</v>
      </c>
      <c r="J183" s="36" t="s">
        <v>29</v>
      </c>
      <c r="N183" s="86"/>
      <c r="O183" s="88"/>
      <c r="P183" s="89"/>
      <c r="Q183" s="90">
        <v>3</v>
      </c>
      <c r="R183" s="79">
        <v>3</v>
      </c>
      <c r="T183" s="81">
        <v>3</v>
      </c>
      <c r="U183" s="88"/>
      <c r="V183" s="96">
        <v>1</v>
      </c>
      <c r="W183" s="97">
        <v>1</v>
      </c>
      <c r="X183" s="93"/>
      <c r="AA183" s="94"/>
      <c r="AB183" s="55"/>
      <c r="AD183" s="36" t="s">
        <v>4710</v>
      </c>
      <c r="AE183" s="36" t="s">
        <v>4711</v>
      </c>
      <c r="AF183" s="36" t="s">
        <v>4712</v>
      </c>
      <c r="AO183" s="37"/>
      <c r="AP183" s="86"/>
      <c r="AQ183" s="88"/>
      <c r="AR183" s="89"/>
      <c r="AS183" s="90"/>
      <c r="AV183" s="88"/>
      <c r="AW183" s="96"/>
      <c r="AX183" s="97"/>
      <c r="AY183" s="93"/>
      <c r="BB183" s="94"/>
      <c r="BE183" s="37"/>
      <c r="BF183" s="36"/>
    </row>
    <row r="184" spans="1:59" ht="15" customHeight="1">
      <c r="A184" s="36" t="s">
        <v>4037</v>
      </c>
      <c r="B184" s="36" t="s">
        <v>4720</v>
      </c>
      <c r="C184" s="36" t="s">
        <v>57</v>
      </c>
      <c r="D184" s="36">
        <v>182</v>
      </c>
      <c r="E184" s="36">
        <v>2</v>
      </c>
      <c r="F184" s="36" t="s">
        <v>4775</v>
      </c>
      <c r="G184" s="36" t="s">
        <v>4713</v>
      </c>
      <c r="J184" s="36" t="s">
        <v>28</v>
      </c>
      <c r="N184" s="86"/>
      <c r="O184" s="88"/>
      <c r="P184" s="89"/>
      <c r="Q184" s="90"/>
      <c r="U184" s="88"/>
      <c r="V184" s="96"/>
      <c r="W184" s="97"/>
      <c r="X184" s="93"/>
      <c r="AA184" s="94"/>
      <c r="AB184" s="55"/>
      <c r="AD184" s="36" t="s">
        <v>4346</v>
      </c>
      <c r="AE184" s="36"/>
      <c r="AF184" s="36" t="s">
        <v>4714</v>
      </c>
      <c r="AP184" s="86"/>
      <c r="AQ184" s="88"/>
      <c r="AR184" s="89"/>
      <c r="AS184" s="90"/>
      <c r="AV184" s="88"/>
      <c r="AW184" s="96"/>
      <c r="AX184" s="97"/>
      <c r="AY184" s="93"/>
      <c r="BB184" s="94"/>
    </row>
    <row r="185" spans="1:59" ht="15" customHeight="1">
      <c r="A185" s="41" t="s">
        <v>4037</v>
      </c>
      <c r="B185" s="41" t="s">
        <v>4721</v>
      </c>
      <c r="C185" s="41" t="s">
        <v>57</v>
      </c>
      <c r="D185" s="44">
        <v>995</v>
      </c>
      <c r="E185" s="41">
        <v>1</v>
      </c>
      <c r="F185" s="41"/>
      <c r="G185" s="41" t="s">
        <v>4038</v>
      </c>
      <c r="J185" s="36" t="s">
        <v>4715</v>
      </c>
      <c r="K185" s="36" t="s">
        <v>4052</v>
      </c>
      <c r="N185" s="86"/>
      <c r="O185" s="88"/>
      <c r="P185" s="89"/>
      <c r="Q185" s="90"/>
      <c r="U185" s="88"/>
      <c r="V185" s="96"/>
      <c r="W185" s="97"/>
      <c r="X185" s="93"/>
      <c r="AA185" s="94"/>
      <c r="AB185" s="55"/>
      <c r="AE185" s="36"/>
      <c r="AI185" s="41" t="s">
        <v>4038</v>
      </c>
      <c r="AL185" s="36" t="s">
        <v>4715</v>
      </c>
      <c r="AP185" s="86"/>
      <c r="AQ185" s="88"/>
      <c r="AR185" s="89"/>
      <c r="AS185" s="90"/>
      <c r="AV185" s="88"/>
      <c r="AW185" s="96"/>
      <c r="AX185" s="97"/>
      <c r="AY185" s="93"/>
      <c r="BB185" s="94"/>
    </row>
    <row r="186" spans="1:59" ht="15" customHeight="1">
      <c r="A186" s="36" t="s">
        <v>4037</v>
      </c>
      <c r="B186" s="36" t="s">
        <v>4722</v>
      </c>
      <c r="C186" s="36" t="s">
        <v>57</v>
      </c>
      <c r="D186" s="37">
        <v>996</v>
      </c>
      <c r="E186" s="36">
        <v>1</v>
      </c>
      <c r="G186" s="36" t="s">
        <v>4094</v>
      </c>
      <c r="J186" s="36" t="s">
        <v>4715</v>
      </c>
      <c r="K186" s="36" t="s">
        <v>4053</v>
      </c>
      <c r="N186" s="86"/>
      <c r="O186" s="88"/>
      <c r="P186" s="89"/>
      <c r="Q186" s="90"/>
      <c r="U186" s="88"/>
      <c r="V186" s="96"/>
      <c r="W186" s="97"/>
      <c r="X186" s="93"/>
      <c r="AA186" s="94"/>
      <c r="AB186" s="55"/>
      <c r="AE186" s="36"/>
      <c r="AI186" s="36" t="s">
        <v>4094</v>
      </c>
      <c r="AL186" s="36" t="s">
        <v>4715</v>
      </c>
      <c r="AP186" s="86"/>
      <c r="AQ186" s="88"/>
      <c r="AR186" s="89"/>
      <c r="AS186" s="90"/>
      <c r="AV186" s="88"/>
      <c r="AW186" s="96"/>
      <c r="AX186" s="97"/>
      <c r="AY186" s="93"/>
      <c r="BB186" s="94"/>
    </row>
    <row r="187" spans="1:59" ht="15" customHeight="1">
      <c r="A187" s="36" t="s">
        <v>4037</v>
      </c>
      <c r="B187" s="36" t="s">
        <v>4723</v>
      </c>
      <c r="C187" s="36" t="s">
        <v>57</v>
      </c>
      <c r="D187" s="37">
        <v>997</v>
      </c>
      <c r="E187" s="36">
        <v>1</v>
      </c>
      <c r="G187" s="36" t="s">
        <v>4098</v>
      </c>
      <c r="J187" s="36" t="s">
        <v>4715</v>
      </c>
      <c r="K187" s="36" t="s">
        <v>4055</v>
      </c>
      <c r="N187" s="86"/>
      <c r="O187" s="88"/>
      <c r="P187" s="89"/>
      <c r="Q187" s="90"/>
      <c r="U187" s="88"/>
      <c r="V187" s="96"/>
      <c r="W187" s="97"/>
      <c r="X187" s="93"/>
      <c r="AA187" s="94"/>
      <c r="AB187" s="55"/>
      <c r="AE187" s="36"/>
      <c r="AI187" s="36" t="s">
        <v>4098</v>
      </c>
      <c r="AL187" s="36" t="s">
        <v>4715</v>
      </c>
      <c r="AP187" s="86"/>
      <c r="AQ187" s="88"/>
      <c r="AR187" s="89"/>
      <c r="AS187" s="90"/>
      <c r="AV187" s="88"/>
      <c r="AW187" s="96"/>
      <c r="AX187" s="97"/>
      <c r="AY187" s="93"/>
      <c r="BB187" s="94"/>
    </row>
    <row r="188" spans="1:59" ht="15" customHeight="1">
      <c r="A188" s="36" t="s">
        <v>4037</v>
      </c>
      <c r="B188" s="36" t="s">
        <v>4724</v>
      </c>
      <c r="C188" s="36" t="s">
        <v>57</v>
      </c>
      <c r="D188" s="37">
        <v>998</v>
      </c>
      <c r="E188" s="36">
        <v>1</v>
      </c>
      <c r="G188" s="36" t="s">
        <v>4102</v>
      </c>
      <c r="J188" s="36" t="s">
        <v>4715</v>
      </c>
      <c r="K188" s="36" t="s">
        <v>4054</v>
      </c>
      <c r="N188" s="86"/>
      <c r="O188" s="88"/>
      <c r="P188" s="89"/>
      <c r="Q188" s="90"/>
      <c r="U188" s="88"/>
      <c r="V188" s="96"/>
      <c r="W188" s="97"/>
      <c r="X188" s="93"/>
      <c r="AA188" s="94"/>
      <c r="AB188" s="55"/>
      <c r="AE188" s="36"/>
      <c r="AI188" s="36" t="s">
        <v>4102</v>
      </c>
      <c r="AL188" s="36" t="s">
        <v>4715</v>
      </c>
      <c r="AP188" s="86"/>
      <c r="AQ188" s="88"/>
      <c r="AR188" s="89"/>
      <c r="AS188" s="90"/>
      <c r="AV188" s="88"/>
      <c r="AW188" s="96"/>
      <c r="AX188" s="97"/>
      <c r="AY188" s="93"/>
      <c r="BB188" s="94"/>
    </row>
    <row r="189" spans="1:59" s="45" customFormat="1" ht="15" customHeight="1">
      <c r="A189" s="45" t="s">
        <v>4037</v>
      </c>
      <c r="B189" s="45" t="s">
        <v>4725</v>
      </c>
      <c r="C189" s="45" t="s">
        <v>57</v>
      </c>
      <c r="D189" s="45">
        <v>999</v>
      </c>
      <c r="E189" s="45">
        <v>1</v>
      </c>
      <c r="G189" s="45" t="s">
        <v>4106</v>
      </c>
      <c r="J189" s="45" t="s">
        <v>4715</v>
      </c>
      <c r="K189" s="45" t="s">
        <v>4056</v>
      </c>
      <c r="N189" s="98"/>
      <c r="O189" s="99"/>
      <c r="P189" s="100"/>
      <c r="Q189" s="101"/>
      <c r="R189" s="102"/>
      <c r="S189" s="126"/>
      <c r="T189" s="103"/>
      <c r="U189" s="99"/>
      <c r="V189" s="104"/>
      <c r="W189" s="105"/>
      <c r="X189" s="106"/>
      <c r="Y189" s="102"/>
      <c r="Z189" s="103"/>
      <c r="AA189" s="107"/>
      <c r="AI189" s="45" t="s">
        <v>4106</v>
      </c>
      <c r="AL189" s="45" t="s">
        <v>4715</v>
      </c>
      <c r="AP189" s="98"/>
      <c r="AQ189" s="99"/>
      <c r="AR189" s="100"/>
      <c r="AS189" s="101"/>
      <c r="AT189" s="102"/>
      <c r="AU189" s="103"/>
      <c r="AV189" s="99"/>
      <c r="AW189" s="104"/>
      <c r="AX189" s="105"/>
      <c r="AY189" s="106"/>
      <c r="AZ189" s="102"/>
      <c r="BA189" s="103"/>
      <c r="BB189" s="107"/>
      <c r="BF189" s="38"/>
    </row>
    <row r="190" spans="1:59" ht="15" customHeight="1">
      <c r="A190" s="36" t="s">
        <v>4787</v>
      </c>
      <c r="B190" s="36" t="s">
        <v>4789</v>
      </c>
      <c r="C190" s="36" t="s">
        <v>4825</v>
      </c>
      <c r="D190" s="36">
        <v>1</v>
      </c>
      <c r="E190" s="36">
        <v>1</v>
      </c>
      <c r="F190" s="36" t="s">
        <v>4912</v>
      </c>
      <c r="G190" s="36" t="s">
        <v>4788</v>
      </c>
      <c r="H190" s="36" t="s">
        <v>4563</v>
      </c>
      <c r="J190" s="36" t="s">
        <v>4472</v>
      </c>
      <c r="N190" s="86"/>
      <c r="O190" s="108"/>
      <c r="P190" s="109"/>
      <c r="Q190" s="110"/>
      <c r="R190" s="111"/>
      <c r="T190" s="112"/>
      <c r="U190" s="108"/>
      <c r="V190" s="113"/>
      <c r="W190" s="114"/>
      <c r="X190" s="115"/>
      <c r="Y190" s="111"/>
      <c r="Z190" s="112"/>
      <c r="AA190" s="116"/>
      <c r="AE190" s="36"/>
      <c r="AF190" s="36" t="s">
        <v>4826</v>
      </c>
      <c r="AI190" s="36" t="s">
        <v>4788</v>
      </c>
      <c r="AJ190" s="36" t="s">
        <v>4564</v>
      </c>
      <c r="AL190" s="36" t="s">
        <v>4472</v>
      </c>
      <c r="AP190" s="86"/>
      <c r="AQ190" s="108"/>
      <c r="AR190" s="109"/>
      <c r="AS190" s="110"/>
      <c r="AT190" s="111"/>
      <c r="AU190" s="112"/>
      <c r="AV190" s="108"/>
      <c r="AW190" s="113"/>
      <c r="AX190" s="114"/>
      <c r="AY190" s="115"/>
      <c r="AZ190" s="111"/>
      <c r="BA190" s="112"/>
      <c r="BB190" s="116"/>
      <c r="BG190" s="36" t="s">
        <v>4827</v>
      </c>
    </row>
    <row r="191" spans="1:59" ht="15" customHeight="1">
      <c r="A191" s="36" t="s">
        <v>4787</v>
      </c>
      <c r="B191" s="36" t="s">
        <v>4790</v>
      </c>
      <c r="C191" s="36" t="s">
        <v>4825</v>
      </c>
      <c r="D191" s="36">
        <v>2</v>
      </c>
      <c r="E191" s="36">
        <v>1</v>
      </c>
      <c r="F191" s="36" t="s">
        <v>4912</v>
      </c>
      <c r="G191" s="36" t="s">
        <v>4828</v>
      </c>
      <c r="J191" s="36" t="s">
        <v>4473</v>
      </c>
      <c r="L191" s="36">
        <v>1</v>
      </c>
      <c r="N191" s="86"/>
      <c r="O191" s="88"/>
      <c r="P191" s="89"/>
      <c r="Q191" s="90"/>
      <c r="U191" s="88"/>
      <c r="V191" s="96"/>
      <c r="W191" s="97"/>
      <c r="X191" s="93"/>
      <c r="Z191" s="81">
        <v>5</v>
      </c>
      <c r="AA191" s="94"/>
      <c r="AE191" s="36"/>
      <c r="AI191" s="36" t="s">
        <v>4829</v>
      </c>
      <c r="AL191" s="36" t="s">
        <v>4473</v>
      </c>
      <c r="AN191" s="36">
        <v>1</v>
      </c>
      <c r="AP191" s="86"/>
      <c r="AQ191" s="88"/>
      <c r="AR191" s="89"/>
      <c r="AS191" s="90"/>
      <c r="AV191" s="88"/>
      <c r="AW191" s="96"/>
      <c r="AX191" s="97"/>
      <c r="AY191" s="93"/>
      <c r="BB191" s="94"/>
      <c r="BG191" s="36" t="s">
        <v>4830</v>
      </c>
    </row>
    <row r="192" spans="1:59" ht="15" customHeight="1">
      <c r="A192" s="36" t="s">
        <v>4787</v>
      </c>
      <c r="B192" s="36" t="s">
        <v>4791</v>
      </c>
      <c r="C192" s="36" t="s">
        <v>4825</v>
      </c>
      <c r="D192" s="36">
        <v>3</v>
      </c>
      <c r="E192" s="36">
        <v>1</v>
      </c>
      <c r="F192" s="36" t="s">
        <v>4912</v>
      </c>
      <c r="G192" s="36" t="s">
        <v>4831</v>
      </c>
      <c r="J192" s="36" t="s">
        <v>4473</v>
      </c>
      <c r="L192" s="36">
        <v>2</v>
      </c>
      <c r="N192" s="86"/>
      <c r="O192" s="88"/>
      <c r="P192" s="89"/>
      <c r="Q192" s="90"/>
      <c r="U192" s="88"/>
      <c r="V192" s="96"/>
      <c r="W192" s="97"/>
      <c r="X192" s="93"/>
      <c r="Z192" s="81">
        <v>6</v>
      </c>
      <c r="AA192" s="94"/>
      <c r="AE192" s="36"/>
      <c r="AI192" s="36" t="s">
        <v>4832</v>
      </c>
      <c r="AL192" s="36" t="s">
        <v>4473</v>
      </c>
      <c r="AN192" s="36">
        <v>2</v>
      </c>
      <c r="AP192" s="86"/>
      <c r="AQ192" s="88"/>
      <c r="AR192" s="89"/>
      <c r="AS192" s="90"/>
      <c r="AV192" s="88"/>
      <c r="AW192" s="96"/>
      <c r="AX192" s="97"/>
      <c r="AY192" s="93"/>
      <c r="BB192" s="94"/>
      <c r="BG192" s="36" t="s">
        <v>4833</v>
      </c>
    </row>
    <row r="193" spans="1:59" ht="15" customHeight="1">
      <c r="A193" s="36" t="s">
        <v>4787</v>
      </c>
      <c r="B193" s="36" t="s">
        <v>4792</v>
      </c>
      <c r="C193" s="36" t="s">
        <v>4825</v>
      </c>
      <c r="D193" s="36">
        <v>4</v>
      </c>
      <c r="E193" s="36">
        <v>1</v>
      </c>
      <c r="F193" s="36" t="s">
        <v>4912</v>
      </c>
      <c r="G193" s="36" t="s">
        <v>4834</v>
      </c>
      <c r="J193" s="36" t="s">
        <v>4473</v>
      </c>
      <c r="L193" s="36">
        <v>3</v>
      </c>
      <c r="N193" s="86"/>
      <c r="O193" s="88"/>
      <c r="P193" s="89"/>
      <c r="Q193" s="90"/>
      <c r="U193" s="88"/>
      <c r="V193" s="96"/>
      <c r="W193" s="97"/>
      <c r="X193" s="93"/>
      <c r="Z193" s="81">
        <v>8</v>
      </c>
      <c r="AA193" s="94"/>
      <c r="AE193" s="36"/>
      <c r="AF193" s="36" t="s">
        <v>4838</v>
      </c>
      <c r="AI193" s="36" t="s">
        <v>4835</v>
      </c>
      <c r="AL193" s="36" t="s">
        <v>4473</v>
      </c>
      <c r="AN193" s="36">
        <v>3</v>
      </c>
      <c r="AP193" s="86"/>
      <c r="AQ193" s="88"/>
      <c r="AR193" s="89"/>
      <c r="AS193" s="90"/>
      <c r="AV193" s="88"/>
      <c r="AW193" s="96"/>
      <c r="AX193" s="97"/>
      <c r="AY193" s="93"/>
      <c r="BB193" s="94"/>
      <c r="BG193" s="36" t="s">
        <v>4837</v>
      </c>
    </row>
    <row r="194" spans="1:59" ht="15" customHeight="1">
      <c r="A194" s="36" t="s">
        <v>4787</v>
      </c>
      <c r="B194" s="36" t="s">
        <v>4793</v>
      </c>
      <c r="C194" s="36" t="s">
        <v>4825</v>
      </c>
      <c r="D194" s="36">
        <v>5</v>
      </c>
      <c r="E194" s="36">
        <v>1</v>
      </c>
      <c r="F194" s="36" t="s">
        <v>4912</v>
      </c>
      <c r="G194" s="36" t="s">
        <v>4836</v>
      </c>
      <c r="J194" s="36" t="s">
        <v>4475</v>
      </c>
      <c r="L194" s="36">
        <v>1</v>
      </c>
      <c r="N194" s="86"/>
      <c r="O194" s="88"/>
      <c r="P194" s="89"/>
      <c r="Q194" s="90"/>
      <c r="U194" s="88"/>
      <c r="V194" s="91"/>
      <c r="W194" s="92"/>
      <c r="X194" s="93"/>
      <c r="Y194" s="79" t="s">
        <v>4925</v>
      </c>
      <c r="AA194" s="94"/>
      <c r="AE194" s="36"/>
      <c r="AF194" s="36" t="s">
        <v>4839</v>
      </c>
      <c r="AI194" s="36" t="s">
        <v>4929</v>
      </c>
      <c r="AL194" s="36" t="s">
        <v>4475</v>
      </c>
      <c r="AN194" s="36">
        <v>1</v>
      </c>
      <c r="AP194" s="86"/>
      <c r="AQ194" s="88"/>
      <c r="AR194" s="89"/>
      <c r="AS194" s="90"/>
      <c r="AV194" s="88"/>
      <c r="AW194" s="96"/>
      <c r="AX194" s="97"/>
      <c r="AY194" s="93"/>
      <c r="BB194" s="94"/>
      <c r="BG194" s="36" t="s">
        <v>4840</v>
      </c>
    </row>
    <row r="195" spans="1:59" ht="15" customHeight="1">
      <c r="A195" s="36" t="s">
        <v>4787</v>
      </c>
      <c r="B195" s="36" t="s">
        <v>4794</v>
      </c>
      <c r="C195" s="36" t="s">
        <v>4825</v>
      </c>
      <c r="D195" s="36">
        <v>6</v>
      </c>
      <c r="E195" s="36">
        <v>1</v>
      </c>
      <c r="F195" s="36" t="s">
        <v>4912</v>
      </c>
      <c r="G195" s="36" t="s">
        <v>4841</v>
      </c>
      <c r="J195" s="36" t="s">
        <v>4475</v>
      </c>
      <c r="L195" s="36">
        <v>2</v>
      </c>
      <c r="N195" s="86"/>
      <c r="O195" s="88"/>
      <c r="P195" s="89"/>
      <c r="Q195" s="90"/>
      <c r="U195" s="88"/>
      <c r="V195" s="91"/>
      <c r="W195" s="92"/>
      <c r="X195" s="93"/>
      <c r="Y195" s="79" t="s">
        <v>38</v>
      </c>
      <c r="AA195" s="94"/>
      <c r="AE195" s="36"/>
      <c r="AF195" s="36" t="s">
        <v>4842</v>
      </c>
      <c r="AI195" s="55" t="s">
        <v>4930</v>
      </c>
      <c r="AL195" s="36" t="s">
        <v>4475</v>
      </c>
      <c r="AN195" s="36">
        <v>2</v>
      </c>
      <c r="AP195" s="86"/>
      <c r="AQ195" s="88"/>
      <c r="AR195" s="89"/>
      <c r="AS195" s="90"/>
      <c r="AV195" s="88"/>
      <c r="AW195" s="96"/>
      <c r="AX195" s="97"/>
      <c r="AY195" s="93"/>
      <c r="BB195" s="94"/>
      <c r="BG195" s="36" t="s">
        <v>4926</v>
      </c>
    </row>
    <row r="196" spans="1:59" ht="15" customHeight="1">
      <c r="A196" s="36" t="s">
        <v>4787</v>
      </c>
      <c r="B196" s="36" t="s">
        <v>4795</v>
      </c>
      <c r="C196" s="36" t="s">
        <v>4825</v>
      </c>
      <c r="D196" s="36">
        <v>7</v>
      </c>
      <c r="E196" s="36">
        <v>1</v>
      </c>
      <c r="F196" s="36" t="s">
        <v>4912</v>
      </c>
      <c r="G196" s="56" t="s">
        <v>4843</v>
      </c>
      <c r="J196" s="36" t="s">
        <v>31</v>
      </c>
      <c r="N196" s="86"/>
      <c r="O196" s="88"/>
      <c r="P196" s="89"/>
      <c r="Q196" s="90"/>
      <c r="U196" s="88"/>
      <c r="V196" s="91"/>
      <c r="W196" s="92"/>
      <c r="X196" s="93"/>
      <c r="AA196" s="94"/>
      <c r="AD196" s="56" t="s">
        <v>4844</v>
      </c>
      <c r="AE196" s="36"/>
      <c r="AI196" s="56" t="s">
        <v>4843</v>
      </c>
      <c r="AL196" s="36" t="s">
        <v>31</v>
      </c>
      <c r="AP196" s="86"/>
      <c r="AQ196" s="88"/>
      <c r="AR196" s="89"/>
      <c r="AS196" s="90"/>
      <c r="AV196" s="88"/>
      <c r="AW196" s="96"/>
      <c r="AX196" s="97"/>
      <c r="AY196" s="93">
        <v>1</v>
      </c>
      <c r="AZ196" s="79">
        <v>0</v>
      </c>
      <c r="BB196" s="94"/>
      <c r="BE196" s="56" t="s">
        <v>4844</v>
      </c>
      <c r="BG196" s="36" t="s">
        <v>4845</v>
      </c>
    </row>
    <row r="197" spans="1:59" ht="15" customHeight="1">
      <c r="A197" s="36" t="s">
        <v>4787</v>
      </c>
      <c r="B197" s="36" t="s">
        <v>4796</v>
      </c>
      <c r="C197" s="36" t="s">
        <v>4825</v>
      </c>
      <c r="D197" s="36">
        <v>8</v>
      </c>
      <c r="E197" s="36">
        <v>1</v>
      </c>
      <c r="F197" s="36" t="s">
        <v>4912</v>
      </c>
      <c r="G197" s="56" t="s">
        <v>4846</v>
      </c>
      <c r="J197" s="36" t="s">
        <v>31</v>
      </c>
      <c r="N197" s="86"/>
      <c r="O197" s="88"/>
      <c r="P197" s="89"/>
      <c r="Q197" s="90"/>
      <c r="U197" s="88"/>
      <c r="V197" s="91"/>
      <c r="W197" s="92"/>
      <c r="X197" s="93"/>
      <c r="AA197" s="94"/>
      <c r="AD197" s="56" t="s">
        <v>4846</v>
      </c>
      <c r="AE197" s="36"/>
      <c r="AI197" s="56" t="s">
        <v>4846</v>
      </c>
      <c r="AJ197" s="56" t="s">
        <v>4847</v>
      </c>
      <c r="AL197" s="36" t="s">
        <v>31</v>
      </c>
      <c r="AP197" s="86"/>
      <c r="AQ197" s="88"/>
      <c r="AR197" s="89"/>
      <c r="AS197" s="90"/>
      <c r="AV197" s="88"/>
      <c r="AW197" s="96"/>
      <c r="AX197" s="97"/>
      <c r="AY197" s="93">
        <v>1</v>
      </c>
      <c r="AZ197" s="79">
        <v>0</v>
      </c>
      <c r="BB197" s="94"/>
      <c r="BE197" s="56" t="s">
        <v>4846</v>
      </c>
      <c r="BG197" s="36" t="s">
        <v>4849</v>
      </c>
    </row>
    <row r="198" spans="1:59" ht="15" customHeight="1">
      <c r="A198" s="36" t="s">
        <v>4787</v>
      </c>
      <c r="B198" s="36" t="s">
        <v>4797</v>
      </c>
      <c r="C198" s="36" t="s">
        <v>4825</v>
      </c>
      <c r="D198" s="36">
        <v>9</v>
      </c>
      <c r="E198" s="36">
        <v>1</v>
      </c>
      <c r="F198" s="36" t="s">
        <v>4912</v>
      </c>
      <c r="G198" s="56" t="s">
        <v>4846</v>
      </c>
      <c r="J198" s="36" t="s">
        <v>31</v>
      </c>
      <c r="N198" s="86"/>
      <c r="O198" s="88"/>
      <c r="P198" s="89"/>
      <c r="Q198" s="90"/>
      <c r="U198" s="88"/>
      <c r="V198" s="91"/>
      <c r="W198" s="92"/>
      <c r="X198" s="93"/>
      <c r="AA198" s="94"/>
      <c r="AD198" s="56" t="s">
        <v>4846</v>
      </c>
      <c r="AE198" s="36"/>
      <c r="AI198" s="56" t="s">
        <v>4846</v>
      </c>
      <c r="AJ198" s="56" t="s">
        <v>4848</v>
      </c>
      <c r="AL198" s="36" t="s">
        <v>31</v>
      </c>
      <c r="AP198" s="86"/>
      <c r="AQ198" s="88"/>
      <c r="AR198" s="89"/>
      <c r="AS198" s="90"/>
      <c r="AV198" s="88"/>
      <c r="AW198" s="96"/>
      <c r="AX198" s="97"/>
      <c r="AY198" s="93">
        <v>3</v>
      </c>
      <c r="AZ198" s="79" t="s">
        <v>4927</v>
      </c>
      <c r="BB198" s="94"/>
      <c r="BE198" s="56" t="s">
        <v>4846</v>
      </c>
      <c r="BG198" s="36" t="s">
        <v>4850</v>
      </c>
    </row>
    <row r="199" spans="1:59" ht="15" customHeight="1">
      <c r="A199" s="36" t="s">
        <v>4787</v>
      </c>
      <c r="B199" s="36" t="s">
        <v>4798</v>
      </c>
      <c r="C199" s="36" t="s">
        <v>4825</v>
      </c>
      <c r="D199" s="36">
        <v>10</v>
      </c>
      <c r="E199" s="36">
        <v>1</v>
      </c>
      <c r="F199" s="36" t="s">
        <v>4912</v>
      </c>
      <c r="G199" s="36" t="s">
        <v>4851</v>
      </c>
      <c r="J199" s="36" t="s">
        <v>31</v>
      </c>
      <c r="N199" s="86"/>
      <c r="O199" s="88"/>
      <c r="P199" s="89"/>
      <c r="Q199" s="90"/>
      <c r="U199" s="88"/>
      <c r="V199" s="91"/>
      <c r="W199" s="92"/>
      <c r="X199" s="93"/>
      <c r="AA199" s="94"/>
      <c r="AD199" s="56" t="s">
        <v>4852</v>
      </c>
      <c r="AE199" s="36"/>
      <c r="AI199" s="36" t="s">
        <v>4851</v>
      </c>
      <c r="AL199" s="36" t="s">
        <v>31</v>
      </c>
      <c r="AP199" s="86"/>
      <c r="AQ199" s="88"/>
      <c r="AR199" s="89"/>
      <c r="AS199" s="90"/>
      <c r="AV199" s="88"/>
      <c r="AW199" s="96"/>
      <c r="AX199" s="97"/>
      <c r="AY199" s="93">
        <v>1</v>
      </c>
      <c r="AZ199" s="79">
        <v>0</v>
      </c>
      <c r="BB199" s="94"/>
      <c r="BE199" s="56" t="s">
        <v>4852</v>
      </c>
      <c r="BG199" s="36" t="s">
        <v>4853</v>
      </c>
    </row>
    <row r="200" spans="1:59" ht="15" customHeight="1">
      <c r="A200" s="36" t="s">
        <v>4787</v>
      </c>
      <c r="B200" s="36" t="s">
        <v>4799</v>
      </c>
      <c r="C200" s="36" t="s">
        <v>4825</v>
      </c>
      <c r="D200" s="36">
        <v>11</v>
      </c>
      <c r="E200" s="36">
        <v>1</v>
      </c>
      <c r="F200" s="36" t="s">
        <v>4912</v>
      </c>
      <c r="G200" s="36" t="s">
        <v>4854</v>
      </c>
      <c r="J200" s="36" t="s">
        <v>31</v>
      </c>
      <c r="N200" s="86"/>
      <c r="O200" s="88"/>
      <c r="P200" s="89"/>
      <c r="Q200" s="90"/>
      <c r="U200" s="88"/>
      <c r="V200" s="91"/>
      <c r="W200" s="92"/>
      <c r="X200" s="93"/>
      <c r="AA200" s="94"/>
      <c r="AD200" s="36" t="s">
        <v>4854</v>
      </c>
      <c r="AE200" s="36"/>
      <c r="AI200" s="36" t="s">
        <v>4854</v>
      </c>
      <c r="AJ200" s="36" t="s">
        <v>4855</v>
      </c>
      <c r="AL200" s="36" t="s">
        <v>31</v>
      </c>
      <c r="AP200" s="86"/>
      <c r="AQ200" s="88"/>
      <c r="AR200" s="89"/>
      <c r="AS200" s="90"/>
      <c r="AV200" s="88"/>
      <c r="AW200" s="96"/>
      <c r="AX200" s="97"/>
      <c r="AY200" s="93">
        <v>3</v>
      </c>
      <c r="AZ200" s="79" t="s">
        <v>4927</v>
      </c>
      <c r="BB200" s="94">
        <v>1</v>
      </c>
      <c r="BE200" s="36" t="s">
        <v>4854</v>
      </c>
      <c r="BG200" s="36" t="s">
        <v>4856</v>
      </c>
    </row>
    <row r="201" spans="1:59" ht="15" customHeight="1">
      <c r="A201" s="36" t="s">
        <v>4787</v>
      </c>
      <c r="B201" s="36" t="s">
        <v>4800</v>
      </c>
      <c r="C201" s="36" t="s">
        <v>4825</v>
      </c>
      <c r="D201" s="36">
        <v>12</v>
      </c>
      <c r="E201" s="36">
        <v>1</v>
      </c>
      <c r="F201" s="36" t="s">
        <v>4912</v>
      </c>
      <c r="G201" s="36" t="s">
        <v>4854</v>
      </c>
      <c r="J201" s="36" t="s">
        <v>31</v>
      </c>
      <c r="N201" s="86"/>
      <c r="O201" s="88"/>
      <c r="P201" s="89"/>
      <c r="Q201" s="90"/>
      <c r="U201" s="88"/>
      <c r="V201" s="91"/>
      <c r="W201" s="92"/>
      <c r="X201" s="93"/>
      <c r="AA201" s="94"/>
      <c r="AD201" s="36" t="s">
        <v>4854</v>
      </c>
      <c r="AE201" s="36"/>
      <c r="AI201" s="36" t="s">
        <v>4854</v>
      </c>
      <c r="AJ201" s="36" t="s">
        <v>4857</v>
      </c>
      <c r="AL201" s="36" t="s">
        <v>31</v>
      </c>
      <c r="AP201" s="86"/>
      <c r="AQ201" s="88"/>
      <c r="AR201" s="89"/>
      <c r="AS201" s="90"/>
      <c r="AV201" s="88"/>
      <c r="AW201" s="96"/>
      <c r="AX201" s="97"/>
      <c r="AY201" s="93">
        <v>4</v>
      </c>
      <c r="AZ201" s="79">
        <v>0</v>
      </c>
      <c r="BB201" s="94"/>
      <c r="BE201" s="36" t="s">
        <v>4854</v>
      </c>
      <c r="BG201" s="36" t="s">
        <v>4858</v>
      </c>
    </row>
    <row r="202" spans="1:59" ht="15" customHeight="1">
      <c r="A202" s="36" t="s">
        <v>4787</v>
      </c>
      <c r="B202" s="36" t="s">
        <v>4801</v>
      </c>
      <c r="C202" s="36" t="s">
        <v>4825</v>
      </c>
      <c r="D202" s="36">
        <v>13</v>
      </c>
      <c r="E202" s="36">
        <v>1</v>
      </c>
      <c r="F202" s="36" t="s">
        <v>4912</v>
      </c>
      <c r="G202" s="56" t="s">
        <v>4859</v>
      </c>
      <c r="J202" s="36" t="s">
        <v>31</v>
      </c>
      <c r="N202" s="86"/>
      <c r="O202" s="88"/>
      <c r="P202" s="89"/>
      <c r="Q202" s="90"/>
      <c r="U202" s="88"/>
      <c r="V202" s="91"/>
      <c r="W202" s="92"/>
      <c r="X202" s="93"/>
      <c r="AA202" s="94"/>
      <c r="AD202" s="56" t="s">
        <v>4860</v>
      </c>
      <c r="AE202" s="36"/>
      <c r="AI202" s="56" t="s">
        <v>4859</v>
      </c>
      <c r="AL202" s="36" t="s">
        <v>31</v>
      </c>
      <c r="AP202" s="86"/>
      <c r="AQ202" s="88"/>
      <c r="AR202" s="89"/>
      <c r="AS202" s="90"/>
      <c r="AV202" s="88"/>
      <c r="AW202" s="96"/>
      <c r="AX202" s="97"/>
      <c r="AY202" s="93">
        <v>2</v>
      </c>
      <c r="AZ202" s="79">
        <v>0</v>
      </c>
      <c r="BB202" s="94"/>
      <c r="BE202" s="56" t="s">
        <v>4860</v>
      </c>
      <c r="BG202" s="36" t="s">
        <v>4861</v>
      </c>
    </row>
    <row r="203" spans="1:59" ht="15" customHeight="1">
      <c r="A203" s="36" t="s">
        <v>4787</v>
      </c>
      <c r="B203" s="36" t="s">
        <v>4802</v>
      </c>
      <c r="C203" s="36" t="s">
        <v>4825</v>
      </c>
      <c r="D203" s="36">
        <v>14</v>
      </c>
      <c r="E203" s="36">
        <v>1</v>
      </c>
      <c r="F203" s="36" t="s">
        <v>4912</v>
      </c>
      <c r="G203" s="56" t="s">
        <v>4862</v>
      </c>
      <c r="J203" s="36" t="s">
        <v>31</v>
      </c>
      <c r="N203" s="86"/>
      <c r="O203" s="88"/>
      <c r="P203" s="89"/>
      <c r="Q203" s="90"/>
      <c r="U203" s="88"/>
      <c r="V203" s="91"/>
      <c r="W203" s="92"/>
      <c r="X203" s="93"/>
      <c r="AA203" s="94"/>
      <c r="AD203" s="56" t="s">
        <v>4863</v>
      </c>
      <c r="AE203" s="36"/>
      <c r="AI203" s="56" t="s">
        <v>4862</v>
      </c>
      <c r="AJ203" s="36" t="s">
        <v>4864</v>
      </c>
      <c r="AL203" s="36" t="s">
        <v>31</v>
      </c>
      <c r="AP203" s="86"/>
      <c r="AQ203" s="88"/>
      <c r="AR203" s="89"/>
      <c r="AS203" s="90"/>
      <c r="AV203" s="88"/>
      <c r="AW203" s="96"/>
      <c r="AX203" s="97"/>
      <c r="AY203" s="93">
        <v>3</v>
      </c>
      <c r="AZ203" s="79">
        <v>0</v>
      </c>
      <c r="BB203" s="94"/>
      <c r="BE203" s="56" t="s">
        <v>4863</v>
      </c>
      <c r="BG203" s="36" t="s">
        <v>4865</v>
      </c>
    </row>
    <row r="204" spans="1:59" ht="15" customHeight="1">
      <c r="A204" s="36" t="s">
        <v>4787</v>
      </c>
      <c r="B204" s="36" t="s">
        <v>4803</v>
      </c>
      <c r="C204" s="36" t="s">
        <v>4825</v>
      </c>
      <c r="D204" s="36">
        <v>15</v>
      </c>
      <c r="E204" s="36">
        <v>1</v>
      </c>
      <c r="F204" s="36" t="s">
        <v>4912</v>
      </c>
      <c r="G204" s="56" t="s">
        <v>4862</v>
      </c>
      <c r="J204" s="36" t="s">
        <v>31</v>
      </c>
      <c r="N204" s="86"/>
      <c r="O204" s="88"/>
      <c r="P204" s="89"/>
      <c r="Q204" s="90"/>
      <c r="U204" s="88"/>
      <c r="V204" s="91"/>
      <c r="W204" s="92"/>
      <c r="X204" s="93"/>
      <c r="AA204" s="94"/>
      <c r="AD204" s="56" t="s">
        <v>4863</v>
      </c>
      <c r="AE204" s="36"/>
      <c r="AI204" s="56" t="s">
        <v>4862</v>
      </c>
      <c r="AJ204" s="36" t="s">
        <v>4866</v>
      </c>
      <c r="AL204" s="36" t="s">
        <v>31</v>
      </c>
      <c r="AP204" s="86"/>
      <c r="AQ204" s="88"/>
      <c r="AR204" s="89"/>
      <c r="AS204" s="90"/>
      <c r="AV204" s="88"/>
      <c r="AW204" s="96"/>
      <c r="AX204" s="97"/>
      <c r="AY204" s="93">
        <v>3</v>
      </c>
      <c r="AZ204" s="79" t="s">
        <v>4927</v>
      </c>
      <c r="BB204" s="94">
        <v>1</v>
      </c>
      <c r="BE204" s="56" t="s">
        <v>4863</v>
      </c>
      <c r="BG204" s="36" t="s">
        <v>4867</v>
      </c>
    </row>
    <row r="205" spans="1:59" ht="15" customHeight="1">
      <c r="A205" s="36" t="s">
        <v>4787</v>
      </c>
      <c r="B205" s="36" t="s">
        <v>4804</v>
      </c>
      <c r="C205" s="36" t="s">
        <v>4825</v>
      </c>
      <c r="D205" s="36">
        <v>16</v>
      </c>
      <c r="E205" s="36">
        <v>1</v>
      </c>
      <c r="F205" s="36" t="s">
        <v>4912</v>
      </c>
      <c r="G205" s="36" t="s">
        <v>4868</v>
      </c>
      <c r="J205" s="36" t="s">
        <v>31</v>
      </c>
      <c r="N205" s="86"/>
      <c r="O205" s="88"/>
      <c r="P205" s="89"/>
      <c r="Q205" s="90"/>
      <c r="U205" s="88"/>
      <c r="V205" s="91"/>
      <c r="W205" s="92"/>
      <c r="X205" s="93"/>
      <c r="AA205" s="94"/>
      <c r="AD205" s="36" t="s">
        <v>4869</v>
      </c>
      <c r="AE205" s="36"/>
      <c r="AI205" s="36" t="s">
        <v>4868</v>
      </c>
      <c r="AL205" s="36" t="s">
        <v>31</v>
      </c>
      <c r="AP205" s="86"/>
      <c r="AQ205" s="88"/>
      <c r="AR205" s="89"/>
      <c r="AS205" s="90"/>
      <c r="AV205" s="88"/>
      <c r="AW205" s="96"/>
      <c r="AX205" s="97"/>
      <c r="AY205" s="93">
        <v>2</v>
      </c>
      <c r="AZ205" s="79">
        <v>0</v>
      </c>
      <c r="BB205" s="94"/>
      <c r="BE205" s="36" t="s">
        <v>4869</v>
      </c>
      <c r="BG205" s="36" t="s">
        <v>4870</v>
      </c>
    </row>
    <row r="206" spans="1:59" ht="15" customHeight="1">
      <c r="A206" s="36" t="s">
        <v>4787</v>
      </c>
      <c r="B206" s="36" t="s">
        <v>4805</v>
      </c>
      <c r="C206" s="36" t="s">
        <v>4825</v>
      </c>
      <c r="D206" s="36">
        <v>17</v>
      </c>
      <c r="E206" s="36">
        <v>1</v>
      </c>
      <c r="F206" s="36" t="s">
        <v>4912</v>
      </c>
      <c r="G206" s="36" t="s">
        <v>4871</v>
      </c>
      <c r="J206" s="36" t="s">
        <v>31</v>
      </c>
      <c r="N206" s="86"/>
      <c r="O206" s="88"/>
      <c r="P206" s="89"/>
      <c r="Q206" s="90"/>
      <c r="U206" s="88"/>
      <c r="V206" s="91"/>
      <c r="W206" s="92"/>
      <c r="X206" s="93"/>
      <c r="AA206" s="94"/>
      <c r="AD206" s="36" t="s">
        <v>4873</v>
      </c>
      <c r="AE206" s="36"/>
      <c r="AI206" s="36" t="s">
        <v>4871</v>
      </c>
      <c r="AJ206" s="36" t="s">
        <v>4872</v>
      </c>
      <c r="AL206" s="36" t="s">
        <v>31</v>
      </c>
      <c r="AP206" s="86"/>
      <c r="AQ206" s="88"/>
      <c r="AR206" s="89"/>
      <c r="AS206" s="90"/>
      <c r="AV206" s="88"/>
      <c r="AW206" s="96"/>
      <c r="AX206" s="97"/>
      <c r="AY206" s="93">
        <v>2</v>
      </c>
      <c r="AZ206" s="79" t="s">
        <v>4927</v>
      </c>
      <c r="BB206" s="94">
        <v>1</v>
      </c>
      <c r="BE206" s="36" t="s">
        <v>4873</v>
      </c>
      <c r="BG206" s="36" t="s">
        <v>4874</v>
      </c>
    </row>
    <row r="207" spans="1:59" ht="15" customHeight="1">
      <c r="A207" s="36" t="s">
        <v>4787</v>
      </c>
      <c r="B207" s="36" t="s">
        <v>4806</v>
      </c>
      <c r="C207" s="36" t="s">
        <v>4825</v>
      </c>
      <c r="D207" s="36">
        <v>18</v>
      </c>
      <c r="E207" s="36">
        <v>1</v>
      </c>
      <c r="F207" s="36" t="s">
        <v>4912</v>
      </c>
      <c r="G207" s="36" t="s">
        <v>4871</v>
      </c>
      <c r="J207" s="36" t="s">
        <v>31</v>
      </c>
      <c r="N207" s="86"/>
      <c r="O207" s="88"/>
      <c r="P207" s="89"/>
      <c r="Q207" s="90"/>
      <c r="U207" s="88"/>
      <c r="V207" s="91"/>
      <c r="W207" s="92"/>
      <c r="X207" s="93"/>
      <c r="AA207" s="94"/>
      <c r="AD207" s="36" t="s">
        <v>4873</v>
      </c>
      <c r="AE207" s="36"/>
      <c r="AI207" s="36" t="s">
        <v>4871</v>
      </c>
      <c r="AJ207" s="36" t="s">
        <v>4875</v>
      </c>
      <c r="AL207" s="36" t="s">
        <v>31</v>
      </c>
      <c r="AP207" s="86"/>
      <c r="AQ207" s="88"/>
      <c r="AR207" s="89"/>
      <c r="AS207" s="90"/>
      <c r="AV207" s="88"/>
      <c r="AW207" s="96"/>
      <c r="AX207" s="97"/>
      <c r="AY207" s="93">
        <v>4</v>
      </c>
      <c r="AZ207" s="79">
        <v>0</v>
      </c>
      <c r="BB207" s="94">
        <v>1</v>
      </c>
      <c r="BE207" s="36" t="s">
        <v>4873</v>
      </c>
      <c r="BG207" s="36" t="s">
        <v>4914</v>
      </c>
    </row>
    <row r="208" spans="1:59" ht="15" customHeight="1">
      <c r="A208" s="36" t="s">
        <v>4787</v>
      </c>
      <c r="B208" s="36" t="s">
        <v>4807</v>
      </c>
      <c r="C208" s="36" t="s">
        <v>4825</v>
      </c>
      <c r="D208" s="36">
        <v>19</v>
      </c>
      <c r="E208" s="36">
        <v>1</v>
      </c>
      <c r="F208" s="36" t="s">
        <v>4912</v>
      </c>
      <c r="G208" s="36" t="s">
        <v>4876</v>
      </c>
      <c r="I208" s="36" t="s">
        <v>4077</v>
      </c>
      <c r="J208" s="36" t="s">
        <v>4111</v>
      </c>
      <c r="N208" s="86">
        <v>4</v>
      </c>
      <c r="O208" s="88"/>
      <c r="P208" s="89"/>
      <c r="Q208" s="90"/>
      <c r="U208" s="88">
        <v>4</v>
      </c>
      <c r="V208" s="91">
        <v>2</v>
      </c>
      <c r="W208" s="92"/>
      <c r="X208" s="93"/>
      <c r="AA208" s="94"/>
      <c r="AB208" s="36" t="s">
        <v>4915</v>
      </c>
      <c r="AC208" s="36" t="s">
        <v>25</v>
      </c>
      <c r="AD208" s="36" t="s">
        <v>4877</v>
      </c>
      <c r="AE208" s="36"/>
      <c r="AF208" s="36" t="s">
        <v>4913</v>
      </c>
      <c r="AJ208" s="36" t="s">
        <v>4928</v>
      </c>
      <c r="AP208" s="86"/>
      <c r="AQ208" s="88"/>
      <c r="AR208" s="89"/>
      <c r="AS208" s="90"/>
      <c r="AV208" s="88"/>
      <c r="AW208" s="96"/>
      <c r="AX208" s="97"/>
      <c r="AY208" s="93"/>
      <c r="BB208" s="94"/>
    </row>
    <row r="209" spans="1:54" ht="15" customHeight="1">
      <c r="A209" s="36" t="s">
        <v>4787</v>
      </c>
      <c r="B209" s="36" t="s">
        <v>4808</v>
      </c>
      <c r="C209" s="36" t="s">
        <v>4825</v>
      </c>
      <c r="D209" s="36">
        <v>20</v>
      </c>
      <c r="E209" s="36">
        <v>1</v>
      </c>
      <c r="F209" s="36" t="s">
        <v>4912</v>
      </c>
      <c r="G209" s="36" t="s">
        <v>4878</v>
      </c>
      <c r="J209" s="36" t="s">
        <v>4111</v>
      </c>
      <c r="N209" s="86"/>
      <c r="O209" s="88"/>
      <c r="P209" s="89"/>
      <c r="Q209" s="90"/>
      <c r="U209" s="88"/>
      <c r="V209" s="91"/>
      <c r="W209" s="92"/>
      <c r="X209" s="93"/>
      <c r="AA209" s="94"/>
      <c r="AD209" s="36" t="s">
        <v>4879</v>
      </c>
      <c r="AE209" s="36"/>
      <c r="AF209" s="36" t="s">
        <v>4916</v>
      </c>
      <c r="AP209" s="86"/>
      <c r="AQ209" s="88"/>
      <c r="AR209" s="89"/>
      <c r="AS209" s="90"/>
      <c r="AV209" s="88"/>
      <c r="AW209" s="96"/>
      <c r="AX209" s="97"/>
      <c r="AY209" s="93"/>
      <c r="BB209" s="94"/>
    </row>
    <row r="210" spans="1:54" ht="15" customHeight="1">
      <c r="A210" s="36" t="s">
        <v>4787</v>
      </c>
      <c r="B210" s="36" t="s">
        <v>4809</v>
      </c>
      <c r="C210" s="36" t="s">
        <v>4825</v>
      </c>
      <c r="D210" s="36">
        <v>21</v>
      </c>
      <c r="E210" s="36">
        <v>1</v>
      </c>
      <c r="F210" s="36" t="s">
        <v>4912</v>
      </c>
      <c r="G210" s="36" t="s">
        <v>4880</v>
      </c>
      <c r="J210" s="36" t="s">
        <v>4111</v>
      </c>
      <c r="N210" s="86"/>
      <c r="O210" s="88"/>
      <c r="P210" s="89"/>
      <c r="Q210" s="90"/>
      <c r="U210" s="88"/>
      <c r="V210" s="91"/>
      <c r="W210" s="92"/>
      <c r="X210" s="93"/>
      <c r="AA210" s="94"/>
      <c r="AD210" s="36" t="s">
        <v>4879</v>
      </c>
      <c r="AE210" s="36"/>
      <c r="AF210" s="36" t="s">
        <v>4917</v>
      </c>
      <c r="AP210" s="86"/>
      <c r="AQ210" s="88"/>
      <c r="AR210" s="89"/>
      <c r="AS210" s="90"/>
      <c r="AV210" s="88"/>
      <c r="AW210" s="96"/>
      <c r="AX210" s="97"/>
      <c r="AY210" s="93"/>
      <c r="BB210" s="94"/>
    </row>
    <row r="211" spans="1:54" ht="15" customHeight="1">
      <c r="A211" s="36" t="s">
        <v>4787</v>
      </c>
      <c r="B211" s="36" t="s">
        <v>4810</v>
      </c>
      <c r="C211" s="36" t="s">
        <v>4825</v>
      </c>
      <c r="D211" s="36">
        <v>22</v>
      </c>
      <c r="E211" s="36">
        <v>2</v>
      </c>
      <c r="F211" s="36" t="s">
        <v>4912</v>
      </c>
      <c r="G211" s="36" t="s">
        <v>4881</v>
      </c>
      <c r="J211" s="36" t="s">
        <v>29</v>
      </c>
      <c r="N211" s="86"/>
      <c r="O211" s="88"/>
      <c r="P211" s="89"/>
      <c r="Q211" s="90">
        <v>2</v>
      </c>
      <c r="R211" s="79">
        <v>2</v>
      </c>
      <c r="T211" s="81">
        <v>2</v>
      </c>
      <c r="U211" s="88"/>
      <c r="V211" s="91">
        <v>1</v>
      </c>
      <c r="W211" s="92">
        <v>1</v>
      </c>
      <c r="X211" s="93"/>
      <c r="AA211" s="94"/>
      <c r="AD211" s="36" t="s">
        <v>30</v>
      </c>
      <c r="AE211" s="36" t="s">
        <v>4918</v>
      </c>
      <c r="AF211" s="36" t="s">
        <v>4904</v>
      </c>
      <c r="AP211" s="86"/>
      <c r="AQ211" s="88"/>
      <c r="AR211" s="89"/>
      <c r="AS211" s="90"/>
      <c r="AV211" s="88"/>
      <c r="AW211" s="96"/>
      <c r="AX211" s="97"/>
      <c r="AY211" s="93"/>
      <c r="BB211" s="94"/>
    </row>
    <row r="212" spans="1:54" ht="15" customHeight="1">
      <c r="A212" s="36" t="s">
        <v>4787</v>
      </c>
      <c r="B212" s="36" t="s">
        <v>4811</v>
      </c>
      <c r="C212" s="36" t="s">
        <v>4825</v>
      </c>
      <c r="D212" s="36">
        <v>23</v>
      </c>
      <c r="E212" s="36">
        <v>3</v>
      </c>
      <c r="F212" s="36" t="s">
        <v>4912</v>
      </c>
      <c r="G212" s="36" t="s">
        <v>4882</v>
      </c>
      <c r="J212" s="36" t="s">
        <v>29</v>
      </c>
      <c r="N212" s="86"/>
      <c r="O212" s="88"/>
      <c r="P212" s="89"/>
      <c r="Q212" s="90">
        <v>4</v>
      </c>
      <c r="R212" s="79">
        <v>0</v>
      </c>
      <c r="T212" s="81">
        <v>1</v>
      </c>
      <c r="U212" s="88"/>
      <c r="V212" s="91">
        <v>1</v>
      </c>
      <c r="W212" s="92"/>
      <c r="X212" s="93"/>
      <c r="AA212" s="94"/>
      <c r="AD212" s="36" t="s">
        <v>30</v>
      </c>
      <c r="AE212" s="36" t="s">
        <v>4900</v>
      </c>
      <c r="AF212" s="36" t="s">
        <v>4905</v>
      </c>
      <c r="AP212" s="86"/>
      <c r="AQ212" s="88"/>
      <c r="AR212" s="89"/>
      <c r="AS212" s="90"/>
      <c r="AV212" s="88"/>
      <c r="AW212" s="96"/>
      <c r="AX212" s="97"/>
      <c r="AY212" s="93"/>
      <c r="BB212" s="94"/>
    </row>
    <row r="213" spans="1:54" ht="15" customHeight="1">
      <c r="A213" s="36" t="s">
        <v>4787</v>
      </c>
      <c r="B213" s="36" t="s">
        <v>4812</v>
      </c>
      <c r="C213" s="36" t="s">
        <v>4825</v>
      </c>
      <c r="D213" s="36">
        <v>24</v>
      </c>
      <c r="E213" s="36">
        <v>3</v>
      </c>
      <c r="F213" s="36" t="s">
        <v>4912</v>
      </c>
      <c r="G213" s="36" t="s">
        <v>4883</v>
      </c>
      <c r="J213" s="36" t="s">
        <v>28</v>
      </c>
      <c r="N213" s="86"/>
      <c r="O213" s="88"/>
      <c r="P213" s="89"/>
      <c r="Q213" s="90"/>
      <c r="U213" s="88"/>
      <c r="V213" s="91"/>
      <c r="W213" s="92"/>
      <c r="X213" s="93"/>
      <c r="AA213" s="94"/>
      <c r="AD213" s="36" t="s">
        <v>4333</v>
      </c>
      <c r="AE213" s="36"/>
      <c r="AF213" s="36" t="s">
        <v>4920</v>
      </c>
      <c r="AP213" s="86"/>
      <c r="AQ213" s="88"/>
      <c r="AR213" s="89"/>
      <c r="AS213" s="90"/>
      <c r="AV213" s="88"/>
      <c r="AW213" s="96"/>
      <c r="AX213" s="97"/>
      <c r="AY213" s="93"/>
      <c r="BB213" s="94"/>
    </row>
    <row r="214" spans="1:54" ht="15" customHeight="1">
      <c r="A214" s="36" t="s">
        <v>4787</v>
      </c>
      <c r="B214" s="36" t="s">
        <v>4813</v>
      </c>
      <c r="C214" s="36" t="s">
        <v>4825</v>
      </c>
      <c r="D214" s="36">
        <v>25</v>
      </c>
      <c r="E214" s="36">
        <v>3</v>
      </c>
      <c r="F214" s="36" t="s">
        <v>4912</v>
      </c>
      <c r="G214" s="36" t="s">
        <v>4884</v>
      </c>
      <c r="J214" s="36" t="s">
        <v>28</v>
      </c>
      <c r="N214" s="86"/>
      <c r="O214" s="88"/>
      <c r="P214" s="89"/>
      <c r="Q214" s="90"/>
      <c r="U214" s="88"/>
      <c r="V214" s="91"/>
      <c r="W214" s="92"/>
      <c r="X214" s="93"/>
      <c r="AA214" s="94"/>
      <c r="AD214" s="36" t="s">
        <v>4333</v>
      </c>
      <c r="AE214" s="36"/>
      <c r="AF214" s="36" t="s">
        <v>4922</v>
      </c>
      <c r="AP214" s="86"/>
      <c r="AQ214" s="88"/>
      <c r="AR214" s="89"/>
      <c r="AS214" s="90"/>
      <c r="AV214" s="88"/>
      <c r="AW214" s="96"/>
      <c r="AX214" s="97"/>
      <c r="AY214" s="93"/>
      <c r="BB214" s="94"/>
    </row>
    <row r="215" spans="1:54" ht="15" customHeight="1">
      <c r="A215" s="36" t="s">
        <v>4787</v>
      </c>
      <c r="B215" s="36" t="s">
        <v>4814</v>
      </c>
      <c r="C215" s="36" t="s">
        <v>4825</v>
      </c>
      <c r="D215" s="36">
        <v>26</v>
      </c>
      <c r="E215" s="36">
        <v>4</v>
      </c>
      <c r="F215" s="36" t="s">
        <v>4912</v>
      </c>
      <c r="G215" s="36" t="s">
        <v>4885</v>
      </c>
      <c r="J215" s="36" t="s">
        <v>28</v>
      </c>
      <c r="N215" s="86"/>
      <c r="O215" s="88"/>
      <c r="P215" s="89"/>
      <c r="Q215" s="90"/>
      <c r="U215" s="88"/>
      <c r="V215" s="91"/>
      <c r="W215" s="92"/>
      <c r="X215" s="93"/>
      <c r="AA215" s="94"/>
      <c r="AD215" s="36" t="s">
        <v>4333</v>
      </c>
      <c r="AE215" s="36"/>
      <c r="AF215" s="36" t="s">
        <v>4919</v>
      </c>
      <c r="AP215" s="86"/>
      <c r="AQ215" s="88"/>
      <c r="AR215" s="89"/>
      <c r="AS215" s="90"/>
      <c r="AV215" s="88"/>
      <c r="AW215" s="96"/>
      <c r="AX215" s="97"/>
      <c r="AY215" s="93"/>
      <c r="BB215" s="94"/>
    </row>
    <row r="216" spans="1:54" ht="15" customHeight="1">
      <c r="A216" s="36" t="s">
        <v>4787</v>
      </c>
      <c r="B216" s="36" t="s">
        <v>4815</v>
      </c>
      <c r="C216" s="36" t="s">
        <v>4825</v>
      </c>
      <c r="D216" s="36">
        <v>27</v>
      </c>
      <c r="E216" s="36">
        <v>3</v>
      </c>
      <c r="F216" s="36" t="s">
        <v>4912</v>
      </c>
      <c r="G216" s="36" t="s">
        <v>4886</v>
      </c>
      <c r="J216" s="36" t="s">
        <v>28</v>
      </c>
      <c r="N216" s="86"/>
      <c r="O216" s="88"/>
      <c r="P216" s="89"/>
      <c r="Q216" s="90"/>
      <c r="U216" s="88"/>
      <c r="V216" s="91"/>
      <c r="W216" s="92"/>
      <c r="X216" s="93"/>
      <c r="AA216" s="94"/>
      <c r="AD216" s="36" t="s">
        <v>4335</v>
      </c>
      <c r="AE216" s="36"/>
      <c r="AF216" s="36" t="s">
        <v>4921</v>
      </c>
      <c r="AP216" s="86"/>
      <c r="AQ216" s="88"/>
      <c r="AR216" s="89"/>
      <c r="AS216" s="90"/>
      <c r="AV216" s="88"/>
      <c r="AW216" s="96"/>
      <c r="AX216" s="97"/>
      <c r="AY216" s="93"/>
      <c r="BB216" s="94"/>
    </row>
    <row r="217" spans="1:54" ht="15" customHeight="1">
      <c r="A217" s="36" t="s">
        <v>4787</v>
      </c>
      <c r="B217" s="36" t="s">
        <v>4816</v>
      </c>
      <c r="C217" s="36" t="s">
        <v>4825</v>
      </c>
      <c r="D217" s="36">
        <v>28</v>
      </c>
      <c r="E217" s="36">
        <v>1</v>
      </c>
      <c r="F217" s="36" t="s">
        <v>4788</v>
      </c>
      <c r="G217" s="36" t="s">
        <v>4887</v>
      </c>
      <c r="I217" s="36" t="s">
        <v>4077</v>
      </c>
      <c r="J217" s="36" t="s">
        <v>29</v>
      </c>
      <c r="N217" s="86"/>
      <c r="O217" s="88"/>
      <c r="P217" s="89"/>
      <c r="Q217" s="90">
        <v>3</v>
      </c>
      <c r="R217" s="79">
        <v>3</v>
      </c>
      <c r="T217" s="81" t="s">
        <v>4931</v>
      </c>
      <c r="U217" s="88">
        <v>2</v>
      </c>
      <c r="V217" s="91">
        <v>2</v>
      </c>
      <c r="W217" s="92"/>
      <c r="X217" s="93"/>
      <c r="AA217" s="94"/>
      <c r="AD217" s="36" t="s">
        <v>4888</v>
      </c>
      <c r="AE217" s="36" t="s">
        <v>4889</v>
      </c>
      <c r="AF217" s="36" t="s">
        <v>4924</v>
      </c>
      <c r="AP217" s="86"/>
      <c r="AQ217" s="88"/>
      <c r="AR217" s="89"/>
      <c r="AS217" s="90"/>
      <c r="AV217" s="88"/>
      <c r="AW217" s="96"/>
      <c r="AX217" s="97"/>
      <c r="AY217" s="93"/>
      <c r="BB217" s="94"/>
    </row>
    <row r="218" spans="1:54" ht="15" customHeight="1">
      <c r="A218" s="36" t="s">
        <v>4787</v>
      </c>
      <c r="B218" s="36" t="s">
        <v>4817</v>
      </c>
      <c r="C218" s="36" t="s">
        <v>4825</v>
      </c>
      <c r="D218" s="36">
        <v>29</v>
      </c>
      <c r="E218" s="36">
        <v>1</v>
      </c>
      <c r="F218" s="36" t="s">
        <v>4788</v>
      </c>
      <c r="G218" s="36" t="s">
        <v>4788</v>
      </c>
      <c r="J218" s="36" t="s">
        <v>28</v>
      </c>
      <c r="M218" s="36" t="s">
        <v>4502</v>
      </c>
      <c r="N218" s="86"/>
      <c r="O218" s="88"/>
      <c r="P218" s="89"/>
      <c r="Q218" s="90"/>
      <c r="U218" s="88"/>
      <c r="V218" s="91"/>
      <c r="W218" s="92"/>
      <c r="X218" s="93"/>
      <c r="AA218" s="94"/>
      <c r="AD218" s="36" t="s">
        <v>4293</v>
      </c>
      <c r="AE218" s="36"/>
      <c r="AF218" s="36" t="s">
        <v>4890</v>
      </c>
      <c r="AP218" s="86"/>
      <c r="AQ218" s="88"/>
      <c r="AR218" s="89"/>
      <c r="AS218" s="90"/>
      <c r="AV218" s="88"/>
      <c r="AW218" s="96"/>
      <c r="AX218" s="97"/>
      <c r="AY218" s="93"/>
      <c r="BB218" s="94"/>
    </row>
    <row r="219" spans="1:54" ht="15" customHeight="1">
      <c r="A219" s="36" t="s">
        <v>4787</v>
      </c>
      <c r="B219" s="36" t="s">
        <v>4818</v>
      </c>
      <c r="C219" s="36" t="s">
        <v>4825</v>
      </c>
      <c r="D219" s="36">
        <v>30</v>
      </c>
      <c r="E219" s="36">
        <v>1</v>
      </c>
      <c r="F219" s="36" t="s">
        <v>4788</v>
      </c>
      <c r="G219" s="36" t="s">
        <v>4891</v>
      </c>
      <c r="J219" s="36" t="s">
        <v>4111</v>
      </c>
      <c r="N219" s="86">
        <v>0</v>
      </c>
      <c r="O219" s="88"/>
      <c r="P219" s="89"/>
      <c r="Q219" s="90"/>
      <c r="U219" s="88"/>
      <c r="V219" s="91"/>
      <c r="W219" s="92"/>
      <c r="X219" s="93"/>
      <c r="AA219" s="94"/>
      <c r="AD219" s="36" t="s">
        <v>4143</v>
      </c>
      <c r="AE219" s="36" t="s">
        <v>4892</v>
      </c>
      <c r="AF219" s="36" t="s">
        <v>4923</v>
      </c>
      <c r="AP219" s="86"/>
      <c r="AQ219" s="88"/>
      <c r="AR219" s="89"/>
      <c r="AS219" s="90"/>
      <c r="AV219" s="88"/>
      <c r="AW219" s="96"/>
      <c r="AX219" s="97"/>
      <c r="AY219" s="93"/>
      <c r="BB219" s="94"/>
    </row>
    <row r="220" spans="1:54" ht="15" customHeight="1">
      <c r="A220" s="36" t="s">
        <v>4787</v>
      </c>
      <c r="B220" s="36" t="s">
        <v>4819</v>
      </c>
      <c r="C220" s="36" t="s">
        <v>4825</v>
      </c>
      <c r="D220" s="36">
        <v>31</v>
      </c>
      <c r="E220" s="36">
        <v>2</v>
      </c>
      <c r="F220" s="36" t="s">
        <v>4788</v>
      </c>
      <c r="G220" s="36" t="s">
        <v>4893</v>
      </c>
      <c r="J220" s="36" t="s">
        <v>29</v>
      </c>
      <c r="N220" s="86"/>
      <c r="O220" s="88"/>
      <c r="P220" s="89"/>
      <c r="Q220" s="90">
        <v>2</v>
      </c>
      <c r="R220" s="79">
        <v>3</v>
      </c>
      <c r="T220" s="81">
        <v>3</v>
      </c>
      <c r="U220" s="88">
        <v>1</v>
      </c>
      <c r="V220" s="91">
        <v>1</v>
      </c>
      <c r="W220" s="92"/>
      <c r="X220" s="93"/>
      <c r="AA220" s="94"/>
      <c r="AD220" s="36" t="s">
        <v>4894</v>
      </c>
      <c r="AE220" s="36" t="s">
        <v>4902</v>
      </c>
      <c r="AF220" s="36" t="s">
        <v>4901</v>
      </c>
      <c r="AP220" s="86"/>
      <c r="AQ220" s="88"/>
      <c r="AR220" s="89"/>
      <c r="AS220" s="90"/>
      <c r="AV220" s="88"/>
      <c r="AW220" s="96"/>
      <c r="AX220" s="97"/>
      <c r="AY220" s="93"/>
      <c r="BB220" s="94"/>
    </row>
    <row r="221" spans="1:54" ht="15" customHeight="1">
      <c r="A221" s="36" t="s">
        <v>4787</v>
      </c>
      <c r="B221" s="36" t="s">
        <v>4820</v>
      </c>
      <c r="C221" s="36" t="s">
        <v>4825</v>
      </c>
      <c r="D221" s="36">
        <v>32</v>
      </c>
      <c r="E221" s="36">
        <v>2</v>
      </c>
      <c r="F221" s="36" t="s">
        <v>4788</v>
      </c>
      <c r="G221" s="36" t="s">
        <v>4895</v>
      </c>
      <c r="J221" s="36" t="s">
        <v>29</v>
      </c>
      <c r="N221" s="86"/>
      <c r="O221" s="88"/>
      <c r="P221" s="89"/>
      <c r="Q221" s="90">
        <v>3</v>
      </c>
      <c r="R221" s="79">
        <v>3</v>
      </c>
      <c r="T221" s="81">
        <v>4</v>
      </c>
      <c r="U221" s="88">
        <v>1</v>
      </c>
      <c r="V221" s="91">
        <v>2</v>
      </c>
      <c r="W221" s="92"/>
      <c r="X221" s="93"/>
      <c r="AA221" s="94"/>
      <c r="AD221" s="36" t="s">
        <v>4896</v>
      </c>
      <c r="AE221" s="36" t="s">
        <v>4903</v>
      </c>
      <c r="AP221" s="86"/>
      <c r="AQ221" s="88"/>
      <c r="AR221" s="89"/>
      <c r="AS221" s="90"/>
      <c r="AV221" s="88"/>
      <c r="AW221" s="96"/>
      <c r="AX221" s="97"/>
      <c r="AY221" s="93"/>
      <c r="BB221" s="94"/>
    </row>
    <row r="222" spans="1:54" ht="15" customHeight="1">
      <c r="A222" s="36" t="s">
        <v>4787</v>
      </c>
      <c r="B222" s="36" t="s">
        <v>4821</v>
      </c>
      <c r="C222" s="36" t="s">
        <v>4825</v>
      </c>
      <c r="D222" s="36">
        <v>33</v>
      </c>
      <c r="E222" s="36">
        <v>1</v>
      </c>
      <c r="F222" s="36" t="s">
        <v>4788</v>
      </c>
      <c r="G222" s="36" t="s">
        <v>4897</v>
      </c>
      <c r="J222" s="36" t="s">
        <v>29</v>
      </c>
      <c r="N222" s="86"/>
      <c r="O222" s="88"/>
      <c r="P222" s="89"/>
      <c r="Q222" s="90">
        <v>4</v>
      </c>
      <c r="R222" s="79">
        <v>2</v>
      </c>
      <c r="T222" s="81">
        <v>5</v>
      </c>
      <c r="U222" s="88">
        <v>2</v>
      </c>
      <c r="V222" s="91">
        <v>2</v>
      </c>
      <c r="W222" s="92"/>
      <c r="X222" s="93"/>
      <c r="AA222" s="94">
        <v>1</v>
      </c>
      <c r="AD222" s="36" t="s">
        <v>4898</v>
      </c>
      <c r="AE222" s="36" t="s">
        <v>4900</v>
      </c>
      <c r="AF222" s="36" t="s">
        <v>4899</v>
      </c>
      <c r="AP222" s="86"/>
      <c r="AQ222" s="88"/>
      <c r="AR222" s="89"/>
      <c r="AS222" s="90"/>
      <c r="AV222" s="88"/>
      <c r="AW222" s="96"/>
      <c r="AX222" s="97"/>
      <c r="AY222" s="93"/>
      <c r="BB222" s="94"/>
    </row>
    <row r="223" spans="1:54" ht="15" customHeight="1">
      <c r="A223" s="36" t="s">
        <v>4787</v>
      </c>
      <c r="B223" s="36" t="s">
        <v>4822</v>
      </c>
      <c r="C223" s="36" t="s">
        <v>4825</v>
      </c>
      <c r="D223" s="36">
        <v>34</v>
      </c>
      <c r="E223" s="36">
        <v>5</v>
      </c>
      <c r="F223" s="36" t="s">
        <v>4788</v>
      </c>
      <c r="G223" s="36" t="s">
        <v>4906</v>
      </c>
      <c r="J223" s="36" t="s">
        <v>28</v>
      </c>
      <c r="N223" s="86"/>
      <c r="O223" s="88"/>
      <c r="P223" s="89"/>
      <c r="Q223" s="90"/>
      <c r="U223" s="88"/>
      <c r="V223" s="91"/>
      <c r="W223" s="92"/>
      <c r="X223" s="93"/>
      <c r="AA223" s="94"/>
      <c r="AE223" s="36" t="s">
        <v>34</v>
      </c>
      <c r="AF223" s="36" t="s">
        <v>4907</v>
      </c>
      <c r="AP223" s="86"/>
      <c r="AQ223" s="88"/>
      <c r="AR223" s="89"/>
      <c r="AS223" s="90"/>
      <c r="AV223" s="88"/>
      <c r="AW223" s="96"/>
      <c r="AX223" s="97"/>
      <c r="AY223" s="93"/>
      <c r="BB223" s="94"/>
    </row>
    <row r="224" spans="1:54" ht="15" customHeight="1">
      <c r="A224" s="36" t="s">
        <v>4787</v>
      </c>
      <c r="B224" s="36" t="s">
        <v>4823</v>
      </c>
      <c r="C224" s="36" t="s">
        <v>4825</v>
      </c>
      <c r="D224" s="36">
        <v>35</v>
      </c>
      <c r="E224" s="36">
        <v>2</v>
      </c>
      <c r="F224" s="36" t="s">
        <v>4788</v>
      </c>
      <c r="G224" s="36" t="s">
        <v>4908</v>
      </c>
      <c r="J224" s="36" t="s">
        <v>28</v>
      </c>
      <c r="N224" s="86"/>
      <c r="O224" s="88"/>
      <c r="P224" s="89"/>
      <c r="Q224" s="90"/>
      <c r="U224" s="88"/>
      <c r="V224" s="91"/>
      <c r="W224" s="92"/>
      <c r="X224" s="93"/>
      <c r="AA224" s="94"/>
      <c r="AE224" s="36"/>
      <c r="AF224" s="36" t="s">
        <v>4909</v>
      </c>
      <c r="AP224" s="86"/>
      <c r="AQ224" s="88"/>
      <c r="AR224" s="89"/>
      <c r="AS224" s="90"/>
      <c r="AV224" s="88"/>
      <c r="AW224" s="96"/>
      <c r="AX224" s="97"/>
      <c r="AY224" s="93"/>
      <c r="BB224" s="94"/>
    </row>
    <row r="225" spans="1:60" ht="15" customHeight="1">
      <c r="A225" s="36" t="s">
        <v>4787</v>
      </c>
      <c r="B225" s="43" t="s">
        <v>4824</v>
      </c>
      <c r="C225" s="36" t="s">
        <v>4825</v>
      </c>
      <c r="D225" s="36">
        <v>36</v>
      </c>
      <c r="E225" s="36">
        <v>3</v>
      </c>
      <c r="F225" s="36" t="s">
        <v>4788</v>
      </c>
      <c r="G225" s="36" t="s">
        <v>4910</v>
      </c>
      <c r="J225" s="36" t="s">
        <v>28</v>
      </c>
      <c r="N225" s="86"/>
      <c r="O225" s="88"/>
      <c r="P225" s="89"/>
      <c r="Q225" s="90"/>
      <c r="U225" s="88"/>
      <c r="V225" s="91"/>
      <c r="W225" s="92"/>
      <c r="X225" s="93"/>
      <c r="AA225" s="94"/>
      <c r="AE225" s="36"/>
      <c r="AF225" s="36" t="s">
        <v>4911</v>
      </c>
      <c r="AP225" s="86"/>
      <c r="AQ225" s="88"/>
      <c r="AR225" s="89"/>
      <c r="AS225" s="90"/>
      <c r="AV225" s="88"/>
      <c r="AW225" s="96"/>
      <c r="AX225" s="97"/>
      <c r="AY225" s="93"/>
      <c r="BB225" s="94"/>
    </row>
    <row r="226" spans="1:60" ht="15" customHeight="1">
      <c r="A226" s="36" t="s">
        <v>4787</v>
      </c>
      <c r="B226" s="36" t="s">
        <v>4961</v>
      </c>
      <c r="C226" s="36" t="s">
        <v>4825</v>
      </c>
      <c r="D226" s="36">
        <v>37</v>
      </c>
      <c r="E226" s="36">
        <v>1</v>
      </c>
      <c r="F226" s="36" t="s">
        <v>4788</v>
      </c>
      <c r="G226" s="36" t="s">
        <v>4952</v>
      </c>
      <c r="J226" s="36" t="s">
        <v>4956</v>
      </c>
      <c r="N226" s="86"/>
      <c r="O226" s="88"/>
      <c r="P226" s="89"/>
      <c r="Q226" s="90"/>
      <c r="U226" s="88"/>
      <c r="V226" s="91"/>
      <c r="W226" s="92"/>
      <c r="X226" s="93"/>
      <c r="AA226" s="94"/>
      <c r="AE226" s="36"/>
      <c r="AI226" s="36" t="s">
        <v>4957</v>
      </c>
      <c r="AL226" s="46" t="s">
        <v>4956</v>
      </c>
      <c r="AP226" s="86"/>
      <c r="AQ226" s="88"/>
      <c r="AR226" s="89"/>
      <c r="AS226" s="90"/>
      <c r="AV226" s="88"/>
      <c r="AW226" s="96"/>
      <c r="AX226" s="97"/>
      <c r="AY226" s="93"/>
      <c r="BB226" s="94"/>
    </row>
    <row r="227" spans="1:60" ht="15" customHeight="1">
      <c r="A227" s="36" t="s">
        <v>4787</v>
      </c>
      <c r="B227" s="36" t="s">
        <v>4962</v>
      </c>
      <c r="C227" s="36" t="s">
        <v>4825</v>
      </c>
      <c r="D227" s="36">
        <v>38</v>
      </c>
      <c r="E227" s="36">
        <v>1</v>
      </c>
      <c r="F227" s="36" t="s">
        <v>4788</v>
      </c>
      <c r="G227" s="36" t="s">
        <v>4953</v>
      </c>
      <c r="J227" s="36" t="s">
        <v>4956</v>
      </c>
      <c r="N227" s="86"/>
      <c r="O227" s="88"/>
      <c r="P227" s="89"/>
      <c r="Q227" s="90"/>
      <c r="U227" s="88"/>
      <c r="V227" s="91"/>
      <c r="W227" s="92"/>
      <c r="X227" s="93"/>
      <c r="AA227" s="94"/>
      <c r="AE227" s="36"/>
      <c r="AI227" s="36" t="s">
        <v>4958</v>
      </c>
      <c r="AL227" s="46" t="s">
        <v>4956</v>
      </c>
      <c r="AP227" s="86"/>
      <c r="AQ227" s="88"/>
      <c r="AR227" s="89"/>
      <c r="AS227" s="90"/>
      <c r="AV227" s="88"/>
      <c r="AW227" s="96"/>
      <c r="AX227" s="97"/>
      <c r="AY227" s="93"/>
      <c r="BB227" s="94"/>
    </row>
    <row r="228" spans="1:60" ht="15" customHeight="1">
      <c r="A228" s="36" t="s">
        <v>4787</v>
      </c>
      <c r="B228" s="36" t="s">
        <v>4963</v>
      </c>
      <c r="C228" s="36" t="s">
        <v>4825</v>
      </c>
      <c r="D228" s="36">
        <v>39</v>
      </c>
      <c r="E228" s="36">
        <v>1</v>
      </c>
      <c r="F228" s="36" t="s">
        <v>4788</v>
      </c>
      <c r="G228" s="36" t="s">
        <v>4954</v>
      </c>
      <c r="J228" s="36" t="s">
        <v>4956</v>
      </c>
      <c r="N228" s="86"/>
      <c r="O228" s="88"/>
      <c r="P228" s="89"/>
      <c r="Q228" s="90"/>
      <c r="U228" s="88"/>
      <c r="V228" s="91"/>
      <c r="W228" s="92"/>
      <c r="X228" s="93"/>
      <c r="AA228" s="94"/>
      <c r="AE228" s="36"/>
      <c r="AI228" s="36" t="s">
        <v>4959</v>
      </c>
      <c r="AL228" s="46" t="s">
        <v>4956</v>
      </c>
      <c r="AP228" s="86"/>
      <c r="AQ228" s="88"/>
      <c r="AR228" s="89"/>
      <c r="AS228" s="90"/>
      <c r="AV228" s="88"/>
      <c r="AW228" s="96"/>
      <c r="AX228" s="97"/>
      <c r="AY228" s="93"/>
      <c r="BB228" s="94"/>
    </row>
    <row r="229" spans="1:60" ht="15" customHeight="1">
      <c r="A229" s="36" t="s">
        <v>4787</v>
      </c>
      <c r="B229" s="36" t="s">
        <v>4964</v>
      </c>
      <c r="C229" s="36" t="s">
        <v>4825</v>
      </c>
      <c r="D229" s="36">
        <v>40</v>
      </c>
      <c r="E229" s="36">
        <v>1</v>
      </c>
      <c r="F229" s="36" t="s">
        <v>4788</v>
      </c>
      <c r="G229" s="36" t="s">
        <v>4955</v>
      </c>
      <c r="J229" s="36" t="s">
        <v>4956</v>
      </c>
      <c r="N229" s="86"/>
      <c r="O229" s="88"/>
      <c r="P229" s="89"/>
      <c r="Q229" s="90"/>
      <c r="U229" s="88"/>
      <c r="V229" s="91"/>
      <c r="W229" s="92"/>
      <c r="X229" s="93"/>
      <c r="AA229" s="94"/>
      <c r="AE229" s="36"/>
      <c r="AI229" s="36" t="s">
        <v>4960</v>
      </c>
      <c r="AL229" s="46" t="s">
        <v>4956</v>
      </c>
      <c r="AP229" s="86"/>
      <c r="AQ229" s="88"/>
      <c r="AR229" s="89"/>
      <c r="AS229" s="90"/>
      <c r="AV229" s="88"/>
      <c r="AW229" s="96"/>
      <c r="AX229" s="97"/>
      <c r="AY229" s="93"/>
      <c r="BB229" s="94"/>
    </row>
    <row r="230" spans="1:60" ht="15" customHeight="1">
      <c r="A230" s="36" t="s">
        <v>4979</v>
      </c>
      <c r="B230" s="36" t="s">
        <v>4981</v>
      </c>
      <c r="C230" s="36" t="s">
        <v>4984</v>
      </c>
      <c r="D230" s="36">
        <v>1</v>
      </c>
      <c r="E230" s="36">
        <v>1</v>
      </c>
      <c r="F230" s="36" t="s">
        <v>4980</v>
      </c>
      <c r="G230" s="36" t="s">
        <v>4968</v>
      </c>
      <c r="H230" s="36" t="s">
        <v>4969</v>
      </c>
      <c r="I230" s="36" t="s">
        <v>4077</v>
      </c>
      <c r="J230" s="36" t="s">
        <v>4057</v>
      </c>
      <c r="K230" s="36" t="s">
        <v>4054</v>
      </c>
      <c r="N230" s="86"/>
      <c r="O230" s="88">
        <v>4</v>
      </c>
      <c r="P230" s="89">
        <v>4</v>
      </c>
      <c r="Q230" s="90">
        <v>1</v>
      </c>
      <c r="R230" s="79">
        <v>3</v>
      </c>
      <c r="T230" s="81">
        <v>6</v>
      </c>
      <c r="U230" s="88">
        <v>8</v>
      </c>
      <c r="V230" s="91"/>
      <c r="W230" s="92"/>
      <c r="X230" s="93"/>
      <c r="AA230" s="94"/>
      <c r="AD230" s="36" t="s">
        <v>4970</v>
      </c>
      <c r="AE230" s="36"/>
      <c r="AF230" s="36" t="s">
        <v>4971</v>
      </c>
      <c r="AI230" s="36" t="s">
        <v>4968</v>
      </c>
      <c r="AJ230" s="36" t="s">
        <v>4969</v>
      </c>
      <c r="AK230" s="36" t="s">
        <v>4077</v>
      </c>
      <c r="AL230" s="36" t="s">
        <v>4057</v>
      </c>
      <c r="AM230" s="36" t="s">
        <v>5105</v>
      </c>
      <c r="AP230" s="86"/>
      <c r="AQ230" s="88"/>
      <c r="AR230" s="89"/>
      <c r="AS230" s="90"/>
      <c r="AV230" s="88"/>
      <c r="AW230" s="96"/>
      <c r="AX230" s="97"/>
      <c r="AY230" s="93"/>
      <c r="BB230" s="94"/>
    </row>
    <row r="231" spans="1:60" ht="15" customHeight="1">
      <c r="A231" s="36" t="s">
        <v>4979</v>
      </c>
      <c r="B231" s="36" t="s">
        <v>4982</v>
      </c>
      <c r="C231" s="36" t="s">
        <v>4984</v>
      </c>
      <c r="D231" s="36">
        <v>2</v>
      </c>
      <c r="E231" s="36">
        <v>1</v>
      </c>
      <c r="F231" s="36" t="s">
        <v>4980</v>
      </c>
      <c r="G231" s="36" t="s">
        <v>4972</v>
      </c>
      <c r="J231" s="36" t="s">
        <v>27</v>
      </c>
      <c r="K231" s="36" t="s">
        <v>26</v>
      </c>
      <c r="N231" s="86">
        <v>3</v>
      </c>
      <c r="O231" s="88"/>
      <c r="P231" s="89"/>
      <c r="Q231" s="90"/>
      <c r="S231" s="126">
        <v>2</v>
      </c>
      <c r="U231" s="88"/>
      <c r="V231" s="91"/>
      <c r="W231" s="92"/>
      <c r="X231" s="93"/>
      <c r="AA231" s="94"/>
      <c r="AB231" s="36" t="s">
        <v>4936</v>
      </c>
      <c r="AD231" s="36" t="s">
        <v>4973</v>
      </c>
      <c r="AE231" s="36"/>
      <c r="AF231" s="36" t="s">
        <v>4974</v>
      </c>
      <c r="AP231" s="86"/>
      <c r="AQ231" s="88"/>
      <c r="AR231" s="89"/>
      <c r="AS231" s="90"/>
      <c r="AV231" s="88"/>
      <c r="AW231" s="96"/>
      <c r="AX231" s="97"/>
      <c r="AY231" s="93"/>
      <c r="BB231" s="94"/>
    </row>
    <row r="232" spans="1:60" ht="15" customHeight="1">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86"/>
      <c r="O232" s="88"/>
      <c r="P232" s="89"/>
      <c r="Q232" s="90"/>
      <c r="U232" s="88"/>
      <c r="V232" s="91"/>
      <c r="W232" s="92"/>
      <c r="X232" s="93"/>
      <c r="AA232" s="94"/>
      <c r="AC232" s="36" t="s">
        <v>25</v>
      </c>
      <c r="AD232" s="36" t="s">
        <v>4977</v>
      </c>
      <c r="AE232" s="36"/>
      <c r="AF232" s="36" t="s">
        <v>4978</v>
      </c>
      <c r="AP232" s="86"/>
      <c r="AQ232" s="88"/>
      <c r="AR232" s="89"/>
      <c r="AS232" s="90"/>
      <c r="AV232" s="88"/>
      <c r="AW232" s="96"/>
      <c r="AX232" s="97"/>
      <c r="AY232" s="93"/>
      <c r="BB232" s="94"/>
    </row>
    <row r="233" spans="1:60" ht="15" customHeight="1">
      <c r="A233" s="36" t="s">
        <v>4979</v>
      </c>
      <c r="B233" s="43" t="s">
        <v>5567</v>
      </c>
      <c r="C233" s="36" t="s">
        <v>4984</v>
      </c>
      <c r="D233" s="37">
        <v>999</v>
      </c>
      <c r="E233" s="36">
        <v>1</v>
      </c>
      <c r="G233" s="36" t="s">
        <v>4968</v>
      </c>
      <c r="J233" s="36" t="s">
        <v>4715</v>
      </c>
      <c r="K233" s="36" t="s">
        <v>4054</v>
      </c>
      <c r="N233" s="86"/>
      <c r="O233" s="88"/>
      <c r="P233" s="89"/>
      <c r="Q233" s="90"/>
      <c r="U233" s="88"/>
      <c r="V233" s="96"/>
      <c r="W233" s="97"/>
      <c r="X233" s="93"/>
      <c r="AA233" s="94"/>
      <c r="AB233" s="55"/>
      <c r="AE233" s="36"/>
      <c r="AI233" s="36" t="s">
        <v>4968</v>
      </c>
      <c r="AL233" s="36" t="s">
        <v>4715</v>
      </c>
      <c r="AP233" s="86"/>
      <c r="AQ233" s="88"/>
      <c r="AR233" s="89"/>
      <c r="AS233" s="90"/>
      <c r="AV233" s="88"/>
      <c r="AW233" s="96"/>
      <c r="AX233" s="97"/>
      <c r="AY233" s="93"/>
      <c r="BB233" s="94"/>
    </row>
    <row r="234" spans="1:60" ht="15" customHeight="1">
      <c r="A234" s="36" t="s">
        <v>5053</v>
      </c>
      <c r="B234" s="43" t="s">
        <v>5055</v>
      </c>
      <c r="C234" s="36" t="s">
        <v>5052</v>
      </c>
      <c r="D234" s="36">
        <v>1</v>
      </c>
      <c r="E234" s="36">
        <v>1</v>
      </c>
      <c r="F234" s="36" t="s">
        <v>4985</v>
      </c>
      <c r="G234" s="36" t="s">
        <v>4985</v>
      </c>
      <c r="J234" s="36" t="s">
        <v>4472</v>
      </c>
      <c r="N234" s="86"/>
      <c r="O234" s="88"/>
      <c r="P234" s="89"/>
      <c r="Q234" s="90"/>
      <c r="U234" s="88"/>
      <c r="V234" s="91"/>
      <c r="W234" s="92"/>
      <c r="X234" s="93"/>
      <c r="AA234" s="94"/>
      <c r="AE234" s="36"/>
      <c r="AF234" s="36" t="s">
        <v>5118</v>
      </c>
      <c r="AI234" s="36" t="s">
        <v>4985</v>
      </c>
      <c r="AL234" s="36" t="s">
        <v>4472</v>
      </c>
      <c r="AP234" s="86"/>
      <c r="AQ234" s="88"/>
      <c r="AR234" s="89"/>
      <c r="AS234" s="90"/>
      <c r="AV234" s="88"/>
      <c r="AW234" s="96"/>
      <c r="AX234" s="97"/>
      <c r="AY234" s="93"/>
      <c r="BB234" s="94"/>
      <c r="BG234" s="36" t="s">
        <v>5119</v>
      </c>
    </row>
    <row r="235" spans="1:60" ht="15" customHeight="1">
      <c r="A235" s="36" t="s">
        <v>5053</v>
      </c>
      <c r="B235" s="36" t="s">
        <v>5056</v>
      </c>
      <c r="C235" s="36" t="s">
        <v>5052</v>
      </c>
      <c r="D235" s="36">
        <v>2</v>
      </c>
      <c r="E235" s="36">
        <v>1</v>
      </c>
      <c r="F235" s="36" t="s">
        <v>4985</v>
      </c>
      <c r="G235" s="36" t="s">
        <v>4986</v>
      </c>
      <c r="J235" s="36" t="s">
        <v>4473</v>
      </c>
      <c r="L235" s="36">
        <v>1</v>
      </c>
      <c r="N235" s="86"/>
      <c r="O235" s="88"/>
      <c r="P235" s="89"/>
      <c r="Q235" s="90"/>
      <c r="U235" s="88"/>
      <c r="V235" s="91"/>
      <c r="W235" s="92"/>
      <c r="X235" s="93"/>
      <c r="Z235" s="81">
        <v>8</v>
      </c>
      <c r="AA235" s="94"/>
      <c r="AE235" s="36"/>
      <c r="AI235" s="36" t="s">
        <v>4987</v>
      </c>
      <c r="AJ235" s="36" t="s">
        <v>4988</v>
      </c>
      <c r="AK235" s="36" t="s">
        <v>4077</v>
      </c>
      <c r="AL235" s="36" t="s">
        <v>29</v>
      </c>
      <c r="AP235" s="86"/>
      <c r="AQ235" s="88"/>
      <c r="AR235" s="89"/>
      <c r="AS235" s="90">
        <v>4</v>
      </c>
      <c r="AT235" s="79">
        <v>3</v>
      </c>
      <c r="AU235" s="81">
        <v>5</v>
      </c>
      <c r="AV235" s="88"/>
      <c r="AW235" s="96">
        <v>2</v>
      </c>
      <c r="AX235" s="97">
        <v>2</v>
      </c>
      <c r="AY235" s="93"/>
      <c r="BB235" s="94">
        <v>2</v>
      </c>
      <c r="BE235" s="36" t="s">
        <v>4989</v>
      </c>
      <c r="BF235" s="37" t="s">
        <v>5152</v>
      </c>
      <c r="BG235" s="36" t="s">
        <v>5154</v>
      </c>
      <c r="BH235" s="36" t="s">
        <v>5153</v>
      </c>
    </row>
    <row r="236" spans="1:60" ht="15" customHeight="1">
      <c r="A236" s="36" t="s">
        <v>5053</v>
      </c>
      <c r="B236" s="36" t="s">
        <v>5057</v>
      </c>
      <c r="C236" s="36" t="s">
        <v>5052</v>
      </c>
      <c r="D236" s="36">
        <v>2</v>
      </c>
      <c r="E236" s="36">
        <v>1</v>
      </c>
      <c r="F236" s="36" t="s">
        <v>4985</v>
      </c>
      <c r="G236" s="36" t="s">
        <v>4987</v>
      </c>
      <c r="H236" s="36" t="s">
        <v>4988</v>
      </c>
      <c r="I236" s="36" t="s">
        <v>4077</v>
      </c>
      <c r="J236" s="36" t="s">
        <v>29</v>
      </c>
      <c r="N236" s="86"/>
      <c r="O236" s="88"/>
      <c r="P236" s="89"/>
      <c r="Q236" s="90">
        <v>4</v>
      </c>
      <c r="R236" s="79">
        <v>3</v>
      </c>
      <c r="T236" s="81">
        <v>5</v>
      </c>
      <c r="U236" s="88"/>
      <c r="V236" s="91">
        <v>2</v>
      </c>
      <c r="W236" s="92">
        <v>2</v>
      </c>
      <c r="X236" s="93"/>
      <c r="AA236" s="94">
        <v>2</v>
      </c>
      <c r="AD236" s="36" t="s">
        <v>4989</v>
      </c>
      <c r="AE236" s="36" t="s">
        <v>5152</v>
      </c>
      <c r="AF236" s="36" t="s">
        <v>5154</v>
      </c>
      <c r="AP236" s="86"/>
      <c r="AQ236" s="88"/>
      <c r="AR236" s="89"/>
      <c r="AS236" s="90"/>
      <c r="AV236" s="88"/>
      <c r="AW236" s="96"/>
      <c r="AX236" s="97"/>
      <c r="AY236" s="93"/>
      <c r="BB236" s="94"/>
    </row>
    <row r="237" spans="1:60" ht="15" customHeight="1">
      <c r="A237" s="36" t="s">
        <v>5053</v>
      </c>
      <c r="B237" s="36" t="s">
        <v>5058</v>
      </c>
      <c r="C237" s="36" t="s">
        <v>5052</v>
      </c>
      <c r="D237" s="36">
        <v>3</v>
      </c>
      <c r="E237" s="36">
        <v>1</v>
      </c>
      <c r="F237" s="36" t="s">
        <v>4985</v>
      </c>
      <c r="G237" s="36" t="s">
        <v>4990</v>
      </c>
      <c r="J237" s="36" t="s">
        <v>4473</v>
      </c>
      <c r="L237" s="36">
        <v>2</v>
      </c>
      <c r="N237" s="86"/>
      <c r="O237" s="88"/>
      <c r="P237" s="89"/>
      <c r="Q237" s="90"/>
      <c r="U237" s="88"/>
      <c r="V237" s="91"/>
      <c r="W237" s="92"/>
      <c r="X237" s="93"/>
      <c r="Z237" s="81">
        <v>3</v>
      </c>
      <c r="AA237" s="94"/>
      <c r="AE237" s="36"/>
      <c r="AI237" s="36" t="s">
        <v>4990</v>
      </c>
      <c r="AL237" s="36" t="s">
        <v>4473</v>
      </c>
      <c r="AN237" s="36">
        <v>2</v>
      </c>
      <c r="AP237" s="86"/>
      <c r="AQ237" s="88"/>
      <c r="AR237" s="89"/>
      <c r="AS237" s="90"/>
      <c r="AV237" s="88"/>
      <c r="AW237" s="96"/>
      <c r="AX237" s="97"/>
      <c r="AY237" s="93"/>
      <c r="BB237" s="94"/>
      <c r="BG237" s="36" t="s">
        <v>5106</v>
      </c>
    </row>
    <row r="238" spans="1:60" ht="15" customHeight="1">
      <c r="A238" s="36" t="s">
        <v>5053</v>
      </c>
      <c r="B238" s="36" t="s">
        <v>5059</v>
      </c>
      <c r="C238" s="36" t="s">
        <v>5052</v>
      </c>
      <c r="D238" s="36">
        <v>4</v>
      </c>
      <c r="E238" s="36">
        <v>1</v>
      </c>
      <c r="F238" s="36" t="s">
        <v>4985</v>
      </c>
      <c r="G238" s="36" t="s">
        <v>4991</v>
      </c>
      <c r="J238" s="36" t="s">
        <v>4473</v>
      </c>
      <c r="L238" s="36">
        <v>3</v>
      </c>
      <c r="N238" s="86"/>
      <c r="O238" s="88"/>
      <c r="P238" s="89"/>
      <c r="Q238" s="90"/>
      <c r="U238" s="88"/>
      <c r="V238" s="91"/>
      <c r="W238" s="92"/>
      <c r="X238" s="93"/>
      <c r="Z238" s="81">
        <v>3</v>
      </c>
      <c r="AA238" s="94"/>
      <c r="AE238" s="36"/>
      <c r="AF238" s="36" t="s">
        <v>5120</v>
      </c>
      <c r="AI238" s="36" t="s">
        <v>4991</v>
      </c>
      <c r="AL238" s="36" t="s">
        <v>4473</v>
      </c>
      <c r="AN238" s="36">
        <v>3</v>
      </c>
      <c r="AP238" s="86"/>
      <c r="AQ238" s="88"/>
      <c r="AR238" s="89"/>
      <c r="AS238" s="90"/>
      <c r="AV238" s="88"/>
      <c r="AW238" s="96"/>
      <c r="AX238" s="97"/>
      <c r="AY238" s="93"/>
      <c r="BB238" s="94"/>
      <c r="BG238" s="36" t="s">
        <v>5107</v>
      </c>
    </row>
    <row r="239" spans="1:60" ht="15" customHeight="1">
      <c r="A239" s="36" t="s">
        <v>5053</v>
      </c>
      <c r="B239" s="36" t="s">
        <v>5060</v>
      </c>
      <c r="C239" s="36" t="s">
        <v>5052</v>
      </c>
      <c r="D239" s="36">
        <v>5</v>
      </c>
      <c r="E239" s="36">
        <v>1</v>
      </c>
      <c r="F239" s="36" t="s">
        <v>4985</v>
      </c>
      <c r="G239" s="36" t="s">
        <v>4992</v>
      </c>
      <c r="J239" s="36" t="s">
        <v>4475</v>
      </c>
      <c r="L239" s="36">
        <v>1</v>
      </c>
      <c r="N239" s="86"/>
      <c r="O239" s="88"/>
      <c r="P239" s="89"/>
      <c r="Q239" s="90"/>
      <c r="U239" s="88"/>
      <c r="V239" s="91"/>
      <c r="W239" s="92"/>
      <c r="X239" s="93"/>
      <c r="Y239" s="79">
        <v>0</v>
      </c>
      <c r="AA239" s="94"/>
      <c r="AE239" s="36"/>
      <c r="AF239" s="36" t="s">
        <v>5155</v>
      </c>
      <c r="AI239" s="36" t="s">
        <v>4992</v>
      </c>
      <c r="AL239" s="36" t="s">
        <v>4475</v>
      </c>
      <c r="AN239" s="36">
        <v>1</v>
      </c>
      <c r="AP239" s="86"/>
      <c r="AQ239" s="88"/>
      <c r="AR239" s="89"/>
      <c r="AS239" s="90"/>
      <c r="AV239" s="88"/>
      <c r="AW239" s="96"/>
      <c r="AX239" s="97"/>
      <c r="AY239" s="93"/>
      <c r="BB239" s="94"/>
      <c r="BG239" s="36" t="s">
        <v>5108</v>
      </c>
    </row>
    <row r="240" spans="1:60" ht="15" customHeight="1">
      <c r="A240" s="36" t="s">
        <v>5053</v>
      </c>
      <c r="B240" s="36" t="s">
        <v>5061</v>
      </c>
      <c r="C240" s="36" t="s">
        <v>5052</v>
      </c>
      <c r="D240" s="36">
        <v>6</v>
      </c>
      <c r="E240" s="36">
        <v>1</v>
      </c>
      <c r="F240" s="36" t="s">
        <v>4985</v>
      </c>
      <c r="G240" s="36" t="s">
        <v>4993</v>
      </c>
      <c r="J240" s="36" t="s">
        <v>4475</v>
      </c>
      <c r="L240" s="36">
        <v>2</v>
      </c>
      <c r="N240" s="86"/>
      <c r="O240" s="88"/>
      <c r="P240" s="89"/>
      <c r="Q240" s="90"/>
      <c r="U240" s="88"/>
      <c r="V240" s="91"/>
      <c r="W240" s="92"/>
      <c r="X240" s="93"/>
      <c r="Y240" s="79">
        <v>0</v>
      </c>
      <c r="AA240" s="94"/>
      <c r="AE240" s="36"/>
      <c r="AF240" s="36" t="s">
        <v>5121</v>
      </c>
      <c r="AI240" s="36" t="s">
        <v>4994</v>
      </c>
      <c r="AL240" s="36" t="s">
        <v>31</v>
      </c>
      <c r="AP240" s="86"/>
      <c r="AQ240" s="88"/>
      <c r="AR240" s="89"/>
      <c r="AS240" s="90"/>
      <c r="AV240" s="88"/>
      <c r="AW240" s="96"/>
      <c r="AX240" s="97"/>
      <c r="AY240" s="93">
        <v>5</v>
      </c>
      <c r="AZ240" s="79">
        <v>0</v>
      </c>
      <c r="BB240" s="94"/>
      <c r="BE240" s="36" t="s">
        <v>4995</v>
      </c>
      <c r="BG240" s="36" t="s">
        <v>5122</v>
      </c>
    </row>
    <row r="241" spans="1:59" ht="15" customHeight="1">
      <c r="A241" s="36" t="s">
        <v>5053</v>
      </c>
      <c r="B241" s="36" t="s">
        <v>5062</v>
      </c>
      <c r="C241" s="36" t="s">
        <v>5052</v>
      </c>
      <c r="D241" s="36">
        <v>6</v>
      </c>
      <c r="E241" s="36">
        <v>1</v>
      </c>
      <c r="F241" s="36" t="s">
        <v>4985</v>
      </c>
      <c r="G241" s="36" t="s">
        <v>4994</v>
      </c>
      <c r="J241" s="36" t="s">
        <v>31</v>
      </c>
      <c r="N241" s="86"/>
      <c r="O241" s="88"/>
      <c r="P241" s="89"/>
      <c r="Q241" s="90"/>
      <c r="U241" s="88"/>
      <c r="V241" s="91"/>
      <c r="W241" s="92"/>
      <c r="X241" s="93">
        <v>5</v>
      </c>
      <c r="Y241" s="79">
        <v>0</v>
      </c>
      <c r="AA241" s="94"/>
      <c r="AD241" s="36" t="s">
        <v>4995</v>
      </c>
      <c r="AE241" s="36"/>
      <c r="AF241" s="36" t="s">
        <v>5122</v>
      </c>
      <c r="AP241" s="86"/>
      <c r="AQ241" s="88"/>
      <c r="AR241" s="89"/>
      <c r="AS241" s="90"/>
      <c r="AV241" s="88"/>
      <c r="AW241" s="96"/>
      <c r="AX241" s="97"/>
      <c r="AY241" s="93"/>
      <c r="BB241" s="94"/>
    </row>
    <row r="242" spans="1:59" ht="15" customHeight="1">
      <c r="A242" s="36" t="s">
        <v>5053</v>
      </c>
      <c r="B242" s="36" t="s">
        <v>5063</v>
      </c>
      <c r="C242" s="36" t="s">
        <v>5052</v>
      </c>
      <c r="D242" s="36">
        <v>7</v>
      </c>
      <c r="E242" s="36">
        <v>1</v>
      </c>
      <c r="F242" s="36" t="s">
        <v>4985</v>
      </c>
      <c r="G242" s="36" t="s">
        <v>4996</v>
      </c>
      <c r="J242" s="36" t="s">
        <v>4475</v>
      </c>
      <c r="L242" s="36">
        <v>3</v>
      </c>
      <c r="N242" s="86"/>
      <c r="O242" s="88"/>
      <c r="P242" s="89"/>
      <c r="Q242" s="90"/>
      <c r="U242" s="88"/>
      <c r="V242" s="91"/>
      <c r="W242" s="92"/>
      <c r="X242" s="93"/>
      <c r="Y242" s="79">
        <v>0</v>
      </c>
      <c r="AA242" s="94"/>
      <c r="AE242" s="36"/>
      <c r="AF242" s="36" t="s">
        <v>5156</v>
      </c>
      <c r="AI242" s="36" t="s">
        <v>4996</v>
      </c>
      <c r="AL242" s="36" t="s">
        <v>4475</v>
      </c>
      <c r="AN242" s="36">
        <v>3</v>
      </c>
      <c r="AP242" s="86"/>
      <c r="AQ242" s="88"/>
      <c r="AR242" s="89"/>
      <c r="AS242" s="90"/>
      <c r="AV242" s="88"/>
      <c r="AW242" s="96"/>
      <c r="AX242" s="97"/>
      <c r="AY242" s="93"/>
      <c r="BB242" s="94"/>
    </row>
    <row r="243" spans="1:59" ht="15" customHeight="1">
      <c r="A243" s="36" t="s">
        <v>5053</v>
      </c>
      <c r="B243" s="36" t="s">
        <v>5064</v>
      </c>
      <c r="C243" s="36" t="s">
        <v>5052</v>
      </c>
      <c r="D243" s="36">
        <v>8</v>
      </c>
      <c r="E243" s="36">
        <v>1</v>
      </c>
      <c r="F243" s="36" t="s">
        <v>4985</v>
      </c>
      <c r="G243" s="36" t="s">
        <v>4997</v>
      </c>
      <c r="J243" s="36" t="s">
        <v>31</v>
      </c>
      <c r="N243" s="86"/>
      <c r="O243" s="88"/>
      <c r="P243" s="89"/>
      <c r="Q243" s="90"/>
      <c r="U243" s="88"/>
      <c r="V243" s="91"/>
      <c r="W243" s="92"/>
      <c r="X243" s="93"/>
      <c r="AA243" s="94"/>
      <c r="AD243" s="36" t="s">
        <v>4998</v>
      </c>
      <c r="AE243" s="36"/>
      <c r="AF243" s="36" t="s">
        <v>5109</v>
      </c>
      <c r="AI243" s="36" t="s">
        <v>4997</v>
      </c>
      <c r="AL243" s="36" t="s">
        <v>31</v>
      </c>
      <c r="AP243" s="86"/>
      <c r="AQ243" s="88"/>
      <c r="AR243" s="89"/>
      <c r="AS243" s="90"/>
      <c r="AV243" s="88"/>
      <c r="AW243" s="96"/>
      <c r="AX243" s="97"/>
      <c r="AY243" s="93">
        <v>3</v>
      </c>
      <c r="AZ243" s="79">
        <v>0</v>
      </c>
      <c r="BB243" s="94"/>
      <c r="BE243" s="36" t="s">
        <v>4998</v>
      </c>
      <c r="BG243" s="36" t="s">
        <v>5123</v>
      </c>
    </row>
    <row r="244" spans="1:59" ht="15" customHeight="1">
      <c r="A244" s="36" t="s">
        <v>5053</v>
      </c>
      <c r="B244" s="36" t="s">
        <v>5065</v>
      </c>
      <c r="C244" s="36" t="s">
        <v>5052</v>
      </c>
      <c r="D244" s="36">
        <v>9</v>
      </c>
      <c r="E244" s="36">
        <v>1</v>
      </c>
      <c r="F244" s="36" t="s">
        <v>4985</v>
      </c>
      <c r="G244" s="36" t="s">
        <v>4999</v>
      </c>
      <c r="J244" s="36" t="s">
        <v>31</v>
      </c>
      <c r="N244" s="86"/>
      <c r="O244" s="88"/>
      <c r="P244" s="89"/>
      <c r="Q244" s="90"/>
      <c r="U244" s="88"/>
      <c r="V244" s="91"/>
      <c r="W244" s="92"/>
      <c r="X244" s="93"/>
      <c r="AA244" s="94"/>
      <c r="AD244" s="36" t="s">
        <v>4998</v>
      </c>
      <c r="AE244" s="36"/>
      <c r="AF244" s="36" t="s">
        <v>5110</v>
      </c>
      <c r="AI244" s="36" t="s">
        <v>4999</v>
      </c>
      <c r="AL244" s="36" t="s">
        <v>31</v>
      </c>
      <c r="AP244" s="86"/>
      <c r="AQ244" s="88"/>
      <c r="AR244" s="89"/>
      <c r="AS244" s="90"/>
      <c r="AV244" s="88"/>
      <c r="AW244" s="96"/>
      <c r="AX244" s="97"/>
      <c r="AY244" s="93">
        <v>2</v>
      </c>
      <c r="AZ244" s="79">
        <v>1</v>
      </c>
      <c r="BB244" s="94"/>
      <c r="BE244" s="36" t="s">
        <v>4998</v>
      </c>
      <c r="BG244" s="36" t="s">
        <v>5124</v>
      </c>
    </row>
    <row r="245" spans="1:59" ht="15" customHeight="1">
      <c r="A245" s="36" t="s">
        <v>5053</v>
      </c>
      <c r="B245" s="36" t="s">
        <v>5066</v>
      </c>
      <c r="C245" s="36" t="s">
        <v>5052</v>
      </c>
      <c r="D245" s="36">
        <v>10</v>
      </c>
      <c r="E245" s="36">
        <v>1</v>
      </c>
      <c r="F245" s="36" t="s">
        <v>4985</v>
      </c>
      <c r="G245" s="36" t="s">
        <v>5000</v>
      </c>
      <c r="J245" s="36" t="s">
        <v>31</v>
      </c>
      <c r="N245" s="86"/>
      <c r="O245" s="88"/>
      <c r="P245" s="89"/>
      <c r="Q245" s="90"/>
      <c r="U245" s="88"/>
      <c r="V245" s="91"/>
      <c r="W245" s="92"/>
      <c r="X245" s="93"/>
      <c r="AA245" s="94"/>
      <c r="AD245" s="36" t="s">
        <v>4998</v>
      </c>
      <c r="AE245" s="36"/>
      <c r="AF245" s="36" t="s">
        <v>5111</v>
      </c>
      <c r="AI245" s="36" t="s">
        <v>5000</v>
      </c>
      <c r="AL245" s="36" t="s">
        <v>31</v>
      </c>
      <c r="AP245" s="86"/>
      <c r="AQ245" s="88"/>
      <c r="AR245" s="89"/>
      <c r="AS245" s="90"/>
      <c r="AV245" s="88"/>
      <c r="AW245" s="96"/>
      <c r="AX245" s="97"/>
      <c r="AY245" s="93">
        <v>2</v>
      </c>
      <c r="AZ245" s="79">
        <v>2</v>
      </c>
      <c r="BB245" s="94"/>
      <c r="BE245" s="36" t="s">
        <v>4998</v>
      </c>
      <c r="BG245" s="36" t="s">
        <v>5125</v>
      </c>
    </row>
    <row r="246" spans="1:59" ht="15" customHeight="1">
      <c r="A246" s="36" t="s">
        <v>5053</v>
      </c>
      <c r="B246" s="36" t="s">
        <v>5067</v>
      </c>
      <c r="C246" s="36" t="s">
        <v>5052</v>
      </c>
      <c r="D246" s="36">
        <v>11</v>
      </c>
      <c r="E246" s="36">
        <v>1</v>
      </c>
      <c r="F246" s="36" t="s">
        <v>4985</v>
      </c>
      <c r="G246" s="36" t="s">
        <v>5001</v>
      </c>
      <c r="J246" s="36" t="s">
        <v>31</v>
      </c>
      <c r="N246" s="86"/>
      <c r="O246" s="88"/>
      <c r="P246" s="89"/>
      <c r="Q246" s="90"/>
      <c r="U246" s="88"/>
      <c r="V246" s="91"/>
      <c r="W246" s="92"/>
      <c r="X246" s="93"/>
      <c r="AA246" s="94"/>
      <c r="AD246" s="36" t="s">
        <v>5002</v>
      </c>
      <c r="AE246" s="36"/>
      <c r="AF246" s="36" t="s">
        <v>5112</v>
      </c>
      <c r="AI246" s="36" t="s">
        <v>5001</v>
      </c>
      <c r="AL246" s="36" t="s">
        <v>31</v>
      </c>
      <c r="AP246" s="86"/>
      <c r="AQ246" s="88"/>
      <c r="AR246" s="89"/>
      <c r="AS246" s="90"/>
      <c r="AV246" s="88"/>
      <c r="AW246" s="96"/>
      <c r="AX246" s="97"/>
      <c r="AY246" s="93">
        <v>2</v>
      </c>
      <c r="AZ246" s="79">
        <v>1</v>
      </c>
      <c r="BB246" s="94"/>
      <c r="BE246" s="36" t="s">
        <v>5002</v>
      </c>
      <c r="BG246" s="36" t="s">
        <v>5126</v>
      </c>
    </row>
    <row r="247" spans="1:59" ht="15" customHeight="1">
      <c r="A247" s="36" t="s">
        <v>5053</v>
      </c>
      <c r="B247" s="36" t="s">
        <v>5068</v>
      </c>
      <c r="C247" s="36" t="s">
        <v>5052</v>
      </c>
      <c r="D247" s="36">
        <v>12</v>
      </c>
      <c r="E247" s="36">
        <v>1</v>
      </c>
      <c r="F247" s="36" t="s">
        <v>4985</v>
      </c>
      <c r="G247" s="36" t="s">
        <v>5003</v>
      </c>
      <c r="J247" s="36" t="s">
        <v>31</v>
      </c>
      <c r="N247" s="86"/>
      <c r="O247" s="88"/>
      <c r="P247" s="89"/>
      <c r="Q247" s="90"/>
      <c r="U247" s="88"/>
      <c r="V247" s="91"/>
      <c r="W247" s="92"/>
      <c r="X247" s="93"/>
      <c r="AA247" s="94"/>
      <c r="AD247" s="36" t="s">
        <v>4998</v>
      </c>
      <c r="AE247" s="36"/>
      <c r="AF247" s="36" t="s">
        <v>5113</v>
      </c>
      <c r="AI247" s="36" t="s">
        <v>5003</v>
      </c>
      <c r="AL247" s="36" t="s">
        <v>31</v>
      </c>
      <c r="AP247" s="86"/>
      <c r="AQ247" s="88"/>
      <c r="AR247" s="89"/>
      <c r="AS247" s="90"/>
      <c r="AV247" s="88"/>
      <c r="AW247" s="96"/>
      <c r="AX247" s="97"/>
      <c r="AY247" s="93">
        <v>3</v>
      </c>
      <c r="AZ247" s="79">
        <v>1</v>
      </c>
      <c r="BB247" s="94"/>
      <c r="BE247" s="36" t="s">
        <v>4998</v>
      </c>
      <c r="BG247" s="36" t="s">
        <v>5127</v>
      </c>
    </row>
    <row r="248" spans="1:59" ht="15" customHeight="1">
      <c r="A248" s="36" t="s">
        <v>5053</v>
      </c>
      <c r="B248" s="36" t="s">
        <v>5069</v>
      </c>
      <c r="C248" s="36" t="s">
        <v>5052</v>
      </c>
      <c r="D248" s="36">
        <v>13</v>
      </c>
      <c r="E248" s="36">
        <v>1</v>
      </c>
      <c r="F248" s="36" t="s">
        <v>4985</v>
      </c>
      <c r="G248" s="36" t="s">
        <v>5004</v>
      </c>
      <c r="J248" s="36" t="s">
        <v>31</v>
      </c>
      <c r="N248" s="86"/>
      <c r="O248" s="88"/>
      <c r="P248" s="89"/>
      <c r="Q248" s="90"/>
      <c r="U248" s="88"/>
      <c r="V248" s="91"/>
      <c r="W248" s="92"/>
      <c r="X248" s="93"/>
      <c r="AA248" s="94"/>
      <c r="AD248" s="36" t="s">
        <v>5002</v>
      </c>
      <c r="AE248" s="36"/>
      <c r="AF248" s="36" t="s">
        <v>5114</v>
      </c>
      <c r="AI248" s="36" t="s">
        <v>5004</v>
      </c>
      <c r="AL248" s="36" t="s">
        <v>31</v>
      </c>
      <c r="AP248" s="86"/>
      <c r="AQ248" s="88"/>
      <c r="AR248" s="89"/>
      <c r="AS248" s="90"/>
      <c r="AV248" s="88"/>
      <c r="AW248" s="96"/>
      <c r="AX248" s="97"/>
      <c r="AY248" s="93">
        <v>1</v>
      </c>
      <c r="AZ248" s="79">
        <v>2</v>
      </c>
      <c r="BB248" s="94"/>
      <c r="BE248" s="36" t="s">
        <v>5002</v>
      </c>
      <c r="BG248" s="36" t="s">
        <v>5128</v>
      </c>
    </row>
    <row r="249" spans="1:59" ht="15" customHeight="1">
      <c r="A249" s="36" t="s">
        <v>5053</v>
      </c>
      <c r="B249" s="36" t="s">
        <v>5070</v>
      </c>
      <c r="C249" s="36" t="s">
        <v>5052</v>
      </c>
      <c r="D249" s="36">
        <v>14</v>
      </c>
      <c r="E249" s="36">
        <v>1</v>
      </c>
      <c r="F249" s="36" t="s">
        <v>4985</v>
      </c>
      <c r="G249" s="36" t="s">
        <v>5005</v>
      </c>
      <c r="J249" s="36" t="s">
        <v>31</v>
      </c>
      <c r="N249" s="86"/>
      <c r="O249" s="88"/>
      <c r="P249" s="89"/>
      <c r="Q249" s="90"/>
      <c r="U249" s="88"/>
      <c r="V249" s="91"/>
      <c r="W249" s="92"/>
      <c r="X249" s="93"/>
      <c r="AA249" s="94"/>
      <c r="AD249" s="36" t="s">
        <v>4998</v>
      </c>
      <c r="AE249" s="36"/>
      <c r="AF249" s="36" t="s">
        <v>5115</v>
      </c>
      <c r="AI249" s="36" t="s">
        <v>5005</v>
      </c>
      <c r="AL249" s="36" t="s">
        <v>31</v>
      </c>
      <c r="AP249" s="86"/>
      <c r="AQ249" s="88"/>
      <c r="AR249" s="89"/>
      <c r="AS249" s="90"/>
      <c r="AV249" s="88"/>
      <c r="AW249" s="96"/>
      <c r="AX249" s="97"/>
      <c r="AY249" s="93">
        <v>4</v>
      </c>
      <c r="AZ249" s="79">
        <v>1</v>
      </c>
      <c r="BB249" s="94"/>
      <c r="BE249" s="36" t="s">
        <v>4998</v>
      </c>
      <c r="BG249" s="36" t="s">
        <v>5129</v>
      </c>
    </row>
    <row r="250" spans="1:59" ht="15" customHeight="1">
      <c r="A250" s="36" t="s">
        <v>5053</v>
      </c>
      <c r="B250" s="36" t="s">
        <v>5071</v>
      </c>
      <c r="C250" s="36" t="s">
        <v>5052</v>
      </c>
      <c r="D250" s="36">
        <v>15</v>
      </c>
      <c r="E250" s="36">
        <v>1</v>
      </c>
      <c r="F250" s="36" t="s">
        <v>4985</v>
      </c>
      <c r="G250" s="36" t="s">
        <v>5006</v>
      </c>
      <c r="J250" s="36" t="s">
        <v>31</v>
      </c>
      <c r="N250" s="86"/>
      <c r="O250" s="88"/>
      <c r="P250" s="89"/>
      <c r="Q250" s="90"/>
      <c r="U250" s="88"/>
      <c r="V250" s="91"/>
      <c r="W250" s="92"/>
      <c r="X250" s="93"/>
      <c r="AA250" s="94"/>
      <c r="AD250" s="36" t="s">
        <v>5002</v>
      </c>
      <c r="AE250" s="36"/>
      <c r="AF250" s="36" t="s">
        <v>5116</v>
      </c>
      <c r="AI250" s="36" t="s">
        <v>5006</v>
      </c>
      <c r="AL250" s="36" t="s">
        <v>31</v>
      </c>
      <c r="AP250" s="86"/>
      <c r="AQ250" s="88"/>
      <c r="AR250" s="89"/>
      <c r="AS250" s="90"/>
      <c r="AV250" s="88"/>
      <c r="AW250" s="96"/>
      <c r="AX250" s="97"/>
      <c r="AY250" s="93">
        <v>2</v>
      </c>
      <c r="AZ250" s="79">
        <v>1</v>
      </c>
      <c r="BB250" s="94"/>
      <c r="BE250" s="36" t="s">
        <v>5002</v>
      </c>
      <c r="BG250" s="36" t="s">
        <v>5130</v>
      </c>
    </row>
    <row r="251" spans="1:59" ht="15" customHeight="1">
      <c r="A251" s="36" t="s">
        <v>5053</v>
      </c>
      <c r="B251" s="36" t="s">
        <v>5072</v>
      </c>
      <c r="C251" s="36" t="s">
        <v>5052</v>
      </c>
      <c r="D251" s="36">
        <v>16</v>
      </c>
      <c r="E251" s="36">
        <v>1</v>
      </c>
      <c r="F251" s="36" t="s">
        <v>4985</v>
      </c>
      <c r="G251" s="36" t="s">
        <v>5007</v>
      </c>
      <c r="J251" s="36" t="s">
        <v>31</v>
      </c>
      <c r="N251" s="86"/>
      <c r="O251" s="88"/>
      <c r="P251" s="89"/>
      <c r="Q251" s="90"/>
      <c r="U251" s="88"/>
      <c r="V251" s="91"/>
      <c r="W251" s="92"/>
      <c r="X251" s="93"/>
      <c r="AA251" s="94"/>
      <c r="AD251" s="36" t="s">
        <v>4998</v>
      </c>
      <c r="AE251" s="36"/>
      <c r="AF251" s="36" t="s">
        <v>5117</v>
      </c>
      <c r="AI251" s="36" t="s">
        <v>5007</v>
      </c>
      <c r="AL251" s="36" t="s">
        <v>31</v>
      </c>
      <c r="AP251" s="86"/>
      <c r="AQ251" s="88"/>
      <c r="AR251" s="89"/>
      <c r="AS251" s="90"/>
      <c r="AV251" s="88"/>
      <c r="AW251" s="96"/>
      <c r="AX251" s="97"/>
      <c r="AY251" s="93">
        <v>3</v>
      </c>
      <c r="AZ251" s="79">
        <v>2</v>
      </c>
      <c r="BB251" s="94"/>
      <c r="BE251" s="36" t="s">
        <v>4998</v>
      </c>
      <c r="BG251" s="36" t="s">
        <v>5131</v>
      </c>
    </row>
    <row r="252" spans="1:59" ht="15" customHeight="1">
      <c r="A252" s="36" t="s">
        <v>5053</v>
      </c>
      <c r="B252" s="36" t="s">
        <v>5073</v>
      </c>
      <c r="C252" s="36" t="s">
        <v>5052</v>
      </c>
      <c r="D252" s="36">
        <v>17</v>
      </c>
      <c r="E252" s="36">
        <v>1</v>
      </c>
      <c r="F252" s="36" t="s">
        <v>4985</v>
      </c>
      <c r="G252" s="36" t="s">
        <v>5008</v>
      </c>
      <c r="H252" s="36" t="s">
        <v>5009</v>
      </c>
      <c r="I252" s="36" t="s">
        <v>4077</v>
      </c>
      <c r="J252" s="36" t="s">
        <v>29</v>
      </c>
      <c r="N252" s="86"/>
      <c r="O252" s="88"/>
      <c r="P252" s="89"/>
      <c r="Q252" s="90">
        <v>4</v>
      </c>
      <c r="R252" s="79">
        <v>3</v>
      </c>
      <c r="T252" s="81">
        <v>4</v>
      </c>
      <c r="U252" s="88"/>
      <c r="V252" s="91">
        <v>2</v>
      </c>
      <c r="W252" s="92">
        <v>0</v>
      </c>
      <c r="X252" s="93"/>
      <c r="AA252" s="94">
        <v>1</v>
      </c>
      <c r="AD252" s="36" t="s">
        <v>5010</v>
      </c>
      <c r="AE252" s="36"/>
      <c r="AF252" s="36" t="s">
        <v>5011</v>
      </c>
      <c r="AI252" s="36" t="s">
        <v>5012</v>
      </c>
      <c r="AL252" s="36" t="s">
        <v>4111</v>
      </c>
      <c r="AM252" s="36" t="s">
        <v>26</v>
      </c>
      <c r="AP252" s="86"/>
      <c r="AQ252" s="88"/>
      <c r="AR252" s="89"/>
      <c r="AS252" s="90"/>
      <c r="AV252" s="88"/>
      <c r="AW252" s="96"/>
      <c r="AX252" s="97"/>
      <c r="AY252" s="93"/>
      <c r="BB252" s="94"/>
      <c r="BE252" s="36" t="s">
        <v>5013</v>
      </c>
      <c r="BG252" s="36" t="s">
        <v>5132</v>
      </c>
    </row>
    <row r="253" spans="1:59" ht="15" customHeight="1">
      <c r="A253" s="36" t="s">
        <v>5053</v>
      </c>
      <c r="B253" s="36" t="s">
        <v>5074</v>
      </c>
      <c r="C253" s="36" t="s">
        <v>5052</v>
      </c>
      <c r="D253" s="36">
        <v>18</v>
      </c>
      <c r="E253" s="36">
        <v>1</v>
      </c>
      <c r="F253" s="36" t="s">
        <v>4985</v>
      </c>
      <c r="G253" s="36" t="s">
        <v>5014</v>
      </c>
      <c r="H253" s="36" t="s">
        <v>5015</v>
      </c>
      <c r="I253" s="36" t="s">
        <v>4077</v>
      </c>
      <c r="J253" s="36" t="s">
        <v>29</v>
      </c>
      <c r="N253" s="86"/>
      <c r="O253" s="88"/>
      <c r="P253" s="89"/>
      <c r="Q253" s="90">
        <v>3</v>
      </c>
      <c r="R253" s="79">
        <v>4</v>
      </c>
      <c r="T253" s="81">
        <v>4</v>
      </c>
      <c r="U253" s="88"/>
      <c r="V253" s="91">
        <v>1</v>
      </c>
      <c r="W253" s="92">
        <v>1</v>
      </c>
      <c r="X253" s="93"/>
      <c r="AA253" s="94">
        <v>1</v>
      </c>
      <c r="AD253" s="36" t="s">
        <v>5016</v>
      </c>
      <c r="AE253" s="36"/>
      <c r="AF253" s="36" t="s">
        <v>5133</v>
      </c>
      <c r="AI253" s="36" t="s">
        <v>5012</v>
      </c>
      <c r="AL253" s="36" t="s">
        <v>4111</v>
      </c>
      <c r="AM253" s="36" t="s">
        <v>26</v>
      </c>
      <c r="AP253" s="86"/>
      <c r="AQ253" s="88"/>
      <c r="AR253" s="89"/>
      <c r="AS253" s="90"/>
      <c r="AV253" s="88"/>
      <c r="AW253" s="96"/>
      <c r="AX253" s="97"/>
      <c r="AY253" s="93"/>
      <c r="BB253" s="94"/>
      <c r="BE253" s="36" t="s">
        <v>5013</v>
      </c>
      <c r="BG253" s="36" t="s">
        <v>5132</v>
      </c>
    </row>
    <row r="254" spans="1:59" ht="15" customHeight="1">
      <c r="A254" s="36" t="s">
        <v>5053</v>
      </c>
      <c r="B254" s="36" t="s">
        <v>5075</v>
      </c>
      <c r="C254" s="36" t="s">
        <v>5052</v>
      </c>
      <c r="D254" s="36">
        <v>19</v>
      </c>
      <c r="E254" s="36">
        <v>1</v>
      </c>
      <c r="F254" s="36" t="s">
        <v>4985</v>
      </c>
      <c r="G254" s="36" t="s">
        <v>5017</v>
      </c>
      <c r="H254" s="36" t="s">
        <v>5018</v>
      </c>
      <c r="I254" s="36" t="s">
        <v>4077</v>
      </c>
      <c r="J254" s="36" t="s">
        <v>29</v>
      </c>
      <c r="N254" s="86"/>
      <c r="O254" s="88"/>
      <c r="P254" s="89"/>
      <c r="Q254" s="90">
        <v>-2</v>
      </c>
      <c r="R254" s="79">
        <v>-2</v>
      </c>
      <c r="T254" s="81">
        <v>3</v>
      </c>
      <c r="U254" s="88"/>
      <c r="V254" s="91">
        <v>0</v>
      </c>
      <c r="W254" s="92">
        <v>2</v>
      </c>
      <c r="X254" s="93"/>
      <c r="AA254" s="94">
        <v>1</v>
      </c>
      <c r="AD254" s="36" t="s">
        <v>5019</v>
      </c>
      <c r="AE254" s="36"/>
      <c r="AF254" s="36" t="s">
        <v>5134</v>
      </c>
      <c r="AI254" s="36" t="s">
        <v>5012</v>
      </c>
      <c r="AL254" s="36" t="s">
        <v>4111</v>
      </c>
      <c r="AM254" s="36" t="s">
        <v>26</v>
      </c>
      <c r="AP254" s="86"/>
      <c r="AQ254" s="88"/>
      <c r="AR254" s="89"/>
      <c r="AS254" s="90"/>
      <c r="AV254" s="88"/>
      <c r="AW254" s="96"/>
      <c r="AX254" s="97"/>
      <c r="AY254" s="93"/>
      <c r="BB254" s="94"/>
      <c r="BE254" s="36" t="s">
        <v>5013</v>
      </c>
      <c r="BG254" s="36" t="s">
        <v>5132</v>
      </c>
    </row>
    <row r="255" spans="1:59" ht="15" customHeight="1">
      <c r="A255" s="36" t="s">
        <v>5053</v>
      </c>
      <c r="B255" s="43" t="s">
        <v>5076</v>
      </c>
      <c r="C255" s="36" t="s">
        <v>5052</v>
      </c>
      <c r="D255" s="36">
        <v>20</v>
      </c>
      <c r="E255" s="36">
        <v>1</v>
      </c>
      <c r="F255" s="36" t="s">
        <v>4985</v>
      </c>
      <c r="G255" s="36" t="s">
        <v>5020</v>
      </c>
      <c r="H255" s="36" t="s">
        <v>5021</v>
      </c>
      <c r="I255" s="36" t="s">
        <v>4077</v>
      </c>
      <c r="J255" s="36" t="s">
        <v>29</v>
      </c>
      <c r="N255" s="86"/>
      <c r="O255" s="88"/>
      <c r="P255" s="89"/>
      <c r="Q255" s="90">
        <v>3</v>
      </c>
      <c r="R255" s="79">
        <v>3</v>
      </c>
      <c r="T255" s="81">
        <v>5</v>
      </c>
      <c r="U255" s="88"/>
      <c r="V255" s="91">
        <v>1</v>
      </c>
      <c r="W255" s="92">
        <v>1</v>
      </c>
      <c r="X255" s="93"/>
      <c r="AA255" s="94">
        <v>1</v>
      </c>
      <c r="AD255" s="36" t="s">
        <v>4989</v>
      </c>
      <c r="AE255" s="36"/>
      <c r="AF255" s="36" t="s">
        <v>5022</v>
      </c>
      <c r="AI255" s="36" t="s">
        <v>5012</v>
      </c>
      <c r="AL255" s="36" t="s">
        <v>4111</v>
      </c>
      <c r="AM255" s="36" t="s">
        <v>26</v>
      </c>
      <c r="AP255" s="86"/>
      <c r="AQ255" s="88"/>
      <c r="AR255" s="89"/>
      <c r="AS255" s="90"/>
      <c r="AV255" s="88"/>
      <c r="AW255" s="96"/>
      <c r="AX255" s="97"/>
      <c r="AY255" s="93"/>
      <c r="BB255" s="94"/>
      <c r="BE255" s="36" t="s">
        <v>5013</v>
      </c>
      <c r="BG255" s="36" t="s">
        <v>5132</v>
      </c>
    </row>
    <row r="256" spans="1:59" ht="15" customHeight="1">
      <c r="A256" s="36" t="s">
        <v>5053</v>
      </c>
      <c r="B256" s="36" t="s">
        <v>5077</v>
      </c>
      <c r="C256" s="36" t="s">
        <v>5052</v>
      </c>
      <c r="D256" s="36">
        <v>21</v>
      </c>
      <c r="E256" s="36">
        <v>3</v>
      </c>
      <c r="F256" s="36" t="s">
        <v>4985</v>
      </c>
      <c r="G256" s="36" t="s">
        <v>5023</v>
      </c>
      <c r="J256" s="36" t="s">
        <v>4111</v>
      </c>
      <c r="K256" s="36" t="s">
        <v>26</v>
      </c>
      <c r="N256" s="86"/>
      <c r="O256" s="88"/>
      <c r="P256" s="89"/>
      <c r="Q256" s="90"/>
      <c r="T256" s="81">
        <v>2</v>
      </c>
      <c r="U256" s="88">
        <v>2</v>
      </c>
      <c r="V256" s="91"/>
      <c r="W256" s="92"/>
      <c r="X256" s="93"/>
      <c r="AA256" s="94"/>
      <c r="AD256" s="36" t="s">
        <v>5024</v>
      </c>
      <c r="AE256" s="36"/>
      <c r="AF256" s="36" t="s">
        <v>5135</v>
      </c>
      <c r="AI256" s="36" t="s">
        <v>5012</v>
      </c>
      <c r="AL256" s="36" t="s">
        <v>4111</v>
      </c>
      <c r="AM256" s="36" t="s">
        <v>26</v>
      </c>
      <c r="AP256" s="86"/>
      <c r="AQ256" s="88"/>
      <c r="AR256" s="89"/>
      <c r="AS256" s="90"/>
      <c r="AV256" s="88"/>
      <c r="AW256" s="96"/>
      <c r="AX256" s="97"/>
      <c r="AY256" s="93"/>
      <c r="BB256" s="94"/>
      <c r="BE256" s="36" t="s">
        <v>5013</v>
      </c>
      <c r="BG256" s="36" t="s">
        <v>5132</v>
      </c>
    </row>
    <row r="257" spans="1:54" ht="15" customHeight="1">
      <c r="A257" s="36" t="s">
        <v>5053</v>
      </c>
      <c r="B257" s="36" t="s">
        <v>5078</v>
      </c>
      <c r="C257" s="36" t="s">
        <v>5052</v>
      </c>
      <c r="D257" s="36">
        <v>22</v>
      </c>
      <c r="E257" s="36">
        <v>1</v>
      </c>
      <c r="F257" s="36" t="s">
        <v>4985</v>
      </c>
      <c r="G257" s="36" t="s">
        <v>5025</v>
      </c>
      <c r="H257" s="36" t="s">
        <v>5026</v>
      </c>
      <c r="I257" s="36" t="s">
        <v>4077</v>
      </c>
      <c r="J257" s="36" t="s">
        <v>4111</v>
      </c>
      <c r="K257" s="36" t="s">
        <v>26</v>
      </c>
      <c r="N257" s="86">
        <v>4</v>
      </c>
      <c r="O257" s="88">
        <v>1</v>
      </c>
      <c r="P257" s="89">
        <v>1</v>
      </c>
      <c r="Q257" s="90"/>
      <c r="S257" s="126">
        <v>1</v>
      </c>
      <c r="T257" s="81">
        <v>2</v>
      </c>
      <c r="U257" s="88">
        <v>2</v>
      </c>
      <c r="V257" s="91"/>
      <c r="W257" s="92"/>
      <c r="X257" s="93"/>
      <c r="AA257" s="94"/>
      <c r="AB257" s="36" t="s">
        <v>4933</v>
      </c>
      <c r="AC257" s="36" t="s">
        <v>25</v>
      </c>
      <c r="AD257" s="36" t="s">
        <v>5027</v>
      </c>
      <c r="AE257" s="36"/>
      <c r="AF257" s="36" t="s">
        <v>5136</v>
      </c>
      <c r="AP257" s="86"/>
      <c r="AQ257" s="88"/>
      <c r="AR257" s="89"/>
      <c r="AS257" s="90"/>
      <c r="AV257" s="88"/>
      <c r="AW257" s="96"/>
      <c r="AX257" s="97"/>
      <c r="AY257" s="93"/>
      <c r="BB257" s="94"/>
    </row>
    <row r="258" spans="1:54" ht="15" customHeight="1">
      <c r="A258" s="36" t="s">
        <v>5053</v>
      </c>
      <c r="B258" s="36" t="s">
        <v>5079</v>
      </c>
      <c r="C258" s="36" t="s">
        <v>5052</v>
      </c>
      <c r="D258" s="36">
        <v>23</v>
      </c>
      <c r="E258" s="36">
        <v>1</v>
      </c>
      <c r="F258" s="36" t="s">
        <v>4985</v>
      </c>
      <c r="G258" s="36" t="s">
        <v>5028</v>
      </c>
      <c r="J258" s="36" t="s">
        <v>4111</v>
      </c>
      <c r="K258" s="36" t="s">
        <v>26</v>
      </c>
      <c r="N258" s="86">
        <v>1</v>
      </c>
      <c r="O258" s="88"/>
      <c r="P258" s="89"/>
      <c r="Q258" s="90">
        <v>1</v>
      </c>
      <c r="S258" s="126">
        <v>1</v>
      </c>
      <c r="U258" s="88"/>
      <c r="V258" s="91"/>
      <c r="W258" s="92"/>
      <c r="X258" s="93"/>
      <c r="AA258" s="94"/>
      <c r="AB258" s="36" t="s">
        <v>4947</v>
      </c>
      <c r="AD258" s="36" t="s">
        <v>5029</v>
      </c>
      <c r="AE258" s="36"/>
      <c r="AF258" s="36" t="s">
        <v>5137</v>
      </c>
      <c r="AP258" s="86"/>
      <c r="AQ258" s="88"/>
      <c r="AR258" s="89"/>
      <c r="AS258" s="90"/>
      <c r="AV258" s="88"/>
      <c r="AW258" s="96"/>
      <c r="AX258" s="97"/>
      <c r="AY258" s="93"/>
      <c r="BB258" s="94"/>
    </row>
    <row r="259" spans="1:54" ht="15" customHeight="1">
      <c r="A259" s="36" t="s">
        <v>5053</v>
      </c>
      <c r="B259" s="36" t="s">
        <v>5080</v>
      </c>
      <c r="C259" s="36" t="s">
        <v>5052</v>
      </c>
      <c r="D259" s="36">
        <v>24</v>
      </c>
      <c r="E259" s="36">
        <v>1</v>
      </c>
      <c r="F259" s="36" t="s">
        <v>4985</v>
      </c>
      <c r="G259" s="36" t="s">
        <v>5030</v>
      </c>
      <c r="J259" s="36" t="s">
        <v>4111</v>
      </c>
      <c r="K259" s="36" t="s">
        <v>26</v>
      </c>
      <c r="N259" s="86">
        <v>1</v>
      </c>
      <c r="O259" s="88">
        <v>1</v>
      </c>
      <c r="P259" s="89"/>
      <c r="Q259" s="90"/>
      <c r="S259" s="126">
        <v>1</v>
      </c>
      <c r="U259" s="88"/>
      <c r="V259" s="91"/>
      <c r="W259" s="92"/>
      <c r="X259" s="93"/>
      <c r="AA259" s="94"/>
      <c r="AB259" s="36" t="s">
        <v>4940</v>
      </c>
      <c r="AD259" s="36" t="s">
        <v>5029</v>
      </c>
      <c r="AE259" s="36"/>
      <c r="AF259" s="36" t="s">
        <v>5138</v>
      </c>
      <c r="AP259" s="86"/>
      <c r="AQ259" s="88"/>
      <c r="AR259" s="89"/>
      <c r="AS259" s="90"/>
      <c r="AV259" s="88"/>
      <c r="AW259" s="96"/>
      <c r="AX259" s="97"/>
      <c r="AY259" s="93"/>
      <c r="BB259" s="94"/>
    </row>
    <row r="260" spans="1:54" ht="15" customHeight="1">
      <c r="A260" s="36" t="s">
        <v>5053</v>
      </c>
      <c r="B260" s="36" t="s">
        <v>5081</v>
      </c>
      <c r="C260" s="36" t="s">
        <v>5052</v>
      </c>
      <c r="D260" s="36">
        <v>25</v>
      </c>
      <c r="E260" s="36">
        <v>1</v>
      </c>
      <c r="F260" s="36" t="s">
        <v>4985</v>
      </c>
      <c r="G260" s="36" t="s">
        <v>5031</v>
      </c>
      <c r="J260" s="36" t="s">
        <v>4111</v>
      </c>
      <c r="K260" s="36" t="s">
        <v>26</v>
      </c>
      <c r="N260" s="86">
        <v>1</v>
      </c>
      <c r="O260" s="88"/>
      <c r="P260" s="89">
        <v>1</v>
      </c>
      <c r="Q260" s="90"/>
      <c r="S260" s="126">
        <v>1</v>
      </c>
      <c r="U260" s="88"/>
      <c r="V260" s="91"/>
      <c r="W260" s="92"/>
      <c r="X260" s="93"/>
      <c r="AA260" s="94"/>
      <c r="AB260" s="36" t="s">
        <v>5032</v>
      </c>
      <c r="AD260" s="36" t="s">
        <v>5029</v>
      </c>
      <c r="AE260" s="36"/>
      <c r="AF260" s="36" t="s">
        <v>5139</v>
      </c>
      <c r="AP260" s="86"/>
      <c r="AQ260" s="88"/>
      <c r="AR260" s="89"/>
      <c r="AS260" s="90"/>
      <c r="AV260" s="88"/>
      <c r="AW260" s="96"/>
      <c r="AX260" s="97"/>
      <c r="AY260" s="93"/>
      <c r="BB260" s="94"/>
    </row>
    <row r="261" spans="1:54" ht="15" customHeight="1">
      <c r="A261" s="36" t="s">
        <v>5053</v>
      </c>
      <c r="B261" s="36" t="s">
        <v>5082</v>
      </c>
      <c r="C261" s="36" t="s">
        <v>5052</v>
      </c>
      <c r="D261" s="36">
        <v>24</v>
      </c>
      <c r="E261" s="36">
        <v>1</v>
      </c>
      <c r="F261" s="36" t="s">
        <v>4985</v>
      </c>
      <c r="G261" s="36" t="s">
        <v>5033</v>
      </c>
      <c r="J261" s="36" t="s">
        <v>4111</v>
      </c>
      <c r="K261" s="36" t="s">
        <v>26</v>
      </c>
      <c r="N261" s="86">
        <v>1</v>
      </c>
      <c r="O261" s="88"/>
      <c r="P261" s="89"/>
      <c r="Q261" s="90"/>
      <c r="R261" s="79">
        <v>1</v>
      </c>
      <c r="S261" s="126">
        <v>1</v>
      </c>
      <c r="U261" s="88"/>
      <c r="V261" s="91"/>
      <c r="W261" s="92"/>
      <c r="X261" s="93"/>
      <c r="AA261" s="94"/>
      <c r="AB261" s="36" t="s">
        <v>5034</v>
      </c>
      <c r="AD261" s="36" t="s">
        <v>5029</v>
      </c>
      <c r="AE261" s="36"/>
      <c r="AF261" s="36" t="s">
        <v>5140</v>
      </c>
      <c r="AP261" s="86"/>
      <c r="AQ261" s="88"/>
      <c r="AR261" s="89"/>
      <c r="AS261" s="90"/>
      <c r="AV261" s="88"/>
      <c r="AW261" s="96"/>
      <c r="AX261" s="97"/>
      <c r="AY261" s="93"/>
      <c r="BB261" s="94"/>
    </row>
    <row r="262" spans="1:54" ht="15" customHeight="1">
      <c r="A262" s="36" t="s">
        <v>5053</v>
      </c>
      <c r="B262" s="36" t="s">
        <v>5083</v>
      </c>
      <c r="C262" s="36" t="s">
        <v>5052</v>
      </c>
      <c r="D262" s="36">
        <v>27</v>
      </c>
      <c r="E262" s="36">
        <v>1</v>
      </c>
      <c r="F262" s="36" t="s">
        <v>4985</v>
      </c>
      <c r="G262" s="36" t="s">
        <v>5035</v>
      </c>
      <c r="H262" s="36" t="s">
        <v>5036</v>
      </c>
      <c r="I262" s="36" t="s">
        <v>4077</v>
      </c>
      <c r="J262" s="36" t="s">
        <v>29</v>
      </c>
      <c r="N262" s="86"/>
      <c r="O262" s="88"/>
      <c r="P262" s="89"/>
      <c r="Q262" s="90">
        <v>4</v>
      </c>
      <c r="T262" s="81">
        <v>8</v>
      </c>
      <c r="U262" s="88"/>
      <c r="V262" s="91">
        <v>2</v>
      </c>
      <c r="W262" s="92">
        <v>2</v>
      </c>
      <c r="X262" s="93"/>
      <c r="AA262" s="94"/>
      <c r="AD262" s="36" t="s">
        <v>5037</v>
      </c>
      <c r="AE262" s="36"/>
      <c r="AF262" s="36" t="s">
        <v>5141</v>
      </c>
      <c r="AP262" s="86"/>
      <c r="AQ262" s="88"/>
      <c r="AR262" s="89"/>
      <c r="AS262" s="90"/>
      <c r="AV262" s="88"/>
      <c r="AW262" s="96"/>
      <c r="AX262" s="97"/>
      <c r="AY262" s="93"/>
      <c r="BB262" s="94"/>
    </row>
    <row r="263" spans="1:54" ht="15" customHeight="1">
      <c r="A263" s="36" t="s">
        <v>5053</v>
      </c>
      <c r="B263" s="36" t="s">
        <v>5084</v>
      </c>
      <c r="C263" s="36" t="s">
        <v>5052</v>
      </c>
      <c r="D263" s="36">
        <v>28</v>
      </c>
      <c r="E263" s="36">
        <v>2</v>
      </c>
      <c r="F263" s="36" t="s">
        <v>4985</v>
      </c>
      <c r="G263" s="36" t="s">
        <v>5038</v>
      </c>
      <c r="J263" s="36" t="s">
        <v>29</v>
      </c>
      <c r="N263" s="86"/>
      <c r="O263" s="88"/>
      <c r="P263" s="89"/>
      <c r="Q263" s="90">
        <v>4</v>
      </c>
      <c r="R263" s="79">
        <v>2</v>
      </c>
      <c r="T263" s="81">
        <v>4</v>
      </c>
      <c r="U263" s="88"/>
      <c r="V263" s="91">
        <v>1</v>
      </c>
      <c r="W263" s="92">
        <v>1</v>
      </c>
      <c r="X263" s="93"/>
      <c r="AA263" s="94"/>
      <c r="AD263" s="36" t="s">
        <v>5039</v>
      </c>
      <c r="AE263" s="36"/>
      <c r="AF263" s="36" t="s">
        <v>5142</v>
      </c>
      <c r="AP263" s="86"/>
      <c r="AQ263" s="88"/>
      <c r="AR263" s="89"/>
      <c r="AS263" s="90"/>
      <c r="AV263" s="88"/>
      <c r="AW263" s="96"/>
      <c r="AX263" s="97"/>
      <c r="AY263" s="93"/>
      <c r="BB263" s="94"/>
    </row>
    <row r="264" spans="1:54" ht="15" customHeight="1">
      <c r="A264" s="36" t="s">
        <v>5053</v>
      </c>
      <c r="B264" s="36" t="s">
        <v>5085</v>
      </c>
      <c r="C264" s="36" t="s">
        <v>5052</v>
      </c>
      <c r="D264" s="36">
        <v>29</v>
      </c>
      <c r="E264" s="36">
        <v>3</v>
      </c>
      <c r="F264" s="36" t="s">
        <v>4985</v>
      </c>
      <c r="G264" s="36" t="s">
        <v>5040</v>
      </c>
      <c r="J264" s="36" t="s">
        <v>29</v>
      </c>
      <c r="N264" s="86"/>
      <c r="O264" s="88"/>
      <c r="P264" s="89"/>
      <c r="Q264" s="90">
        <v>3</v>
      </c>
      <c r="R264" s="79">
        <v>3</v>
      </c>
      <c r="T264" s="81">
        <v>3</v>
      </c>
      <c r="U264" s="88"/>
      <c r="V264" s="91">
        <v>2</v>
      </c>
      <c r="W264" s="92">
        <v>0</v>
      </c>
      <c r="X264" s="93"/>
      <c r="AA264" s="94"/>
      <c r="AD264" s="36" t="s">
        <v>4321</v>
      </c>
      <c r="AE264" s="36"/>
      <c r="AF264" s="36" t="s">
        <v>5143</v>
      </c>
      <c r="AP264" s="86"/>
      <c r="AQ264" s="88"/>
      <c r="AR264" s="89"/>
      <c r="AS264" s="90"/>
      <c r="AV264" s="88"/>
      <c r="AW264" s="96"/>
      <c r="AX264" s="97"/>
      <c r="AY264" s="93"/>
      <c r="BB264" s="94"/>
    </row>
    <row r="265" spans="1:54" ht="15" customHeight="1">
      <c r="A265" s="36" t="s">
        <v>5053</v>
      </c>
      <c r="B265" s="43" t="s">
        <v>5086</v>
      </c>
      <c r="C265" s="36" t="s">
        <v>5052</v>
      </c>
      <c r="D265" s="36">
        <v>30</v>
      </c>
      <c r="E265" s="36">
        <v>3</v>
      </c>
      <c r="F265" s="36" t="s">
        <v>4985</v>
      </c>
      <c r="G265" s="36" t="s">
        <v>5041</v>
      </c>
      <c r="J265" s="36" t="s">
        <v>29</v>
      </c>
      <c r="N265" s="86"/>
      <c r="O265" s="88"/>
      <c r="P265" s="89"/>
      <c r="Q265" s="90">
        <v>2</v>
      </c>
      <c r="R265" s="79">
        <v>4</v>
      </c>
      <c r="T265" s="81">
        <v>2</v>
      </c>
      <c r="U265" s="88"/>
      <c r="V265" s="91">
        <v>1</v>
      </c>
      <c r="W265" s="92">
        <v>0</v>
      </c>
      <c r="X265" s="93"/>
      <c r="AA265" s="94"/>
      <c r="AD265" s="36" t="s">
        <v>5042</v>
      </c>
      <c r="AE265" s="36"/>
      <c r="AF265" s="36" t="s">
        <v>5144</v>
      </c>
      <c r="AP265" s="86"/>
      <c r="AQ265" s="88"/>
      <c r="AR265" s="89"/>
      <c r="AS265" s="90"/>
      <c r="AV265" s="88"/>
      <c r="AW265" s="96"/>
      <c r="AX265" s="97"/>
      <c r="AY265" s="93"/>
      <c r="BB265" s="94"/>
    </row>
    <row r="266" spans="1:54" ht="15" customHeight="1">
      <c r="A266" s="36" t="s">
        <v>5053</v>
      </c>
      <c r="B266" s="36" t="s">
        <v>5087</v>
      </c>
      <c r="C266" s="36" t="s">
        <v>5052</v>
      </c>
      <c r="D266" s="36">
        <v>31</v>
      </c>
      <c r="E266" s="36">
        <v>3</v>
      </c>
      <c r="F266" s="36" t="s">
        <v>4985</v>
      </c>
      <c r="G266" s="36" t="s">
        <v>5043</v>
      </c>
      <c r="J266" s="36" t="s">
        <v>28</v>
      </c>
      <c r="N266" s="86"/>
      <c r="O266" s="88"/>
      <c r="P266" s="89"/>
      <c r="Q266" s="90"/>
      <c r="U266" s="88"/>
      <c r="V266" s="91"/>
      <c r="W266" s="92"/>
      <c r="X266" s="93"/>
      <c r="AA266" s="94"/>
      <c r="AD266" s="36" t="s">
        <v>4333</v>
      </c>
      <c r="AE266" s="36"/>
      <c r="AF266" s="36" t="s">
        <v>5145</v>
      </c>
      <c r="AP266" s="86"/>
      <c r="AQ266" s="88"/>
      <c r="AR266" s="89"/>
      <c r="AS266" s="90"/>
      <c r="AV266" s="88"/>
      <c r="AW266" s="96"/>
      <c r="AX266" s="97"/>
      <c r="AY266" s="93"/>
      <c r="BB266" s="94"/>
    </row>
    <row r="267" spans="1:54" ht="15" customHeight="1">
      <c r="A267" s="36" t="s">
        <v>5053</v>
      </c>
      <c r="B267" s="36" t="s">
        <v>5088</v>
      </c>
      <c r="C267" s="36" t="s">
        <v>5052</v>
      </c>
      <c r="D267" s="36">
        <v>32</v>
      </c>
      <c r="E267" s="36">
        <v>3</v>
      </c>
      <c r="F267" s="36" t="s">
        <v>4985</v>
      </c>
      <c r="G267" s="36" t="s">
        <v>5044</v>
      </c>
      <c r="J267" s="36" t="s">
        <v>28</v>
      </c>
      <c r="N267" s="86"/>
      <c r="O267" s="88"/>
      <c r="P267" s="89"/>
      <c r="Q267" s="90"/>
      <c r="U267" s="88"/>
      <c r="V267" s="91"/>
      <c r="W267" s="92"/>
      <c r="X267" s="93"/>
      <c r="AA267" s="94"/>
      <c r="AD267" s="36" t="s">
        <v>5045</v>
      </c>
      <c r="AE267" s="36"/>
      <c r="AF267" s="36" t="s">
        <v>5146</v>
      </c>
      <c r="AP267" s="86"/>
      <c r="AQ267" s="88"/>
      <c r="AR267" s="89"/>
      <c r="AS267" s="90"/>
      <c r="AV267" s="88"/>
      <c r="AW267" s="96"/>
      <c r="AX267" s="97"/>
      <c r="AY267" s="93"/>
      <c r="BB267" s="94"/>
    </row>
    <row r="268" spans="1:54" ht="15" customHeight="1">
      <c r="A268" s="36" t="s">
        <v>5053</v>
      </c>
      <c r="B268" s="36" t="s">
        <v>5089</v>
      </c>
      <c r="C268" s="36" t="s">
        <v>5052</v>
      </c>
      <c r="D268" s="36">
        <v>33</v>
      </c>
      <c r="E268" s="36">
        <v>4</v>
      </c>
      <c r="F268" s="36" t="s">
        <v>4985</v>
      </c>
      <c r="G268" s="36" t="s">
        <v>5046</v>
      </c>
      <c r="J268" s="36" t="s">
        <v>28</v>
      </c>
      <c r="N268" s="86"/>
      <c r="O268" s="88"/>
      <c r="P268" s="89"/>
      <c r="Q268" s="90"/>
      <c r="U268" s="88"/>
      <c r="V268" s="91"/>
      <c r="W268" s="92"/>
      <c r="X268" s="93"/>
      <c r="AA268" s="94"/>
      <c r="AD268" s="36" t="s">
        <v>4335</v>
      </c>
      <c r="AE268" s="36"/>
      <c r="AF268" s="36" t="s">
        <v>5147</v>
      </c>
      <c r="AP268" s="86"/>
      <c r="AQ268" s="88"/>
      <c r="AR268" s="89"/>
      <c r="AS268" s="90"/>
      <c r="AV268" s="88"/>
      <c r="AW268" s="96"/>
      <c r="AX268" s="97"/>
      <c r="AY268" s="93"/>
      <c r="BB268" s="94"/>
    </row>
    <row r="269" spans="1:54" ht="15" customHeight="1">
      <c r="A269" s="36" t="s">
        <v>5053</v>
      </c>
      <c r="B269" s="36" t="s">
        <v>5090</v>
      </c>
      <c r="C269" s="36" t="s">
        <v>5052</v>
      </c>
      <c r="D269" s="36">
        <v>34</v>
      </c>
      <c r="E269" s="36">
        <v>2</v>
      </c>
      <c r="F269" s="36" t="s">
        <v>4985</v>
      </c>
      <c r="G269" s="36" t="s">
        <v>5047</v>
      </c>
      <c r="J269" s="36" t="s">
        <v>28</v>
      </c>
      <c r="N269" s="86"/>
      <c r="O269" s="88"/>
      <c r="P269" s="89"/>
      <c r="Q269" s="90"/>
      <c r="U269" s="88"/>
      <c r="V269" s="91"/>
      <c r="W269" s="92"/>
      <c r="X269" s="93"/>
      <c r="AA269" s="94"/>
      <c r="AD269" s="36" t="s">
        <v>4333</v>
      </c>
      <c r="AE269" s="36"/>
      <c r="AF269" s="36" t="s">
        <v>5148</v>
      </c>
      <c r="AP269" s="86"/>
      <c r="AQ269" s="88"/>
      <c r="AR269" s="89"/>
      <c r="AS269" s="90"/>
      <c r="AV269" s="88"/>
      <c r="AW269" s="96"/>
      <c r="AX269" s="97"/>
      <c r="AY269" s="93"/>
      <c r="BB269" s="94"/>
    </row>
    <row r="270" spans="1:54" ht="15" customHeight="1">
      <c r="A270" s="36" t="s">
        <v>5053</v>
      </c>
      <c r="B270" s="36" t="s">
        <v>5091</v>
      </c>
      <c r="C270" s="36" t="s">
        <v>5052</v>
      </c>
      <c r="D270" s="36">
        <v>35</v>
      </c>
      <c r="E270" s="36">
        <v>2</v>
      </c>
      <c r="F270" s="36" t="s">
        <v>4985</v>
      </c>
      <c r="G270" s="36" t="s">
        <v>5048</v>
      </c>
      <c r="J270" s="36" t="s">
        <v>28</v>
      </c>
      <c r="N270" s="86"/>
      <c r="O270" s="88"/>
      <c r="P270" s="89"/>
      <c r="Q270" s="90"/>
      <c r="U270" s="88"/>
      <c r="V270" s="91"/>
      <c r="W270" s="92"/>
      <c r="X270" s="93"/>
      <c r="AA270" s="94"/>
      <c r="AD270" s="36" t="s">
        <v>4340</v>
      </c>
      <c r="AE270" s="36"/>
      <c r="AF270" s="36" t="s">
        <v>5149</v>
      </c>
      <c r="AP270" s="86"/>
      <c r="AQ270" s="88"/>
      <c r="AR270" s="89"/>
      <c r="AS270" s="90"/>
      <c r="AV270" s="88"/>
      <c r="AW270" s="96"/>
      <c r="AX270" s="97"/>
      <c r="AY270" s="93"/>
      <c r="BB270" s="94"/>
    </row>
    <row r="271" spans="1:54" ht="15" customHeight="1">
      <c r="A271" s="36" t="s">
        <v>5053</v>
      </c>
      <c r="B271" s="36" t="s">
        <v>5092</v>
      </c>
      <c r="C271" s="36" t="s">
        <v>5052</v>
      </c>
      <c r="D271" s="36">
        <v>36</v>
      </c>
      <c r="E271" s="36">
        <v>2</v>
      </c>
      <c r="F271" s="36" t="s">
        <v>4985</v>
      </c>
      <c r="G271" s="36" t="s">
        <v>5049</v>
      </c>
      <c r="J271" s="36" t="s">
        <v>28</v>
      </c>
      <c r="N271" s="86"/>
      <c r="O271" s="88"/>
      <c r="P271" s="89"/>
      <c r="Q271" s="90"/>
      <c r="U271" s="88"/>
      <c r="V271" s="91"/>
      <c r="W271" s="92"/>
      <c r="X271" s="93"/>
      <c r="AA271" s="94"/>
      <c r="AD271" s="36" t="s">
        <v>5050</v>
      </c>
      <c r="AE271" s="36"/>
      <c r="AF271" s="36" t="s">
        <v>5150</v>
      </c>
      <c r="AP271" s="86"/>
      <c r="AQ271" s="88"/>
      <c r="AR271" s="89"/>
      <c r="AS271" s="90"/>
      <c r="AV271" s="88"/>
      <c r="AW271" s="96"/>
      <c r="AX271" s="97"/>
      <c r="AY271" s="93"/>
      <c r="BB271" s="94"/>
    </row>
    <row r="272" spans="1:54" ht="15" customHeight="1">
      <c r="A272" s="36" t="s">
        <v>5053</v>
      </c>
      <c r="B272" s="36" t="s">
        <v>5093</v>
      </c>
      <c r="C272" s="36" t="s">
        <v>5052</v>
      </c>
      <c r="D272" s="36">
        <v>37</v>
      </c>
      <c r="E272" s="36">
        <v>2</v>
      </c>
      <c r="F272" s="36" t="s">
        <v>4985</v>
      </c>
      <c r="G272" s="36" t="s">
        <v>5051</v>
      </c>
      <c r="J272" s="36" t="s">
        <v>28</v>
      </c>
      <c r="N272" s="86"/>
      <c r="O272" s="88"/>
      <c r="P272" s="89"/>
      <c r="Q272" s="90"/>
      <c r="U272" s="88"/>
      <c r="V272" s="91"/>
      <c r="W272" s="92"/>
      <c r="X272" s="93"/>
      <c r="AA272" s="94"/>
      <c r="AD272" s="36" t="s">
        <v>4333</v>
      </c>
      <c r="AE272" s="36"/>
      <c r="AF272" s="36" t="s">
        <v>5151</v>
      </c>
      <c r="AP272" s="86"/>
      <c r="AQ272" s="88"/>
      <c r="AR272" s="89"/>
      <c r="AS272" s="90"/>
      <c r="AV272" s="88"/>
      <c r="AW272" s="96"/>
      <c r="AX272" s="97"/>
      <c r="AY272" s="93"/>
      <c r="BB272" s="94"/>
    </row>
    <row r="273" spans="1:59" ht="15" customHeight="1">
      <c r="A273" s="36" t="s">
        <v>5053</v>
      </c>
      <c r="B273" s="36" t="s">
        <v>5094</v>
      </c>
      <c r="C273" s="36" t="s">
        <v>5052</v>
      </c>
      <c r="D273" s="36">
        <v>38</v>
      </c>
      <c r="E273" s="36">
        <v>1</v>
      </c>
      <c r="F273" s="36" t="s">
        <v>4985</v>
      </c>
      <c r="G273" s="36" t="s">
        <v>4952</v>
      </c>
      <c r="J273" s="36" t="s">
        <v>4956</v>
      </c>
      <c r="N273" s="86"/>
      <c r="O273" s="88"/>
      <c r="P273" s="89"/>
      <c r="Q273" s="90"/>
      <c r="U273" s="88"/>
      <c r="V273" s="91"/>
      <c r="W273" s="92"/>
      <c r="X273" s="93"/>
      <c r="AA273" s="94"/>
      <c r="AE273" s="36"/>
      <c r="AI273" s="36" t="s">
        <v>4957</v>
      </c>
      <c r="AL273" s="36" t="s">
        <v>4956</v>
      </c>
      <c r="AP273" s="86"/>
      <c r="AQ273" s="88"/>
      <c r="AR273" s="89"/>
      <c r="AS273" s="90"/>
      <c r="AV273" s="88"/>
      <c r="AW273" s="96"/>
      <c r="AX273" s="97"/>
      <c r="AY273" s="93"/>
      <c r="BB273" s="94"/>
    </row>
    <row r="274" spans="1:59" ht="15" customHeight="1">
      <c r="A274" s="36" t="s">
        <v>5053</v>
      </c>
      <c r="B274" s="36" t="s">
        <v>5099</v>
      </c>
      <c r="C274" s="36" t="s">
        <v>5052</v>
      </c>
      <c r="D274" s="36">
        <v>39</v>
      </c>
      <c r="E274" s="36">
        <v>1</v>
      </c>
      <c r="F274" s="36" t="s">
        <v>4985</v>
      </c>
      <c r="G274" s="36" t="s">
        <v>4953</v>
      </c>
      <c r="J274" s="36" t="s">
        <v>4956</v>
      </c>
      <c r="N274" s="86"/>
      <c r="O274" s="88"/>
      <c r="P274" s="89"/>
      <c r="Q274" s="90"/>
      <c r="U274" s="88"/>
      <c r="V274" s="91"/>
      <c r="W274" s="92"/>
      <c r="X274" s="93"/>
      <c r="AA274" s="94"/>
      <c r="AE274" s="36"/>
      <c r="AI274" s="36" t="s">
        <v>4958</v>
      </c>
      <c r="AL274" s="36" t="s">
        <v>4956</v>
      </c>
      <c r="AP274" s="86"/>
      <c r="AQ274" s="88"/>
      <c r="AR274" s="89"/>
      <c r="AS274" s="90"/>
      <c r="AV274" s="88"/>
      <c r="AW274" s="96"/>
      <c r="AX274" s="97"/>
      <c r="AY274" s="93"/>
      <c r="BB274" s="94"/>
    </row>
    <row r="275" spans="1:59" ht="15" customHeight="1">
      <c r="A275" s="36" t="s">
        <v>5053</v>
      </c>
      <c r="B275" s="36" t="s">
        <v>5100</v>
      </c>
      <c r="C275" s="36" t="s">
        <v>5052</v>
      </c>
      <c r="D275" s="36">
        <v>40</v>
      </c>
      <c r="E275" s="36">
        <v>1</v>
      </c>
      <c r="F275" s="36" t="s">
        <v>4985</v>
      </c>
      <c r="G275" s="36" t="s">
        <v>4954</v>
      </c>
      <c r="J275" s="36" t="s">
        <v>4956</v>
      </c>
      <c r="N275" s="86"/>
      <c r="O275" s="88"/>
      <c r="P275" s="89"/>
      <c r="Q275" s="90"/>
      <c r="U275" s="88"/>
      <c r="V275" s="91"/>
      <c r="W275" s="92"/>
      <c r="X275" s="93"/>
      <c r="AA275" s="94"/>
      <c r="AE275" s="36"/>
      <c r="AI275" s="36" t="s">
        <v>4959</v>
      </c>
      <c r="AL275" s="36" t="s">
        <v>4956</v>
      </c>
      <c r="AP275" s="86"/>
      <c r="AQ275" s="88"/>
      <c r="AR275" s="89"/>
      <c r="AS275" s="90"/>
      <c r="AV275" s="88"/>
      <c r="AW275" s="96"/>
      <c r="AX275" s="97"/>
      <c r="AY275" s="93"/>
      <c r="BB275" s="94"/>
    </row>
    <row r="276" spans="1:59" ht="15" customHeight="1">
      <c r="A276" s="36" t="s">
        <v>5053</v>
      </c>
      <c r="B276" s="36" t="s">
        <v>5101</v>
      </c>
      <c r="C276" s="36" t="s">
        <v>5052</v>
      </c>
      <c r="D276" s="36">
        <v>41</v>
      </c>
      <c r="E276" s="36">
        <v>1</v>
      </c>
      <c r="F276" s="36" t="s">
        <v>4985</v>
      </c>
      <c r="G276" s="36" t="s">
        <v>4955</v>
      </c>
      <c r="J276" s="36" t="s">
        <v>4956</v>
      </c>
      <c r="N276" s="86"/>
      <c r="O276" s="88"/>
      <c r="P276" s="89"/>
      <c r="Q276" s="90"/>
      <c r="U276" s="88"/>
      <c r="V276" s="91"/>
      <c r="W276" s="92"/>
      <c r="X276" s="93"/>
      <c r="AA276" s="94"/>
      <c r="AE276" s="36"/>
      <c r="AI276" s="36" t="s">
        <v>4960</v>
      </c>
      <c r="AL276" s="36" t="s">
        <v>4956</v>
      </c>
      <c r="AP276" s="86"/>
      <c r="AQ276" s="88"/>
      <c r="AR276" s="89"/>
      <c r="AS276" s="90"/>
      <c r="AV276" s="88"/>
      <c r="AW276" s="96"/>
      <c r="AX276" s="97"/>
      <c r="AY276" s="93"/>
      <c r="BB276" s="94"/>
    </row>
    <row r="277" spans="1:59" ht="15" customHeight="1">
      <c r="A277" s="36" t="s">
        <v>5053</v>
      </c>
      <c r="B277" s="36" t="s">
        <v>5102</v>
      </c>
      <c r="C277" s="36" t="s">
        <v>5052</v>
      </c>
      <c r="D277" s="36">
        <v>42</v>
      </c>
      <c r="E277" s="36">
        <v>1</v>
      </c>
      <c r="F277" s="36" t="s">
        <v>4985</v>
      </c>
      <c r="G277" s="36" t="s">
        <v>5095</v>
      </c>
      <c r="J277" s="36" t="s">
        <v>4956</v>
      </c>
      <c r="N277" s="86"/>
      <c r="O277" s="88"/>
      <c r="P277" s="89"/>
      <c r="Q277" s="90"/>
      <c r="U277" s="88"/>
      <c r="V277" s="91"/>
      <c r="W277" s="92"/>
      <c r="X277" s="93"/>
      <c r="AA277" s="94"/>
      <c r="AE277" s="36"/>
      <c r="AI277" s="36" t="s">
        <v>5097</v>
      </c>
      <c r="AL277" s="36" t="s">
        <v>4956</v>
      </c>
      <c r="AP277" s="86"/>
      <c r="AQ277" s="88"/>
      <c r="AR277" s="89"/>
      <c r="AS277" s="90"/>
      <c r="AV277" s="88"/>
      <c r="AW277" s="96"/>
      <c r="AX277" s="97"/>
      <c r="AY277" s="93"/>
      <c r="BB277" s="94"/>
    </row>
    <row r="278" spans="1:59" ht="15" customHeight="1">
      <c r="A278" s="36" t="s">
        <v>5053</v>
      </c>
      <c r="B278" s="36" t="s">
        <v>5103</v>
      </c>
      <c r="C278" s="36" t="s">
        <v>5052</v>
      </c>
      <c r="D278" s="36">
        <v>43</v>
      </c>
      <c r="E278" s="36">
        <v>1</v>
      </c>
      <c r="F278" s="36" t="s">
        <v>4985</v>
      </c>
      <c r="G278" s="36" t="s">
        <v>5096</v>
      </c>
      <c r="J278" s="36" t="s">
        <v>4956</v>
      </c>
      <c r="N278" s="86"/>
      <c r="O278" s="88"/>
      <c r="P278" s="89"/>
      <c r="Q278" s="90"/>
      <c r="U278" s="88"/>
      <c r="V278" s="91"/>
      <c r="W278" s="92"/>
      <c r="X278" s="93"/>
      <c r="AA278" s="94"/>
      <c r="AE278" s="36"/>
      <c r="AI278" s="36" t="s">
        <v>5098</v>
      </c>
      <c r="AL278" s="36" t="s">
        <v>4956</v>
      </c>
      <c r="AP278" s="86"/>
      <c r="AQ278" s="88"/>
      <c r="AR278" s="89"/>
      <c r="AS278" s="90"/>
      <c r="AV278" s="88"/>
      <c r="AW278" s="96"/>
      <c r="AX278" s="97"/>
      <c r="AY278" s="93"/>
      <c r="BB278" s="94"/>
    </row>
    <row r="279" spans="1:59" ht="15" customHeight="1">
      <c r="A279" s="53" t="s">
        <v>5157</v>
      </c>
      <c r="B279" s="53" t="s">
        <v>5160</v>
      </c>
      <c r="C279" s="53" t="s">
        <v>5161</v>
      </c>
      <c r="D279" s="53">
        <v>1</v>
      </c>
      <c r="E279" s="53">
        <v>1</v>
      </c>
      <c r="F279" s="53"/>
      <c r="G279" s="53" t="s">
        <v>5162</v>
      </c>
      <c r="H279" s="36" t="s">
        <v>5163</v>
      </c>
      <c r="I279" s="36" t="s">
        <v>4077</v>
      </c>
      <c r="J279" s="36" t="s">
        <v>4057</v>
      </c>
      <c r="K279" s="36" t="s">
        <v>4052</v>
      </c>
      <c r="N279" s="86"/>
      <c r="O279" s="88">
        <v>4</v>
      </c>
      <c r="P279" s="89">
        <v>2</v>
      </c>
      <c r="Q279" s="90">
        <v>4</v>
      </c>
      <c r="R279" s="79">
        <v>2</v>
      </c>
      <c r="T279" s="81">
        <v>9</v>
      </c>
      <c r="U279" s="88">
        <v>6</v>
      </c>
      <c r="V279" s="91"/>
      <c r="W279" s="92"/>
      <c r="X279" s="93"/>
      <c r="AA279" s="94"/>
      <c r="AD279" s="36" t="s">
        <v>5164</v>
      </c>
      <c r="AE279" s="36"/>
      <c r="AF279" s="36" t="s">
        <v>5165</v>
      </c>
      <c r="AI279" s="36" t="s">
        <v>5162</v>
      </c>
      <c r="AJ279" s="36" t="s">
        <v>5163</v>
      </c>
      <c r="AK279" s="36" t="s">
        <v>4077</v>
      </c>
      <c r="AL279" s="36" t="s">
        <v>5104</v>
      </c>
      <c r="AM279" s="36" t="s">
        <v>5166</v>
      </c>
      <c r="AP279" s="86"/>
      <c r="AQ279" s="88"/>
      <c r="AR279" s="89"/>
      <c r="AS279" s="90"/>
      <c r="AV279" s="88"/>
      <c r="AW279" s="96"/>
      <c r="AX279" s="97"/>
      <c r="AY279" s="93"/>
      <c r="BB279" s="94"/>
      <c r="BE279" s="36" t="s">
        <v>5164</v>
      </c>
      <c r="BG279" s="36" t="s">
        <v>5167</v>
      </c>
    </row>
    <row r="280" spans="1:59" ht="15" customHeight="1">
      <c r="A280" s="36" t="s">
        <v>5157</v>
      </c>
      <c r="B280" s="36" t="s">
        <v>5168</v>
      </c>
      <c r="C280" s="36" t="s">
        <v>5161</v>
      </c>
      <c r="D280" s="36">
        <v>2</v>
      </c>
      <c r="E280" s="36">
        <v>1</v>
      </c>
      <c r="G280" s="36" t="s">
        <v>5169</v>
      </c>
      <c r="H280" s="36" t="s">
        <v>5170</v>
      </c>
      <c r="I280" s="36" t="s">
        <v>4077</v>
      </c>
      <c r="J280" s="36" t="s">
        <v>4057</v>
      </c>
      <c r="K280" s="36" t="s">
        <v>4053</v>
      </c>
      <c r="N280" s="86"/>
      <c r="O280" s="88">
        <v>3</v>
      </c>
      <c r="P280" s="89">
        <v>4</v>
      </c>
      <c r="Q280" s="90">
        <v>2</v>
      </c>
      <c r="R280" s="79">
        <v>3</v>
      </c>
      <c r="T280" s="81">
        <v>6</v>
      </c>
      <c r="U280" s="88">
        <v>9</v>
      </c>
      <c r="V280" s="91"/>
      <c r="W280" s="92"/>
      <c r="X280" s="93"/>
      <c r="AA280" s="94"/>
      <c r="AD280" s="36" t="s">
        <v>5171</v>
      </c>
      <c r="AE280" s="36"/>
      <c r="AF280" s="36" t="s">
        <v>5172</v>
      </c>
      <c r="AI280" s="36" t="s">
        <v>5169</v>
      </c>
      <c r="AJ280" s="36" t="s">
        <v>5170</v>
      </c>
      <c r="AK280" s="36" t="s">
        <v>4077</v>
      </c>
      <c r="AL280" s="36" t="s">
        <v>5104</v>
      </c>
      <c r="AM280" s="36" t="s">
        <v>5173</v>
      </c>
      <c r="AP280" s="86"/>
      <c r="AQ280" s="88"/>
      <c r="AR280" s="89"/>
      <c r="AS280" s="90"/>
      <c r="AV280" s="88"/>
      <c r="AW280" s="96"/>
      <c r="AX280" s="97"/>
      <c r="AY280" s="93"/>
      <c r="BB280" s="94"/>
      <c r="BE280" s="36" t="s">
        <v>5171</v>
      </c>
      <c r="BG280" s="36" t="s">
        <v>5174</v>
      </c>
    </row>
    <row r="281" spans="1:59" ht="15" customHeight="1">
      <c r="A281" s="36" t="s">
        <v>5157</v>
      </c>
      <c r="B281" s="36" t="s">
        <v>5175</v>
      </c>
      <c r="C281" s="36" t="s">
        <v>5161</v>
      </c>
      <c r="D281" s="36">
        <v>3</v>
      </c>
      <c r="E281" s="36">
        <v>1</v>
      </c>
      <c r="G281" s="36" t="s">
        <v>5176</v>
      </c>
      <c r="H281" s="36" t="s">
        <v>5177</v>
      </c>
      <c r="I281" s="36" t="s">
        <v>4077</v>
      </c>
      <c r="J281" s="36" t="s">
        <v>4057</v>
      </c>
      <c r="K281" s="36" t="s">
        <v>4055</v>
      </c>
      <c r="N281" s="86"/>
      <c r="O281" s="88">
        <v>3</v>
      </c>
      <c r="P281" s="89">
        <v>3</v>
      </c>
      <c r="Q281" s="90">
        <v>3</v>
      </c>
      <c r="R281" s="79">
        <v>3</v>
      </c>
      <c r="T281" s="81">
        <v>8</v>
      </c>
      <c r="U281" s="88">
        <v>7</v>
      </c>
      <c r="V281" s="91"/>
      <c r="W281" s="92"/>
      <c r="X281" s="93"/>
      <c r="AA281" s="94"/>
      <c r="AD281" s="36" t="s">
        <v>4108</v>
      </c>
      <c r="AE281" s="36"/>
      <c r="AF281" s="36" t="s">
        <v>5178</v>
      </c>
      <c r="AI281" s="36" t="s">
        <v>5176</v>
      </c>
      <c r="AJ281" s="36" t="s">
        <v>5177</v>
      </c>
      <c r="AK281" s="36" t="s">
        <v>4077</v>
      </c>
      <c r="AL281" s="36" t="s">
        <v>5104</v>
      </c>
      <c r="AM281" s="36" t="s">
        <v>5179</v>
      </c>
      <c r="AP281" s="86"/>
      <c r="AQ281" s="88"/>
      <c r="AR281" s="89"/>
      <c r="AS281" s="90"/>
      <c r="AV281" s="88"/>
      <c r="AW281" s="96"/>
      <c r="AX281" s="97"/>
      <c r="AY281" s="93"/>
      <c r="BB281" s="94"/>
      <c r="BE281" s="36" t="s">
        <v>4108</v>
      </c>
      <c r="BG281" s="36" t="s">
        <v>5180</v>
      </c>
    </row>
    <row r="282" spans="1:59" ht="15" customHeight="1">
      <c r="A282" s="36" t="s">
        <v>5157</v>
      </c>
      <c r="B282" s="36" t="s">
        <v>5181</v>
      </c>
      <c r="C282" s="36" t="s">
        <v>5161</v>
      </c>
      <c r="D282" s="36">
        <v>4</v>
      </c>
      <c r="E282" s="36">
        <v>1</v>
      </c>
      <c r="G282" s="36" t="s">
        <v>5182</v>
      </c>
      <c r="H282" s="36" t="s">
        <v>5183</v>
      </c>
      <c r="I282" s="36" t="s">
        <v>4077</v>
      </c>
      <c r="J282" s="36" t="s">
        <v>4057</v>
      </c>
      <c r="K282" s="36" t="s">
        <v>4054</v>
      </c>
      <c r="N282" s="86"/>
      <c r="O282" s="88">
        <v>4</v>
      </c>
      <c r="P282" s="89">
        <v>3</v>
      </c>
      <c r="Q282" s="90">
        <v>3</v>
      </c>
      <c r="R282" s="79">
        <v>2</v>
      </c>
      <c r="T282" s="81">
        <v>7</v>
      </c>
      <c r="U282" s="88">
        <v>8</v>
      </c>
      <c r="V282" s="91"/>
      <c r="W282" s="92"/>
      <c r="X282" s="93"/>
      <c r="AA282" s="94"/>
      <c r="AD282" s="36" t="s">
        <v>5184</v>
      </c>
      <c r="AE282" s="36"/>
      <c r="AF282" s="36" t="s">
        <v>5185</v>
      </c>
      <c r="AI282" s="36" t="s">
        <v>5182</v>
      </c>
      <c r="AJ282" s="36" t="s">
        <v>5183</v>
      </c>
      <c r="AK282" s="36" t="s">
        <v>4077</v>
      </c>
      <c r="AL282" s="36" t="s">
        <v>5104</v>
      </c>
      <c r="AM282" s="36" t="s">
        <v>5105</v>
      </c>
      <c r="AP282" s="86"/>
      <c r="AQ282" s="88"/>
      <c r="AR282" s="89"/>
      <c r="AS282" s="90"/>
      <c r="AV282" s="88"/>
      <c r="AW282" s="96"/>
      <c r="AX282" s="97"/>
      <c r="AY282" s="93"/>
      <c r="BB282" s="94"/>
      <c r="BE282" s="36" t="s">
        <v>5184</v>
      </c>
      <c r="BG282" s="36" t="s">
        <v>5186</v>
      </c>
    </row>
    <row r="283" spans="1:59" ht="15" customHeight="1">
      <c r="A283" s="36" t="s">
        <v>5157</v>
      </c>
      <c r="B283" s="36" t="s">
        <v>5187</v>
      </c>
      <c r="C283" s="36" t="s">
        <v>5161</v>
      </c>
      <c r="D283" s="36">
        <v>5</v>
      </c>
      <c r="E283" s="36">
        <v>1</v>
      </c>
      <c r="G283" s="36" t="s">
        <v>5188</v>
      </c>
      <c r="H283" s="36" t="s">
        <v>5189</v>
      </c>
      <c r="I283" s="36" t="s">
        <v>4077</v>
      </c>
      <c r="J283" s="36" t="s">
        <v>4057</v>
      </c>
      <c r="K283" s="36" t="s">
        <v>4056</v>
      </c>
      <c r="N283" s="86"/>
      <c r="O283" s="88">
        <v>4</v>
      </c>
      <c r="P283" s="89">
        <v>2</v>
      </c>
      <c r="Q283" s="90">
        <v>2</v>
      </c>
      <c r="R283" s="79">
        <v>3</v>
      </c>
      <c r="T283" s="81">
        <v>6</v>
      </c>
      <c r="U283" s="88">
        <v>5</v>
      </c>
      <c r="V283" s="91"/>
      <c r="W283" s="92"/>
      <c r="X283" s="93"/>
      <c r="AA283" s="94"/>
      <c r="AD283" s="36" t="s">
        <v>4108</v>
      </c>
      <c r="AE283" s="36"/>
      <c r="AF283" s="36" t="s">
        <v>5190</v>
      </c>
      <c r="AI283" s="36" t="s">
        <v>5188</v>
      </c>
      <c r="AJ283" s="36" t="s">
        <v>5189</v>
      </c>
      <c r="AK283" s="36" t="s">
        <v>4077</v>
      </c>
      <c r="AL283" s="36" t="s">
        <v>5104</v>
      </c>
      <c r="AM283" s="36" t="s">
        <v>5191</v>
      </c>
      <c r="AP283" s="86"/>
      <c r="AQ283" s="88"/>
      <c r="AR283" s="89"/>
      <c r="AS283" s="90"/>
      <c r="AV283" s="88"/>
      <c r="AW283" s="96"/>
      <c r="AX283" s="97"/>
      <c r="AY283" s="93"/>
      <c r="BB283" s="94"/>
      <c r="BE283" s="36" t="s">
        <v>4108</v>
      </c>
      <c r="BG283" s="36" t="s">
        <v>5192</v>
      </c>
    </row>
    <row r="284" spans="1:59" ht="15" customHeight="1">
      <c r="A284" s="36" t="s">
        <v>5157</v>
      </c>
      <c r="B284" s="36" t="s">
        <v>5193</v>
      </c>
      <c r="C284" s="36" t="s">
        <v>5161</v>
      </c>
      <c r="D284" s="36">
        <v>6</v>
      </c>
      <c r="E284" s="36">
        <v>1</v>
      </c>
      <c r="G284" s="36" t="s">
        <v>5194</v>
      </c>
      <c r="H284" s="36" t="s">
        <v>5195</v>
      </c>
      <c r="I284" s="36" t="s">
        <v>4077</v>
      </c>
      <c r="J284" s="36" t="s">
        <v>4111</v>
      </c>
      <c r="K284" s="36" t="s">
        <v>26</v>
      </c>
      <c r="N284" s="86">
        <v>1</v>
      </c>
      <c r="O284" s="88"/>
      <c r="P284" s="89"/>
      <c r="Q284" s="90">
        <v>2</v>
      </c>
      <c r="S284" s="126">
        <v>1</v>
      </c>
      <c r="U284" s="88"/>
      <c r="V284" s="91"/>
      <c r="W284" s="92"/>
      <c r="X284" s="93"/>
      <c r="AA284" s="94"/>
      <c r="AB284" s="36" t="s">
        <v>5196</v>
      </c>
      <c r="AC284" s="36" t="s">
        <v>4129</v>
      </c>
      <c r="AD284" s="36" t="s">
        <v>4229</v>
      </c>
      <c r="AE284" s="36"/>
      <c r="AF284" s="36" t="s">
        <v>5197</v>
      </c>
      <c r="AP284" s="86"/>
      <c r="AQ284" s="88"/>
      <c r="AR284" s="89"/>
      <c r="AS284" s="90"/>
      <c r="AV284" s="88"/>
      <c r="AW284" s="96"/>
      <c r="AX284" s="97"/>
      <c r="AY284" s="93"/>
      <c r="BB284" s="94"/>
    </row>
    <row r="285" spans="1:59" ht="15" customHeight="1">
      <c r="A285" s="36" t="s">
        <v>5157</v>
      </c>
      <c r="B285" s="36" t="s">
        <v>5198</v>
      </c>
      <c r="C285" s="36" t="s">
        <v>5161</v>
      </c>
      <c r="D285" s="36">
        <v>7</v>
      </c>
      <c r="E285" s="36">
        <v>1</v>
      </c>
      <c r="G285" s="36" t="s">
        <v>5199</v>
      </c>
      <c r="J285" s="36" t="s">
        <v>28</v>
      </c>
      <c r="K285" s="36" t="s">
        <v>26</v>
      </c>
      <c r="M285" s="36" t="s">
        <v>4502</v>
      </c>
      <c r="N285" s="86"/>
      <c r="O285" s="88"/>
      <c r="P285" s="89"/>
      <c r="Q285" s="90"/>
      <c r="U285" s="88"/>
      <c r="V285" s="91"/>
      <c r="W285" s="92"/>
      <c r="X285" s="93"/>
      <c r="AA285" s="94"/>
      <c r="AD285" s="36" t="s">
        <v>4116</v>
      </c>
      <c r="AE285" s="36"/>
      <c r="AF285" s="36" t="s">
        <v>5200</v>
      </c>
      <c r="AP285" s="86"/>
      <c r="AQ285" s="88"/>
      <c r="AR285" s="89"/>
      <c r="AS285" s="90"/>
      <c r="AV285" s="88"/>
      <c r="AW285" s="96"/>
      <c r="AX285" s="97"/>
      <c r="AY285" s="93"/>
      <c r="BB285" s="94"/>
    </row>
    <row r="286" spans="1:59" ht="15" customHeight="1">
      <c r="A286" s="36" t="s">
        <v>5157</v>
      </c>
      <c r="B286" s="36" t="s">
        <v>5201</v>
      </c>
      <c r="C286" s="36" t="s">
        <v>5161</v>
      </c>
      <c r="D286" s="36">
        <v>8</v>
      </c>
      <c r="E286" s="36">
        <v>1</v>
      </c>
      <c r="G286" s="36" t="s">
        <v>5202</v>
      </c>
      <c r="J286" s="36" t="s">
        <v>27</v>
      </c>
      <c r="K286" s="36" t="s">
        <v>26</v>
      </c>
      <c r="N286" s="86">
        <v>1</v>
      </c>
      <c r="O286" s="88"/>
      <c r="P286" s="89">
        <v>2</v>
      </c>
      <c r="Q286" s="90"/>
      <c r="S286" s="126">
        <v>1</v>
      </c>
      <c r="U286" s="88"/>
      <c r="V286" s="91"/>
      <c r="W286" s="92"/>
      <c r="X286" s="93"/>
      <c r="AA286" s="94"/>
      <c r="AB286" s="36" t="s">
        <v>5203</v>
      </c>
      <c r="AD286" s="36" t="s">
        <v>4194</v>
      </c>
      <c r="AE286" s="36"/>
      <c r="AF286" s="36" t="s">
        <v>5204</v>
      </c>
      <c r="AP286" s="86"/>
      <c r="AQ286" s="88"/>
      <c r="AR286" s="89"/>
      <c r="AS286" s="90"/>
      <c r="AV286" s="88"/>
      <c r="AW286" s="96"/>
      <c r="AX286" s="97"/>
      <c r="AY286" s="93"/>
      <c r="BB286" s="94"/>
    </row>
    <row r="287" spans="1:59" ht="15" customHeight="1">
      <c r="A287" s="36" t="s">
        <v>5157</v>
      </c>
      <c r="B287" s="36" t="s">
        <v>5205</v>
      </c>
      <c r="C287" s="36" t="s">
        <v>5161</v>
      </c>
      <c r="D287" s="36">
        <v>9</v>
      </c>
      <c r="E287" s="36">
        <v>1</v>
      </c>
      <c r="G287" s="36" t="s">
        <v>5206</v>
      </c>
      <c r="J287" s="36" t="s">
        <v>28</v>
      </c>
      <c r="K287" s="36" t="s">
        <v>26</v>
      </c>
      <c r="M287" s="36" t="s">
        <v>4502</v>
      </c>
      <c r="N287" s="86"/>
      <c r="O287" s="88"/>
      <c r="P287" s="89"/>
      <c r="Q287" s="90"/>
      <c r="U287" s="88"/>
      <c r="V287" s="91"/>
      <c r="W287" s="92"/>
      <c r="X287" s="93"/>
      <c r="AA287" s="94"/>
      <c r="AD287" s="36" t="s">
        <v>4293</v>
      </c>
      <c r="AE287" s="36"/>
      <c r="AF287" s="36" t="s">
        <v>5207</v>
      </c>
      <c r="AP287" s="86"/>
      <c r="AQ287" s="88"/>
      <c r="AR287" s="89"/>
      <c r="AS287" s="90"/>
      <c r="AV287" s="88"/>
      <c r="AW287" s="96"/>
      <c r="AX287" s="97"/>
      <c r="AY287" s="93"/>
      <c r="BB287" s="94"/>
    </row>
    <row r="288" spans="1:59" ht="15" customHeight="1">
      <c r="A288" s="36" t="s">
        <v>5157</v>
      </c>
      <c r="B288" s="36" t="s">
        <v>5208</v>
      </c>
      <c r="C288" s="36" t="s">
        <v>5161</v>
      </c>
      <c r="D288" s="36">
        <v>10</v>
      </c>
      <c r="E288" s="36">
        <v>1</v>
      </c>
      <c r="G288" s="36" t="s">
        <v>5209</v>
      </c>
      <c r="H288" s="36" t="s">
        <v>5210</v>
      </c>
      <c r="I288" s="36" t="s">
        <v>4077</v>
      </c>
      <c r="J288" s="36" t="s">
        <v>4111</v>
      </c>
      <c r="K288" s="36" t="s">
        <v>26</v>
      </c>
      <c r="N288" s="86"/>
      <c r="O288" s="88"/>
      <c r="P288" s="89"/>
      <c r="Q288" s="90"/>
      <c r="R288" s="79">
        <v>2</v>
      </c>
      <c r="S288" s="126">
        <v>1</v>
      </c>
      <c r="U288" s="88"/>
      <c r="V288" s="91"/>
      <c r="W288" s="92"/>
      <c r="X288" s="93"/>
      <c r="AA288" s="94"/>
      <c r="AB288" s="36" t="s">
        <v>5211</v>
      </c>
      <c r="AC288" s="36" t="s">
        <v>4176</v>
      </c>
      <c r="AD288" s="36" t="s">
        <v>4113</v>
      </c>
      <c r="AE288" s="36"/>
      <c r="AF288" s="36" t="s">
        <v>5212</v>
      </c>
      <c r="AP288" s="86"/>
      <c r="AQ288" s="88"/>
      <c r="AR288" s="89"/>
      <c r="AS288" s="90"/>
      <c r="AV288" s="88"/>
      <c r="AW288" s="96"/>
      <c r="AX288" s="97"/>
      <c r="AY288" s="93"/>
      <c r="BB288" s="94"/>
    </row>
    <row r="289" spans="1:54" ht="15" customHeight="1">
      <c r="A289" s="36" t="s">
        <v>5157</v>
      </c>
      <c r="B289" s="36" t="s">
        <v>5213</v>
      </c>
      <c r="C289" s="36" t="s">
        <v>5161</v>
      </c>
      <c r="D289" s="36">
        <v>11</v>
      </c>
      <c r="E289" s="36">
        <v>1</v>
      </c>
      <c r="G289" s="36" t="s">
        <v>5214</v>
      </c>
      <c r="J289" s="36" t="s">
        <v>28</v>
      </c>
      <c r="K289" s="36" t="s">
        <v>26</v>
      </c>
      <c r="M289" s="36" t="s">
        <v>4502</v>
      </c>
      <c r="N289" s="86"/>
      <c r="O289" s="88"/>
      <c r="P289" s="89"/>
      <c r="Q289" s="90"/>
      <c r="U289" s="88"/>
      <c r="V289" s="91"/>
      <c r="W289" s="92"/>
      <c r="X289" s="93"/>
      <c r="AA289" s="94"/>
      <c r="AD289" s="36" t="s">
        <v>4116</v>
      </c>
      <c r="AE289" s="36"/>
      <c r="AF289" s="36" t="s">
        <v>5215</v>
      </c>
      <c r="AP289" s="86"/>
      <c r="AQ289" s="88"/>
      <c r="AR289" s="89"/>
      <c r="AS289" s="90"/>
      <c r="AV289" s="88"/>
      <c r="AW289" s="96"/>
      <c r="AX289" s="97"/>
      <c r="AY289" s="93"/>
      <c r="BB289" s="94"/>
    </row>
    <row r="290" spans="1:54" ht="15" customHeight="1">
      <c r="A290" s="36" t="s">
        <v>5157</v>
      </c>
      <c r="B290" s="36" t="s">
        <v>5216</v>
      </c>
      <c r="C290" s="36" t="s">
        <v>5161</v>
      </c>
      <c r="D290" s="36">
        <v>12</v>
      </c>
      <c r="E290" s="36">
        <v>1</v>
      </c>
      <c r="G290" s="36" t="s">
        <v>5217</v>
      </c>
      <c r="H290" s="36" t="s">
        <v>5218</v>
      </c>
      <c r="I290" s="36" t="s">
        <v>4077</v>
      </c>
      <c r="J290" s="36" t="s">
        <v>4111</v>
      </c>
      <c r="K290" s="36" t="s">
        <v>26</v>
      </c>
      <c r="N290" s="86">
        <v>2</v>
      </c>
      <c r="O290" s="88">
        <v>2</v>
      </c>
      <c r="P290" s="89"/>
      <c r="Q290" s="90"/>
      <c r="S290" s="126">
        <v>1</v>
      </c>
      <c r="U290" s="88"/>
      <c r="V290" s="91"/>
      <c r="W290" s="92"/>
      <c r="X290" s="93"/>
      <c r="AA290" s="94"/>
      <c r="AB290" s="36" t="s">
        <v>5219</v>
      </c>
      <c r="AC290" s="36" t="s">
        <v>4112</v>
      </c>
      <c r="AD290" s="36" t="s">
        <v>5220</v>
      </c>
      <c r="AE290" s="36"/>
      <c r="AF290" s="36" t="s">
        <v>5221</v>
      </c>
      <c r="AP290" s="86"/>
      <c r="AQ290" s="88"/>
      <c r="AR290" s="89"/>
      <c r="AS290" s="90"/>
      <c r="AV290" s="88"/>
      <c r="AW290" s="96"/>
      <c r="AX290" s="97"/>
      <c r="AY290" s="93"/>
      <c r="BB290" s="94"/>
    </row>
    <row r="291" spans="1:54" ht="15" customHeight="1">
      <c r="A291" s="36" t="s">
        <v>5157</v>
      </c>
      <c r="B291" s="36" t="s">
        <v>5222</v>
      </c>
      <c r="C291" s="36" t="s">
        <v>5161</v>
      </c>
      <c r="D291" s="36">
        <v>13</v>
      </c>
      <c r="E291" s="36">
        <v>1</v>
      </c>
      <c r="G291" s="36" t="s">
        <v>5223</v>
      </c>
      <c r="J291" s="36" t="s">
        <v>28</v>
      </c>
      <c r="K291" s="36" t="s">
        <v>26</v>
      </c>
      <c r="M291" s="36" t="s">
        <v>4502</v>
      </c>
      <c r="N291" s="86"/>
      <c r="O291" s="88"/>
      <c r="P291" s="89"/>
      <c r="Q291" s="90"/>
      <c r="U291" s="88"/>
      <c r="V291" s="91"/>
      <c r="W291" s="92"/>
      <c r="X291" s="93"/>
      <c r="AA291" s="94"/>
      <c r="AD291" s="36" t="s">
        <v>5224</v>
      </c>
      <c r="AE291" s="36"/>
      <c r="AF291" s="36" t="s">
        <v>5225</v>
      </c>
      <c r="AP291" s="86"/>
      <c r="AQ291" s="88"/>
      <c r="AR291" s="89"/>
      <c r="AS291" s="90"/>
      <c r="AV291" s="88"/>
      <c r="AW291" s="96"/>
      <c r="AX291" s="97"/>
      <c r="AY291" s="93"/>
      <c r="BB291" s="94"/>
    </row>
    <row r="292" spans="1:54" ht="15" customHeight="1">
      <c r="A292" s="36" t="s">
        <v>5157</v>
      </c>
      <c r="B292" s="36" t="s">
        <v>5226</v>
      </c>
      <c r="C292" s="36" t="s">
        <v>5161</v>
      </c>
      <c r="D292" s="36">
        <v>14</v>
      </c>
      <c r="E292" s="36">
        <v>1</v>
      </c>
      <c r="G292" s="36" t="s">
        <v>5227</v>
      </c>
      <c r="H292" s="36" t="s">
        <v>5228</v>
      </c>
      <c r="I292" s="36" t="s">
        <v>4077</v>
      </c>
      <c r="J292" s="36" t="s">
        <v>4111</v>
      </c>
      <c r="K292" s="36" t="s">
        <v>26</v>
      </c>
      <c r="N292" s="86">
        <v>2</v>
      </c>
      <c r="O292" s="88"/>
      <c r="P292" s="89"/>
      <c r="Q292" s="90"/>
      <c r="T292" s="81">
        <v>2</v>
      </c>
      <c r="U292" s="88">
        <v>3</v>
      </c>
      <c r="V292" s="91"/>
      <c r="W292" s="92"/>
      <c r="X292" s="93"/>
      <c r="AA292" s="94"/>
      <c r="AD292" s="36" t="s">
        <v>4155</v>
      </c>
      <c r="AE292" s="36"/>
      <c r="AF292" s="36" t="s">
        <v>5229</v>
      </c>
      <c r="AP292" s="86"/>
      <c r="AQ292" s="88"/>
      <c r="AR292" s="89"/>
      <c r="AS292" s="90"/>
      <c r="AV292" s="88"/>
      <c r="AW292" s="96"/>
      <c r="AX292" s="97"/>
      <c r="AY292" s="93"/>
      <c r="BB292" s="94"/>
    </row>
    <row r="293" spans="1:54" ht="15" customHeight="1">
      <c r="A293" s="36" t="s">
        <v>5157</v>
      </c>
      <c r="B293" s="36" t="s">
        <v>5230</v>
      </c>
      <c r="C293" s="36" t="s">
        <v>5161</v>
      </c>
      <c r="D293" s="36">
        <v>15</v>
      </c>
      <c r="E293" s="36">
        <v>1</v>
      </c>
      <c r="G293" s="36" t="s">
        <v>5231</v>
      </c>
      <c r="J293" s="36" t="s">
        <v>28</v>
      </c>
      <c r="K293" s="36" t="s">
        <v>26</v>
      </c>
      <c r="M293" s="36" t="s">
        <v>4502</v>
      </c>
      <c r="N293" s="86"/>
      <c r="O293" s="88"/>
      <c r="P293" s="89"/>
      <c r="Q293" s="90"/>
      <c r="U293" s="88"/>
      <c r="V293" s="91"/>
      <c r="W293" s="92"/>
      <c r="X293" s="93"/>
      <c r="AA293" s="94"/>
      <c r="AD293" s="36" t="s">
        <v>4138</v>
      </c>
      <c r="AE293" s="36"/>
      <c r="AF293" s="36" t="s">
        <v>5232</v>
      </c>
      <c r="AP293" s="86"/>
      <c r="AQ293" s="88"/>
      <c r="AR293" s="89"/>
      <c r="AS293" s="90"/>
      <c r="AV293" s="88"/>
      <c r="AW293" s="96"/>
      <c r="AX293" s="97"/>
      <c r="AY293" s="93"/>
      <c r="BB293" s="94"/>
    </row>
    <row r="294" spans="1:54" ht="15" customHeight="1">
      <c r="A294" s="36" t="s">
        <v>5157</v>
      </c>
      <c r="B294" s="36" t="s">
        <v>5233</v>
      </c>
      <c r="C294" s="36" t="s">
        <v>5161</v>
      </c>
      <c r="D294" s="36">
        <v>16</v>
      </c>
      <c r="E294" s="36">
        <v>2</v>
      </c>
      <c r="G294" s="36" t="s">
        <v>5234</v>
      </c>
      <c r="J294" s="36" t="s">
        <v>4111</v>
      </c>
      <c r="K294" s="36" t="s">
        <v>4052</v>
      </c>
      <c r="L294" s="36">
        <v>0</v>
      </c>
      <c r="N294" s="86">
        <v>1</v>
      </c>
      <c r="O294" s="88"/>
      <c r="P294" s="89"/>
      <c r="Q294" s="90">
        <v>1</v>
      </c>
      <c r="U294" s="88"/>
      <c r="V294" s="91"/>
      <c r="W294" s="92"/>
      <c r="X294" s="93"/>
      <c r="AA294" s="94"/>
      <c r="AB294" s="36" t="s">
        <v>4060</v>
      </c>
      <c r="AC294" s="36" t="s">
        <v>4112</v>
      </c>
      <c r="AD294" s="36" t="s">
        <v>4152</v>
      </c>
      <c r="AE294" s="36"/>
      <c r="AF294" s="36" t="s">
        <v>5235</v>
      </c>
      <c r="AP294" s="86"/>
      <c r="AQ294" s="88"/>
      <c r="AR294" s="89"/>
      <c r="AS294" s="90"/>
      <c r="AV294" s="88"/>
      <c r="AW294" s="96"/>
      <c r="AX294" s="97"/>
      <c r="AY294" s="93"/>
      <c r="BB294" s="94"/>
    </row>
    <row r="295" spans="1:54" ht="15" customHeight="1">
      <c r="A295" s="36" t="s">
        <v>5157</v>
      </c>
      <c r="B295" s="36" t="s">
        <v>5236</v>
      </c>
      <c r="C295" s="36" t="s">
        <v>5161</v>
      </c>
      <c r="D295" s="36">
        <v>17</v>
      </c>
      <c r="E295" s="36">
        <v>2</v>
      </c>
      <c r="G295" s="36" t="s">
        <v>5237</v>
      </c>
      <c r="J295" s="36" t="s">
        <v>27</v>
      </c>
      <c r="K295" s="36" t="s">
        <v>4052</v>
      </c>
      <c r="L295" s="36">
        <v>0</v>
      </c>
      <c r="N295" s="86">
        <v>1</v>
      </c>
      <c r="O295" s="88">
        <v>1</v>
      </c>
      <c r="P295" s="89"/>
      <c r="Q295" s="90">
        <v>1</v>
      </c>
      <c r="U295" s="88"/>
      <c r="V295" s="91"/>
      <c r="W295" s="92"/>
      <c r="X295" s="93"/>
      <c r="AA295" s="94"/>
      <c r="AB295" s="36" t="s">
        <v>4937</v>
      </c>
      <c r="AD295" s="36" t="s">
        <v>4161</v>
      </c>
      <c r="AE295" s="36"/>
      <c r="AF295" s="36" t="s">
        <v>5238</v>
      </c>
      <c r="AP295" s="86"/>
      <c r="AQ295" s="88"/>
      <c r="AR295" s="89"/>
      <c r="AS295" s="90"/>
      <c r="AV295" s="88"/>
      <c r="AW295" s="96"/>
      <c r="AX295" s="97"/>
      <c r="AY295" s="93"/>
      <c r="BB295" s="94"/>
    </row>
    <row r="296" spans="1:54" ht="15" customHeight="1">
      <c r="A296" s="36" t="s">
        <v>5157</v>
      </c>
      <c r="B296" s="36" t="s">
        <v>5239</v>
      </c>
      <c r="C296" s="36" t="s">
        <v>5161</v>
      </c>
      <c r="D296" s="36">
        <v>18</v>
      </c>
      <c r="E296" s="36">
        <v>2</v>
      </c>
      <c r="G296" s="36" t="s">
        <v>5240</v>
      </c>
      <c r="J296" s="36" t="s">
        <v>27</v>
      </c>
      <c r="K296" s="36" t="s">
        <v>4052</v>
      </c>
      <c r="L296" s="36">
        <v>0</v>
      </c>
      <c r="N296" s="86">
        <v>0</v>
      </c>
      <c r="O296" s="88"/>
      <c r="P296" s="89"/>
      <c r="Q296" s="90"/>
      <c r="S296" s="126">
        <v>1</v>
      </c>
      <c r="U296" s="88"/>
      <c r="V296" s="91"/>
      <c r="W296" s="92"/>
      <c r="X296" s="93"/>
      <c r="AA296" s="94"/>
      <c r="AB296" s="36" t="s">
        <v>4062</v>
      </c>
      <c r="AD296" s="36" t="s">
        <v>4161</v>
      </c>
      <c r="AE296" s="36"/>
      <c r="AF296" s="36" t="s">
        <v>5241</v>
      </c>
      <c r="AP296" s="86"/>
      <c r="AQ296" s="88"/>
      <c r="AR296" s="89"/>
      <c r="AS296" s="90"/>
      <c r="AV296" s="88"/>
      <c r="AW296" s="96"/>
      <c r="AX296" s="97"/>
      <c r="AY296" s="93"/>
      <c r="BB296" s="94"/>
    </row>
    <row r="297" spans="1:54" ht="15" customHeight="1">
      <c r="A297" s="36" t="s">
        <v>5157</v>
      </c>
      <c r="B297" s="36" t="s">
        <v>5242</v>
      </c>
      <c r="C297" s="36" t="s">
        <v>5161</v>
      </c>
      <c r="D297" s="36">
        <v>19</v>
      </c>
      <c r="E297" s="36">
        <v>2</v>
      </c>
      <c r="G297" s="36" t="s">
        <v>5237</v>
      </c>
      <c r="J297" s="36" t="s">
        <v>27</v>
      </c>
      <c r="K297" s="36" t="s">
        <v>4052</v>
      </c>
      <c r="L297" s="36">
        <v>2</v>
      </c>
      <c r="N297" s="86">
        <v>1</v>
      </c>
      <c r="O297" s="88">
        <v>1</v>
      </c>
      <c r="P297" s="89"/>
      <c r="Q297" s="90">
        <v>1</v>
      </c>
      <c r="R297" s="79">
        <v>1</v>
      </c>
      <c r="U297" s="88"/>
      <c r="V297" s="91"/>
      <c r="W297" s="92"/>
      <c r="X297" s="93"/>
      <c r="AA297" s="94"/>
      <c r="AB297" s="36" t="s">
        <v>5243</v>
      </c>
      <c r="AD297" s="36" t="s">
        <v>4161</v>
      </c>
      <c r="AE297" s="36"/>
      <c r="AF297" s="36" t="s">
        <v>5244</v>
      </c>
      <c r="AP297" s="86"/>
      <c r="AQ297" s="88"/>
      <c r="AR297" s="89"/>
      <c r="AS297" s="90"/>
      <c r="AV297" s="88"/>
      <c r="AW297" s="96"/>
      <c r="AX297" s="97"/>
      <c r="AY297" s="93"/>
      <c r="BB297" s="94"/>
    </row>
    <row r="298" spans="1:54" ht="15" customHeight="1">
      <c r="A298" s="36" t="s">
        <v>5157</v>
      </c>
      <c r="B298" s="36" t="s">
        <v>5245</v>
      </c>
      <c r="C298" s="36" t="s">
        <v>5161</v>
      </c>
      <c r="D298" s="36">
        <v>20</v>
      </c>
      <c r="E298" s="36">
        <v>2</v>
      </c>
      <c r="G298" s="36" t="s">
        <v>5246</v>
      </c>
      <c r="J298" s="36" t="s">
        <v>4111</v>
      </c>
      <c r="K298" s="36" t="s">
        <v>4053</v>
      </c>
      <c r="L298" s="36">
        <v>0</v>
      </c>
      <c r="N298" s="86">
        <v>2</v>
      </c>
      <c r="O298" s="88"/>
      <c r="P298" s="89">
        <v>1</v>
      </c>
      <c r="Q298" s="90"/>
      <c r="T298" s="81">
        <v>1</v>
      </c>
      <c r="U298" s="88">
        <v>2</v>
      </c>
      <c r="V298" s="91"/>
      <c r="W298" s="92"/>
      <c r="X298" s="93"/>
      <c r="AA298" s="94"/>
      <c r="AB298" s="36" t="s">
        <v>4059</v>
      </c>
      <c r="AC298" s="36" t="s">
        <v>25</v>
      </c>
      <c r="AD298" s="36" t="s">
        <v>5247</v>
      </c>
      <c r="AE298" s="36"/>
      <c r="AF298" s="36" t="s">
        <v>5248</v>
      </c>
      <c r="AP298" s="86"/>
      <c r="AQ298" s="88"/>
      <c r="AR298" s="89"/>
      <c r="AS298" s="90"/>
      <c r="AV298" s="88"/>
      <c r="AW298" s="96"/>
      <c r="AX298" s="97"/>
      <c r="AY298" s="93"/>
      <c r="BB298" s="94"/>
    </row>
    <row r="299" spans="1:54" ht="15" customHeight="1">
      <c r="A299" s="36" t="s">
        <v>5157</v>
      </c>
      <c r="B299" s="36" t="s">
        <v>5249</v>
      </c>
      <c r="C299" s="36" t="s">
        <v>5161</v>
      </c>
      <c r="D299" s="36">
        <v>21</v>
      </c>
      <c r="E299" s="36">
        <v>2</v>
      </c>
      <c r="G299" s="36" t="s">
        <v>5250</v>
      </c>
      <c r="H299" s="36" t="s">
        <v>5251</v>
      </c>
      <c r="J299" s="36" t="s">
        <v>4111</v>
      </c>
      <c r="K299" s="36" t="s">
        <v>4053</v>
      </c>
      <c r="L299" s="36">
        <v>0</v>
      </c>
      <c r="N299" s="86">
        <v>1</v>
      </c>
      <c r="O299" s="88"/>
      <c r="P299" s="89"/>
      <c r="Q299" s="90"/>
      <c r="S299" s="126">
        <v>1</v>
      </c>
      <c r="U299" s="88"/>
      <c r="V299" s="91"/>
      <c r="W299" s="92"/>
      <c r="X299" s="93"/>
      <c r="AA299" s="94"/>
      <c r="AB299" s="36" t="s">
        <v>4062</v>
      </c>
      <c r="AD299" s="36" t="s">
        <v>5252</v>
      </c>
      <c r="AE299" s="36"/>
      <c r="AF299" s="36" t="s">
        <v>5253</v>
      </c>
      <c r="AP299" s="86"/>
      <c r="AQ299" s="88"/>
      <c r="AR299" s="89"/>
      <c r="AS299" s="90"/>
      <c r="AV299" s="88"/>
      <c r="AW299" s="96"/>
      <c r="AX299" s="97"/>
      <c r="AY299" s="93"/>
      <c r="BB299" s="94"/>
    </row>
    <row r="300" spans="1:54" ht="15" customHeight="1">
      <c r="A300" s="36" t="s">
        <v>5157</v>
      </c>
      <c r="B300" s="36" t="s">
        <v>5254</v>
      </c>
      <c r="C300" s="36" t="s">
        <v>5161</v>
      </c>
      <c r="D300" s="36">
        <v>22</v>
      </c>
      <c r="E300" s="36">
        <v>2</v>
      </c>
      <c r="G300" s="36" t="s">
        <v>5255</v>
      </c>
      <c r="J300" s="36" t="s">
        <v>27</v>
      </c>
      <c r="K300" s="36" t="s">
        <v>4053</v>
      </c>
      <c r="L300" s="36">
        <v>0</v>
      </c>
      <c r="N300" s="86">
        <v>0</v>
      </c>
      <c r="O300" s="88">
        <v>1</v>
      </c>
      <c r="P300" s="89"/>
      <c r="Q300" s="90"/>
      <c r="R300" s="79">
        <v>1</v>
      </c>
      <c r="U300" s="88"/>
      <c r="V300" s="91"/>
      <c r="W300" s="92"/>
      <c r="X300" s="93"/>
      <c r="AA300" s="94"/>
      <c r="AB300" s="36" t="s">
        <v>4939</v>
      </c>
      <c r="AD300" s="36" t="s">
        <v>4198</v>
      </c>
      <c r="AE300" s="36"/>
      <c r="AF300" s="36" t="s">
        <v>5256</v>
      </c>
      <c r="AP300" s="86"/>
      <c r="AQ300" s="88"/>
      <c r="AR300" s="89"/>
      <c r="AS300" s="90"/>
      <c r="AV300" s="88"/>
      <c r="AW300" s="96"/>
      <c r="AX300" s="97"/>
      <c r="AY300" s="93"/>
      <c r="BB300" s="94"/>
    </row>
    <row r="301" spans="1:54" ht="15" customHeight="1">
      <c r="A301" s="36" t="s">
        <v>5157</v>
      </c>
      <c r="B301" s="36" t="s">
        <v>5257</v>
      </c>
      <c r="C301" s="36" t="s">
        <v>5161</v>
      </c>
      <c r="D301" s="36">
        <v>23</v>
      </c>
      <c r="E301" s="36">
        <v>2</v>
      </c>
      <c r="G301" s="36" t="s">
        <v>5258</v>
      </c>
      <c r="J301" s="36" t="s">
        <v>27</v>
      </c>
      <c r="K301" s="36" t="s">
        <v>4053</v>
      </c>
      <c r="L301" s="36">
        <v>0</v>
      </c>
      <c r="N301" s="86">
        <v>1</v>
      </c>
      <c r="O301" s="88"/>
      <c r="P301" s="89">
        <v>1</v>
      </c>
      <c r="Q301" s="90"/>
      <c r="R301" s="79">
        <v>1</v>
      </c>
      <c r="U301" s="88"/>
      <c r="V301" s="91"/>
      <c r="W301" s="92"/>
      <c r="X301" s="93"/>
      <c r="AA301" s="94"/>
      <c r="AB301" s="36" t="s">
        <v>4943</v>
      </c>
      <c r="AD301" s="36" t="s">
        <v>4194</v>
      </c>
      <c r="AE301" s="36"/>
      <c r="AF301" s="36" t="s">
        <v>5259</v>
      </c>
      <c r="AP301" s="86"/>
      <c r="AQ301" s="88"/>
      <c r="AR301" s="89"/>
      <c r="AS301" s="90"/>
      <c r="AV301" s="88"/>
      <c r="AW301" s="96"/>
      <c r="AX301" s="97"/>
      <c r="AY301" s="93"/>
      <c r="BB301" s="94"/>
    </row>
    <row r="302" spans="1:54" ht="15" customHeight="1">
      <c r="A302" s="36" t="s">
        <v>5157</v>
      </c>
      <c r="B302" s="36" t="s">
        <v>5260</v>
      </c>
      <c r="C302" s="36" t="s">
        <v>5161</v>
      </c>
      <c r="D302" s="36">
        <v>24</v>
      </c>
      <c r="E302" s="36">
        <v>2</v>
      </c>
      <c r="G302" s="36" t="s">
        <v>5261</v>
      </c>
      <c r="J302" s="36" t="s">
        <v>4111</v>
      </c>
      <c r="K302" s="36" t="s">
        <v>4055</v>
      </c>
      <c r="L302" s="36">
        <v>0</v>
      </c>
      <c r="N302" s="86">
        <v>1</v>
      </c>
      <c r="O302" s="88">
        <v>1</v>
      </c>
      <c r="P302" s="89"/>
      <c r="Q302" s="90"/>
      <c r="U302" s="88"/>
      <c r="V302" s="91"/>
      <c r="W302" s="92"/>
      <c r="X302" s="93"/>
      <c r="AA302" s="94"/>
      <c r="AB302" s="36" t="s">
        <v>4058</v>
      </c>
      <c r="AD302" s="36" t="s">
        <v>5262</v>
      </c>
      <c r="AE302" s="36"/>
      <c r="AF302" s="36" t="s">
        <v>5263</v>
      </c>
      <c r="AP302" s="86"/>
      <c r="AQ302" s="88"/>
      <c r="AR302" s="89"/>
      <c r="AS302" s="90"/>
      <c r="AV302" s="88"/>
      <c r="AW302" s="96"/>
      <c r="AX302" s="97"/>
      <c r="AY302" s="93"/>
      <c r="BB302" s="94"/>
    </row>
    <row r="303" spans="1:54" ht="15" customHeight="1">
      <c r="A303" s="36" t="s">
        <v>5157</v>
      </c>
      <c r="B303" s="36" t="s">
        <v>5264</v>
      </c>
      <c r="C303" s="36" t="s">
        <v>5161</v>
      </c>
      <c r="D303" s="36">
        <v>25</v>
      </c>
      <c r="E303" s="36">
        <v>2</v>
      </c>
      <c r="G303" s="36" t="s">
        <v>5265</v>
      </c>
      <c r="J303" s="36" t="s">
        <v>27</v>
      </c>
      <c r="K303" s="36" t="s">
        <v>4055</v>
      </c>
      <c r="L303" s="36">
        <v>0</v>
      </c>
      <c r="N303" s="86">
        <v>1</v>
      </c>
      <c r="O303" s="88"/>
      <c r="P303" s="89">
        <v>1</v>
      </c>
      <c r="Q303" s="90"/>
      <c r="R303" s="79">
        <v>1</v>
      </c>
      <c r="U303" s="88"/>
      <c r="V303" s="91"/>
      <c r="W303" s="92"/>
      <c r="X303" s="93"/>
      <c r="AA303" s="94"/>
      <c r="AB303" s="36" t="s">
        <v>4943</v>
      </c>
      <c r="AD303" s="36" t="s">
        <v>5266</v>
      </c>
      <c r="AE303" s="36"/>
      <c r="AF303" s="36" t="s">
        <v>5267</v>
      </c>
      <c r="AP303" s="86"/>
      <c r="AQ303" s="88"/>
      <c r="AR303" s="89"/>
      <c r="AS303" s="90"/>
      <c r="AV303" s="88"/>
      <c r="AW303" s="96"/>
      <c r="AX303" s="97"/>
      <c r="AY303" s="93"/>
      <c r="BB303" s="94"/>
    </row>
    <row r="304" spans="1:54" ht="15" customHeight="1">
      <c r="A304" s="36" t="s">
        <v>5157</v>
      </c>
      <c r="B304" s="36" t="s">
        <v>5268</v>
      </c>
      <c r="C304" s="36" t="s">
        <v>5161</v>
      </c>
      <c r="D304" s="36">
        <v>26</v>
      </c>
      <c r="E304" s="36">
        <v>2</v>
      </c>
      <c r="G304" s="36" t="s">
        <v>5269</v>
      </c>
      <c r="J304" s="36" t="s">
        <v>4166</v>
      </c>
      <c r="K304" s="36" t="s">
        <v>4055</v>
      </c>
      <c r="L304" s="36">
        <v>0</v>
      </c>
      <c r="N304" s="86"/>
      <c r="O304" s="88"/>
      <c r="P304" s="89"/>
      <c r="Q304" s="90"/>
      <c r="S304" s="126">
        <v>1</v>
      </c>
      <c r="U304" s="88"/>
      <c r="V304" s="91"/>
      <c r="W304" s="92"/>
      <c r="X304" s="93"/>
      <c r="AA304" s="94"/>
      <c r="AB304" s="36" t="s">
        <v>4062</v>
      </c>
      <c r="AD304" s="36" t="s">
        <v>4226</v>
      </c>
      <c r="AE304" s="36"/>
      <c r="AF304" s="36" t="s">
        <v>5270</v>
      </c>
      <c r="AP304" s="86"/>
      <c r="AQ304" s="88"/>
      <c r="AR304" s="89"/>
      <c r="AS304" s="90"/>
      <c r="AV304" s="88"/>
      <c r="AW304" s="96"/>
      <c r="AX304" s="97"/>
      <c r="AY304" s="93"/>
      <c r="BB304" s="94"/>
    </row>
    <row r="305" spans="1:59" ht="15" customHeight="1">
      <c r="A305" s="36" t="s">
        <v>5157</v>
      </c>
      <c r="B305" s="36" t="s">
        <v>5271</v>
      </c>
      <c r="C305" s="36" t="s">
        <v>5161</v>
      </c>
      <c r="D305" s="36">
        <v>27</v>
      </c>
      <c r="E305" s="36">
        <v>2</v>
      </c>
      <c r="G305" s="36" t="s">
        <v>5272</v>
      </c>
      <c r="J305" s="36" t="s">
        <v>4111</v>
      </c>
      <c r="K305" s="36" t="s">
        <v>4055</v>
      </c>
      <c r="L305" s="36">
        <v>1</v>
      </c>
      <c r="N305" s="86">
        <v>1</v>
      </c>
      <c r="O305" s="88"/>
      <c r="P305" s="89"/>
      <c r="Q305" s="90">
        <v>1</v>
      </c>
      <c r="T305" s="81">
        <v>3</v>
      </c>
      <c r="U305" s="88">
        <v>1</v>
      </c>
      <c r="V305" s="91"/>
      <c r="W305" s="92"/>
      <c r="X305" s="93"/>
      <c r="AA305" s="94"/>
      <c r="AB305" s="36" t="s">
        <v>4060</v>
      </c>
      <c r="AD305" s="36" t="s">
        <v>4216</v>
      </c>
      <c r="AE305" s="36"/>
      <c r="AF305" s="36" t="s">
        <v>5273</v>
      </c>
      <c r="AP305" s="86"/>
      <c r="AQ305" s="88"/>
      <c r="AR305" s="89"/>
      <c r="AS305" s="90"/>
      <c r="AV305" s="88"/>
      <c r="AW305" s="96"/>
      <c r="AX305" s="97"/>
      <c r="AY305" s="93"/>
      <c r="BB305" s="94"/>
    </row>
    <row r="306" spans="1:59" ht="15" customHeight="1">
      <c r="A306" s="36" t="s">
        <v>5157</v>
      </c>
      <c r="B306" s="36" t="s">
        <v>5274</v>
      </c>
      <c r="C306" s="36" t="s">
        <v>5161</v>
      </c>
      <c r="D306" s="36">
        <v>28</v>
      </c>
      <c r="E306" s="36">
        <v>2</v>
      </c>
      <c r="G306" s="36" t="s">
        <v>5275</v>
      </c>
      <c r="J306" s="36" t="s">
        <v>4111</v>
      </c>
      <c r="K306" s="36" t="s">
        <v>4054</v>
      </c>
      <c r="L306" s="36">
        <v>0</v>
      </c>
      <c r="N306" s="86">
        <v>4</v>
      </c>
      <c r="O306" s="88"/>
      <c r="P306" s="89">
        <v>1</v>
      </c>
      <c r="Q306" s="90"/>
      <c r="U306" s="88"/>
      <c r="V306" s="91"/>
      <c r="W306" s="92"/>
      <c r="X306" s="93"/>
      <c r="AA306" s="94"/>
      <c r="AB306" s="36" t="s">
        <v>4059</v>
      </c>
      <c r="AC306" s="36" t="s">
        <v>4232</v>
      </c>
      <c r="AD306" s="36" t="s">
        <v>4133</v>
      </c>
      <c r="AE306" s="36"/>
      <c r="AF306" s="36" t="s">
        <v>5276</v>
      </c>
      <c r="AP306" s="86"/>
      <c r="AQ306" s="88"/>
      <c r="AR306" s="89"/>
      <c r="AS306" s="90"/>
      <c r="AV306" s="88"/>
      <c r="AW306" s="96"/>
      <c r="AX306" s="97"/>
      <c r="AY306" s="93"/>
      <c r="BB306" s="94"/>
    </row>
    <row r="307" spans="1:59" ht="15" customHeight="1">
      <c r="A307" s="36" t="s">
        <v>5157</v>
      </c>
      <c r="B307" s="36" t="s">
        <v>5277</v>
      </c>
      <c r="C307" s="36" t="s">
        <v>5161</v>
      </c>
      <c r="D307" s="36">
        <v>29</v>
      </c>
      <c r="E307" s="36">
        <v>2</v>
      </c>
      <c r="G307" s="36" t="s">
        <v>5278</v>
      </c>
      <c r="J307" s="36" t="s">
        <v>4111</v>
      </c>
      <c r="K307" s="36" t="s">
        <v>4054</v>
      </c>
      <c r="L307" s="36">
        <v>0</v>
      </c>
      <c r="N307" s="86">
        <v>1</v>
      </c>
      <c r="O307" s="88">
        <v>1</v>
      </c>
      <c r="P307" s="89"/>
      <c r="Q307" s="90"/>
      <c r="U307" s="88"/>
      <c r="V307" s="91"/>
      <c r="W307" s="92"/>
      <c r="X307" s="93"/>
      <c r="AA307" s="94"/>
      <c r="AB307" s="36" t="s">
        <v>4058</v>
      </c>
      <c r="AC307" s="36" t="s">
        <v>4112</v>
      </c>
      <c r="AD307" s="36" t="s">
        <v>4119</v>
      </c>
      <c r="AE307" s="36"/>
      <c r="AF307" s="36" t="s">
        <v>5279</v>
      </c>
      <c r="AP307" s="86"/>
      <c r="AQ307" s="88"/>
      <c r="AR307" s="89"/>
      <c r="AS307" s="90"/>
      <c r="AV307" s="88"/>
      <c r="AW307" s="96"/>
      <c r="AX307" s="97"/>
      <c r="AY307" s="93"/>
      <c r="BB307" s="94"/>
    </row>
    <row r="308" spans="1:59" ht="15" customHeight="1">
      <c r="A308" s="36" t="s">
        <v>5157</v>
      </c>
      <c r="B308" s="36" t="s">
        <v>5280</v>
      </c>
      <c r="C308" s="36" t="s">
        <v>5161</v>
      </c>
      <c r="D308" s="36">
        <v>30</v>
      </c>
      <c r="E308" s="36">
        <v>2</v>
      </c>
      <c r="G308" s="36" t="s">
        <v>5281</v>
      </c>
      <c r="J308" s="36" t="s">
        <v>4111</v>
      </c>
      <c r="K308" s="36" t="s">
        <v>4054</v>
      </c>
      <c r="L308" s="36">
        <v>0</v>
      </c>
      <c r="N308" s="86">
        <v>2</v>
      </c>
      <c r="O308" s="88">
        <v>1</v>
      </c>
      <c r="P308" s="89"/>
      <c r="Q308" s="90"/>
      <c r="U308" s="88"/>
      <c r="V308" s="91"/>
      <c r="W308" s="92"/>
      <c r="X308" s="93"/>
      <c r="AA308" s="94"/>
      <c r="AB308" s="36" t="s">
        <v>4058</v>
      </c>
      <c r="AC308" s="36" t="s">
        <v>4232</v>
      </c>
      <c r="AD308" s="36" t="s">
        <v>4133</v>
      </c>
      <c r="AE308" s="36"/>
      <c r="AF308" s="36" t="s">
        <v>5282</v>
      </c>
      <c r="AP308" s="86"/>
      <c r="AQ308" s="88"/>
      <c r="AR308" s="89"/>
      <c r="AS308" s="90"/>
      <c r="AV308" s="88"/>
      <c r="AW308" s="96"/>
      <c r="AX308" s="97"/>
      <c r="AY308" s="93"/>
      <c r="BB308" s="94"/>
    </row>
    <row r="309" spans="1:59" ht="15" customHeight="1">
      <c r="A309" s="36" t="s">
        <v>5157</v>
      </c>
      <c r="B309" s="36" t="s">
        <v>5283</v>
      </c>
      <c r="C309" s="36" t="s">
        <v>5161</v>
      </c>
      <c r="D309" s="36">
        <v>31</v>
      </c>
      <c r="E309" s="36">
        <v>2</v>
      </c>
      <c r="G309" s="36" t="s">
        <v>5284</v>
      </c>
      <c r="J309" s="36" t="s">
        <v>27</v>
      </c>
      <c r="K309" s="36" t="s">
        <v>4054</v>
      </c>
      <c r="L309" s="36">
        <v>2</v>
      </c>
      <c r="N309" s="86">
        <v>3</v>
      </c>
      <c r="O309" s="88">
        <v>1</v>
      </c>
      <c r="P309" s="89">
        <v>1</v>
      </c>
      <c r="Q309" s="90"/>
      <c r="U309" s="88"/>
      <c r="V309" s="91"/>
      <c r="W309" s="92"/>
      <c r="X309" s="93"/>
      <c r="AA309" s="94"/>
      <c r="AB309" s="36" t="s">
        <v>4946</v>
      </c>
      <c r="AD309" s="36" t="s">
        <v>4133</v>
      </c>
      <c r="AE309" s="36"/>
      <c r="AF309" s="36" t="s">
        <v>5285</v>
      </c>
      <c r="AP309" s="86"/>
      <c r="AQ309" s="88"/>
      <c r="AR309" s="89"/>
      <c r="AS309" s="90"/>
      <c r="AV309" s="88"/>
      <c r="AW309" s="96"/>
      <c r="AX309" s="97"/>
      <c r="AY309" s="93"/>
      <c r="BB309" s="94"/>
    </row>
    <row r="310" spans="1:59" ht="15" customHeight="1">
      <c r="A310" s="36" t="s">
        <v>5157</v>
      </c>
      <c r="B310" s="36" t="s">
        <v>5286</v>
      </c>
      <c r="C310" s="36" t="s">
        <v>5161</v>
      </c>
      <c r="D310" s="36">
        <v>32</v>
      </c>
      <c r="E310" s="36">
        <v>2</v>
      </c>
      <c r="G310" s="36" t="s">
        <v>5287</v>
      </c>
      <c r="J310" s="36" t="s">
        <v>4111</v>
      </c>
      <c r="K310" s="36" t="s">
        <v>4056</v>
      </c>
      <c r="L310" s="36">
        <v>0</v>
      </c>
      <c r="N310" s="86">
        <v>1</v>
      </c>
      <c r="O310" s="88"/>
      <c r="P310" s="89"/>
      <c r="Q310" s="90">
        <v>1</v>
      </c>
      <c r="U310" s="88"/>
      <c r="V310" s="91"/>
      <c r="W310" s="92"/>
      <c r="X310" s="93"/>
      <c r="AA310" s="94"/>
      <c r="AB310" s="36" t="s">
        <v>4060</v>
      </c>
      <c r="AC310" s="36" t="s">
        <v>4112</v>
      </c>
      <c r="AD310" s="36" t="s">
        <v>4152</v>
      </c>
      <c r="AE310" s="36"/>
      <c r="AF310" s="36" t="s">
        <v>5288</v>
      </c>
      <c r="AP310" s="86"/>
      <c r="AQ310" s="88"/>
      <c r="AR310" s="89"/>
      <c r="AS310" s="90"/>
      <c r="AV310" s="88"/>
      <c r="AW310" s="96"/>
      <c r="AX310" s="97"/>
      <c r="AY310" s="93"/>
      <c r="BB310" s="94"/>
    </row>
    <row r="311" spans="1:59" ht="15" customHeight="1">
      <c r="A311" s="36" t="s">
        <v>5157</v>
      </c>
      <c r="B311" s="36" t="s">
        <v>5289</v>
      </c>
      <c r="C311" s="36" t="s">
        <v>5161</v>
      </c>
      <c r="D311" s="36">
        <v>33</v>
      </c>
      <c r="E311" s="36">
        <v>2</v>
      </c>
      <c r="G311" s="36" t="s">
        <v>5290</v>
      </c>
      <c r="H311" s="36" t="s">
        <v>5291</v>
      </c>
      <c r="I311" s="36" t="s">
        <v>4077</v>
      </c>
      <c r="J311" s="36" t="s">
        <v>4111</v>
      </c>
      <c r="K311" s="36" t="s">
        <v>4056</v>
      </c>
      <c r="L311" s="36">
        <v>0</v>
      </c>
      <c r="N311" s="86">
        <v>3</v>
      </c>
      <c r="O311" s="88">
        <v>1</v>
      </c>
      <c r="P311" s="89"/>
      <c r="Q311" s="90"/>
      <c r="T311" s="81">
        <v>1</v>
      </c>
      <c r="U311" s="88">
        <v>2</v>
      </c>
      <c r="V311" s="91"/>
      <c r="W311" s="92"/>
      <c r="X311" s="93"/>
      <c r="AA311" s="94"/>
      <c r="AB311" s="36" t="s">
        <v>4058</v>
      </c>
      <c r="AC311" s="36" t="s">
        <v>25</v>
      </c>
      <c r="AD311" s="36" t="s">
        <v>4184</v>
      </c>
      <c r="AE311" s="36"/>
      <c r="AF311" s="36" t="s">
        <v>5292</v>
      </c>
      <c r="AP311" s="86"/>
      <c r="AQ311" s="88"/>
      <c r="AR311" s="89"/>
      <c r="AS311" s="90"/>
      <c r="AV311" s="88"/>
      <c r="AW311" s="96"/>
      <c r="AX311" s="97"/>
      <c r="AY311" s="93"/>
      <c r="BB311" s="94"/>
    </row>
    <row r="312" spans="1:59" ht="15" customHeight="1">
      <c r="A312" s="36" t="s">
        <v>5157</v>
      </c>
      <c r="B312" s="36" t="s">
        <v>5293</v>
      </c>
      <c r="C312" s="36" t="s">
        <v>5161</v>
      </c>
      <c r="D312" s="36">
        <v>34</v>
      </c>
      <c r="E312" s="36">
        <v>2</v>
      </c>
      <c r="G312" s="36" t="s">
        <v>5294</v>
      </c>
      <c r="J312" s="36" t="s">
        <v>27</v>
      </c>
      <c r="K312" s="36" t="s">
        <v>4056</v>
      </c>
      <c r="L312" s="36">
        <v>0</v>
      </c>
      <c r="N312" s="86">
        <v>1</v>
      </c>
      <c r="O312" s="88"/>
      <c r="P312" s="89">
        <v>1</v>
      </c>
      <c r="Q312" s="90"/>
      <c r="R312" s="79">
        <v>1</v>
      </c>
      <c r="U312" s="88"/>
      <c r="V312" s="91"/>
      <c r="W312" s="92"/>
      <c r="X312" s="93"/>
      <c r="AA312" s="94"/>
      <c r="AB312" s="36" t="s">
        <v>4943</v>
      </c>
      <c r="AD312" s="36" t="s">
        <v>5266</v>
      </c>
      <c r="AE312" s="36"/>
      <c r="AF312" s="36" t="s">
        <v>5295</v>
      </c>
      <c r="AP312" s="86"/>
      <c r="AQ312" s="88"/>
      <c r="AR312" s="89"/>
      <c r="AS312" s="90"/>
      <c r="AV312" s="88"/>
      <c r="AW312" s="96"/>
      <c r="AX312" s="97"/>
      <c r="AY312" s="93"/>
      <c r="BB312" s="94"/>
    </row>
    <row r="313" spans="1:59" ht="15" customHeight="1">
      <c r="A313" s="36" t="s">
        <v>5157</v>
      </c>
      <c r="B313" s="36" t="s">
        <v>5296</v>
      </c>
      <c r="C313" s="36" t="s">
        <v>5161</v>
      </c>
      <c r="D313" s="36">
        <v>35</v>
      </c>
      <c r="E313" s="36">
        <v>2</v>
      </c>
      <c r="G313" s="36" t="s">
        <v>5290</v>
      </c>
      <c r="H313" s="36" t="s">
        <v>5291</v>
      </c>
      <c r="I313" s="36" t="s">
        <v>4077</v>
      </c>
      <c r="J313" s="36" t="s">
        <v>4111</v>
      </c>
      <c r="K313" s="36" t="s">
        <v>4056</v>
      </c>
      <c r="L313" s="36">
        <v>2</v>
      </c>
      <c r="N313" s="86">
        <v>3</v>
      </c>
      <c r="O313" s="88">
        <v>1</v>
      </c>
      <c r="P313" s="89"/>
      <c r="Q313" s="90"/>
      <c r="T313" s="81">
        <v>1</v>
      </c>
      <c r="U313" s="88">
        <v>3</v>
      </c>
      <c r="V313" s="91"/>
      <c r="W313" s="92"/>
      <c r="X313" s="93"/>
      <c r="AA313" s="94"/>
      <c r="AB313" s="36" t="s">
        <v>4058</v>
      </c>
      <c r="AC313" s="36" t="s">
        <v>25</v>
      </c>
      <c r="AD313" s="36" t="s">
        <v>4184</v>
      </c>
      <c r="AE313" s="36"/>
      <c r="AF313" s="36" t="s">
        <v>5297</v>
      </c>
      <c r="AP313" s="86"/>
      <c r="AQ313" s="88"/>
      <c r="AR313" s="89"/>
      <c r="AS313" s="90"/>
      <c r="AV313" s="88"/>
      <c r="AW313" s="96"/>
      <c r="AX313" s="97"/>
      <c r="AY313" s="93"/>
      <c r="BB313" s="94"/>
    </row>
    <row r="314" spans="1:59" ht="15" customHeight="1">
      <c r="A314" s="36" t="s">
        <v>5157</v>
      </c>
      <c r="B314" s="36" t="s">
        <v>5298</v>
      </c>
      <c r="C314" s="36" t="s">
        <v>5161</v>
      </c>
      <c r="D314" s="36">
        <v>36</v>
      </c>
      <c r="E314" s="36">
        <v>2</v>
      </c>
      <c r="G314" s="36" t="s">
        <v>5299</v>
      </c>
      <c r="J314" s="36" t="s">
        <v>4111</v>
      </c>
      <c r="K314" s="36" t="s">
        <v>26</v>
      </c>
      <c r="L314" s="36">
        <v>0</v>
      </c>
      <c r="N314" s="86">
        <v>2</v>
      </c>
      <c r="O314" s="88"/>
      <c r="P314" s="89"/>
      <c r="Q314" s="90">
        <v>1</v>
      </c>
      <c r="U314" s="88"/>
      <c r="V314" s="91"/>
      <c r="W314" s="92"/>
      <c r="X314" s="93"/>
      <c r="AA314" s="94"/>
      <c r="AB314" s="36" t="s">
        <v>4060</v>
      </c>
      <c r="AC314" s="36" t="s">
        <v>4112</v>
      </c>
      <c r="AD314" s="36" t="s">
        <v>4152</v>
      </c>
      <c r="AE314" s="36"/>
      <c r="AF314" s="36" t="s">
        <v>5300</v>
      </c>
      <c r="AP314" s="86"/>
      <c r="AQ314" s="88"/>
      <c r="AR314" s="89"/>
      <c r="AS314" s="90"/>
      <c r="AV314" s="88"/>
      <c r="AW314" s="96"/>
      <c r="AX314" s="97"/>
      <c r="AY314" s="93"/>
      <c r="BB314" s="94"/>
    </row>
    <row r="315" spans="1:59" ht="15" customHeight="1">
      <c r="A315" s="36" t="s">
        <v>5157</v>
      </c>
      <c r="B315" s="36" t="s">
        <v>5301</v>
      </c>
      <c r="C315" s="36" t="s">
        <v>5161</v>
      </c>
      <c r="D315" s="36">
        <v>37</v>
      </c>
      <c r="E315" s="36">
        <v>2</v>
      </c>
      <c r="G315" s="36" t="s">
        <v>5302</v>
      </c>
      <c r="J315" s="36" t="s">
        <v>28</v>
      </c>
      <c r="K315" s="36" t="s">
        <v>26</v>
      </c>
      <c r="M315" s="36" t="s">
        <v>4545</v>
      </c>
      <c r="N315" s="86"/>
      <c r="O315" s="88"/>
      <c r="P315" s="89"/>
      <c r="Q315" s="90"/>
      <c r="U315" s="88"/>
      <c r="V315" s="91"/>
      <c r="W315" s="92"/>
      <c r="X315" s="93"/>
      <c r="AA315" s="94"/>
      <c r="AD315" s="36" t="s">
        <v>5303</v>
      </c>
      <c r="AE315" s="37" t="s">
        <v>5832</v>
      </c>
      <c r="AF315" s="36" t="s">
        <v>5969</v>
      </c>
      <c r="AP315" s="86"/>
      <c r="AQ315" s="88"/>
      <c r="AR315" s="89"/>
      <c r="AS315" s="90"/>
      <c r="AV315" s="88"/>
      <c r="AW315" s="96"/>
      <c r="AX315" s="97"/>
      <c r="AY315" s="93"/>
      <c r="BB315" s="94"/>
    </row>
    <row r="316" spans="1:59" ht="15" customHeight="1">
      <c r="A316" s="36" t="s">
        <v>5157</v>
      </c>
      <c r="B316" s="36" t="s">
        <v>5304</v>
      </c>
      <c r="C316" s="36" t="s">
        <v>5161</v>
      </c>
      <c r="D316" s="36">
        <v>38</v>
      </c>
      <c r="E316" s="36">
        <v>2</v>
      </c>
      <c r="G316" s="36" t="s">
        <v>5305</v>
      </c>
      <c r="J316" s="36" t="s">
        <v>28</v>
      </c>
      <c r="K316" s="36" t="s">
        <v>26</v>
      </c>
      <c r="M316" s="36" t="s">
        <v>4545</v>
      </c>
      <c r="N316" s="86"/>
      <c r="O316" s="88"/>
      <c r="P316" s="89"/>
      <c r="Q316" s="90"/>
      <c r="U316" s="88"/>
      <c r="V316" s="91"/>
      <c r="W316" s="92"/>
      <c r="X316" s="93"/>
      <c r="AA316" s="94"/>
      <c r="AD316" s="36" t="s">
        <v>5306</v>
      </c>
      <c r="AE316" s="36"/>
      <c r="AF316" s="36" t="s">
        <v>5307</v>
      </c>
      <c r="AP316" s="86"/>
      <c r="AQ316" s="88"/>
      <c r="AR316" s="89"/>
      <c r="AS316" s="90"/>
      <c r="AV316" s="88"/>
      <c r="AW316" s="96"/>
      <c r="AX316" s="97"/>
      <c r="AY316" s="93"/>
      <c r="BB316" s="94"/>
    </row>
    <row r="317" spans="1:59" ht="15" customHeight="1">
      <c r="A317" s="36" t="s">
        <v>5157</v>
      </c>
      <c r="B317" s="36" t="s">
        <v>5308</v>
      </c>
      <c r="C317" s="36" t="s">
        <v>5161</v>
      </c>
      <c r="D317" s="36">
        <v>39</v>
      </c>
      <c r="E317" s="36">
        <v>2</v>
      </c>
      <c r="G317" s="36" t="s">
        <v>5309</v>
      </c>
      <c r="J317" s="36" t="s">
        <v>28</v>
      </c>
      <c r="K317" s="36" t="s">
        <v>26</v>
      </c>
      <c r="M317" s="36" t="s">
        <v>4545</v>
      </c>
      <c r="N317" s="86"/>
      <c r="O317" s="88"/>
      <c r="P317" s="89"/>
      <c r="Q317" s="90"/>
      <c r="U317" s="88"/>
      <c r="V317" s="91"/>
      <c r="W317" s="92"/>
      <c r="X317" s="93"/>
      <c r="AA317" s="94"/>
      <c r="AD317" s="36" t="s">
        <v>4138</v>
      </c>
      <c r="AE317" s="36"/>
      <c r="AF317" s="36" t="s">
        <v>5310</v>
      </c>
      <c r="AP317" s="86"/>
      <c r="AQ317" s="88"/>
      <c r="AR317" s="89"/>
      <c r="AS317" s="90"/>
      <c r="AV317" s="88"/>
      <c r="AW317" s="96"/>
      <c r="AX317" s="97"/>
      <c r="AY317" s="93"/>
      <c r="BB317" s="94"/>
    </row>
    <row r="318" spans="1:59" ht="15" customHeight="1">
      <c r="A318" s="36" t="s">
        <v>5157</v>
      </c>
      <c r="B318" s="36" t="s">
        <v>5311</v>
      </c>
      <c r="C318" s="36" t="s">
        <v>5161</v>
      </c>
      <c r="D318" s="36">
        <v>40</v>
      </c>
      <c r="E318" s="36">
        <v>1</v>
      </c>
      <c r="F318" s="36" t="s">
        <v>5312</v>
      </c>
      <c r="G318" s="36" t="s">
        <v>5313</v>
      </c>
      <c r="H318" s="36" t="s">
        <v>5314</v>
      </c>
      <c r="I318" s="36" t="s">
        <v>4077</v>
      </c>
      <c r="J318" s="36" t="s">
        <v>4111</v>
      </c>
      <c r="K318" s="36" t="s">
        <v>26</v>
      </c>
      <c r="N318" s="86">
        <v>2</v>
      </c>
      <c r="O318" s="88"/>
      <c r="P318" s="89"/>
      <c r="Q318" s="90"/>
      <c r="S318" s="126">
        <v>2</v>
      </c>
      <c r="T318" s="81">
        <v>2</v>
      </c>
      <c r="U318" s="88">
        <v>2</v>
      </c>
      <c r="V318" s="91"/>
      <c r="W318" s="92"/>
      <c r="X318" s="93"/>
      <c r="AA318" s="94"/>
      <c r="AB318" s="36" t="s">
        <v>4936</v>
      </c>
      <c r="AC318" s="36" t="s">
        <v>25</v>
      </c>
      <c r="AD318" s="36" t="s">
        <v>4184</v>
      </c>
      <c r="AE318" s="36"/>
      <c r="AF318" s="36" t="s">
        <v>5315</v>
      </c>
      <c r="AP318" s="86"/>
      <c r="AQ318" s="88"/>
      <c r="AR318" s="89"/>
      <c r="AS318" s="90"/>
      <c r="AV318" s="88"/>
      <c r="AW318" s="96"/>
      <c r="AX318" s="97"/>
      <c r="AY318" s="93"/>
      <c r="BB318" s="94"/>
    </row>
    <row r="319" spans="1:59" ht="15" customHeight="1">
      <c r="A319" s="36" t="s">
        <v>5157</v>
      </c>
      <c r="B319" s="36" t="s">
        <v>5316</v>
      </c>
      <c r="C319" s="36" t="s">
        <v>5161</v>
      </c>
      <c r="D319" s="36">
        <v>41</v>
      </c>
      <c r="E319" s="36">
        <v>1</v>
      </c>
      <c r="F319" s="36" t="s">
        <v>5317</v>
      </c>
      <c r="G319" s="36" t="s">
        <v>5317</v>
      </c>
      <c r="J319" s="36" t="s">
        <v>4472</v>
      </c>
      <c r="N319" s="86"/>
      <c r="O319" s="88"/>
      <c r="P319" s="89"/>
      <c r="Q319" s="90"/>
      <c r="U319" s="88"/>
      <c r="V319" s="91"/>
      <c r="W319" s="92"/>
      <c r="X319" s="93"/>
      <c r="AA319" s="94"/>
      <c r="AE319" s="36"/>
      <c r="AF319" s="36" t="s">
        <v>5318</v>
      </c>
      <c r="AI319" s="36" t="s">
        <v>5317</v>
      </c>
      <c r="AL319" s="36" t="s">
        <v>4472</v>
      </c>
      <c r="AP319" s="86"/>
      <c r="AQ319" s="88"/>
      <c r="AR319" s="89"/>
      <c r="AS319" s="90"/>
      <c r="AV319" s="88"/>
      <c r="AW319" s="96"/>
      <c r="AX319" s="97"/>
      <c r="AY319" s="93"/>
      <c r="BB319" s="94"/>
      <c r="BG319" s="36" t="s">
        <v>5319</v>
      </c>
    </row>
    <row r="320" spans="1:59" ht="15" customHeight="1">
      <c r="A320" s="36" t="s">
        <v>5157</v>
      </c>
      <c r="B320" s="36" t="s">
        <v>5320</v>
      </c>
      <c r="C320" s="36" t="s">
        <v>5161</v>
      </c>
      <c r="D320" s="36">
        <v>42</v>
      </c>
      <c r="E320" s="36">
        <v>1</v>
      </c>
      <c r="F320" s="36" t="s">
        <v>5317</v>
      </c>
      <c r="G320" s="36" t="s">
        <v>5321</v>
      </c>
      <c r="J320" s="36" t="s">
        <v>4473</v>
      </c>
      <c r="L320" s="36">
        <v>1</v>
      </c>
      <c r="N320" s="86"/>
      <c r="O320" s="88"/>
      <c r="P320" s="89"/>
      <c r="Q320" s="90"/>
      <c r="U320" s="88"/>
      <c r="V320" s="91"/>
      <c r="W320" s="92"/>
      <c r="X320" s="93"/>
      <c r="Z320" s="81">
        <v>7</v>
      </c>
      <c r="AA320" s="94"/>
      <c r="AE320" s="36"/>
      <c r="AI320" s="36" t="s">
        <v>5321</v>
      </c>
      <c r="AL320" s="36" t="s">
        <v>4473</v>
      </c>
      <c r="AN320" s="36">
        <v>1</v>
      </c>
      <c r="AP320" s="86"/>
      <c r="AQ320" s="88"/>
      <c r="AR320" s="89"/>
      <c r="AS320" s="90"/>
      <c r="AV320" s="88"/>
      <c r="AW320" s="96"/>
      <c r="AX320" s="97"/>
      <c r="AY320" s="93"/>
      <c r="BB320" s="94"/>
      <c r="BG320" s="36" t="s">
        <v>5322</v>
      </c>
    </row>
    <row r="321" spans="1:59" ht="15" customHeight="1">
      <c r="A321" s="36" t="s">
        <v>5157</v>
      </c>
      <c r="B321" s="36" t="s">
        <v>5323</v>
      </c>
      <c r="C321" s="36" t="s">
        <v>5161</v>
      </c>
      <c r="D321" s="36">
        <v>43</v>
      </c>
      <c r="E321" s="36">
        <v>1</v>
      </c>
      <c r="F321" s="36" t="s">
        <v>5317</v>
      </c>
      <c r="G321" s="36" t="s">
        <v>5324</v>
      </c>
      <c r="J321" s="36" t="s">
        <v>4473</v>
      </c>
      <c r="L321" s="36">
        <v>2</v>
      </c>
      <c r="N321" s="86"/>
      <c r="O321" s="88"/>
      <c r="P321" s="89"/>
      <c r="Q321" s="90"/>
      <c r="U321" s="88"/>
      <c r="V321" s="91"/>
      <c r="W321" s="92"/>
      <c r="X321" s="93"/>
      <c r="Z321" s="81">
        <v>3</v>
      </c>
      <c r="AA321" s="94"/>
      <c r="AE321" s="36"/>
      <c r="AF321" s="36" t="s">
        <v>5325</v>
      </c>
      <c r="AI321" s="36" t="s">
        <v>5324</v>
      </c>
      <c r="AL321" s="36" t="s">
        <v>4473</v>
      </c>
      <c r="AN321" s="36">
        <v>2</v>
      </c>
      <c r="AP321" s="86"/>
      <c r="AQ321" s="88"/>
      <c r="AR321" s="89"/>
      <c r="AS321" s="90"/>
      <c r="AV321" s="88"/>
      <c r="AW321" s="96"/>
      <c r="AX321" s="97"/>
      <c r="AY321" s="93"/>
      <c r="BB321" s="94"/>
      <c r="BG321" s="36" t="s">
        <v>5326</v>
      </c>
    </row>
    <row r="322" spans="1:59" ht="15" customHeight="1">
      <c r="A322" s="36" t="s">
        <v>5157</v>
      </c>
      <c r="B322" s="36" t="s">
        <v>5327</v>
      </c>
      <c r="C322" s="36" t="s">
        <v>5161</v>
      </c>
      <c r="D322" s="36">
        <v>44</v>
      </c>
      <c r="E322" s="36">
        <v>1</v>
      </c>
      <c r="F322" s="36" t="s">
        <v>5317</v>
      </c>
      <c r="G322" s="36" t="s">
        <v>5328</v>
      </c>
      <c r="J322" s="36" t="s">
        <v>4473</v>
      </c>
      <c r="L322" s="36">
        <v>3</v>
      </c>
      <c r="N322" s="86"/>
      <c r="O322" s="88"/>
      <c r="P322" s="89"/>
      <c r="Q322" s="90"/>
      <c r="U322" s="88"/>
      <c r="V322" s="91"/>
      <c r="W322" s="92"/>
      <c r="X322" s="93"/>
      <c r="Z322" s="81">
        <v>2</v>
      </c>
      <c r="AA322" s="94"/>
      <c r="AE322" s="36"/>
      <c r="AF322" s="36" t="s">
        <v>5329</v>
      </c>
      <c r="AI322" s="36" t="s">
        <v>5328</v>
      </c>
      <c r="AL322" s="36" t="s">
        <v>4473</v>
      </c>
      <c r="AN322" s="36">
        <v>3</v>
      </c>
      <c r="AP322" s="86"/>
      <c r="AQ322" s="88"/>
      <c r="AR322" s="89"/>
      <c r="AS322" s="90"/>
      <c r="AV322" s="88"/>
      <c r="AW322" s="96"/>
      <c r="AX322" s="97"/>
      <c r="AY322" s="93"/>
      <c r="BB322" s="94"/>
      <c r="BG322" s="36" t="s">
        <v>5330</v>
      </c>
    </row>
    <row r="323" spans="1:59" ht="15" customHeight="1">
      <c r="A323" s="36" t="s">
        <v>5157</v>
      </c>
      <c r="B323" s="36" t="s">
        <v>5331</v>
      </c>
      <c r="C323" s="36" t="s">
        <v>5161</v>
      </c>
      <c r="D323" s="36">
        <v>45</v>
      </c>
      <c r="E323" s="36">
        <v>1</v>
      </c>
      <c r="F323" s="36" t="s">
        <v>5317</v>
      </c>
      <c r="G323" s="36" t="s">
        <v>5332</v>
      </c>
      <c r="J323" s="36" t="s">
        <v>4475</v>
      </c>
      <c r="L323" s="36">
        <v>1</v>
      </c>
      <c r="N323" s="86"/>
      <c r="O323" s="88"/>
      <c r="P323" s="89"/>
      <c r="Q323" s="90"/>
      <c r="U323" s="88"/>
      <c r="V323" s="91"/>
      <c r="W323" s="92"/>
      <c r="X323" s="93"/>
      <c r="Y323" s="79" t="s">
        <v>5550</v>
      </c>
      <c r="AA323" s="94"/>
      <c r="AE323" s="36"/>
      <c r="AI323" s="36" t="s">
        <v>5332</v>
      </c>
      <c r="AL323" s="36" t="s">
        <v>4475</v>
      </c>
      <c r="AN323" s="36">
        <v>1</v>
      </c>
      <c r="AP323" s="86"/>
      <c r="AQ323" s="88"/>
      <c r="AR323" s="89"/>
      <c r="AS323" s="90"/>
      <c r="AV323" s="88"/>
      <c r="AW323" s="96"/>
      <c r="AX323" s="97"/>
      <c r="AY323" s="93"/>
      <c r="BB323" s="94"/>
      <c r="BG323" s="36" t="s">
        <v>5333</v>
      </c>
    </row>
    <row r="324" spans="1:59" ht="15" customHeight="1">
      <c r="A324" s="36" t="s">
        <v>5157</v>
      </c>
      <c r="B324" s="36" t="s">
        <v>5334</v>
      </c>
      <c r="C324" s="36" t="s">
        <v>5161</v>
      </c>
      <c r="D324" s="36">
        <v>46</v>
      </c>
      <c r="E324" s="36">
        <v>1</v>
      </c>
      <c r="F324" s="36" t="s">
        <v>5317</v>
      </c>
      <c r="G324" s="36" t="s">
        <v>5335</v>
      </c>
      <c r="J324" s="36" t="s">
        <v>4475</v>
      </c>
      <c r="L324" s="36">
        <v>2</v>
      </c>
      <c r="N324" s="86"/>
      <c r="O324" s="88"/>
      <c r="P324" s="89"/>
      <c r="Q324" s="90"/>
      <c r="U324" s="88"/>
      <c r="V324" s="91"/>
      <c r="W324" s="92"/>
      <c r="X324" s="93"/>
      <c r="Y324" s="79">
        <v>0</v>
      </c>
      <c r="AA324" s="94"/>
      <c r="AE324" s="36"/>
      <c r="AF324" s="36" t="s">
        <v>5336</v>
      </c>
      <c r="AI324" s="36" t="s">
        <v>5335</v>
      </c>
      <c r="AL324" s="36" t="s">
        <v>4475</v>
      </c>
      <c r="AN324" s="36">
        <v>2</v>
      </c>
      <c r="AP324" s="86"/>
      <c r="AQ324" s="88"/>
      <c r="AR324" s="89"/>
      <c r="AS324" s="90"/>
      <c r="AV324" s="88"/>
      <c r="AW324" s="96"/>
      <c r="AX324" s="97"/>
      <c r="AY324" s="93"/>
      <c r="BB324" s="94"/>
      <c r="BG324" s="36" t="s">
        <v>5337</v>
      </c>
    </row>
    <row r="325" spans="1:59" ht="15" customHeight="1">
      <c r="A325" s="36" t="s">
        <v>5157</v>
      </c>
      <c r="B325" s="36" t="s">
        <v>5338</v>
      </c>
      <c r="C325" s="36" t="s">
        <v>5161</v>
      </c>
      <c r="D325" s="36">
        <v>47</v>
      </c>
      <c r="E325" s="36">
        <v>1</v>
      </c>
      <c r="F325" s="36" t="s">
        <v>5317</v>
      </c>
      <c r="G325" s="36" t="s">
        <v>5339</v>
      </c>
      <c r="J325" s="36" t="s">
        <v>4475</v>
      </c>
      <c r="L325" s="36">
        <v>3</v>
      </c>
      <c r="N325" s="86"/>
      <c r="O325" s="88"/>
      <c r="P325" s="89"/>
      <c r="Q325" s="90"/>
      <c r="U325" s="88"/>
      <c r="V325" s="91"/>
      <c r="W325" s="92"/>
      <c r="X325" s="93"/>
      <c r="Y325" s="79">
        <v>0</v>
      </c>
      <c r="AA325" s="94"/>
      <c r="AE325" s="36"/>
      <c r="AF325" s="36" t="s">
        <v>5340</v>
      </c>
      <c r="AI325" s="36" t="s">
        <v>5339</v>
      </c>
      <c r="AL325" s="36" t="s">
        <v>4475</v>
      </c>
      <c r="AN325" s="36">
        <v>3</v>
      </c>
      <c r="AP325" s="86"/>
      <c r="AQ325" s="88"/>
      <c r="AR325" s="89"/>
      <c r="AS325" s="90"/>
      <c r="AV325" s="88"/>
      <c r="AW325" s="96"/>
      <c r="AX325" s="97"/>
      <c r="AY325" s="93"/>
      <c r="BB325" s="94"/>
      <c r="BG325" s="36" t="s">
        <v>5341</v>
      </c>
    </row>
    <row r="326" spans="1:59" ht="15" customHeight="1">
      <c r="A326" s="36" t="s">
        <v>5157</v>
      </c>
      <c r="B326" s="36" t="s">
        <v>5342</v>
      </c>
      <c r="C326" s="36" t="s">
        <v>5161</v>
      </c>
      <c r="D326" s="36">
        <v>48</v>
      </c>
      <c r="E326" s="36">
        <v>1</v>
      </c>
      <c r="F326" s="36" t="s">
        <v>5317</v>
      </c>
      <c r="G326" s="36" t="s">
        <v>5343</v>
      </c>
      <c r="J326" s="36" t="s">
        <v>31</v>
      </c>
      <c r="N326" s="86"/>
      <c r="O326" s="88"/>
      <c r="P326" s="89"/>
      <c r="Q326" s="90"/>
      <c r="U326" s="88"/>
      <c r="V326" s="91"/>
      <c r="W326" s="92"/>
      <c r="X326" s="93"/>
      <c r="AA326" s="94"/>
      <c r="AD326" s="36" t="s">
        <v>4096</v>
      </c>
      <c r="AE326" s="36"/>
      <c r="AI326" s="36" t="s">
        <v>5343</v>
      </c>
      <c r="AL326" s="36" t="s">
        <v>31</v>
      </c>
      <c r="AP326" s="86"/>
      <c r="AQ326" s="88"/>
      <c r="AR326" s="89"/>
      <c r="AS326" s="90"/>
      <c r="AV326" s="88"/>
      <c r="AW326" s="96"/>
      <c r="AX326" s="97"/>
      <c r="AY326" s="93">
        <v>3</v>
      </c>
      <c r="AZ326" s="79">
        <v>0</v>
      </c>
      <c r="BB326" s="94"/>
      <c r="BE326" s="36" t="s">
        <v>4096</v>
      </c>
      <c r="BG326" s="36" t="s">
        <v>5344</v>
      </c>
    </row>
    <row r="327" spans="1:59" ht="15" customHeight="1">
      <c r="A327" s="36" t="s">
        <v>5157</v>
      </c>
      <c r="B327" s="36" t="s">
        <v>5345</v>
      </c>
      <c r="C327" s="36" t="s">
        <v>5161</v>
      </c>
      <c r="D327" s="36">
        <v>49</v>
      </c>
      <c r="E327" s="36">
        <v>1</v>
      </c>
      <c r="F327" s="36" t="s">
        <v>5317</v>
      </c>
      <c r="G327" s="36" t="s">
        <v>5346</v>
      </c>
      <c r="J327" s="36" t="s">
        <v>31</v>
      </c>
      <c r="N327" s="86"/>
      <c r="O327" s="88"/>
      <c r="P327" s="89"/>
      <c r="Q327" s="90"/>
      <c r="U327" s="88"/>
      <c r="V327" s="91"/>
      <c r="W327" s="92"/>
      <c r="X327" s="93"/>
      <c r="AA327" s="94"/>
      <c r="AD327" s="36" t="s">
        <v>4096</v>
      </c>
      <c r="AE327" s="36"/>
      <c r="AI327" s="36" t="s">
        <v>5346</v>
      </c>
      <c r="AL327" s="36" t="s">
        <v>31</v>
      </c>
      <c r="AP327" s="86"/>
      <c r="AQ327" s="88"/>
      <c r="AR327" s="89"/>
      <c r="AS327" s="90"/>
      <c r="AV327" s="88"/>
      <c r="AW327" s="96"/>
      <c r="AX327" s="97"/>
      <c r="AY327" s="93">
        <v>3</v>
      </c>
      <c r="AZ327" s="79" t="s">
        <v>5551</v>
      </c>
      <c r="BB327" s="94"/>
      <c r="BE327" s="36" t="s">
        <v>4096</v>
      </c>
      <c r="BG327" s="36" t="s">
        <v>5347</v>
      </c>
    </row>
    <row r="328" spans="1:59" ht="15" customHeight="1">
      <c r="A328" s="36" t="s">
        <v>5157</v>
      </c>
      <c r="B328" s="36" t="s">
        <v>5348</v>
      </c>
      <c r="C328" s="36" t="s">
        <v>5161</v>
      </c>
      <c r="D328" s="36">
        <v>50</v>
      </c>
      <c r="E328" s="36">
        <v>1</v>
      </c>
      <c r="F328" s="36" t="s">
        <v>5317</v>
      </c>
      <c r="G328" s="36" t="s">
        <v>5349</v>
      </c>
      <c r="J328" s="36" t="s">
        <v>31</v>
      </c>
      <c r="N328" s="86"/>
      <c r="O328" s="88"/>
      <c r="P328" s="89"/>
      <c r="Q328" s="90"/>
      <c r="U328" s="88"/>
      <c r="V328" s="91"/>
      <c r="W328" s="92"/>
      <c r="X328" s="93"/>
      <c r="AA328" s="94"/>
      <c r="AD328" s="36" t="s">
        <v>4096</v>
      </c>
      <c r="AE328" s="36"/>
      <c r="AI328" s="36" t="s">
        <v>5349</v>
      </c>
      <c r="AL328" s="36" t="s">
        <v>31</v>
      </c>
      <c r="AP328" s="86"/>
      <c r="AQ328" s="88"/>
      <c r="AR328" s="89"/>
      <c r="AS328" s="90"/>
      <c r="AV328" s="88"/>
      <c r="AW328" s="96"/>
      <c r="AX328" s="97"/>
      <c r="AY328" s="93">
        <v>3</v>
      </c>
      <c r="AZ328" s="79" t="s">
        <v>4925</v>
      </c>
      <c r="BB328" s="94">
        <v>1</v>
      </c>
      <c r="BE328" s="36" t="s">
        <v>4096</v>
      </c>
      <c r="BG328" s="36" t="s">
        <v>5350</v>
      </c>
    </row>
    <row r="329" spans="1:59" ht="15" customHeight="1">
      <c r="A329" s="36" t="s">
        <v>5157</v>
      </c>
      <c r="B329" s="36" t="s">
        <v>5351</v>
      </c>
      <c r="C329" s="36" t="s">
        <v>5161</v>
      </c>
      <c r="D329" s="36">
        <v>51</v>
      </c>
      <c r="E329" s="36">
        <v>1</v>
      </c>
      <c r="F329" s="36" t="s">
        <v>5317</v>
      </c>
      <c r="G329" s="36" t="s">
        <v>5352</v>
      </c>
      <c r="J329" s="36" t="s">
        <v>31</v>
      </c>
      <c r="N329" s="86"/>
      <c r="O329" s="88"/>
      <c r="P329" s="89"/>
      <c r="Q329" s="90"/>
      <c r="U329" s="88"/>
      <c r="V329" s="91"/>
      <c r="W329" s="92"/>
      <c r="X329" s="93"/>
      <c r="AA329" s="94"/>
      <c r="AD329" s="36" t="s">
        <v>4096</v>
      </c>
      <c r="AE329" s="36"/>
      <c r="AI329" s="36" t="s">
        <v>5352</v>
      </c>
      <c r="AL329" s="36" t="s">
        <v>31</v>
      </c>
      <c r="AP329" s="86"/>
      <c r="AQ329" s="88"/>
      <c r="AR329" s="89"/>
      <c r="AS329" s="90"/>
      <c r="AV329" s="88"/>
      <c r="AW329" s="96"/>
      <c r="AX329" s="97"/>
      <c r="AY329" s="93">
        <v>1</v>
      </c>
      <c r="AZ329" s="79">
        <v>2</v>
      </c>
      <c r="BB329" s="94"/>
      <c r="BE329" s="36" t="s">
        <v>4096</v>
      </c>
      <c r="BG329" s="36" t="s">
        <v>5353</v>
      </c>
    </row>
    <row r="330" spans="1:59" ht="15" customHeight="1">
      <c r="A330" s="36" t="s">
        <v>5157</v>
      </c>
      <c r="B330" s="36" t="s">
        <v>5354</v>
      </c>
      <c r="C330" s="36" t="s">
        <v>5161</v>
      </c>
      <c r="D330" s="36">
        <v>52</v>
      </c>
      <c r="E330" s="36">
        <v>1</v>
      </c>
      <c r="F330" s="36" t="s">
        <v>5317</v>
      </c>
      <c r="G330" s="36" t="s">
        <v>5355</v>
      </c>
      <c r="J330" s="36" t="s">
        <v>31</v>
      </c>
      <c r="N330" s="86"/>
      <c r="O330" s="88"/>
      <c r="P330" s="89"/>
      <c r="Q330" s="90"/>
      <c r="U330" s="88"/>
      <c r="V330" s="91"/>
      <c r="W330" s="92"/>
      <c r="X330" s="93"/>
      <c r="AA330" s="94"/>
      <c r="AD330" s="36" t="s">
        <v>4096</v>
      </c>
      <c r="AE330" s="36"/>
      <c r="AF330" s="36" t="s">
        <v>5356</v>
      </c>
      <c r="AI330" s="36" t="s">
        <v>5355</v>
      </c>
      <c r="AL330" s="36" t="s">
        <v>31</v>
      </c>
      <c r="AP330" s="86"/>
      <c r="AQ330" s="88"/>
      <c r="AR330" s="89"/>
      <c r="AS330" s="90"/>
      <c r="AV330" s="88"/>
      <c r="AW330" s="96"/>
      <c r="AX330" s="97"/>
      <c r="AY330" s="93">
        <v>1</v>
      </c>
      <c r="AZ330" s="79" t="s">
        <v>5550</v>
      </c>
      <c r="BB330" s="94">
        <v>1</v>
      </c>
      <c r="BE330" s="36" t="s">
        <v>4096</v>
      </c>
      <c r="BG330" s="36" t="s">
        <v>5357</v>
      </c>
    </row>
    <row r="331" spans="1:59" ht="15" customHeight="1">
      <c r="A331" s="36" t="s">
        <v>5157</v>
      </c>
      <c r="B331" s="36" t="s">
        <v>5358</v>
      </c>
      <c r="C331" s="36" t="s">
        <v>5161</v>
      </c>
      <c r="D331" s="36">
        <v>53</v>
      </c>
      <c r="E331" s="36">
        <v>1</v>
      </c>
      <c r="F331" s="36" t="s">
        <v>5317</v>
      </c>
      <c r="G331" s="36" t="s">
        <v>5554</v>
      </c>
      <c r="J331" s="36" t="s">
        <v>31</v>
      </c>
      <c r="N331" s="86"/>
      <c r="O331" s="88"/>
      <c r="P331" s="89"/>
      <c r="Q331" s="90"/>
      <c r="U331" s="88"/>
      <c r="V331" s="91"/>
      <c r="W331" s="92"/>
      <c r="X331" s="93"/>
      <c r="AA331" s="94"/>
      <c r="AD331" s="36" t="s">
        <v>4096</v>
      </c>
      <c r="AE331" s="36"/>
      <c r="AI331" s="36" t="s">
        <v>5554</v>
      </c>
      <c r="AL331" s="36" t="s">
        <v>31</v>
      </c>
      <c r="AP331" s="86"/>
      <c r="AQ331" s="88"/>
      <c r="AR331" s="89"/>
      <c r="AS331" s="90"/>
      <c r="AV331" s="88"/>
      <c r="AW331" s="96"/>
      <c r="AX331" s="97"/>
      <c r="AY331" s="93">
        <v>4</v>
      </c>
      <c r="AZ331" s="79" t="s">
        <v>4925</v>
      </c>
      <c r="BB331" s="94"/>
      <c r="BE331" s="36" t="s">
        <v>4096</v>
      </c>
      <c r="BG331" s="36" t="s">
        <v>5359</v>
      </c>
    </row>
    <row r="332" spans="1:59" ht="15" customHeight="1">
      <c r="A332" s="36" t="s">
        <v>5157</v>
      </c>
      <c r="B332" s="36" t="s">
        <v>5360</v>
      </c>
      <c r="C332" s="36" t="s">
        <v>5161</v>
      </c>
      <c r="D332" s="36">
        <v>54</v>
      </c>
      <c r="E332" s="36">
        <v>1</v>
      </c>
      <c r="F332" s="36" t="s">
        <v>5317</v>
      </c>
      <c r="G332" s="36" t="s">
        <v>5361</v>
      </c>
      <c r="J332" s="36" t="s">
        <v>31</v>
      </c>
      <c r="N332" s="86"/>
      <c r="O332" s="88"/>
      <c r="P332" s="89"/>
      <c r="Q332" s="90"/>
      <c r="U332" s="88"/>
      <c r="V332" s="91"/>
      <c r="W332" s="92"/>
      <c r="X332" s="93"/>
      <c r="AA332" s="94"/>
      <c r="AD332" s="36" t="s">
        <v>4096</v>
      </c>
      <c r="AE332" s="36"/>
      <c r="AF332" s="36" t="s">
        <v>5362</v>
      </c>
      <c r="AI332" s="36" t="s">
        <v>5361</v>
      </c>
      <c r="AJ332" s="36" t="s">
        <v>5363</v>
      </c>
      <c r="AL332" s="36" t="s">
        <v>31</v>
      </c>
      <c r="AP332" s="86"/>
      <c r="AQ332" s="88"/>
      <c r="AR332" s="89"/>
      <c r="AS332" s="90"/>
      <c r="AV332" s="88"/>
      <c r="AW332" s="96"/>
      <c r="AX332" s="97"/>
      <c r="AY332" s="93">
        <v>2</v>
      </c>
      <c r="AZ332" s="79" t="s">
        <v>5551</v>
      </c>
      <c r="BB332" s="94">
        <v>1</v>
      </c>
      <c r="BE332" s="36" t="s">
        <v>4096</v>
      </c>
      <c r="BG332" s="36" t="s">
        <v>5364</v>
      </c>
    </row>
    <row r="333" spans="1:59" ht="15" customHeight="1">
      <c r="A333" s="36" t="s">
        <v>5157</v>
      </c>
      <c r="B333" s="36" t="s">
        <v>5365</v>
      </c>
      <c r="C333" s="36" t="s">
        <v>5161</v>
      </c>
      <c r="D333" s="36">
        <v>55</v>
      </c>
      <c r="E333" s="36">
        <v>1</v>
      </c>
      <c r="F333" s="36" t="s">
        <v>5317</v>
      </c>
      <c r="G333" s="36" t="s">
        <v>5361</v>
      </c>
      <c r="J333" s="36" t="s">
        <v>31</v>
      </c>
      <c r="N333" s="86"/>
      <c r="O333" s="88"/>
      <c r="P333" s="89"/>
      <c r="Q333" s="90"/>
      <c r="U333" s="88"/>
      <c r="V333" s="91"/>
      <c r="W333" s="92"/>
      <c r="X333" s="93"/>
      <c r="AA333" s="94"/>
      <c r="AD333" s="36" t="s">
        <v>4096</v>
      </c>
      <c r="AE333" s="36"/>
      <c r="AF333" s="36" t="s">
        <v>5362</v>
      </c>
      <c r="AI333" s="36" t="s">
        <v>5361</v>
      </c>
      <c r="AJ333" s="36" t="s">
        <v>5366</v>
      </c>
      <c r="AL333" s="36" t="s">
        <v>31</v>
      </c>
      <c r="AP333" s="86"/>
      <c r="AQ333" s="88"/>
      <c r="AR333" s="89"/>
      <c r="AS333" s="90"/>
      <c r="AV333" s="88"/>
      <c r="AW333" s="96"/>
      <c r="AX333" s="97"/>
      <c r="AY333" s="93">
        <v>2</v>
      </c>
      <c r="AZ333" s="79">
        <v>0</v>
      </c>
      <c r="BB333" s="94"/>
      <c r="BE333" s="36" t="s">
        <v>4096</v>
      </c>
    </row>
    <row r="334" spans="1:59" ht="15" customHeight="1">
      <c r="A334" s="36" t="s">
        <v>5157</v>
      </c>
      <c r="B334" s="36" t="s">
        <v>5367</v>
      </c>
      <c r="C334" s="36" t="s">
        <v>5161</v>
      </c>
      <c r="D334" s="36">
        <v>56</v>
      </c>
      <c r="E334" s="36">
        <v>1</v>
      </c>
      <c r="F334" s="36" t="s">
        <v>5317</v>
      </c>
      <c r="G334" s="36" t="s">
        <v>5368</v>
      </c>
      <c r="J334" s="36" t="s">
        <v>31</v>
      </c>
      <c r="N334" s="86"/>
      <c r="O334" s="88"/>
      <c r="P334" s="89"/>
      <c r="Q334" s="90"/>
      <c r="U334" s="88"/>
      <c r="V334" s="91"/>
      <c r="W334" s="92"/>
      <c r="X334" s="93"/>
      <c r="AA334" s="94"/>
      <c r="AD334" s="36" t="s">
        <v>4096</v>
      </c>
      <c r="AE334" s="36"/>
      <c r="AI334" s="36" t="s">
        <v>5368</v>
      </c>
      <c r="AL334" s="36" t="s">
        <v>31</v>
      </c>
      <c r="AP334" s="86"/>
      <c r="AQ334" s="88"/>
      <c r="AR334" s="89"/>
      <c r="AS334" s="90"/>
      <c r="AV334" s="88"/>
      <c r="AW334" s="96"/>
      <c r="AX334" s="97"/>
      <c r="AY334" s="93">
        <v>2</v>
      </c>
      <c r="AZ334" s="79" t="s">
        <v>4925</v>
      </c>
      <c r="BB334" s="94"/>
      <c r="BE334" s="36" t="s">
        <v>4096</v>
      </c>
      <c r="BG334" s="36" t="s">
        <v>5369</v>
      </c>
    </row>
    <row r="335" spans="1:59" ht="15" customHeight="1">
      <c r="A335" s="36" t="s">
        <v>5157</v>
      </c>
      <c r="B335" s="36" t="s">
        <v>5370</v>
      </c>
      <c r="C335" s="36" t="s">
        <v>5161</v>
      </c>
      <c r="D335" s="36">
        <v>57</v>
      </c>
      <c r="E335" s="36">
        <v>1</v>
      </c>
      <c r="F335" s="36" t="s">
        <v>5317</v>
      </c>
      <c r="G335" s="36" t="s">
        <v>5371</v>
      </c>
      <c r="J335" s="36" t="s">
        <v>31</v>
      </c>
      <c r="N335" s="86"/>
      <c r="O335" s="88"/>
      <c r="P335" s="89"/>
      <c r="Q335" s="90"/>
      <c r="U335" s="88"/>
      <c r="V335" s="91"/>
      <c r="W335" s="92"/>
      <c r="X335" s="93"/>
      <c r="AA335" s="94"/>
      <c r="AD335" s="36" t="s">
        <v>4096</v>
      </c>
      <c r="AE335" s="36"/>
      <c r="AF335" s="36" t="s">
        <v>5372</v>
      </c>
      <c r="AI335" s="36" t="s">
        <v>5371</v>
      </c>
      <c r="AL335" s="36" t="s">
        <v>31</v>
      </c>
      <c r="AP335" s="86"/>
      <c r="AQ335" s="88"/>
      <c r="AR335" s="89"/>
      <c r="AS335" s="90"/>
      <c r="AV335" s="88"/>
      <c r="AW335" s="96"/>
      <c r="AX335" s="97"/>
      <c r="AY335" s="93">
        <v>5</v>
      </c>
      <c r="AZ335" s="79">
        <v>0</v>
      </c>
      <c r="BB335" s="94"/>
      <c r="BE335" s="36" t="s">
        <v>4096</v>
      </c>
      <c r="BG335" s="36" t="s">
        <v>5373</v>
      </c>
    </row>
    <row r="336" spans="1:59" ht="15" customHeight="1">
      <c r="A336" s="36" t="s">
        <v>5157</v>
      </c>
      <c r="B336" s="36" t="s">
        <v>5374</v>
      </c>
      <c r="C336" s="36" t="s">
        <v>5161</v>
      </c>
      <c r="D336" s="36">
        <v>58</v>
      </c>
      <c r="E336" s="36">
        <v>1</v>
      </c>
      <c r="F336" s="36" t="s">
        <v>5317</v>
      </c>
      <c r="G336" s="36" t="s">
        <v>5375</v>
      </c>
      <c r="H336" s="36" t="s">
        <v>5376</v>
      </c>
      <c r="I336" s="36" t="s">
        <v>4077</v>
      </c>
      <c r="J336" s="36" t="s">
        <v>29</v>
      </c>
      <c r="N336" s="86"/>
      <c r="O336" s="88"/>
      <c r="P336" s="89"/>
      <c r="Q336" s="90">
        <v>4</v>
      </c>
      <c r="R336" s="79">
        <v>2</v>
      </c>
      <c r="T336" s="81">
        <v>7</v>
      </c>
      <c r="U336" s="88"/>
      <c r="V336" s="91">
        <v>2</v>
      </c>
      <c r="W336" s="92">
        <v>2</v>
      </c>
      <c r="X336" s="93"/>
      <c r="AA336" s="94">
        <v>2</v>
      </c>
      <c r="AD336" s="36" t="s">
        <v>5377</v>
      </c>
      <c r="AE336" s="36"/>
      <c r="AF336" s="36" t="s">
        <v>5378</v>
      </c>
      <c r="AP336" s="86"/>
      <c r="AQ336" s="88"/>
      <c r="AR336" s="89"/>
      <c r="AS336" s="90"/>
      <c r="AV336" s="88"/>
      <c r="AW336" s="96"/>
      <c r="AX336" s="97"/>
      <c r="AY336" s="93"/>
      <c r="BB336" s="94"/>
    </row>
    <row r="337" spans="1:62" ht="15" customHeight="1">
      <c r="A337" s="36" t="s">
        <v>5157</v>
      </c>
      <c r="B337" s="36" t="s">
        <v>5379</v>
      </c>
      <c r="C337" s="36" t="s">
        <v>5161</v>
      </c>
      <c r="D337" s="36">
        <v>59</v>
      </c>
      <c r="E337" s="36">
        <v>1</v>
      </c>
      <c r="F337" s="36" t="s">
        <v>5317</v>
      </c>
      <c r="G337" s="36" t="s">
        <v>5380</v>
      </c>
      <c r="J337" s="36" t="s">
        <v>4111</v>
      </c>
      <c r="K337" s="36" t="s">
        <v>26</v>
      </c>
      <c r="N337" s="86"/>
      <c r="O337" s="88"/>
      <c r="P337" s="89"/>
      <c r="Q337" s="90"/>
      <c r="U337" s="88"/>
      <c r="V337" s="91"/>
      <c r="W337" s="92"/>
      <c r="X337" s="93"/>
      <c r="AA337" s="94"/>
      <c r="AD337" s="36" t="s">
        <v>5252</v>
      </c>
      <c r="AE337" s="36"/>
      <c r="AF337" s="36" t="s">
        <v>5381</v>
      </c>
      <c r="AP337" s="86"/>
      <c r="AQ337" s="88"/>
      <c r="AR337" s="89"/>
      <c r="AS337" s="90"/>
      <c r="AV337" s="88"/>
      <c r="AW337" s="96"/>
      <c r="AX337" s="97"/>
      <c r="AY337" s="93"/>
      <c r="BB337" s="94"/>
      <c r="BJ337" s="36" t="s">
        <v>5836</v>
      </c>
    </row>
    <row r="338" spans="1:62" ht="15" customHeight="1">
      <c r="A338" s="36" t="s">
        <v>5157</v>
      </c>
      <c r="B338" s="36" t="s">
        <v>5382</v>
      </c>
      <c r="C338" s="36" t="s">
        <v>5161</v>
      </c>
      <c r="D338" s="36">
        <v>60</v>
      </c>
      <c r="E338" s="36">
        <v>1</v>
      </c>
      <c r="F338" s="36" t="s">
        <v>5317</v>
      </c>
      <c r="G338" s="36" t="s">
        <v>5383</v>
      </c>
      <c r="H338" s="36" t="s">
        <v>5384</v>
      </c>
      <c r="I338" s="36" t="s">
        <v>4077</v>
      </c>
      <c r="J338" s="36" t="s">
        <v>4111</v>
      </c>
      <c r="K338" s="36" t="s">
        <v>26</v>
      </c>
      <c r="N338" s="86"/>
      <c r="O338" s="88"/>
      <c r="P338" s="89"/>
      <c r="Q338" s="90"/>
      <c r="T338" s="81">
        <v>2</v>
      </c>
      <c r="U338" s="88">
        <v>2</v>
      </c>
      <c r="V338" s="91"/>
      <c r="W338" s="92"/>
      <c r="X338" s="93"/>
      <c r="AA338" s="94"/>
      <c r="AD338" s="36" t="s">
        <v>4184</v>
      </c>
      <c r="AE338" s="36"/>
      <c r="AF338" s="36" t="s">
        <v>5385</v>
      </c>
      <c r="AP338" s="86"/>
      <c r="AQ338" s="88"/>
      <c r="AR338" s="89"/>
      <c r="AS338" s="90"/>
      <c r="AV338" s="88"/>
      <c r="AW338" s="96"/>
      <c r="AX338" s="97"/>
      <c r="AY338" s="93"/>
      <c r="BB338" s="94"/>
      <c r="BJ338" s="36" t="s">
        <v>5836</v>
      </c>
    </row>
    <row r="339" spans="1:62" ht="15" customHeight="1">
      <c r="A339" s="36" t="s">
        <v>5157</v>
      </c>
      <c r="B339" s="36" t="s">
        <v>5386</v>
      </c>
      <c r="C339" s="36" t="s">
        <v>5161</v>
      </c>
      <c r="D339" s="36">
        <v>61</v>
      </c>
      <c r="E339" s="36">
        <v>1</v>
      </c>
      <c r="F339" s="36" t="s">
        <v>5317</v>
      </c>
      <c r="G339" s="36" t="s">
        <v>5387</v>
      </c>
      <c r="H339" s="36" t="s">
        <v>5388</v>
      </c>
      <c r="I339" s="36" t="s">
        <v>4077</v>
      </c>
      <c r="J339" s="36" t="s">
        <v>4111</v>
      </c>
      <c r="K339" s="36" t="s">
        <v>26</v>
      </c>
      <c r="N339" s="86">
        <v>3</v>
      </c>
      <c r="O339" s="88"/>
      <c r="P339" s="89">
        <v>1</v>
      </c>
      <c r="Q339" s="90"/>
      <c r="S339" s="126">
        <v>1</v>
      </c>
      <c r="T339" s="81">
        <v>2</v>
      </c>
      <c r="U339" s="88">
        <v>3</v>
      </c>
      <c r="V339" s="91"/>
      <c r="W339" s="92"/>
      <c r="X339" s="93"/>
      <c r="AA339" s="94"/>
      <c r="AB339" s="36" t="s">
        <v>5032</v>
      </c>
      <c r="AC339" s="36" t="s">
        <v>25</v>
      </c>
      <c r="AD339" s="36" t="s">
        <v>4184</v>
      </c>
      <c r="AE339" s="36"/>
      <c r="AF339" s="36" t="s">
        <v>5389</v>
      </c>
      <c r="AP339" s="86"/>
      <c r="AQ339" s="88"/>
      <c r="AR339" s="89"/>
      <c r="AS339" s="90"/>
      <c r="AV339" s="88"/>
      <c r="AW339" s="96"/>
      <c r="AX339" s="97"/>
      <c r="AY339" s="93"/>
      <c r="BB339" s="94"/>
    </row>
    <row r="340" spans="1:62" ht="15" customHeight="1">
      <c r="A340" s="36" t="s">
        <v>5157</v>
      </c>
      <c r="B340" s="36" t="s">
        <v>5390</v>
      </c>
      <c r="C340" s="36" t="s">
        <v>5161</v>
      </c>
      <c r="D340" s="36">
        <v>62</v>
      </c>
      <c r="E340" s="36">
        <v>1</v>
      </c>
      <c r="F340" s="36" t="s">
        <v>5391</v>
      </c>
      <c r="G340" s="36" t="s">
        <v>5391</v>
      </c>
      <c r="J340" s="36" t="s">
        <v>4472</v>
      </c>
      <c r="N340" s="86"/>
      <c r="O340" s="88"/>
      <c r="P340" s="89"/>
      <c r="Q340" s="90"/>
      <c r="U340" s="88"/>
      <c r="V340" s="91"/>
      <c r="W340" s="92"/>
      <c r="X340" s="93"/>
      <c r="AA340" s="94"/>
      <c r="AE340" s="36"/>
      <c r="AF340" s="36" t="s">
        <v>5392</v>
      </c>
      <c r="AI340" s="36" t="s">
        <v>5391</v>
      </c>
      <c r="AL340" s="36" t="s">
        <v>4472</v>
      </c>
      <c r="AP340" s="86"/>
      <c r="AQ340" s="88"/>
      <c r="AR340" s="89"/>
      <c r="AS340" s="90"/>
      <c r="AV340" s="88"/>
      <c r="AW340" s="96"/>
      <c r="AX340" s="97"/>
      <c r="AY340" s="93"/>
      <c r="BB340" s="94"/>
      <c r="BG340" s="36" t="s">
        <v>5393</v>
      </c>
    </row>
    <row r="341" spans="1:62" ht="15" customHeight="1">
      <c r="A341" s="36" t="s">
        <v>5157</v>
      </c>
      <c r="B341" s="36" t="s">
        <v>5394</v>
      </c>
      <c r="C341" s="36" t="s">
        <v>5161</v>
      </c>
      <c r="D341" s="36">
        <v>63</v>
      </c>
      <c r="E341" s="36">
        <v>1</v>
      </c>
      <c r="F341" s="36" t="s">
        <v>5391</v>
      </c>
      <c r="G341" s="36" t="s">
        <v>5395</v>
      </c>
      <c r="J341" s="36" t="s">
        <v>4473</v>
      </c>
      <c r="L341" s="36">
        <v>1</v>
      </c>
      <c r="N341" s="86"/>
      <c r="O341" s="88"/>
      <c r="P341" s="89"/>
      <c r="Q341" s="90"/>
      <c r="U341" s="88"/>
      <c r="V341" s="91"/>
      <c r="W341" s="92"/>
      <c r="X341" s="93"/>
      <c r="Z341" s="81">
        <v>4</v>
      </c>
      <c r="AA341" s="94"/>
      <c r="AE341" s="36"/>
      <c r="AF341" s="36" t="s">
        <v>5396</v>
      </c>
      <c r="AI341" s="36" t="s">
        <v>5555</v>
      </c>
      <c r="AL341" s="36" t="s">
        <v>4473</v>
      </c>
      <c r="AN341" s="36">
        <v>1</v>
      </c>
      <c r="AP341" s="86"/>
      <c r="AQ341" s="88"/>
      <c r="AR341" s="89"/>
      <c r="AS341" s="90"/>
      <c r="AV341" s="88"/>
      <c r="AW341" s="96"/>
      <c r="AX341" s="97"/>
      <c r="AY341" s="93"/>
      <c r="BB341" s="94"/>
      <c r="BG341" s="36" t="s">
        <v>5397</v>
      </c>
    </row>
    <row r="342" spans="1:62" ht="15" customHeight="1">
      <c r="A342" s="36" t="s">
        <v>5157</v>
      </c>
      <c r="B342" s="36" t="s">
        <v>5398</v>
      </c>
      <c r="C342" s="36" t="s">
        <v>5161</v>
      </c>
      <c r="D342" s="36">
        <v>64</v>
      </c>
      <c r="E342" s="36">
        <v>1</v>
      </c>
      <c r="F342" s="36" t="s">
        <v>5391</v>
      </c>
      <c r="G342" s="36" t="s">
        <v>5399</v>
      </c>
      <c r="J342" s="36" t="s">
        <v>4473</v>
      </c>
      <c r="L342" s="36">
        <v>2</v>
      </c>
      <c r="N342" s="86"/>
      <c r="O342" s="88"/>
      <c r="P342" s="89"/>
      <c r="Q342" s="90"/>
      <c r="U342" s="88"/>
      <c r="V342" s="91"/>
      <c r="W342" s="92"/>
      <c r="X342" s="93"/>
      <c r="Z342" s="81">
        <v>3</v>
      </c>
      <c r="AA342" s="94"/>
      <c r="AE342" s="36"/>
      <c r="AI342" s="36" t="s">
        <v>5556</v>
      </c>
      <c r="AL342" s="36" t="s">
        <v>4473</v>
      </c>
      <c r="AN342" s="36">
        <v>2</v>
      </c>
      <c r="AP342" s="86"/>
      <c r="AQ342" s="88"/>
      <c r="AR342" s="89"/>
      <c r="AS342" s="90"/>
      <c r="AV342" s="88"/>
      <c r="AW342" s="96"/>
      <c r="AX342" s="97"/>
      <c r="AY342" s="93"/>
      <c r="BB342" s="94"/>
      <c r="BG342" s="36" t="s">
        <v>5400</v>
      </c>
    </row>
    <row r="343" spans="1:62" ht="15" customHeight="1">
      <c r="A343" s="36" t="s">
        <v>5157</v>
      </c>
      <c r="B343" s="36" t="s">
        <v>5401</v>
      </c>
      <c r="C343" s="36" t="s">
        <v>5161</v>
      </c>
      <c r="D343" s="36">
        <v>65</v>
      </c>
      <c r="E343" s="36">
        <v>1</v>
      </c>
      <c r="F343" s="36" t="s">
        <v>5391</v>
      </c>
      <c r="G343" s="36" t="s">
        <v>5402</v>
      </c>
      <c r="J343" s="36" t="s">
        <v>4473</v>
      </c>
      <c r="L343" s="36">
        <v>3</v>
      </c>
      <c r="N343" s="86"/>
      <c r="O343" s="88"/>
      <c r="P343" s="89"/>
      <c r="Q343" s="90"/>
      <c r="U343" s="88"/>
      <c r="V343" s="91"/>
      <c r="W343" s="92"/>
      <c r="X343" s="93"/>
      <c r="Z343" s="81">
        <v>7</v>
      </c>
      <c r="AA343" s="94"/>
      <c r="AE343" s="36"/>
      <c r="AF343" s="36" t="s">
        <v>5403</v>
      </c>
      <c r="AI343" s="36" t="s">
        <v>5557</v>
      </c>
      <c r="AL343" s="36" t="s">
        <v>4473</v>
      </c>
      <c r="AN343" s="36">
        <v>3</v>
      </c>
      <c r="AP343" s="86"/>
      <c r="AQ343" s="88"/>
      <c r="AR343" s="89"/>
      <c r="AS343" s="90"/>
      <c r="AV343" s="88"/>
      <c r="AW343" s="96"/>
      <c r="AX343" s="97"/>
      <c r="AY343" s="93"/>
      <c r="BB343" s="94"/>
      <c r="BG343" s="36" t="s">
        <v>5404</v>
      </c>
    </row>
    <row r="344" spans="1:62" ht="15" customHeight="1">
      <c r="A344" s="36" t="s">
        <v>5157</v>
      </c>
      <c r="B344" s="36" t="s">
        <v>5405</v>
      </c>
      <c r="C344" s="36" t="s">
        <v>5161</v>
      </c>
      <c r="D344" s="36">
        <v>66</v>
      </c>
      <c r="E344" s="36">
        <v>1</v>
      </c>
      <c r="F344" s="36" t="s">
        <v>5391</v>
      </c>
      <c r="G344" s="36" t="s">
        <v>5406</v>
      </c>
      <c r="J344" s="36" t="s">
        <v>4475</v>
      </c>
      <c r="L344" s="36">
        <v>1</v>
      </c>
      <c r="N344" s="86"/>
      <c r="O344" s="88"/>
      <c r="P344" s="89"/>
      <c r="Q344" s="90"/>
      <c r="U344" s="88"/>
      <c r="V344" s="91"/>
      <c r="W344" s="92"/>
      <c r="X344" s="93"/>
      <c r="Y344" s="79" t="s">
        <v>5552</v>
      </c>
      <c r="AA344" s="94"/>
      <c r="AE344" s="36"/>
      <c r="AF344" s="36" t="s">
        <v>5407</v>
      </c>
      <c r="AI344" s="36" t="s">
        <v>5558</v>
      </c>
      <c r="AL344" s="36" t="s">
        <v>4475</v>
      </c>
      <c r="AN344" s="36">
        <v>1</v>
      </c>
      <c r="AP344" s="86"/>
      <c r="AQ344" s="88"/>
      <c r="AR344" s="89"/>
      <c r="AS344" s="90"/>
      <c r="AV344" s="88"/>
      <c r="AW344" s="96"/>
      <c r="AX344" s="97"/>
      <c r="AY344" s="93"/>
      <c r="BB344" s="94"/>
      <c r="BG344" s="36" t="s">
        <v>5408</v>
      </c>
    </row>
    <row r="345" spans="1:62" ht="15" customHeight="1">
      <c r="A345" s="36" t="s">
        <v>5157</v>
      </c>
      <c r="B345" s="36" t="s">
        <v>5409</v>
      </c>
      <c r="C345" s="36" t="s">
        <v>5161</v>
      </c>
      <c r="D345" s="36">
        <v>67</v>
      </c>
      <c r="E345" s="36">
        <v>1</v>
      </c>
      <c r="F345" s="36" t="s">
        <v>5391</v>
      </c>
      <c r="G345" s="36" t="s">
        <v>5410</v>
      </c>
      <c r="J345" s="36" t="s">
        <v>4475</v>
      </c>
      <c r="L345" s="36">
        <v>2</v>
      </c>
      <c r="N345" s="86"/>
      <c r="O345" s="88"/>
      <c r="P345" s="89"/>
      <c r="Q345" s="90"/>
      <c r="U345" s="88"/>
      <c r="V345" s="91"/>
      <c r="W345" s="92"/>
      <c r="X345" s="93"/>
      <c r="Y345" s="79" t="s">
        <v>5551</v>
      </c>
      <c r="AA345" s="94"/>
      <c r="AE345" s="36"/>
      <c r="AF345" s="36" t="s">
        <v>5411</v>
      </c>
      <c r="AI345" s="36" t="s">
        <v>5559</v>
      </c>
      <c r="AL345" s="36" t="s">
        <v>4475</v>
      </c>
      <c r="AN345" s="36">
        <v>2</v>
      </c>
      <c r="AP345" s="86"/>
      <c r="AQ345" s="88"/>
      <c r="AR345" s="89"/>
      <c r="AS345" s="90"/>
      <c r="AV345" s="88"/>
      <c r="AW345" s="96"/>
      <c r="AX345" s="97"/>
      <c r="AY345" s="93"/>
      <c r="BB345" s="94"/>
      <c r="BG345" s="36" t="s">
        <v>5412</v>
      </c>
    </row>
    <row r="346" spans="1:62" ht="15" customHeight="1">
      <c r="A346" s="36" t="s">
        <v>5157</v>
      </c>
      <c r="B346" s="36" t="s">
        <v>5413</v>
      </c>
      <c r="C346" s="36" t="s">
        <v>5161</v>
      </c>
      <c r="D346" s="36">
        <v>68</v>
      </c>
      <c r="E346" s="36">
        <v>1</v>
      </c>
      <c r="F346" s="36" t="s">
        <v>5391</v>
      </c>
      <c r="G346" s="36" t="s">
        <v>5414</v>
      </c>
      <c r="J346" s="36" t="s">
        <v>4475</v>
      </c>
      <c r="L346" s="36">
        <v>3</v>
      </c>
      <c r="N346" s="86"/>
      <c r="O346" s="88"/>
      <c r="P346" s="89"/>
      <c r="Q346" s="90"/>
      <c r="U346" s="88"/>
      <c r="V346" s="91"/>
      <c r="W346" s="92"/>
      <c r="X346" s="93"/>
      <c r="Y346" s="79">
        <v>0</v>
      </c>
      <c r="AA346" s="94"/>
      <c r="AE346" s="36"/>
      <c r="AF346" s="36" t="s">
        <v>5415</v>
      </c>
      <c r="AI346" s="36" t="s">
        <v>5560</v>
      </c>
      <c r="AL346" s="36" t="s">
        <v>4475</v>
      </c>
      <c r="AN346" s="36">
        <v>3</v>
      </c>
      <c r="AP346" s="86"/>
      <c r="AQ346" s="88"/>
      <c r="AR346" s="89"/>
      <c r="AS346" s="90"/>
      <c r="AV346" s="88"/>
      <c r="AW346" s="96"/>
      <c r="AX346" s="97"/>
      <c r="AY346" s="93"/>
      <c r="BB346" s="94"/>
      <c r="BG346" s="36" t="s">
        <v>5416</v>
      </c>
    </row>
    <row r="347" spans="1:62" ht="15" customHeight="1">
      <c r="A347" s="36" t="s">
        <v>5157</v>
      </c>
      <c r="B347" s="36" t="s">
        <v>5417</v>
      </c>
      <c r="C347" s="36" t="s">
        <v>5161</v>
      </c>
      <c r="D347" s="36">
        <v>69</v>
      </c>
      <c r="E347" s="36">
        <v>1</v>
      </c>
      <c r="F347" s="36" t="s">
        <v>5391</v>
      </c>
      <c r="G347" s="36" t="s">
        <v>5418</v>
      </c>
      <c r="J347" s="36" t="s">
        <v>4475</v>
      </c>
      <c r="L347" s="36">
        <v>3</v>
      </c>
      <c r="N347" s="86"/>
      <c r="O347" s="88"/>
      <c r="P347" s="89"/>
      <c r="Q347" s="90"/>
      <c r="U347" s="88"/>
      <c r="V347" s="91"/>
      <c r="W347" s="92"/>
      <c r="X347" s="93"/>
      <c r="Y347" s="79">
        <v>0</v>
      </c>
      <c r="AA347" s="94"/>
      <c r="AE347" s="36"/>
      <c r="AF347" s="36" t="s">
        <v>5419</v>
      </c>
      <c r="AI347" s="36" t="s">
        <v>5561</v>
      </c>
      <c r="AL347" s="36" t="s">
        <v>4475</v>
      </c>
      <c r="AN347" s="36">
        <v>3</v>
      </c>
      <c r="AP347" s="86"/>
      <c r="AQ347" s="88"/>
      <c r="AR347" s="89"/>
      <c r="AS347" s="90"/>
      <c r="AV347" s="88"/>
      <c r="AW347" s="96"/>
      <c r="AX347" s="97"/>
      <c r="AY347" s="93"/>
      <c r="BB347" s="94"/>
      <c r="BG347" s="36" t="s">
        <v>5420</v>
      </c>
    </row>
    <row r="348" spans="1:62" ht="15" customHeight="1">
      <c r="A348" s="36" t="s">
        <v>5157</v>
      </c>
      <c r="B348" s="36" t="s">
        <v>5421</v>
      </c>
      <c r="C348" s="36" t="s">
        <v>5161</v>
      </c>
      <c r="D348" s="37">
        <v>70</v>
      </c>
      <c r="E348" s="36">
        <v>1</v>
      </c>
      <c r="F348" s="36" t="s">
        <v>5391</v>
      </c>
      <c r="G348" s="36" t="s">
        <v>5422</v>
      </c>
      <c r="J348" s="36" t="s">
        <v>31</v>
      </c>
      <c r="AD348" s="36" t="s">
        <v>4317</v>
      </c>
      <c r="AI348" s="36" t="s">
        <v>5422</v>
      </c>
      <c r="AL348" s="36" t="s">
        <v>31</v>
      </c>
      <c r="AP348" s="86"/>
      <c r="AQ348" s="88"/>
      <c r="AR348" s="89"/>
      <c r="AS348" s="90"/>
      <c r="AV348" s="88"/>
      <c r="AW348" s="96"/>
      <c r="AX348" s="97"/>
      <c r="AY348" s="93">
        <v>2</v>
      </c>
      <c r="AZ348" s="79" t="s">
        <v>4925</v>
      </c>
      <c r="BB348" s="94"/>
      <c r="BE348" s="36" t="s">
        <v>4317</v>
      </c>
      <c r="BG348" s="36" t="s">
        <v>5423</v>
      </c>
    </row>
    <row r="349" spans="1:62" ht="15" customHeight="1">
      <c r="A349" s="36" t="s">
        <v>5157</v>
      </c>
      <c r="B349" s="36" t="s">
        <v>5424</v>
      </c>
      <c r="C349" s="36" t="s">
        <v>5161</v>
      </c>
      <c r="D349" s="37">
        <v>71</v>
      </c>
      <c r="E349" s="36">
        <v>1</v>
      </c>
      <c r="F349" s="36" t="s">
        <v>5391</v>
      </c>
      <c r="G349" s="36" t="s">
        <v>5425</v>
      </c>
      <c r="J349" s="36" t="s">
        <v>31</v>
      </c>
      <c r="AD349" s="36" t="s">
        <v>5426</v>
      </c>
      <c r="AI349" s="36" t="s">
        <v>5425</v>
      </c>
      <c r="AL349" s="36" t="s">
        <v>31</v>
      </c>
      <c r="AP349" s="86"/>
      <c r="AQ349" s="88"/>
      <c r="AR349" s="89"/>
      <c r="AS349" s="90"/>
      <c r="AV349" s="88"/>
      <c r="AW349" s="96"/>
      <c r="AX349" s="97"/>
      <c r="AY349" s="93">
        <v>2</v>
      </c>
      <c r="AZ349" s="79">
        <v>0</v>
      </c>
      <c r="BB349" s="94"/>
      <c r="BE349" s="36" t="s">
        <v>5426</v>
      </c>
      <c r="BG349" s="36" t="s">
        <v>5427</v>
      </c>
    </row>
    <row r="350" spans="1:62" ht="15" customHeight="1">
      <c r="A350" s="36" t="s">
        <v>5157</v>
      </c>
      <c r="B350" s="36" t="s">
        <v>5428</v>
      </c>
      <c r="C350" s="36" t="s">
        <v>5161</v>
      </c>
      <c r="D350" s="37">
        <v>72</v>
      </c>
      <c r="E350" s="36">
        <v>1</v>
      </c>
      <c r="F350" s="36" t="s">
        <v>5391</v>
      </c>
      <c r="G350" s="36" t="s">
        <v>5429</v>
      </c>
      <c r="J350" s="36" t="s">
        <v>31</v>
      </c>
      <c r="AD350" s="36" t="s">
        <v>5426</v>
      </c>
      <c r="AI350" s="36" t="s">
        <v>5429</v>
      </c>
      <c r="AL350" s="36" t="s">
        <v>31</v>
      </c>
      <c r="AP350" s="86"/>
      <c r="AQ350" s="88"/>
      <c r="AR350" s="89"/>
      <c r="AS350" s="90"/>
      <c r="AV350" s="88"/>
      <c r="AW350" s="96"/>
      <c r="AX350" s="97"/>
      <c r="AY350" s="93">
        <v>3</v>
      </c>
      <c r="AZ350" s="79">
        <v>0</v>
      </c>
      <c r="BB350" s="94"/>
      <c r="BE350" s="36" t="s">
        <v>5426</v>
      </c>
      <c r="BG350" s="36" t="s">
        <v>5430</v>
      </c>
    </row>
    <row r="351" spans="1:62" ht="15" customHeight="1">
      <c r="A351" s="36" t="s">
        <v>5157</v>
      </c>
      <c r="B351" s="36" t="s">
        <v>5431</v>
      </c>
      <c r="C351" s="36" t="s">
        <v>5161</v>
      </c>
      <c r="D351" s="37">
        <v>73</v>
      </c>
      <c r="E351" s="36">
        <v>1</v>
      </c>
      <c r="F351" s="36" t="s">
        <v>5391</v>
      </c>
      <c r="G351" s="36" t="s">
        <v>5432</v>
      </c>
      <c r="J351" s="36" t="s">
        <v>31</v>
      </c>
      <c r="AD351" s="36" t="s">
        <v>5426</v>
      </c>
      <c r="AI351" s="36" t="s">
        <v>5432</v>
      </c>
      <c r="AL351" s="36" t="s">
        <v>31</v>
      </c>
      <c r="AP351" s="86"/>
      <c r="AQ351" s="88"/>
      <c r="AR351" s="89"/>
      <c r="AS351" s="90"/>
      <c r="AV351" s="88"/>
      <c r="AW351" s="96"/>
      <c r="AX351" s="97"/>
      <c r="AY351" s="93">
        <v>3</v>
      </c>
      <c r="AZ351" s="79">
        <v>0</v>
      </c>
      <c r="BB351" s="94"/>
      <c r="BE351" s="36" t="s">
        <v>5426</v>
      </c>
      <c r="BG351" s="36" t="s">
        <v>5433</v>
      </c>
    </row>
    <row r="352" spans="1:62" ht="15" customHeight="1">
      <c r="A352" s="36" t="s">
        <v>5157</v>
      </c>
      <c r="B352" s="36" t="s">
        <v>5434</v>
      </c>
      <c r="C352" s="36" t="s">
        <v>5161</v>
      </c>
      <c r="D352" s="37">
        <v>74</v>
      </c>
      <c r="E352" s="36">
        <v>1</v>
      </c>
      <c r="F352" s="36" t="s">
        <v>5391</v>
      </c>
      <c r="G352" s="36" t="s">
        <v>5435</v>
      </c>
      <c r="J352" s="36" t="s">
        <v>31</v>
      </c>
      <c r="AD352" s="36" t="s">
        <v>5426</v>
      </c>
      <c r="AI352" s="36" t="s">
        <v>5435</v>
      </c>
      <c r="AL352" s="36" t="s">
        <v>31</v>
      </c>
      <c r="AP352" s="86"/>
      <c r="AQ352" s="88"/>
      <c r="AR352" s="89"/>
      <c r="AS352" s="90"/>
      <c r="AV352" s="88"/>
      <c r="AW352" s="96"/>
      <c r="AX352" s="97"/>
      <c r="AY352" s="93">
        <v>4</v>
      </c>
      <c r="AZ352" s="79">
        <v>0</v>
      </c>
      <c r="BB352" s="94"/>
      <c r="BE352" s="36" t="s">
        <v>5426</v>
      </c>
      <c r="BG352" s="36" t="s">
        <v>5436</v>
      </c>
    </row>
    <row r="353" spans="1:62" ht="15" customHeight="1">
      <c r="A353" s="36" t="s">
        <v>5157</v>
      </c>
      <c r="B353" s="36" t="s">
        <v>5437</v>
      </c>
      <c r="C353" s="36" t="s">
        <v>5161</v>
      </c>
      <c r="D353" s="37">
        <v>75</v>
      </c>
      <c r="E353" s="36">
        <v>1</v>
      </c>
      <c r="F353" s="36" t="s">
        <v>5391</v>
      </c>
      <c r="G353" s="36" t="s">
        <v>5553</v>
      </c>
      <c r="J353" s="36" t="s">
        <v>31</v>
      </c>
      <c r="AD353" s="36" t="s">
        <v>5426</v>
      </c>
      <c r="AI353" s="36" t="s">
        <v>5438</v>
      </c>
      <c r="AL353" s="36" t="s">
        <v>31</v>
      </c>
      <c r="AP353" s="86"/>
      <c r="AQ353" s="88"/>
      <c r="AR353" s="89"/>
      <c r="AS353" s="90"/>
      <c r="AV353" s="88"/>
      <c r="AW353" s="96"/>
      <c r="AX353" s="97"/>
      <c r="AY353" s="93">
        <v>2</v>
      </c>
      <c r="AZ353" s="79" t="s">
        <v>4925</v>
      </c>
      <c r="BB353" s="94">
        <v>1</v>
      </c>
      <c r="BE353" s="36" t="s">
        <v>5426</v>
      </c>
      <c r="BG353" s="36" t="s">
        <v>5439</v>
      </c>
    </row>
    <row r="354" spans="1:62" ht="15" customHeight="1">
      <c r="A354" s="36" t="s">
        <v>5157</v>
      </c>
      <c r="B354" s="36" t="s">
        <v>5440</v>
      </c>
      <c r="C354" s="36" t="s">
        <v>5161</v>
      </c>
      <c r="D354" s="37">
        <v>76</v>
      </c>
      <c r="E354" s="36">
        <v>1</v>
      </c>
      <c r="F354" s="36" t="s">
        <v>5391</v>
      </c>
      <c r="G354" s="36" t="s">
        <v>5553</v>
      </c>
      <c r="J354" s="36" t="s">
        <v>31</v>
      </c>
      <c r="AD354" s="36" t="s">
        <v>5426</v>
      </c>
      <c r="AI354" s="36" t="s">
        <v>5441</v>
      </c>
      <c r="AL354" s="36" t="s">
        <v>31</v>
      </c>
      <c r="AP354" s="86"/>
      <c r="AQ354" s="88"/>
      <c r="AR354" s="89"/>
      <c r="AS354" s="90"/>
      <c r="AV354" s="88"/>
      <c r="AW354" s="96"/>
      <c r="AX354" s="97"/>
      <c r="AY354" s="93">
        <v>3</v>
      </c>
      <c r="AZ354" s="79" t="s">
        <v>4925</v>
      </c>
      <c r="BB354" s="94">
        <v>1</v>
      </c>
      <c r="BE354" s="36" t="s">
        <v>5426</v>
      </c>
      <c r="BG354" s="36" t="s">
        <v>5442</v>
      </c>
    </row>
    <row r="355" spans="1:62" ht="15" customHeight="1">
      <c r="A355" s="36" t="s">
        <v>5157</v>
      </c>
      <c r="B355" s="36" t="s">
        <v>5443</v>
      </c>
      <c r="C355" s="36" t="s">
        <v>5161</v>
      </c>
      <c r="D355" s="37">
        <v>77</v>
      </c>
      <c r="E355" s="36">
        <v>1</v>
      </c>
      <c r="F355" s="36" t="s">
        <v>5391</v>
      </c>
      <c r="G355" s="36" t="s">
        <v>5553</v>
      </c>
      <c r="J355" s="36" t="s">
        <v>31</v>
      </c>
      <c r="AD355" s="36" t="s">
        <v>5426</v>
      </c>
      <c r="AI355" s="36" t="s">
        <v>5444</v>
      </c>
      <c r="AL355" s="36" t="s">
        <v>31</v>
      </c>
      <c r="AP355" s="86"/>
      <c r="AQ355" s="88"/>
      <c r="AR355" s="89"/>
      <c r="AS355" s="90"/>
      <c r="AV355" s="88"/>
      <c r="AW355" s="96"/>
      <c r="AX355" s="97"/>
      <c r="AY355" s="93">
        <v>1</v>
      </c>
      <c r="AZ355" s="79" t="s">
        <v>4925</v>
      </c>
      <c r="BB355" s="94">
        <v>1</v>
      </c>
      <c r="BE355" s="36" t="s">
        <v>5426</v>
      </c>
      <c r="BG355" s="36" t="s">
        <v>5445</v>
      </c>
    </row>
    <row r="356" spans="1:62" ht="15" customHeight="1">
      <c r="A356" s="36" t="s">
        <v>5157</v>
      </c>
      <c r="B356" s="36" t="s">
        <v>5446</v>
      </c>
      <c r="C356" s="36" t="s">
        <v>5161</v>
      </c>
      <c r="D356" s="37">
        <v>78</v>
      </c>
      <c r="E356" s="36">
        <v>1</v>
      </c>
      <c r="F356" s="36" t="s">
        <v>5391</v>
      </c>
      <c r="G356" s="36" t="s">
        <v>5447</v>
      </c>
      <c r="J356" s="36" t="s">
        <v>29</v>
      </c>
      <c r="Q356" s="78">
        <v>3</v>
      </c>
      <c r="R356" s="79">
        <v>3</v>
      </c>
      <c r="T356" s="81">
        <v>4</v>
      </c>
      <c r="V356" s="82">
        <v>2</v>
      </c>
      <c r="W356" s="83">
        <v>0</v>
      </c>
      <c r="AA356" s="85">
        <v>1</v>
      </c>
      <c r="AD356" s="36" t="s">
        <v>5448</v>
      </c>
      <c r="AF356" s="36" t="s">
        <v>5449</v>
      </c>
      <c r="AP356" s="86"/>
      <c r="AQ356" s="88"/>
      <c r="AR356" s="89"/>
      <c r="AS356" s="90"/>
      <c r="AV356" s="88"/>
      <c r="AW356" s="96"/>
      <c r="AX356" s="97"/>
      <c r="AY356" s="93"/>
      <c r="BB356" s="94"/>
    </row>
    <row r="357" spans="1:62" ht="15" customHeight="1">
      <c r="A357" s="36" t="s">
        <v>5157</v>
      </c>
      <c r="B357" s="36" t="s">
        <v>5450</v>
      </c>
      <c r="C357" s="36" t="s">
        <v>5161</v>
      </c>
      <c r="D357" s="37">
        <v>79</v>
      </c>
      <c r="E357" s="36">
        <v>1</v>
      </c>
      <c r="F357" s="36" t="s">
        <v>5391</v>
      </c>
      <c r="G357" s="36" t="s">
        <v>5451</v>
      </c>
      <c r="H357" s="36" t="s">
        <v>5452</v>
      </c>
      <c r="I357" s="36" t="s">
        <v>4077</v>
      </c>
      <c r="J357" s="36" t="s">
        <v>4111</v>
      </c>
      <c r="K357" s="36" t="s">
        <v>26</v>
      </c>
      <c r="T357" s="81">
        <v>3</v>
      </c>
      <c r="U357" s="76">
        <v>2</v>
      </c>
      <c r="AD357" s="36" t="s">
        <v>5453</v>
      </c>
      <c r="AF357" s="36" t="s">
        <v>5454</v>
      </c>
      <c r="AP357" s="86"/>
      <c r="AQ357" s="88"/>
      <c r="AR357" s="89"/>
      <c r="AS357" s="90"/>
      <c r="AV357" s="88"/>
      <c r="AW357" s="96"/>
      <c r="AX357" s="97"/>
      <c r="AY357" s="93"/>
      <c r="BB357" s="94"/>
      <c r="BJ357" s="36" t="s">
        <v>5836</v>
      </c>
    </row>
    <row r="358" spans="1:62" ht="15" customHeight="1">
      <c r="A358" s="36" t="s">
        <v>5157</v>
      </c>
      <c r="B358" s="36" t="s">
        <v>5455</v>
      </c>
      <c r="C358" s="36" t="s">
        <v>5161</v>
      </c>
      <c r="D358" s="37">
        <v>80</v>
      </c>
      <c r="E358" s="36">
        <v>1</v>
      </c>
      <c r="F358" s="36" t="s">
        <v>5391</v>
      </c>
      <c r="G358" s="36" t="s">
        <v>5456</v>
      </c>
      <c r="H358" s="36" t="s">
        <v>5457</v>
      </c>
      <c r="I358" s="36" t="s">
        <v>4077</v>
      </c>
      <c r="J358" s="36" t="s">
        <v>4111</v>
      </c>
      <c r="K358" s="36" t="s">
        <v>26</v>
      </c>
      <c r="N358" s="75">
        <v>3</v>
      </c>
      <c r="Q358" s="78">
        <v>1</v>
      </c>
      <c r="S358" s="126">
        <v>1</v>
      </c>
      <c r="T358" s="81">
        <v>4</v>
      </c>
      <c r="U358" s="76">
        <v>1</v>
      </c>
      <c r="AB358" s="36" t="s">
        <v>4947</v>
      </c>
      <c r="AC358" s="36" t="s">
        <v>25</v>
      </c>
      <c r="AD358" s="36" t="s">
        <v>4184</v>
      </c>
      <c r="AF358" s="36" t="s">
        <v>5458</v>
      </c>
      <c r="AP358" s="86"/>
      <c r="AQ358" s="88"/>
      <c r="AR358" s="89"/>
      <c r="AS358" s="90"/>
      <c r="AV358" s="88"/>
      <c r="AW358" s="96"/>
      <c r="AX358" s="97"/>
      <c r="AY358" s="93"/>
      <c r="BB358" s="94"/>
    </row>
    <row r="359" spans="1:62" ht="15" customHeight="1">
      <c r="A359" s="36" t="s">
        <v>5157</v>
      </c>
      <c r="B359" s="36" t="s">
        <v>5459</v>
      </c>
      <c r="C359" s="36" t="s">
        <v>5161</v>
      </c>
      <c r="D359" s="37">
        <v>81</v>
      </c>
      <c r="E359" s="36">
        <v>2</v>
      </c>
      <c r="F359" s="36" t="s">
        <v>5391</v>
      </c>
      <c r="G359" s="36" t="s">
        <v>5460</v>
      </c>
      <c r="J359" s="36" t="s">
        <v>28</v>
      </c>
      <c r="AD359" s="36" t="s">
        <v>5461</v>
      </c>
      <c r="AF359" s="36" t="s">
        <v>5462</v>
      </c>
      <c r="AP359" s="86"/>
      <c r="AQ359" s="88"/>
      <c r="AR359" s="89"/>
      <c r="AS359" s="90"/>
      <c r="AV359" s="88"/>
      <c r="AW359" s="96"/>
      <c r="AX359" s="97"/>
      <c r="AY359" s="93"/>
      <c r="BB359" s="94"/>
    </row>
    <row r="360" spans="1:62" ht="15" customHeight="1">
      <c r="A360" s="36" t="s">
        <v>5157</v>
      </c>
      <c r="B360" s="36" t="s">
        <v>5463</v>
      </c>
      <c r="C360" s="36" t="s">
        <v>5161</v>
      </c>
      <c r="D360" s="37">
        <v>82</v>
      </c>
      <c r="E360" s="36">
        <v>2</v>
      </c>
      <c r="F360" s="36" t="s">
        <v>5391</v>
      </c>
      <c r="G360" s="36" t="s">
        <v>5464</v>
      </c>
      <c r="J360" s="36" t="s">
        <v>28</v>
      </c>
      <c r="AF360" s="36" t="s">
        <v>5465</v>
      </c>
      <c r="AP360" s="86"/>
      <c r="AQ360" s="88"/>
      <c r="AR360" s="89"/>
      <c r="AS360" s="90"/>
      <c r="AV360" s="88"/>
      <c r="AW360" s="96"/>
      <c r="AX360" s="97"/>
      <c r="AY360" s="93"/>
      <c r="BB360" s="94"/>
    </row>
    <row r="361" spans="1:62" ht="15" customHeight="1">
      <c r="A361" s="36" t="s">
        <v>5157</v>
      </c>
      <c r="B361" s="36" t="s">
        <v>5466</v>
      </c>
      <c r="C361" s="36" t="s">
        <v>5161</v>
      </c>
      <c r="D361" s="37">
        <v>83</v>
      </c>
      <c r="E361" s="36">
        <v>3</v>
      </c>
      <c r="F361" s="36" t="s">
        <v>5467</v>
      </c>
      <c r="G361" s="36" t="s">
        <v>5468</v>
      </c>
      <c r="J361" s="36" t="s">
        <v>28</v>
      </c>
      <c r="AD361" s="36" t="s">
        <v>4340</v>
      </c>
      <c r="AF361" s="36" t="s">
        <v>5469</v>
      </c>
      <c r="AP361" s="86"/>
      <c r="AQ361" s="88"/>
      <c r="AR361" s="89"/>
      <c r="AS361" s="90"/>
      <c r="AV361" s="88"/>
      <c r="AW361" s="96"/>
      <c r="AX361" s="97"/>
      <c r="AY361" s="93"/>
      <c r="BB361" s="94"/>
    </row>
    <row r="362" spans="1:62" ht="15" customHeight="1">
      <c r="A362" s="36" t="s">
        <v>5157</v>
      </c>
      <c r="B362" s="36" t="s">
        <v>5470</v>
      </c>
      <c r="C362" s="36" t="s">
        <v>5161</v>
      </c>
      <c r="D362" s="37">
        <v>84</v>
      </c>
      <c r="E362" s="36">
        <v>3</v>
      </c>
      <c r="F362" s="36" t="s">
        <v>5467</v>
      </c>
      <c r="G362" s="36" t="s">
        <v>5471</v>
      </c>
      <c r="J362" s="36" t="s">
        <v>28</v>
      </c>
      <c r="AD362" s="36" t="s">
        <v>4340</v>
      </c>
      <c r="AF362" s="36" t="s">
        <v>5472</v>
      </c>
      <c r="AP362" s="86"/>
      <c r="AQ362" s="88"/>
      <c r="AR362" s="89"/>
      <c r="AS362" s="90"/>
      <c r="AV362" s="88"/>
      <c r="AW362" s="96"/>
      <c r="AX362" s="97"/>
      <c r="AY362" s="93"/>
      <c r="BB362" s="94"/>
    </row>
    <row r="363" spans="1:62" ht="15" customHeight="1">
      <c r="A363" s="36" t="s">
        <v>5157</v>
      </c>
      <c r="B363" s="36" t="s">
        <v>5473</v>
      </c>
      <c r="C363" s="36" t="s">
        <v>5161</v>
      </c>
      <c r="D363" s="37">
        <v>85</v>
      </c>
      <c r="E363" s="36">
        <v>2</v>
      </c>
      <c r="F363" s="36" t="s">
        <v>5474</v>
      </c>
      <c r="G363" s="36" t="s">
        <v>5475</v>
      </c>
      <c r="J363" s="36" t="s">
        <v>28</v>
      </c>
      <c r="AD363" s="36" t="s">
        <v>5476</v>
      </c>
      <c r="AF363" s="36" t="s">
        <v>5477</v>
      </c>
      <c r="AP363" s="86"/>
      <c r="AQ363" s="88"/>
      <c r="AR363" s="89"/>
      <c r="AS363" s="90"/>
      <c r="AV363" s="88"/>
      <c r="AW363" s="96"/>
      <c r="AX363" s="97"/>
      <c r="AY363" s="93"/>
      <c r="BB363" s="94"/>
    </row>
    <row r="364" spans="1:62" ht="15" customHeight="1">
      <c r="A364" s="36" t="s">
        <v>5157</v>
      </c>
      <c r="B364" s="36" t="s">
        <v>5478</v>
      </c>
      <c r="C364" s="36" t="s">
        <v>5161</v>
      </c>
      <c r="D364" s="37">
        <v>86</v>
      </c>
      <c r="E364" s="36">
        <v>3</v>
      </c>
      <c r="F364" s="36" t="s">
        <v>5474</v>
      </c>
      <c r="G364" s="36" t="s">
        <v>5479</v>
      </c>
      <c r="J364" s="36" t="s">
        <v>29</v>
      </c>
      <c r="Q364" s="78">
        <v>2</v>
      </c>
      <c r="R364" s="79">
        <v>2</v>
      </c>
      <c r="T364" s="81">
        <v>2</v>
      </c>
      <c r="V364" s="82">
        <v>1</v>
      </c>
      <c r="W364" s="83">
        <v>1</v>
      </c>
      <c r="AD364" s="36" t="s">
        <v>5480</v>
      </c>
      <c r="AF364" s="36" t="s">
        <v>5481</v>
      </c>
      <c r="AP364" s="86"/>
      <c r="AQ364" s="88"/>
      <c r="AR364" s="89"/>
      <c r="AS364" s="90"/>
      <c r="AV364" s="88"/>
      <c r="AW364" s="96"/>
      <c r="AX364" s="97"/>
      <c r="AY364" s="93"/>
      <c r="BB364" s="94"/>
    </row>
    <row r="365" spans="1:62" ht="15" customHeight="1">
      <c r="A365" s="36" t="s">
        <v>5157</v>
      </c>
      <c r="B365" s="36" t="s">
        <v>5482</v>
      </c>
      <c r="C365" s="36" t="s">
        <v>5161</v>
      </c>
      <c r="D365" s="37">
        <v>87</v>
      </c>
      <c r="E365" s="36">
        <v>1</v>
      </c>
      <c r="F365" s="36" t="s">
        <v>5474</v>
      </c>
      <c r="G365" s="36" t="s">
        <v>5483</v>
      </c>
      <c r="J365" s="36" t="s">
        <v>29</v>
      </c>
      <c r="Q365" s="78">
        <v>4</v>
      </c>
      <c r="R365" s="79">
        <v>3</v>
      </c>
      <c r="T365" s="81">
        <v>3</v>
      </c>
      <c r="V365" s="82">
        <v>1</v>
      </c>
      <c r="W365" s="83">
        <v>2</v>
      </c>
      <c r="AA365" s="85">
        <v>1</v>
      </c>
      <c r="AD365" s="36" t="s">
        <v>5484</v>
      </c>
      <c r="AF365" s="36" t="s">
        <v>5485</v>
      </c>
      <c r="AP365" s="86"/>
      <c r="AQ365" s="88"/>
      <c r="AR365" s="89"/>
      <c r="AS365" s="90"/>
      <c r="AV365" s="88"/>
      <c r="AW365" s="96"/>
      <c r="AX365" s="97"/>
      <c r="AY365" s="93"/>
      <c r="BB365" s="94"/>
    </row>
    <row r="366" spans="1:62" ht="15" customHeight="1">
      <c r="A366" s="36" t="s">
        <v>5157</v>
      </c>
      <c r="B366" s="36" t="s">
        <v>5486</v>
      </c>
      <c r="C366" s="36" t="s">
        <v>5161</v>
      </c>
      <c r="D366" s="37">
        <v>88</v>
      </c>
      <c r="E366" s="36">
        <v>2</v>
      </c>
      <c r="F366" s="36" t="s">
        <v>5487</v>
      </c>
      <c r="G366" s="36" t="s">
        <v>5488</v>
      </c>
      <c r="J366" s="36" t="s">
        <v>28</v>
      </c>
      <c r="AD366" s="36" t="s">
        <v>4335</v>
      </c>
      <c r="AF366" s="36" t="s">
        <v>5489</v>
      </c>
      <c r="AP366" s="86"/>
      <c r="AQ366" s="88"/>
      <c r="AR366" s="89"/>
      <c r="AS366" s="90"/>
      <c r="AV366" s="88"/>
      <c r="AW366" s="96"/>
      <c r="AX366" s="97"/>
      <c r="AY366" s="93"/>
      <c r="BB366" s="94"/>
    </row>
    <row r="367" spans="1:62" ht="15" customHeight="1">
      <c r="A367" s="36" t="s">
        <v>5157</v>
      </c>
      <c r="B367" s="36" t="s">
        <v>5490</v>
      </c>
      <c r="C367" s="36" t="s">
        <v>5161</v>
      </c>
      <c r="D367" s="37">
        <v>89</v>
      </c>
      <c r="E367" s="36">
        <v>2</v>
      </c>
      <c r="F367" s="36" t="s">
        <v>5487</v>
      </c>
      <c r="G367" s="36" t="s">
        <v>5491</v>
      </c>
      <c r="J367" s="36" t="s">
        <v>28</v>
      </c>
      <c r="AD367" s="36" t="s">
        <v>4335</v>
      </c>
      <c r="AF367" s="36" t="s">
        <v>5492</v>
      </c>
      <c r="AP367" s="86"/>
      <c r="AQ367" s="88"/>
      <c r="AR367" s="89"/>
      <c r="AS367" s="90"/>
      <c r="AV367" s="88"/>
      <c r="AW367" s="96"/>
      <c r="AX367" s="97"/>
      <c r="AY367" s="93"/>
      <c r="BB367" s="94"/>
    </row>
    <row r="368" spans="1:62" ht="15" customHeight="1">
      <c r="A368" s="36" t="s">
        <v>5157</v>
      </c>
      <c r="B368" s="36" t="s">
        <v>5493</v>
      </c>
      <c r="C368" s="36" t="s">
        <v>5161</v>
      </c>
      <c r="D368" s="37">
        <v>90</v>
      </c>
      <c r="E368" s="36">
        <v>3</v>
      </c>
      <c r="F368" s="36" t="s">
        <v>5494</v>
      </c>
      <c r="G368" s="36" t="s">
        <v>5495</v>
      </c>
      <c r="J368" s="36" t="s">
        <v>29</v>
      </c>
      <c r="Q368" s="78">
        <v>2</v>
      </c>
      <c r="R368" s="79">
        <v>4</v>
      </c>
      <c r="T368" s="81">
        <v>1</v>
      </c>
      <c r="V368" s="82">
        <v>0</v>
      </c>
      <c r="W368" s="83">
        <v>1</v>
      </c>
      <c r="AD368" s="36" t="s">
        <v>30</v>
      </c>
      <c r="AF368" s="36" t="s">
        <v>5496</v>
      </c>
      <c r="AP368" s="86"/>
      <c r="AQ368" s="88"/>
      <c r="AR368" s="89"/>
      <c r="AS368" s="90"/>
      <c r="AV368" s="88"/>
      <c r="AW368" s="96"/>
      <c r="AX368" s="97"/>
      <c r="AY368" s="93"/>
      <c r="BB368" s="94"/>
    </row>
    <row r="369" spans="1:54" ht="15" customHeight="1">
      <c r="A369" s="36" t="s">
        <v>5157</v>
      </c>
      <c r="B369" s="36" t="s">
        <v>5497</v>
      </c>
      <c r="C369" s="36" t="s">
        <v>5161</v>
      </c>
      <c r="D369" s="37">
        <v>91</v>
      </c>
      <c r="E369" s="36">
        <v>2</v>
      </c>
      <c r="F369" s="36" t="s">
        <v>5494</v>
      </c>
      <c r="G369" s="36" t="s">
        <v>5498</v>
      </c>
      <c r="J369" s="36" t="s">
        <v>28</v>
      </c>
      <c r="AD369" s="36" t="s">
        <v>4346</v>
      </c>
      <c r="AF369" s="36" t="s">
        <v>5499</v>
      </c>
      <c r="AP369" s="86"/>
      <c r="AQ369" s="88"/>
      <c r="AR369" s="89"/>
      <c r="AS369" s="90"/>
      <c r="AV369" s="88"/>
      <c r="AW369" s="96"/>
      <c r="AX369" s="97"/>
      <c r="AY369" s="93"/>
      <c r="BB369" s="94"/>
    </row>
    <row r="370" spans="1:54" ht="15" customHeight="1">
      <c r="A370" s="36" t="s">
        <v>5157</v>
      </c>
      <c r="B370" s="36" t="s">
        <v>5500</v>
      </c>
      <c r="C370" s="36" t="s">
        <v>5161</v>
      </c>
      <c r="D370" s="37">
        <v>92</v>
      </c>
      <c r="E370" s="36">
        <v>3</v>
      </c>
      <c r="F370" s="36" t="s">
        <v>5501</v>
      </c>
      <c r="G370" s="36" t="s">
        <v>5502</v>
      </c>
      <c r="J370" s="36" t="s">
        <v>28</v>
      </c>
      <c r="AD370" s="36" t="s">
        <v>4346</v>
      </c>
      <c r="AF370" s="36" t="s">
        <v>5503</v>
      </c>
      <c r="AP370" s="86"/>
      <c r="AQ370" s="88"/>
      <c r="AR370" s="89"/>
      <c r="AS370" s="90"/>
      <c r="AV370" s="88"/>
      <c r="AW370" s="96"/>
      <c r="AX370" s="97"/>
      <c r="AY370" s="93"/>
      <c r="BB370" s="94"/>
    </row>
    <row r="371" spans="1:54" ht="15" customHeight="1">
      <c r="A371" s="36" t="s">
        <v>5157</v>
      </c>
      <c r="B371" s="36" t="s">
        <v>5504</v>
      </c>
      <c r="C371" s="36" t="s">
        <v>5161</v>
      </c>
      <c r="D371" s="37">
        <v>93</v>
      </c>
      <c r="E371" s="36">
        <v>3</v>
      </c>
      <c r="F371" s="36" t="s">
        <v>5501</v>
      </c>
      <c r="G371" s="36" t="s">
        <v>5505</v>
      </c>
      <c r="J371" s="36" t="s">
        <v>28</v>
      </c>
      <c r="AD371" s="36" t="s">
        <v>4346</v>
      </c>
      <c r="AF371" s="36" t="s">
        <v>5506</v>
      </c>
      <c r="AP371" s="86"/>
      <c r="AQ371" s="88"/>
      <c r="AR371" s="89"/>
      <c r="AS371" s="90"/>
      <c r="AV371" s="88"/>
      <c r="AW371" s="96"/>
      <c r="AX371" s="97"/>
      <c r="AY371" s="93"/>
      <c r="BB371" s="94"/>
    </row>
    <row r="372" spans="1:54" ht="15" customHeight="1">
      <c r="A372" s="36" t="s">
        <v>5157</v>
      </c>
      <c r="B372" s="36" t="s">
        <v>5507</v>
      </c>
      <c r="C372" s="36" t="s">
        <v>5161</v>
      </c>
      <c r="D372" s="37">
        <v>94</v>
      </c>
      <c r="E372" s="36">
        <v>2</v>
      </c>
      <c r="F372" s="36" t="s">
        <v>5508</v>
      </c>
      <c r="G372" s="36" t="s">
        <v>5509</v>
      </c>
      <c r="J372" s="36" t="s">
        <v>29</v>
      </c>
      <c r="Q372" s="78">
        <v>5</v>
      </c>
      <c r="R372" s="79">
        <v>3</v>
      </c>
      <c r="T372" s="81">
        <v>4</v>
      </c>
      <c r="V372" s="82">
        <v>1</v>
      </c>
      <c r="W372" s="83">
        <v>1</v>
      </c>
      <c r="AD372" s="36" t="s">
        <v>5510</v>
      </c>
      <c r="AF372" s="36" t="s">
        <v>5511</v>
      </c>
      <c r="AP372" s="86"/>
      <c r="AQ372" s="88"/>
      <c r="AR372" s="89"/>
      <c r="AS372" s="90"/>
      <c r="AV372" s="88"/>
      <c r="AW372" s="96"/>
      <c r="AX372" s="97"/>
      <c r="AY372" s="93"/>
      <c r="BB372" s="94"/>
    </row>
    <row r="373" spans="1:54" ht="15" customHeight="1">
      <c r="A373" s="36" t="s">
        <v>5157</v>
      </c>
      <c r="B373" s="36" t="s">
        <v>5512</v>
      </c>
      <c r="C373" s="36" t="s">
        <v>5161</v>
      </c>
      <c r="D373" s="37">
        <v>95</v>
      </c>
      <c r="E373" s="36">
        <v>2</v>
      </c>
      <c r="F373" s="36" t="s">
        <v>5508</v>
      </c>
      <c r="G373" s="36" t="s">
        <v>5513</v>
      </c>
      <c r="J373" s="36" t="s">
        <v>29</v>
      </c>
      <c r="Q373" s="78">
        <v>4</v>
      </c>
      <c r="R373" s="79">
        <v>4</v>
      </c>
      <c r="T373" s="81">
        <v>3</v>
      </c>
      <c r="V373" s="82">
        <v>1</v>
      </c>
      <c r="W373" s="83">
        <v>1</v>
      </c>
      <c r="AD373" s="36" t="s">
        <v>5510</v>
      </c>
      <c r="AF373" s="36" t="s">
        <v>5514</v>
      </c>
      <c r="AP373" s="86"/>
      <c r="AQ373" s="88"/>
      <c r="AR373" s="89"/>
      <c r="AS373" s="90"/>
      <c r="AV373" s="88"/>
      <c r="AW373" s="96"/>
      <c r="AX373" s="97"/>
      <c r="AY373" s="93"/>
      <c r="BB373" s="94"/>
    </row>
    <row r="374" spans="1:54" ht="15" customHeight="1">
      <c r="A374" s="36" t="s">
        <v>5157</v>
      </c>
      <c r="B374" s="36" t="s">
        <v>5515</v>
      </c>
      <c r="C374" s="36" t="s">
        <v>5161</v>
      </c>
      <c r="D374" s="37">
        <v>96</v>
      </c>
      <c r="E374" s="36">
        <v>2</v>
      </c>
      <c r="F374" s="36" t="s">
        <v>5508</v>
      </c>
      <c r="G374" s="36" t="s">
        <v>5516</v>
      </c>
      <c r="J374" s="36" t="s">
        <v>28</v>
      </c>
      <c r="AD374" s="36" t="s">
        <v>5517</v>
      </c>
      <c r="AF374" s="36" t="s">
        <v>5518</v>
      </c>
      <c r="AP374" s="86"/>
      <c r="AQ374" s="88"/>
      <c r="AR374" s="89"/>
      <c r="AS374" s="90"/>
      <c r="AV374" s="88"/>
      <c r="AW374" s="96"/>
      <c r="AX374" s="97"/>
      <c r="AY374" s="93"/>
      <c r="BB374" s="94"/>
    </row>
    <row r="375" spans="1:54" ht="15" customHeight="1">
      <c r="A375" s="36" t="s">
        <v>5157</v>
      </c>
      <c r="B375" s="36" t="s">
        <v>5519</v>
      </c>
      <c r="C375" s="36" t="s">
        <v>5161</v>
      </c>
      <c r="D375" s="37">
        <v>97</v>
      </c>
      <c r="E375" s="36">
        <v>2</v>
      </c>
      <c r="F375" s="36" t="s">
        <v>5520</v>
      </c>
      <c r="G375" s="36" t="s">
        <v>5521</v>
      </c>
      <c r="J375" s="36" t="s">
        <v>29</v>
      </c>
      <c r="Q375" s="78">
        <v>4</v>
      </c>
      <c r="R375" s="79">
        <v>2</v>
      </c>
      <c r="T375" s="81">
        <v>2</v>
      </c>
      <c r="V375" s="82">
        <v>2</v>
      </c>
      <c r="W375" s="83">
        <v>0</v>
      </c>
      <c r="AD375" s="36" t="s">
        <v>5522</v>
      </c>
      <c r="AF375" s="36" t="s">
        <v>5523</v>
      </c>
      <c r="AP375" s="86"/>
      <c r="AQ375" s="88"/>
      <c r="AR375" s="89"/>
      <c r="AS375" s="90"/>
      <c r="AV375" s="88"/>
      <c r="AW375" s="96"/>
      <c r="AX375" s="97"/>
      <c r="AY375" s="93"/>
      <c r="BB375" s="94"/>
    </row>
    <row r="376" spans="1:54" ht="15" customHeight="1">
      <c r="A376" s="36" t="s">
        <v>5157</v>
      </c>
      <c r="B376" s="36" t="s">
        <v>5524</v>
      </c>
      <c r="C376" s="36" t="s">
        <v>5161</v>
      </c>
      <c r="D376" s="37">
        <v>98</v>
      </c>
      <c r="E376" s="36">
        <v>2</v>
      </c>
      <c r="F376" s="36" t="s">
        <v>5520</v>
      </c>
      <c r="G376" s="36" t="s">
        <v>5525</v>
      </c>
      <c r="J376" s="36" t="s">
        <v>29</v>
      </c>
      <c r="Q376" s="78">
        <v>2</v>
      </c>
      <c r="R376" s="79">
        <v>2</v>
      </c>
      <c r="T376" s="81">
        <v>2</v>
      </c>
      <c r="V376" s="82">
        <v>1</v>
      </c>
      <c r="W376" s="83">
        <v>0</v>
      </c>
      <c r="AD376" s="36" t="s">
        <v>5522</v>
      </c>
      <c r="AF376" s="36" t="s">
        <v>5526</v>
      </c>
      <c r="AP376" s="86"/>
      <c r="AQ376" s="88"/>
      <c r="AR376" s="89"/>
      <c r="AS376" s="90"/>
      <c r="AV376" s="88"/>
      <c r="AW376" s="96"/>
      <c r="AX376" s="97"/>
      <c r="AY376" s="93"/>
      <c r="BB376" s="94"/>
    </row>
    <row r="377" spans="1:54" ht="15" customHeight="1">
      <c r="A377" s="36" t="s">
        <v>5157</v>
      </c>
      <c r="B377" s="36" t="s">
        <v>5527</v>
      </c>
      <c r="C377" s="36" t="s">
        <v>5161</v>
      </c>
      <c r="D377" s="37">
        <v>99</v>
      </c>
      <c r="E377" s="36">
        <v>2</v>
      </c>
      <c r="F377" s="36" t="s">
        <v>5520</v>
      </c>
      <c r="G377" s="36" t="s">
        <v>5528</v>
      </c>
      <c r="J377" s="36" t="s">
        <v>28</v>
      </c>
      <c r="AD377" s="36" t="s">
        <v>4161</v>
      </c>
      <c r="AF377" s="36" t="s">
        <v>5529</v>
      </c>
      <c r="AP377" s="86"/>
      <c r="AQ377" s="88"/>
      <c r="AR377" s="89"/>
      <c r="AS377" s="90"/>
      <c r="AV377" s="88"/>
      <c r="AW377" s="96"/>
      <c r="AX377" s="97"/>
      <c r="AY377" s="93"/>
      <c r="BB377" s="94"/>
    </row>
    <row r="378" spans="1:54" ht="15" customHeight="1">
      <c r="A378" s="36" t="s">
        <v>5157</v>
      </c>
      <c r="B378" s="36" t="s">
        <v>5530</v>
      </c>
      <c r="C378" s="36" t="s">
        <v>5161</v>
      </c>
      <c r="D378" s="37">
        <v>100</v>
      </c>
      <c r="E378" s="36">
        <v>2</v>
      </c>
      <c r="F378" s="36" t="s">
        <v>5531</v>
      </c>
      <c r="G378" s="36" t="s">
        <v>5532</v>
      </c>
      <c r="J378" s="36" t="s">
        <v>28</v>
      </c>
      <c r="AD378" s="36" t="s">
        <v>4340</v>
      </c>
      <c r="AF378" s="36" t="s">
        <v>5533</v>
      </c>
      <c r="AP378" s="86"/>
      <c r="AQ378" s="88"/>
      <c r="AR378" s="89"/>
      <c r="AS378" s="90"/>
      <c r="AV378" s="88"/>
      <c r="AW378" s="96"/>
      <c r="AX378" s="97"/>
      <c r="AY378" s="93"/>
      <c r="BB378" s="94"/>
    </row>
    <row r="379" spans="1:54" ht="15" customHeight="1">
      <c r="A379" s="36" t="s">
        <v>5157</v>
      </c>
      <c r="B379" s="36" t="s">
        <v>5534</v>
      </c>
      <c r="C379" s="36" t="s">
        <v>5161</v>
      </c>
      <c r="D379" s="37">
        <v>101</v>
      </c>
      <c r="E379" s="36">
        <v>2</v>
      </c>
      <c r="F379" s="36" t="s">
        <v>5531</v>
      </c>
      <c r="G379" s="36" t="s">
        <v>5535</v>
      </c>
      <c r="J379" s="36" t="s">
        <v>28</v>
      </c>
      <c r="AD379" s="36" t="s">
        <v>5536</v>
      </c>
      <c r="AF379" s="36" t="s">
        <v>5537</v>
      </c>
      <c r="AP379" s="86"/>
      <c r="AQ379" s="88"/>
      <c r="AR379" s="89"/>
      <c r="AS379" s="90"/>
      <c r="AV379" s="88"/>
      <c r="AW379" s="96"/>
      <c r="AX379" s="97"/>
      <c r="AY379" s="93"/>
      <c r="BB379" s="94"/>
    </row>
    <row r="380" spans="1:54" ht="15" customHeight="1">
      <c r="A380" s="36" t="s">
        <v>5157</v>
      </c>
      <c r="B380" s="36" t="s">
        <v>5538</v>
      </c>
      <c r="C380" s="36" t="s">
        <v>5161</v>
      </c>
      <c r="D380" s="37">
        <v>102</v>
      </c>
      <c r="E380" s="36">
        <v>2</v>
      </c>
      <c r="F380" s="36" t="s">
        <v>5531</v>
      </c>
      <c r="G380" s="36" t="s">
        <v>5539</v>
      </c>
      <c r="J380" s="36" t="s">
        <v>28</v>
      </c>
      <c r="AD380" s="36" t="s">
        <v>5540</v>
      </c>
      <c r="AF380" s="36" t="s">
        <v>5541</v>
      </c>
      <c r="AP380" s="86"/>
      <c r="AQ380" s="88"/>
      <c r="AR380" s="89"/>
      <c r="AS380" s="90"/>
      <c r="AV380" s="88"/>
      <c r="AW380" s="96"/>
      <c r="AX380" s="97"/>
      <c r="AY380" s="93"/>
      <c r="BB380" s="94"/>
    </row>
    <row r="381" spans="1:54" ht="15" customHeight="1">
      <c r="A381" s="36" t="s">
        <v>5157</v>
      </c>
      <c r="B381" s="36" t="s">
        <v>5542</v>
      </c>
      <c r="C381" s="36" t="s">
        <v>5161</v>
      </c>
      <c r="D381" s="37">
        <v>103</v>
      </c>
      <c r="E381" s="36">
        <v>2</v>
      </c>
      <c r="F381" s="36" t="s">
        <v>5543</v>
      </c>
      <c r="G381" s="36" t="s">
        <v>5544</v>
      </c>
      <c r="J381" s="36" t="s">
        <v>29</v>
      </c>
      <c r="Q381" s="78">
        <v>1</v>
      </c>
      <c r="R381" s="79">
        <v>4</v>
      </c>
      <c r="T381" s="81">
        <v>6</v>
      </c>
      <c r="V381" s="82">
        <v>1</v>
      </c>
      <c r="W381" s="83">
        <v>1</v>
      </c>
      <c r="AD381" s="36" t="s">
        <v>5545</v>
      </c>
      <c r="AF381" s="36" t="s">
        <v>5546</v>
      </c>
      <c r="AP381" s="86"/>
      <c r="AQ381" s="88"/>
      <c r="AR381" s="89"/>
      <c r="AS381" s="90"/>
      <c r="AV381" s="88"/>
      <c r="AW381" s="96"/>
      <c r="AX381" s="97"/>
      <c r="AY381" s="93"/>
      <c r="BB381" s="94"/>
    </row>
    <row r="382" spans="1:54" ht="15" customHeight="1">
      <c r="A382" s="36" t="s">
        <v>5157</v>
      </c>
      <c r="B382" s="36" t="s">
        <v>5547</v>
      </c>
      <c r="C382" s="36" t="s">
        <v>5161</v>
      </c>
      <c r="D382" s="37">
        <v>104</v>
      </c>
      <c r="E382" s="36">
        <v>1</v>
      </c>
      <c r="F382" s="36" t="s">
        <v>5543</v>
      </c>
      <c r="G382" s="36" t="s">
        <v>5548</v>
      </c>
      <c r="J382" s="36" t="s">
        <v>29</v>
      </c>
      <c r="Q382" s="78">
        <v>4</v>
      </c>
      <c r="R382" s="79">
        <v>2</v>
      </c>
      <c r="T382" s="81">
        <v>5</v>
      </c>
      <c r="V382" s="82">
        <v>2</v>
      </c>
      <c r="W382" s="83">
        <v>2</v>
      </c>
      <c r="AA382" s="85">
        <v>1</v>
      </c>
      <c r="AD382" s="36" t="s">
        <v>5545</v>
      </c>
      <c r="AF382" s="36" t="s">
        <v>5549</v>
      </c>
      <c r="AP382" s="86"/>
      <c r="AQ382" s="88"/>
      <c r="AR382" s="89"/>
      <c r="AS382" s="90"/>
      <c r="AV382" s="88"/>
      <c r="AW382" s="96"/>
      <c r="AX382" s="97"/>
      <c r="AY382" s="93"/>
      <c r="BB382" s="94"/>
    </row>
    <row r="383" spans="1:54" ht="15" customHeight="1">
      <c r="A383" s="36" t="s">
        <v>5157</v>
      </c>
      <c r="B383" s="41" t="s">
        <v>5562</v>
      </c>
      <c r="C383" s="41" t="s">
        <v>5161</v>
      </c>
      <c r="D383" s="44">
        <v>995</v>
      </c>
      <c r="E383" s="41">
        <v>1</v>
      </c>
      <c r="F383" s="41"/>
      <c r="G383" s="36" t="s">
        <v>5162</v>
      </c>
      <c r="J383" s="36" t="s">
        <v>4715</v>
      </c>
      <c r="K383" s="36" t="s">
        <v>4052</v>
      </c>
      <c r="N383" s="86"/>
      <c r="O383" s="88"/>
      <c r="P383" s="89"/>
      <c r="Q383" s="90"/>
      <c r="U383" s="88"/>
      <c r="V383" s="96"/>
      <c r="W383" s="97"/>
      <c r="X383" s="93"/>
      <c r="AA383" s="94"/>
      <c r="AB383" s="55"/>
      <c r="AE383" s="36"/>
      <c r="AI383" s="36" t="s">
        <v>5162</v>
      </c>
      <c r="AL383" s="36" t="s">
        <v>4715</v>
      </c>
      <c r="AP383" s="86"/>
      <c r="AQ383" s="88"/>
      <c r="AR383" s="89"/>
      <c r="AS383" s="90"/>
      <c r="AV383" s="88"/>
      <c r="AW383" s="96"/>
      <c r="AX383" s="97"/>
      <c r="AY383" s="93"/>
      <c r="BB383" s="94"/>
    </row>
    <row r="384" spans="1:54" ht="15" customHeight="1">
      <c r="A384" s="36" t="s">
        <v>5157</v>
      </c>
      <c r="B384" s="36" t="s">
        <v>5563</v>
      </c>
      <c r="C384" s="36" t="s">
        <v>5161</v>
      </c>
      <c r="D384" s="37">
        <v>996</v>
      </c>
      <c r="E384" s="36">
        <v>1</v>
      </c>
      <c r="G384" s="36" t="s">
        <v>5169</v>
      </c>
      <c r="J384" s="36" t="s">
        <v>4715</v>
      </c>
      <c r="K384" s="36" t="s">
        <v>4053</v>
      </c>
      <c r="N384" s="86"/>
      <c r="O384" s="88"/>
      <c r="P384" s="89"/>
      <c r="Q384" s="90"/>
      <c r="U384" s="88"/>
      <c r="V384" s="96"/>
      <c r="W384" s="97"/>
      <c r="X384" s="93"/>
      <c r="AA384" s="94"/>
      <c r="AB384" s="55"/>
      <c r="AE384" s="36"/>
      <c r="AI384" s="36" t="s">
        <v>5169</v>
      </c>
      <c r="AL384" s="36" t="s">
        <v>4715</v>
      </c>
      <c r="AP384" s="86"/>
      <c r="AQ384" s="88"/>
      <c r="AR384" s="89"/>
      <c r="AS384" s="90"/>
      <c r="AV384" s="88"/>
      <c r="AW384" s="96"/>
      <c r="AX384" s="97"/>
      <c r="AY384" s="93"/>
      <c r="BB384" s="94"/>
    </row>
    <row r="385" spans="1:68" ht="15" customHeight="1">
      <c r="A385" s="36" t="s">
        <v>5157</v>
      </c>
      <c r="B385" s="36" t="s">
        <v>5564</v>
      </c>
      <c r="C385" s="36" t="s">
        <v>5161</v>
      </c>
      <c r="D385" s="37">
        <v>997</v>
      </c>
      <c r="E385" s="36">
        <v>1</v>
      </c>
      <c r="G385" s="36" t="s">
        <v>5176</v>
      </c>
      <c r="J385" s="36" t="s">
        <v>4715</v>
      </c>
      <c r="K385" s="36" t="s">
        <v>4055</v>
      </c>
      <c r="N385" s="86"/>
      <c r="O385" s="88"/>
      <c r="P385" s="89"/>
      <c r="Q385" s="90"/>
      <c r="U385" s="88"/>
      <c r="V385" s="96"/>
      <c r="W385" s="97"/>
      <c r="X385" s="93"/>
      <c r="AA385" s="94"/>
      <c r="AB385" s="55"/>
      <c r="AE385" s="36"/>
      <c r="AI385" s="36" t="s">
        <v>5176</v>
      </c>
      <c r="AL385" s="36" t="s">
        <v>4715</v>
      </c>
      <c r="AP385" s="86"/>
      <c r="AQ385" s="88"/>
      <c r="AR385" s="89"/>
      <c r="AS385" s="90"/>
      <c r="AV385" s="88"/>
      <c r="AW385" s="96"/>
      <c r="AX385" s="97"/>
      <c r="AY385" s="93"/>
      <c r="BB385" s="94"/>
    </row>
    <row r="386" spans="1:68" ht="15" customHeight="1">
      <c r="A386" s="36" t="s">
        <v>5157</v>
      </c>
      <c r="B386" s="43" t="s">
        <v>5565</v>
      </c>
      <c r="C386" s="36" t="s">
        <v>5161</v>
      </c>
      <c r="D386" s="37">
        <v>998</v>
      </c>
      <c r="E386" s="36">
        <v>1</v>
      </c>
      <c r="G386" s="36" t="s">
        <v>5182</v>
      </c>
      <c r="J386" s="36" t="s">
        <v>4715</v>
      </c>
      <c r="K386" s="36" t="s">
        <v>4054</v>
      </c>
      <c r="N386" s="86"/>
      <c r="O386" s="88"/>
      <c r="P386" s="89"/>
      <c r="Q386" s="90"/>
      <c r="U386" s="88"/>
      <c r="V386" s="96"/>
      <c r="W386" s="97"/>
      <c r="X386" s="93"/>
      <c r="AA386" s="94"/>
      <c r="AB386" s="55"/>
      <c r="AE386" s="36"/>
      <c r="AI386" s="36" t="s">
        <v>5182</v>
      </c>
      <c r="AL386" s="36" t="s">
        <v>4715</v>
      </c>
      <c r="AP386" s="86"/>
      <c r="AQ386" s="88"/>
      <c r="AR386" s="89"/>
      <c r="AS386" s="90"/>
      <c r="AV386" s="88"/>
      <c r="AW386" s="96"/>
      <c r="AX386" s="97"/>
      <c r="AY386" s="93"/>
      <c r="BB386" s="94"/>
    </row>
    <row r="387" spans="1:68" s="45" customFormat="1" ht="15" customHeight="1">
      <c r="A387" s="36" t="s">
        <v>5157</v>
      </c>
      <c r="B387" s="45" t="s">
        <v>5566</v>
      </c>
      <c r="C387" s="45" t="s">
        <v>5161</v>
      </c>
      <c r="D387" s="45">
        <v>999</v>
      </c>
      <c r="E387" s="45">
        <v>1</v>
      </c>
      <c r="G387" s="36" t="s">
        <v>5188</v>
      </c>
      <c r="J387" s="45" t="s">
        <v>4715</v>
      </c>
      <c r="K387" s="45" t="s">
        <v>4056</v>
      </c>
      <c r="N387" s="98"/>
      <c r="O387" s="99"/>
      <c r="P387" s="100"/>
      <c r="Q387" s="101"/>
      <c r="R387" s="102"/>
      <c r="S387" s="126"/>
      <c r="T387" s="103"/>
      <c r="U387" s="99"/>
      <c r="V387" s="104"/>
      <c r="W387" s="105"/>
      <c r="X387" s="106"/>
      <c r="Y387" s="102"/>
      <c r="Z387" s="103"/>
      <c r="AA387" s="107"/>
      <c r="AI387" s="36" t="s">
        <v>5188</v>
      </c>
      <c r="AL387" s="45" t="s">
        <v>4715</v>
      </c>
      <c r="AP387" s="98"/>
      <c r="AQ387" s="99"/>
      <c r="AR387" s="100"/>
      <c r="AS387" s="101"/>
      <c r="AT387" s="102"/>
      <c r="AU387" s="103"/>
      <c r="AV387" s="99"/>
      <c r="AW387" s="104"/>
      <c r="AX387" s="105"/>
      <c r="AY387" s="106"/>
      <c r="AZ387" s="102"/>
      <c r="BA387" s="103"/>
      <c r="BB387" s="107"/>
      <c r="BF387" s="38"/>
    </row>
    <row r="388" spans="1:68" ht="15" customHeight="1">
      <c r="A388" s="54" t="s">
        <v>5568</v>
      </c>
      <c r="B388" s="54" t="s">
        <v>5750</v>
      </c>
      <c r="C388" s="54" t="s">
        <v>5829</v>
      </c>
      <c r="D388" s="66">
        <v>105</v>
      </c>
      <c r="E388" s="67">
        <v>2</v>
      </c>
      <c r="F388" s="67"/>
      <c r="G388" s="67" t="s">
        <v>5574</v>
      </c>
      <c r="H388" s="46"/>
      <c r="I388" s="46"/>
      <c r="J388" s="46" t="s">
        <v>27</v>
      </c>
      <c r="K388" s="46" t="s">
        <v>4052</v>
      </c>
      <c r="L388" s="46"/>
      <c r="M388" s="46"/>
      <c r="N388" s="117">
        <v>2</v>
      </c>
      <c r="O388" s="118"/>
      <c r="P388" s="119"/>
      <c r="Q388" s="120"/>
      <c r="R388" s="80"/>
      <c r="U388" s="118"/>
      <c r="V388" s="121"/>
      <c r="W388" s="122"/>
      <c r="X388" s="123"/>
      <c r="Y388" s="80"/>
      <c r="AA388" s="124"/>
      <c r="AB388" s="65" t="s">
        <v>4943</v>
      </c>
      <c r="AC388" s="46"/>
      <c r="AD388" s="46" t="s">
        <v>5575</v>
      </c>
      <c r="AF388" s="36" t="s">
        <v>5576</v>
      </c>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15" customHeight="1">
      <c r="A389" s="36" t="s">
        <v>5568</v>
      </c>
      <c r="B389" s="36" t="s">
        <v>5751</v>
      </c>
      <c r="C389" s="36" t="s">
        <v>5829</v>
      </c>
      <c r="D389" s="68">
        <v>106</v>
      </c>
      <c r="E389" s="46">
        <v>2</v>
      </c>
      <c r="F389" s="46"/>
      <c r="G389" s="46" t="s">
        <v>5577</v>
      </c>
      <c r="H389" s="46"/>
      <c r="I389" s="46" t="s">
        <v>4077</v>
      </c>
      <c r="J389" s="46" t="s">
        <v>4111</v>
      </c>
      <c r="K389" s="46" t="s">
        <v>4052</v>
      </c>
      <c r="L389" s="46">
        <v>1</v>
      </c>
      <c r="M389" s="46"/>
      <c r="N389" s="117">
        <v>5</v>
      </c>
      <c r="O389" s="118"/>
      <c r="P389" s="119"/>
      <c r="Q389" s="120"/>
      <c r="R389" s="80"/>
      <c r="T389" s="81">
        <v>3</v>
      </c>
      <c r="U389" s="118">
        <v>3</v>
      </c>
      <c r="V389" s="121"/>
      <c r="W389" s="122"/>
      <c r="X389" s="123"/>
      <c r="Y389" s="80"/>
      <c r="AA389" s="124"/>
      <c r="AB389" s="65" t="s">
        <v>4058</v>
      </c>
      <c r="AC389" s="46" t="s">
        <v>25</v>
      </c>
      <c r="AD389" s="46" t="s">
        <v>5578</v>
      </c>
      <c r="AF389" s="36" t="s">
        <v>5579</v>
      </c>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15" customHeight="1">
      <c r="A390" s="36" t="s">
        <v>5568</v>
      </c>
      <c r="B390" s="36" t="s">
        <v>5752</v>
      </c>
      <c r="C390" s="36" t="s">
        <v>5829</v>
      </c>
      <c r="D390" s="68">
        <v>107</v>
      </c>
      <c r="E390" s="46">
        <v>2</v>
      </c>
      <c r="F390" s="46"/>
      <c r="G390" s="46" t="s">
        <v>5580</v>
      </c>
      <c r="H390" s="46"/>
      <c r="I390" s="46"/>
      <c r="J390" s="46" t="s">
        <v>27</v>
      </c>
      <c r="K390" s="46" t="s">
        <v>4053</v>
      </c>
      <c r="L390" s="46"/>
      <c r="M390" s="46"/>
      <c r="N390" s="117">
        <v>3</v>
      </c>
      <c r="O390" s="118"/>
      <c r="P390" s="119"/>
      <c r="Q390" s="120"/>
      <c r="R390" s="80"/>
      <c r="U390" s="118"/>
      <c r="V390" s="121"/>
      <c r="W390" s="122"/>
      <c r="X390" s="123"/>
      <c r="Y390" s="80"/>
      <c r="AA390" s="124"/>
      <c r="AB390" s="65" t="s">
        <v>4945</v>
      </c>
      <c r="AC390" s="46"/>
      <c r="AD390" s="46" t="s">
        <v>4198</v>
      </c>
      <c r="AF390" s="36" t="s">
        <v>5581</v>
      </c>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15" customHeight="1">
      <c r="A391" s="36" t="s">
        <v>5568</v>
      </c>
      <c r="B391" s="36" t="s">
        <v>5753</v>
      </c>
      <c r="C391" s="36" t="s">
        <v>5829</v>
      </c>
      <c r="D391" s="68">
        <v>108</v>
      </c>
      <c r="E391" s="46">
        <v>2</v>
      </c>
      <c r="F391" s="46"/>
      <c r="G391" s="46" t="s">
        <v>5582</v>
      </c>
      <c r="H391" s="46"/>
      <c r="I391" s="46"/>
      <c r="J391" s="46" t="s">
        <v>4111</v>
      </c>
      <c r="K391" s="46" t="s">
        <v>4053</v>
      </c>
      <c r="L391" s="46">
        <v>1</v>
      </c>
      <c r="M391" s="46"/>
      <c r="N391" s="117">
        <v>3</v>
      </c>
      <c r="O391" s="118"/>
      <c r="P391" s="119"/>
      <c r="Q391" s="120"/>
      <c r="R391" s="80"/>
      <c r="U391" s="118"/>
      <c r="V391" s="121"/>
      <c r="W391" s="122"/>
      <c r="X391" s="123"/>
      <c r="Y391" s="80"/>
      <c r="AA391" s="124"/>
      <c r="AB391" s="65" t="s">
        <v>4061</v>
      </c>
      <c r="AC391" s="46"/>
      <c r="AD391" s="46" t="s">
        <v>4143</v>
      </c>
      <c r="AF391" s="36" t="s">
        <v>5583</v>
      </c>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15" customHeight="1">
      <c r="A392" s="36" t="s">
        <v>5568</v>
      </c>
      <c r="B392" s="36" t="s">
        <v>5754</v>
      </c>
      <c r="C392" s="36" t="s">
        <v>5829</v>
      </c>
      <c r="D392" s="68">
        <v>109</v>
      </c>
      <c r="E392" s="46">
        <v>2</v>
      </c>
      <c r="F392" s="46"/>
      <c r="G392" s="46" t="s">
        <v>5584</v>
      </c>
      <c r="H392" s="46"/>
      <c r="I392" s="46"/>
      <c r="J392" s="46" t="s">
        <v>27</v>
      </c>
      <c r="K392" s="46" t="s">
        <v>4055</v>
      </c>
      <c r="L392" s="46"/>
      <c r="M392" s="46"/>
      <c r="N392" s="117">
        <v>4</v>
      </c>
      <c r="O392" s="118"/>
      <c r="P392" s="119"/>
      <c r="Q392" s="120"/>
      <c r="R392" s="80"/>
      <c r="U392" s="118"/>
      <c r="V392" s="121"/>
      <c r="W392" s="122"/>
      <c r="X392" s="123"/>
      <c r="Y392" s="80"/>
      <c r="AA392" s="124"/>
      <c r="AB392" s="65" t="s">
        <v>4946</v>
      </c>
      <c r="AC392" s="46"/>
      <c r="AD392" s="46" t="s">
        <v>5585</v>
      </c>
      <c r="AF392" s="36" t="s">
        <v>5586</v>
      </c>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15" customHeight="1">
      <c r="A393" s="36" t="s">
        <v>5568</v>
      </c>
      <c r="B393" s="36" t="s">
        <v>5755</v>
      </c>
      <c r="C393" s="36" t="s">
        <v>5829</v>
      </c>
      <c r="D393" s="68">
        <v>110</v>
      </c>
      <c r="E393" s="46">
        <v>2</v>
      </c>
      <c r="F393" s="46"/>
      <c r="G393" s="46" t="s">
        <v>5587</v>
      </c>
      <c r="H393" s="46"/>
      <c r="I393" s="46"/>
      <c r="J393" s="46" t="s">
        <v>4111</v>
      </c>
      <c r="K393" s="46" t="s">
        <v>4055</v>
      </c>
      <c r="L393" s="46">
        <v>1</v>
      </c>
      <c r="M393" s="46"/>
      <c r="N393" s="117" t="s">
        <v>38</v>
      </c>
      <c r="O393" s="118"/>
      <c r="P393" s="119"/>
      <c r="Q393" s="120"/>
      <c r="R393" s="80"/>
      <c r="U393" s="118"/>
      <c r="V393" s="121"/>
      <c r="W393" s="122"/>
      <c r="X393" s="123"/>
      <c r="Y393" s="80"/>
      <c r="AA393" s="124"/>
      <c r="AB393" s="65"/>
      <c r="AC393" s="46"/>
      <c r="AD393" s="46" t="s">
        <v>4143</v>
      </c>
      <c r="AE393" s="37" t="s">
        <v>5832</v>
      </c>
      <c r="AF393" s="36" t="s">
        <v>6232</v>
      </c>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15" customHeight="1">
      <c r="A394" s="36" t="s">
        <v>5568</v>
      </c>
      <c r="B394" s="36" t="s">
        <v>5756</v>
      </c>
      <c r="C394" s="36" t="s">
        <v>5829</v>
      </c>
      <c r="D394" s="68">
        <v>111</v>
      </c>
      <c r="E394" s="46">
        <v>2</v>
      </c>
      <c r="F394" s="46"/>
      <c r="G394" s="46" t="s">
        <v>5588</v>
      </c>
      <c r="H394" s="46"/>
      <c r="I394" s="46"/>
      <c r="J394" s="46" t="s">
        <v>27</v>
      </c>
      <c r="K394" s="46" t="s">
        <v>4054</v>
      </c>
      <c r="L394" s="46"/>
      <c r="M394" s="46"/>
      <c r="N394" s="117">
        <v>1</v>
      </c>
      <c r="O394" s="118"/>
      <c r="P394" s="119"/>
      <c r="Q394" s="120"/>
      <c r="R394" s="80"/>
      <c r="U394" s="118"/>
      <c r="V394" s="121"/>
      <c r="W394" s="122"/>
      <c r="X394" s="123"/>
      <c r="Y394" s="80"/>
      <c r="AA394" s="124">
        <v>1</v>
      </c>
      <c r="AB394" s="65"/>
      <c r="AC394" s="46"/>
      <c r="AD394" s="46" t="s">
        <v>4194</v>
      </c>
      <c r="AF394" s="36" t="s">
        <v>5589</v>
      </c>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15" customHeight="1">
      <c r="A395" s="36" t="s">
        <v>5568</v>
      </c>
      <c r="B395" s="36" t="s">
        <v>5757</v>
      </c>
      <c r="C395" s="36" t="s">
        <v>5829</v>
      </c>
      <c r="D395" s="68">
        <v>112</v>
      </c>
      <c r="E395" s="46">
        <v>2</v>
      </c>
      <c r="F395" s="46"/>
      <c r="G395" s="46" t="s">
        <v>5590</v>
      </c>
      <c r="H395" s="46"/>
      <c r="I395" s="46"/>
      <c r="J395" s="46" t="s">
        <v>4111</v>
      </c>
      <c r="K395" s="46" t="s">
        <v>4054</v>
      </c>
      <c r="L395" s="46">
        <v>2</v>
      </c>
      <c r="M395" s="46"/>
      <c r="N395" s="117">
        <v>2</v>
      </c>
      <c r="O395" s="118"/>
      <c r="P395" s="119"/>
      <c r="Q395" s="120"/>
      <c r="R395" s="80"/>
      <c r="U395" s="118"/>
      <c r="V395" s="121"/>
      <c r="W395" s="122"/>
      <c r="X395" s="123"/>
      <c r="Y395" s="80"/>
      <c r="AA395" s="124"/>
      <c r="AB395" s="65" t="s">
        <v>4058</v>
      </c>
      <c r="AC395" s="46" t="s">
        <v>4232</v>
      </c>
      <c r="AD395" s="46" t="s">
        <v>4973</v>
      </c>
      <c r="AF395" s="36" t="s">
        <v>5591</v>
      </c>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15" customHeight="1">
      <c r="A396" s="36" t="s">
        <v>5568</v>
      </c>
      <c r="B396" s="36" t="s">
        <v>5758</v>
      </c>
      <c r="C396" s="36" t="s">
        <v>5829</v>
      </c>
      <c r="D396" s="68">
        <v>113</v>
      </c>
      <c r="E396" s="46">
        <v>2</v>
      </c>
      <c r="F396" s="46"/>
      <c r="G396" s="46" t="s">
        <v>5592</v>
      </c>
      <c r="H396" s="46"/>
      <c r="I396" s="46"/>
      <c r="J396" s="46" t="s">
        <v>27</v>
      </c>
      <c r="K396" s="46" t="s">
        <v>4056</v>
      </c>
      <c r="L396" s="46"/>
      <c r="M396" s="46"/>
      <c r="N396" s="117">
        <v>2</v>
      </c>
      <c r="O396" s="118"/>
      <c r="P396" s="119"/>
      <c r="Q396" s="120"/>
      <c r="R396" s="80"/>
      <c r="U396" s="118"/>
      <c r="V396" s="121"/>
      <c r="W396" s="122"/>
      <c r="X396" s="123"/>
      <c r="Y396" s="80"/>
      <c r="AA396" s="124"/>
      <c r="AB396" s="65" t="s">
        <v>4942</v>
      </c>
      <c r="AC396" s="46"/>
      <c r="AD396" s="46" t="s">
        <v>4226</v>
      </c>
      <c r="AF396" s="36" t="s">
        <v>5593</v>
      </c>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15" customHeight="1">
      <c r="A397" s="36" t="s">
        <v>5568</v>
      </c>
      <c r="B397" s="36" t="s">
        <v>5759</v>
      </c>
      <c r="C397" s="36" t="s">
        <v>5829</v>
      </c>
      <c r="D397" s="68">
        <v>114</v>
      </c>
      <c r="E397" s="46">
        <v>2</v>
      </c>
      <c r="F397" s="46"/>
      <c r="G397" s="46" t="s">
        <v>5594</v>
      </c>
      <c r="H397" s="46"/>
      <c r="I397" s="46"/>
      <c r="J397" s="46" t="s">
        <v>4111</v>
      </c>
      <c r="K397" s="46" t="s">
        <v>4056</v>
      </c>
      <c r="L397" s="46">
        <v>1</v>
      </c>
      <c r="M397" s="46"/>
      <c r="N397" s="117">
        <v>2</v>
      </c>
      <c r="O397" s="118"/>
      <c r="P397" s="119"/>
      <c r="Q397" s="120"/>
      <c r="R397" s="80"/>
      <c r="U397" s="118"/>
      <c r="V397" s="121"/>
      <c r="W397" s="122"/>
      <c r="X397" s="123"/>
      <c r="Y397" s="80"/>
      <c r="AA397" s="124"/>
      <c r="AB397" s="65" t="s">
        <v>4061</v>
      </c>
      <c r="AC397" s="46" t="s">
        <v>4112</v>
      </c>
      <c r="AD397" s="46" t="s">
        <v>5595</v>
      </c>
      <c r="AF397" s="36" t="s">
        <v>5596</v>
      </c>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15" customHeight="1">
      <c r="A398" s="36" t="s">
        <v>5568</v>
      </c>
      <c r="B398" s="36" t="s">
        <v>5760</v>
      </c>
      <c r="C398" s="36" t="s">
        <v>5829</v>
      </c>
      <c r="D398" s="68">
        <v>115</v>
      </c>
      <c r="E398" s="46">
        <v>2</v>
      </c>
      <c r="F398" s="46"/>
      <c r="G398" s="46" t="s">
        <v>5597</v>
      </c>
      <c r="H398" s="46"/>
      <c r="I398" s="46"/>
      <c r="J398" s="46" t="s">
        <v>27</v>
      </c>
      <c r="K398" s="46" t="s">
        <v>4056</v>
      </c>
      <c r="L398" s="46">
        <v>1</v>
      </c>
      <c r="M398" s="46"/>
      <c r="N398" s="117">
        <v>2</v>
      </c>
      <c r="O398" s="118"/>
      <c r="P398" s="119"/>
      <c r="Q398" s="120"/>
      <c r="R398" s="80"/>
      <c r="U398" s="118"/>
      <c r="V398" s="121"/>
      <c r="W398" s="122"/>
      <c r="X398" s="123"/>
      <c r="Y398" s="80"/>
      <c r="AA398" s="124"/>
      <c r="AB398" s="65" t="s">
        <v>4062</v>
      </c>
      <c r="AC398" s="46"/>
      <c r="AD398" s="46" t="s">
        <v>4161</v>
      </c>
      <c r="AF398" s="36" t="s">
        <v>5598</v>
      </c>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15" customHeight="1">
      <c r="A399" s="36" t="s">
        <v>5568</v>
      </c>
      <c r="B399" s="36" t="s">
        <v>5761</v>
      </c>
      <c r="C399" s="36" t="s">
        <v>5829</v>
      </c>
      <c r="D399" s="68">
        <v>116</v>
      </c>
      <c r="E399" s="46">
        <v>2</v>
      </c>
      <c r="F399" s="46"/>
      <c r="G399" s="46" t="s">
        <v>5599</v>
      </c>
      <c r="H399" s="46"/>
      <c r="I399" s="46"/>
      <c r="J399" s="46" t="s">
        <v>4111</v>
      </c>
      <c r="K399" s="46" t="s">
        <v>26</v>
      </c>
      <c r="L399" s="46">
        <v>0</v>
      </c>
      <c r="M399" s="46"/>
      <c r="N399" s="117">
        <v>1</v>
      </c>
      <c r="O399" s="118"/>
      <c r="P399" s="119"/>
      <c r="Q399" s="120"/>
      <c r="R399" s="80"/>
      <c r="U399" s="118"/>
      <c r="V399" s="121"/>
      <c r="W399" s="122"/>
      <c r="X399" s="123"/>
      <c r="Y399" s="80"/>
      <c r="AA399" s="124"/>
      <c r="AB399" s="65" t="s">
        <v>4058</v>
      </c>
      <c r="AC399" s="46"/>
      <c r="AD399" s="46" t="s">
        <v>4119</v>
      </c>
      <c r="AF399" s="36" t="s">
        <v>5600</v>
      </c>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15" customHeight="1">
      <c r="A400" s="36" t="s">
        <v>5568</v>
      </c>
      <c r="B400" s="36" t="s">
        <v>5762</v>
      </c>
      <c r="C400" s="36" t="s">
        <v>5829</v>
      </c>
      <c r="D400" s="68">
        <v>117</v>
      </c>
      <c r="E400" s="46">
        <v>2</v>
      </c>
      <c r="F400" s="46"/>
      <c r="G400" s="46" t="s">
        <v>5601</v>
      </c>
      <c r="H400" s="46"/>
      <c r="I400" s="46"/>
      <c r="J400" s="46" t="s">
        <v>4111</v>
      </c>
      <c r="K400" s="46" t="s">
        <v>26</v>
      </c>
      <c r="L400" s="46">
        <v>0</v>
      </c>
      <c r="M400" s="46"/>
      <c r="N400" s="117">
        <v>1</v>
      </c>
      <c r="O400" s="118"/>
      <c r="P400" s="119"/>
      <c r="Q400" s="120"/>
      <c r="R400" s="80"/>
      <c r="U400" s="118"/>
      <c r="V400" s="121"/>
      <c r="W400" s="122"/>
      <c r="X400" s="123"/>
      <c r="Y400" s="80"/>
      <c r="AA400" s="124"/>
      <c r="AB400" s="65" t="s">
        <v>4058</v>
      </c>
      <c r="AC400" s="46"/>
      <c r="AD400" s="46" t="s">
        <v>4119</v>
      </c>
      <c r="AF400" s="36" t="s">
        <v>5602</v>
      </c>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1:68" ht="15" customHeight="1">
      <c r="A401" s="36" t="s">
        <v>5568</v>
      </c>
      <c r="B401" s="36" t="s">
        <v>5763</v>
      </c>
      <c r="C401" s="36" t="s">
        <v>5829</v>
      </c>
      <c r="D401" s="68">
        <v>118</v>
      </c>
      <c r="E401" s="46">
        <v>1</v>
      </c>
      <c r="F401" s="46" t="s">
        <v>5569</v>
      </c>
      <c r="G401" s="46" t="s">
        <v>5569</v>
      </c>
      <c r="H401" s="46" t="s">
        <v>4563</v>
      </c>
      <c r="I401" s="46"/>
      <c r="J401" s="46" t="s">
        <v>4472</v>
      </c>
      <c r="K401" s="46"/>
      <c r="L401" s="46"/>
      <c r="N401" s="117"/>
      <c r="O401" s="118"/>
      <c r="P401" s="119"/>
      <c r="Q401" s="120"/>
      <c r="R401" s="80"/>
      <c r="U401" s="118"/>
      <c r="V401" s="121"/>
      <c r="W401" s="122"/>
      <c r="X401" s="123"/>
      <c r="Y401" s="80"/>
      <c r="AA401" s="124"/>
      <c r="AB401" s="65"/>
      <c r="AC401" s="46"/>
      <c r="AD401" s="46"/>
      <c r="AF401" s="36" t="s">
        <v>5603</v>
      </c>
      <c r="AH401" s="46"/>
      <c r="AI401" s="46" t="s">
        <v>5569</v>
      </c>
      <c r="AJ401" s="46" t="s">
        <v>4564</v>
      </c>
      <c r="AK401" s="46"/>
      <c r="AL401" s="46" t="s">
        <v>4472</v>
      </c>
      <c r="AM401" s="46"/>
      <c r="AN401" s="46"/>
      <c r="AO401" s="46"/>
      <c r="AP401" s="125"/>
      <c r="AQ401" s="118"/>
      <c r="AR401" s="119"/>
      <c r="AS401" s="120"/>
      <c r="AT401" s="80"/>
      <c r="AV401" s="118"/>
      <c r="AW401" s="121"/>
      <c r="AX401" s="122"/>
      <c r="AY401" s="123"/>
      <c r="AZ401" s="80"/>
      <c r="BB401" s="124"/>
      <c r="BC401" s="46"/>
      <c r="BD401" s="46"/>
      <c r="BE401" s="46"/>
      <c r="BG401" s="36" t="s">
        <v>5716</v>
      </c>
      <c r="BI401" s="46"/>
      <c r="BJ401" s="46"/>
      <c r="BK401" s="46"/>
      <c r="BL401" s="46"/>
      <c r="BM401" s="46"/>
      <c r="BN401" s="46"/>
      <c r="BO401" s="46"/>
      <c r="BP401" s="46"/>
    </row>
    <row r="402" spans="1:68" ht="15" customHeight="1">
      <c r="A402" s="36" t="s">
        <v>5568</v>
      </c>
      <c r="B402" s="36" t="s">
        <v>5764</v>
      </c>
      <c r="C402" s="36" t="s">
        <v>5829</v>
      </c>
      <c r="D402" s="68">
        <v>119</v>
      </c>
      <c r="E402" s="46">
        <v>1</v>
      </c>
      <c r="F402" s="46" t="s">
        <v>5569</v>
      </c>
      <c r="G402" s="46" t="s">
        <v>5604</v>
      </c>
      <c r="H402" s="46"/>
      <c r="I402" s="46"/>
      <c r="J402" s="46" t="s">
        <v>4473</v>
      </c>
      <c r="K402" s="46"/>
      <c r="L402" s="46">
        <v>1</v>
      </c>
      <c r="M402" s="46"/>
      <c r="N402" s="117"/>
      <c r="O402" s="118"/>
      <c r="P402" s="119"/>
      <c r="Q402" s="120"/>
      <c r="R402" s="80"/>
      <c r="U402" s="118"/>
      <c r="V402" s="121"/>
      <c r="W402" s="122"/>
      <c r="X402" s="123"/>
      <c r="Y402" s="80"/>
      <c r="Z402" s="81">
        <v>5</v>
      </c>
      <c r="AA402" s="124"/>
      <c r="AB402" s="65"/>
      <c r="AC402" s="46"/>
      <c r="AD402" s="46"/>
      <c r="AF402" s="36" t="s">
        <v>5605</v>
      </c>
      <c r="AH402" s="46"/>
      <c r="AI402" s="46" t="s">
        <v>5717</v>
      </c>
      <c r="AJ402" s="46"/>
      <c r="AK402" s="46"/>
      <c r="AL402" s="46" t="s">
        <v>4473</v>
      </c>
      <c r="AM402" s="46"/>
      <c r="AN402" s="46">
        <v>1</v>
      </c>
      <c r="AO402" s="46"/>
      <c r="AP402" s="125"/>
      <c r="AQ402" s="118"/>
      <c r="AR402" s="119"/>
      <c r="AS402" s="120"/>
      <c r="AT402" s="80"/>
      <c r="AV402" s="118"/>
      <c r="AW402" s="121"/>
      <c r="AX402" s="122"/>
      <c r="AY402" s="123"/>
      <c r="AZ402" s="80"/>
      <c r="BB402" s="124"/>
      <c r="BC402" s="46"/>
      <c r="BD402" s="46"/>
      <c r="BE402" s="46"/>
      <c r="BG402" s="36" t="s">
        <v>5718</v>
      </c>
      <c r="BI402" s="46"/>
      <c r="BJ402" s="46"/>
      <c r="BK402" s="46"/>
      <c r="BL402" s="46"/>
      <c r="BM402" s="46"/>
      <c r="BN402" s="46"/>
      <c r="BO402" s="46"/>
      <c r="BP402" s="46"/>
    </row>
    <row r="403" spans="1:68" ht="15" customHeight="1">
      <c r="A403" s="36" t="s">
        <v>5568</v>
      </c>
      <c r="B403" s="36" t="s">
        <v>5765</v>
      </c>
      <c r="C403" s="36" t="s">
        <v>5829</v>
      </c>
      <c r="D403" s="68">
        <v>120</v>
      </c>
      <c r="E403" s="46">
        <v>1</v>
      </c>
      <c r="F403" s="46" t="s">
        <v>5569</v>
      </c>
      <c r="G403" s="46" t="s">
        <v>5606</v>
      </c>
      <c r="H403" s="46"/>
      <c r="I403" s="46"/>
      <c r="J403" s="46" t="s">
        <v>4473</v>
      </c>
      <c r="K403" s="46"/>
      <c r="L403" s="46">
        <v>2</v>
      </c>
      <c r="M403" s="46"/>
      <c r="N403" s="117"/>
      <c r="O403" s="118"/>
      <c r="P403" s="119"/>
      <c r="Q403" s="120"/>
      <c r="R403" s="80"/>
      <c r="U403" s="118"/>
      <c r="V403" s="121"/>
      <c r="W403" s="122"/>
      <c r="X403" s="123"/>
      <c r="Y403" s="80"/>
      <c r="Z403" s="81">
        <v>7</v>
      </c>
      <c r="AA403" s="124"/>
      <c r="AB403" s="65"/>
      <c r="AC403" s="46"/>
      <c r="AD403" s="46"/>
      <c r="AF403" s="36" t="s">
        <v>5605</v>
      </c>
      <c r="AH403" s="46"/>
      <c r="AI403" s="46" t="s">
        <v>5528</v>
      </c>
      <c r="AJ403" s="46"/>
      <c r="AK403" s="46"/>
      <c r="AL403" s="46" t="s">
        <v>4473</v>
      </c>
      <c r="AM403" s="46"/>
      <c r="AN403" s="46">
        <v>2</v>
      </c>
      <c r="AO403" s="46"/>
      <c r="AP403" s="125"/>
      <c r="AQ403" s="118"/>
      <c r="AR403" s="119"/>
      <c r="AS403" s="120"/>
      <c r="AT403" s="80"/>
      <c r="AV403" s="118"/>
      <c r="AW403" s="121"/>
      <c r="AX403" s="122"/>
      <c r="AY403" s="123"/>
      <c r="AZ403" s="80"/>
      <c r="BB403" s="124"/>
      <c r="BC403" s="46"/>
      <c r="BD403" s="46"/>
      <c r="BE403" s="46"/>
      <c r="BG403" s="36" t="s">
        <v>5718</v>
      </c>
      <c r="BI403" s="46"/>
      <c r="BJ403" s="46"/>
      <c r="BK403" s="46"/>
      <c r="BL403" s="46"/>
      <c r="BM403" s="46"/>
      <c r="BN403" s="46"/>
      <c r="BO403" s="46"/>
      <c r="BP403" s="46"/>
    </row>
    <row r="404" spans="1:68" ht="15" customHeight="1">
      <c r="A404" s="36" t="s">
        <v>5568</v>
      </c>
      <c r="B404" s="36" t="s">
        <v>5766</v>
      </c>
      <c r="C404" s="36" t="s">
        <v>5829</v>
      </c>
      <c r="D404" s="68">
        <v>121</v>
      </c>
      <c r="E404" s="46">
        <v>1</v>
      </c>
      <c r="F404" s="46" t="s">
        <v>5569</v>
      </c>
      <c r="G404" s="46" t="s">
        <v>5607</v>
      </c>
      <c r="H404" s="46"/>
      <c r="I404" s="46"/>
      <c r="J404" s="46" t="s">
        <v>4473</v>
      </c>
      <c r="K404" s="46"/>
      <c r="L404" s="46">
        <v>3</v>
      </c>
      <c r="M404" s="46"/>
      <c r="N404" s="117"/>
      <c r="O404" s="118"/>
      <c r="P404" s="119"/>
      <c r="Q404" s="120"/>
      <c r="R404" s="80"/>
      <c r="U404" s="118"/>
      <c r="V404" s="121"/>
      <c r="W404" s="122"/>
      <c r="X404" s="123"/>
      <c r="Y404" s="80"/>
      <c r="Z404" s="81">
        <v>7</v>
      </c>
      <c r="AA404" s="124"/>
      <c r="AB404" s="65"/>
      <c r="AC404" s="46"/>
      <c r="AD404" s="46"/>
      <c r="AF404" s="36" t="s">
        <v>5605</v>
      </c>
      <c r="AH404" s="46"/>
      <c r="AI404" s="46" t="s">
        <v>5720</v>
      </c>
      <c r="AJ404" s="46"/>
      <c r="AK404" s="46"/>
      <c r="AL404" s="46" t="s">
        <v>4473</v>
      </c>
      <c r="AM404" s="46"/>
      <c r="AN404" s="46">
        <v>3</v>
      </c>
      <c r="AO404" s="46"/>
      <c r="AP404" s="125"/>
      <c r="AQ404" s="118"/>
      <c r="AR404" s="119"/>
      <c r="AS404" s="120"/>
      <c r="AT404" s="80"/>
      <c r="AV404" s="118"/>
      <c r="AW404" s="121"/>
      <c r="AX404" s="122"/>
      <c r="AY404" s="123"/>
      <c r="AZ404" s="80"/>
      <c r="BB404" s="124"/>
      <c r="BC404" s="46"/>
      <c r="BD404" s="46"/>
      <c r="BE404" s="46"/>
      <c r="BG404" s="36" t="s">
        <v>5721</v>
      </c>
      <c r="BI404" s="46"/>
      <c r="BJ404" s="46"/>
      <c r="BK404" s="46"/>
      <c r="BL404" s="46"/>
      <c r="BM404" s="46"/>
      <c r="BN404" s="46"/>
      <c r="BO404" s="46"/>
      <c r="BP404" s="46"/>
    </row>
    <row r="405" spans="1:68" ht="15" customHeight="1">
      <c r="A405" s="36" t="s">
        <v>5568</v>
      </c>
      <c r="B405" s="36" t="s">
        <v>5767</v>
      </c>
      <c r="C405" s="36" t="s">
        <v>5829</v>
      </c>
      <c r="D405" s="68">
        <v>122</v>
      </c>
      <c r="E405" s="46">
        <v>1</v>
      </c>
      <c r="F405" s="46" t="s">
        <v>5569</v>
      </c>
      <c r="G405" s="46" t="s">
        <v>5608</v>
      </c>
      <c r="H405" s="46"/>
      <c r="I405" s="46"/>
      <c r="J405" s="46" t="s">
        <v>4475</v>
      </c>
      <c r="K405" s="46"/>
      <c r="L405" s="46">
        <v>1</v>
      </c>
      <c r="M405" s="46"/>
      <c r="N405" s="117"/>
      <c r="O405" s="118"/>
      <c r="P405" s="119"/>
      <c r="Q405" s="120"/>
      <c r="R405" s="80"/>
      <c r="U405" s="118"/>
      <c r="V405" s="121"/>
      <c r="W405" s="122"/>
      <c r="X405" s="123"/>
      <c r="Y405" s="80">
        <v>2</v>
      </c>
      <c r="AA405" s="124"/>
      <c r="AB405" s="65"/>
      <c r="AC405" s="46"/>
      <c r="AD405" s="46"/>
      <c r="AH405" s="46"/>
      <c r="AI405" s="46" t="s">
        <v>5719</v>
      </c>
      <c r="AJ405" s="46"/>
      <c r="AK405" s="46"/>
      <c r="AL405" s="46" t="s">
        <v>4475</v>
      </c>
      <c r="AM405" s="46"/>
      <c r="AN405" s="46">
        <v>1</v>
      </c>
      <c r="AO405" s="46"/>
      <c r="AP405" s="125"/>
      <c r="AQ405" s="118"/>
      <c r="AR405" s="119"/>
      <c r="AS405" s="120"/>
      <c r="AT405" s="80"/>
      <c r="AV405" s="118"/>
      <c r="AW405" s="121"/>
      <c r="AX405" s="122"/>
      <c r="AY405" s="123"/>
      <c r="AZ405" s="80"/>
      <c r="BB405" s="124"/>
      <c r="BC405" s="46"/>
      <c r="BD405" s="46"/>
      <c r="BE405" s="46"/>
      <c r="BG405" s="36" t="s">
        <v>5722</v>
      </c>
      <c r="BI405" s="46"/>
      <c r="BJ405" s="46"/>
      <c r="BK405" s="46"/>
      <c r="BL405" s="46"/>
      <c r="BM405" s="46"/>
      <c r="BN405" s="46"/>
      <c r="BO405" s="46"/>
      <c r="BP405" s="46"/>
    </row>
    <row r="406" spans="1:68" ht="15" customHeight="1">
      <c r="A406" s="36" t="s">
        <v>5568</v>
      </c>
      <c r="B406" s="36" t="s">
        <v>5768</v>
      </c>
      <c r="C406" s="36" t="s">
        <v>5829</v>
      </c>
      <c r="D406" s="68">
        <v>123</v>
      </c>
      <c r="E406" s="46">
        <v>1</v>
      </c>
      <c r="F406" s="46" t="s">
        <v>5569</v>
      </c>
      <c r="G406" s="46" t="s">
        <v>5609</v>
      </c>
      <c r="H406" s="46"/>
      <c r="I406" s="46"/>
      <c r="J406" s="46" t="s">
        <v>4475</v>
      </c>
      <c r="K406" s="46"/>
      <c r="L406" s="46">
        <v>2</v>
      </c>
      <c r="M406" s="46"/>
      <c r="N406" s="117"/>
      <c r="O406" s="118"/>
      <c r="P406" s="119"/>
      <c r="Q406" s="120"/>
      <c r="R406" s="80"/>
      <c r="U406" s="118"/>
      <c r="V406" s="121"/>
      <c r="W406" s="122"/>
      <c r="X406" s="123"/>
      <c r="Y406" s="80" t="s">
        <v>38</v>
      </c>
      <c r="AA406" s="124"/>
      <c r="AB406" s="65"/>
      <c r="AC406" s="46"/>
      <c r="AD406" s="46"/>
      <c r="AF406" s="36" t="s">
        <v>5610</v>
      </c>
      <c r="AH406" s="46"/>
      <c r="AI406" s="46" t="s">
        <v>5723</v>
      </c>
      <c r="AJ406" s="46"/>
      <c r="AK406" s="46"/>
      <c r="AL406" s="46" t="s">
        <v>4475</v>
      </c>
      <c r="AM406" s="46"/>
      <c r="AN406" s="46">
        <v>2</v>
      </c>
      <c r="AO406" s="46"/>
      <c r="AP406" s="125"/>
      <c r="AQ406" s="118"/>
      <c r="AR406" s="119"/>
      <c r="AS406" s="120"/>
      <c r="AT406" s="80"/>
      <c r="AV406" s="118"/>
      <c r="AW406" s="121"/>
      <c r="AX406" s="122"/>
      <c r="AY406" s="123"/>
      <c r="AZ406" s="80"/>
      <c r="BB406" s="124"/>
      <c r="BC406" s="46"/>
      <c r="BD406" s="46"/>
      <c r="BE406" s="46"/>
      <c r="BG406" s="36" t="s">
        <v>5724</v>
      </c>
      <c r="BI406" s="46"/>
      <c r="BJ406" s="46"/>
      <c r="BK406" s="46"/>
      <c r="BL406" s="46"/>
      <c r="BM406" s="46"/>
      <c r="BN406" s="46"/>
      <c r="BO406" s="46"/>
      <c r="BP406" s="46"/>
    </row>
    <row r="407" spans="1:68" ht="15" customHeight="1">
      <c r="A407" s="36" t="s">
        <v>5568</v>
      </c>
      <c r="B407" s="36" t="s">
        <v>5769</v>
      </c>
      <c r="C407" s="36" t="s">
        <v>5829</v>
      </c>
      <c r="D407" s="68">
        <v>124</v>
      </c>
      <c r="E407" s="46">
        <v>1</v>
      </c>
      <c r="F407" s="46" t="s">
        <v>5569</v>
      </c>
      <c r="G407" s="46" t="s">
        <v>5611</v>
      </c>
      <c r="H407" s="46"/>
      <c r="I407" s="46"/>
      <c r="J407" s="46" t="s">
        <v>4475</v>
      </c>
      <c r="K407" s="46"/>
      <c r="L407" s="46">
        <v>2</v>
      </c>
      <c r="M407" s="46"/>
      <c r="N407" s="117"/>
      <c r="O407" s="118"/>
      <c r="P407" s="119"/>
      <c r="Q407" s="120"/>
      <c r="R407" s="80"/>
      <c r="U407" s="118"/>
      <c r="V407" s="121"/>
      <c r="W407" s="122"/>
      <c r="X407" s="123"/>
      <c r="Y407" s="80" t="s">
        <v>38</v>
      </c>
      <c r="AA407" s="124"/>
      <c r="AB407" s="65"/>
      <c r="AC407" s="46"/>
      <c r="AD407" s="46"/>
      <c r="AF407" s="36" t="s">
        <v>5610</v>
      </c>
      <c r="AH407" s="46"/>
      <c r="AI407" s="46" t="s">
        <v>5725</v>
      </c>
      <c r="AJ407" s="46"/>
      <c r="AK407" s="46"/>
      <c r="AL407" s="46" t="s">
        <v>4475</v>
      </c>
      <c r="AM407" s="46"/>
      <c r="AN407" s="46">
        <v>2</v>
      </c>
      <c r="AO407" s="46"/>
      <c r="AP407" s="125"/>
      <c r="AQ407" s="118"/>
      <c r="AR407" s="119"/>
      <c r="AS407" s="120"/>
      <c r="AT407" s="80"/>
      <c r="AV407" s="118"/>
      <c r="AW407" s="121"/>
      <c r="AX407" s="122"/>
      <c r="AY407" s="123"/>
      <c r="AZ407" s="80"/>
      <c r="BB407" s="124"/>
      <c r="BC407" s="46"/>
      <c r="BD407" s="46"/>
      <c r="BE407" s="46"/>
      <c r="BG407" s="36" t="s">
        <v>5726</v>
      </c>
      <c r="BI407" s="46"/>
      <c r="BJ407" s="46"/>
      <c r="BK407" s="46"/>
      <c r="BL407" s="46"/>
      <c r="BM407" s="46"/>
      <c r="BN407" s="46"/>
      <c r="BO407" s="46"/>
      <c r="BP407" s="46"/>
    </row>
    <row r="408" spans="1:68" ht="15" customHeight="1">
      <c r="A408" s="36" t="s">
        <v>5568</v>
      </c>
      <c r="B408" s="36" t="s">
        <v>5770</v>
      </c>
      <c r="C408" s="36" t="s">
        <v>5829</v>
      </c>
      <c r="D408" s="68">
        <v>125</v>
      </c>
      <c r="E408" s="46">
        <v>1</v>
      </c>
      <c r="F408" s="46" t="s">
        <v>5569</v>
      </c>
      <c r="G408" s="46" t="s">
        <v>5612</v>
      </c>
      <c r="H408" s="46"/>
      <c r="I408" s="46"/>
      <c r="J408" s="46" t="s">
        <v>4475</v>
      </c>
      <c r="K408" s="46"/>
      <c r="L408" s="46">
        <v>3</v>
      </c>
      <c r="M408" s="46"/>
      <c r="N408" s="117"/>
      <c r="O408" s="118"/>
      <c r="P408" s="119"/>
      <c r="Q408" s="120"/>
      <c r="R408" s="80"/>
      <c r="U408" s="118"/>
      <c r="V408" s="121"/>
      <c r="W408" s="122"/>
      <c r="X408" s="123"/>
      <c r="Y408" s="80" t="s">
        <v>38</v>
      </c>
      <c r="AA408" s="124"/>
      <c r="AB408" s="65"/>
      <c r="AC408" s="46"/>
      <c r="AD408" s="46"/>
      <c r="AF408" s="36" t="s">
        <v>5613</v>
      </c>
      <c r="AH408" s="46"/>
      <c r="AI408" s="46" t="s">
        <v>4121</v>
      </c>
      <c r="AJ408" s="46"/>
      <c r="AK408" s="46"/>
      <c r="AL408" s="46" t="s">
        <v>4475</v>
      </c>
      <c r="AM408" s="46"/>
      <c r="AN408" s="46">
        <v>3</v>
      </c>
      <c r="AO408" s="46"/>
      <c r="AP408" s="125"/>
      <c r="AQ408" s="118"/>
      <c r="AR408" s="119"/>
      <c r="AS408" s="120"/>
      <c r="AT408" s="80"/>
      <c r="AV408" s="118"/>
      <c r="AW408" s="121"/>
      <c r="AX408" s="122"/>
      <c r="AY408" s="123"/>
      <c r="AZ408" s="80"/>
      <c r="BB408" s="124"/>
      <c r="BC408" s="46"/>
      <c r="BD408" s="46"/>
      <c r="BE408" s="46"/>
      <c r="BG408" s="36" t="s">
        <v>5727</v>
      </c>
      <c r="BI408" s="46"/>
      <c r="BJ408" s="46"/>
      <c r="BK408" s="46"/>
      <c r="BL408" s="46"/>
      <c r="BM408" s="46"/>
      <c r="BN408" s="46"/>
      <c r="BO408" s="46"/>
      <c r="BP408" s="46"/>
    </row>
    <row r="409" spans="1:68" ht="15" customHeight="1">
      <c r="A409" s="36" t="s">
        <v>5568</v>
      </c>
      <c r="B409" s="36" t="s">
        <v>5771</v>
      </c>
      <c r="C409" s="36" t="s">
        <v>5829</v>
      </c>
      <c r="D409" s="68">
        <v>126</v>
      </c>
      <c r="E409" s="46">
        <v>1</v>
      </c>
      <c r="F409" s="46" t="s">
        <v>5569</v>
      </c>
      <c r="G409" s="46" t="s">
        <v>5614</v>
      </c>
      <c r="H409" s="46"/>
      <c r="I409" s="46"/>
      <c r="J409" s="46" t="s">
        <v>31</v>
      </c>
      <c r="K409" s="46"/>
      <c r="L409" s="46"/>
      <c r="M409" s="46"/>
      <c r="N409" s="117"/>
      <c r="O409" s="118"/>
      <c r="P409" s="119"/>
      <c r="Q409" s="120"/>
      <c r="R409" s="80"/>
      <c r="U409" s="118"/>
      <c r="V409" s="121"/>
      <c r="W409" s="122"/>
      <c r="X409" s="123"/>
      <c r="Y409" s="80"/>
      <c r="AA409" s="124"/>
      <c r="AB409" s="65"/>
      <c r="AC409" s="46"/>
      <c r="AD409" s="46" t="s">
        <v>4096</v>
      </c>
      <c r="AH409" s="46"/>
      <c r="AI409" s="46" t="s">
        <v>5614</v>
      </c>
      <c r="AJ409" s="46"/>
      <c r="AK409" s="46"/>
      <c r="AL409" s="46" t="s">
        <v>31</v>
      </c>
      <c r="AM409" s="46"/>
      <c r="AN409" s="46"/>
      <c r="AO409" s="46"/>
      <c r="AP409" s="125"/>
      <c r="AQ409" s="118"/>
      <c r="AR409" s="119"/>
      <c r="AS409" s="120"/>
      <c r="AT409" s="80"/>
      <c r="AV409" s="118"/>
      <c r="AW409" s="121"/>
      <c r="AX409" s="122"/>
      <c r="AY409" s="123">
        <v>3</v>
      </c>
      <c r="AZ409" s="80">
        <v>2</v>
      </c>
      <c r="BB409" s="124"/>
      <c r="BC409" s="46"/>
      <c r="BD409" s="46"/>
      <c r="BE409" s="46" t="s">
        <v>4096</v>
      </c>
      <c r="BG409" s="36" t="s">
        <v>5615</v>
      </c>
      <c r="BI409" s="46"/>
      <c r="BJ409" s="46"/>
      <c r="BK409" s="46"/>
      <c r="BL409" s="46"/>
      <c r="BM409" s="46"/>
      <c r="BN409" s="46"/>
      <c r="BO409" s="46"/>
      <c r="BP409" s="46"/>
    </row>
    <row r="410" spans="1:68" ht="15" customHeight="1">
      <c r="A410" s="36" t="s">
        <v>5568</v>
      </c>
      <c r="B410" s="36" t="s">
        <v>5772</v>
      </c>
      <c r="C410" s="36" t="s">
        <v>5829</v>
      </c>
      <c r="D410" s="68">
        <v>127</v>
      </c>
      <c r="E410" s="46">
        <v>1</v>
      </c>
      <c r="F410" s="46" t="s">
        <v>5569</v>
      </c>
      <c r="G410" s="46" t="s">
        <v>5616</v>
      </c>
      <c r="H410" s="46"/>
      <c r="I410" s="46"/>
      <c r="J410" s="46" t="s">
        <v>31</v>
      </c>
      <c r="K410" s="46"/>
      <c r="L410" s="46"/>
      <c r="M410" s="46"/>
      <c r="N410" s="117"/>
      <c r="O410" s="118"/>
      <c r="P410" s="119"/>
      <c r="Q410" s="120"/>
      <c r="R410" s="80"/>
      <c r="U410" s="118"/>
      <c r="V410" s="121"/>
      <c r="W410" s="122"/>
      <c r="X410" s="123"/>
      <c r="Y410" s="80"/>
      <c r="AA410" s="124"/>
      <c r="AB410" s="65"/>
      <c r="AC410" s="46"/>
      <c r="AD410" s="46" t="s">
        <v>4096</v>
      </c>
      <c r="AH410" s="46"/>
      <c r="AI410" s="46" t="s">
        <v>5616</v>
      </c>
      <c r="AJ410" s="46"/>
      <c r="AK410" s="46"/>
      <c r="AL410" s="46" t="s">
        <v>31</v>
      </c>
      <c r="AM410" s="46"/>
      <c r="AN410" s="46"/>
      <c r="AO410" s="46"/>
      <c r="AP410" s="125"/>
      <c r="AQ410" s="118"/>
      <c r="AR410" s="119"/>
      <c r="AS410" s="120"/>
      <c r="AT410" s="80"/>
      <c r="AV410" s="118"/>
      <c r="AW410" s="121"/>
      <c r="AX410" s="122"/>
      <c r="AY410" s="123">
        <v>2</v>
      </c>
      <c r="AZ410" s="80">
        <v>0</v>
      </c>
      <c r="BB410" s="124"/>
      <c r="BC410" s="46"/>
      <c r="BD410" s="46"/>
      <c r="BE410" s="46" t="s">
        <v>4096</v>
      </c>
      <c r="BG410" s="36" t="s">
        <v>5617</v>
      </c>
      <c r="BI410" s="46"/>
      <c r="BJ410" s="46"/>
      <c r="BK410" s="46"/>
      <c r="BL410" s="46"/>
      <c r="BM410" s="46"/>
      <c r="BN410" s="46"/>
      <c r="BO410" s="46"/>
      <c r="BP410" s="46"/>
    </row>
    <row r="411" spans="1:68" ht="15" customHeight="1">
      <c r="A411" s="36" t="s">
        <v>5568</v>
      </c>
      <c r="B411" s="36" t="s">
        <v>5773</v>
      </c>
      <c r="C411" s="36" t="s">
        <v>5829</v>
      </c>
      <c r="D411" s="68">
        <v>128</v>
      </c>
      <c r="E411" s="46">
        <v>1</v>
      </c>
      <c r="F411" s="46" t="s">
        <v>5569</v>
      </c>
      <c r="G411" s="46" t="s">
        <v>5618</v>
      </c>
      <c r="H411" s="46"/>
      <c r="I411" s="46"/>
      <c r="J411" s="46" t="s">
        <v>31</v>
      </c>
      <c r="K411" s="46"/>
      <c r="L411" s="46"/>
      <c r="M411" s="46"/>
      <c r="N411" s="117"/>
      <c r="O411" s="118"/>
      <c r="P411" s="119"/>
      <c r="Q411" s="120"/>
      <c r="R411" s="80"/>
      <c r="U411" s="118"/>
      <c r="V411" s="121"/>
      <c r="W411" s="122"/>
      <c r="X411" s="123"/>
      <c r="Y411" s="80"/>
      <c r="AA411" s="124"/>
      <c r="AB411" s="65"/>
      <c r="AC411" s="46"/>
      <c r="AD411" s="46" t="s">
        <v>4096</v>
      </c>
      <c r="AH411" s="46"/>
      <c r="AI411" s="46" t="s">
        <v>5618</v>
      </c>
      <c r="AJ411" s="46"/>
      <c r="AK411" s="46"/>
      <c r="AL411" s="46" t="s">
        <v>31</v>
      </c>
      <c r="AM411" s="46"/>
      <c r="AN411" s="46"/>
      <c r="AO411" s="46"/>
      <c r="AP411" s="125"/>
      <c r="AQ411" s="118"/>
      <c r="AR411" s="119"/>
      <c r="AS411" s="120"/>
      <c r="AT411" s="80"/>
      <c r="AV411" s="118"/>
      <c r="AW411" s="121"/>
      <c r="AX411" s="122"/>
      <c r="AY411" s="123">
        <v>2</v>
      </c>
      <c r="AZ411" s="42" t="s">
        <v>4927</v>
      </c>
      <c r="BB411" s="124"/>
      <c r="BC411" s="46"/>
      <c r="BD411" s="46"/>
      <c r="BE411" s="46" t="s">
        <v>4096</v>
      </c>
      <c r="BG411" s="36" t="s">
        <v>5619</v>
      </c>
      <c r="BI411" s="46"/>
      <c r="BJ411" s="46"/>
      <c r="BK411" s="46"/>
      <c r="BL411" s="46"/>
      <c r="BM411" s="46"/>
      <c r="BN411" s="46"/>
      <c r="BO411" s="46"/>
      <c r="BP411" s="46"/>
    </row>
    <row r="412" spans="1:68" ht="15" customHeight="1">
      <c r="A412" s="36" t="s">
        <v>5568</v>
      </c>
      <c r="B412" s="36" t="s">
        <v>5774</v>
      </c>
      <c r="C412" s="36" t="s">
        <v>5829</v>
      </c>
      <c r="D412" s="68">
        <v>129</v>
      </c>
      <c r="E412" s="46">
        <v>1</v>
      </c>
      <c r="F412" s="46" t="s">
        <v>5569</v>
      </c>
      <c r="G412" s="46" t="s">
        <v>5618</v>
      </c>
      <c r="H412" s="46"/>
      <c r="I412" s="46"/>
      <c r="J412" s="46" t="s">
        <v>31</v>
      </c>
      <c r="K412" s="46"/>
      <c r="L412" s="46"/>
      <c r="M412" s="46"/>
      <c r="N412" s="117"/>
      <c r="O412" s="118"/>
      <c r="P412" s="119"/>
      <c r="Q412" s="120"/>
      <c r="R412" s="80"/>
      <c r="U412" s="118"/>
      <c r="V412" s="121"/>
      <c r="W412" s="122"/>
      <c r="X412" s="123"/>
      <c r="Y412" s="80"/>
      <c r="AA412" s="124"/>
      <c r="AB412" s="65"/>
      <c r="AC412" s="46"/>
      <c r="AD412" s="46" t="s">
        <v>4096</v>
      </c>
      <c r="AH412" s="46"/>
      <c r="AI412" s="46" t="s">
        <v>5618</v>
      </c>
      <c r="AJ412" s="46"/>
      <c r="AK412" s="46"/>
      <c r="AL412" s="46" t="s">
        <v>31</v>
      </c>
      <c r="AM412" s="46"/>
      <c r="AN412" s="46"/>
      <c r="AO412" s="46"/>
      <c r="AP412" s="125"/>
      <c r="AQ412" s="118"/>
      <c r="AR412" s="119"/>
      <c r="AS412" s="120"/>
      <c r="AT412" s="80"/>
      <c r="AV412" s="118"/>
      <c r="AW412" s="121"/>
      <c r="AX412" s="122"/>
      <c r="AY412" s="123">
        <v>3</v>
      </c>
      <c r="AZ412" s="80" t="s">
        <v>4965</v>
      </c>
      <c r="BB412" s="124"/>
      <c r="BC412" s="46"/>
      <c r="BD412" s="46"/>
      <c r="BE412" s="46" t="s">
        <v>4096</v>
      </c>
      <c r="BG412" s="36" t="s">
        <v>5620</v>
      </c>
      <c r="BI412" s="46"/>
      <c r="BJ412" s="46"/>
      <c r="BK412" s="46"/>
      <c r="BL412" s="46"/>
      <c r="BM412" s="46"/>
      <c r="BN412" s="46"/>
      <c r="BO412" s="46"/>
      <c r="BP412" s="46"/>
    </row>
    <row r="413" spans="1:68" ht="15" customHeight="1">
      <c r="A413" s="36" t="s">
        <v>5568</v>
      </c>
      <c r="B413" s="36" t="s">
        <v>5775</v>
      </c>
      <c r="C413" s="36" t="s">
        <v>5829</v>
      </c>
      <c r="D413" s="68">
        <v>130</v>
      </c>
      <c r="E413" s="46">
        <v>1</v>
      </c>
      <c r="F413" s="46" t="s">
        <v>5569</v>
      </c>
      <c r="G413" s="46" t="s">
        <v>5621</v>
      </c>
      <c r="H413" s="46"/>
      <c r="I413" s="46"/>
      <c r="J413" s="46" t="s">
        <v>31</v>
      </c>
      <c r="K413" s="46"/>
      <c r="L413" s="46"/>
      <c r="M413" s="46"/>
      <c r="N413" s="117"/>
      <c r="O413" s="118"/>
      <c r="P413" s="119"/>
      <c r="Q413" s="120"/>
      <c r="R413" s="80"/>
      <c r="U413" s="118"/>
      <c r="V413" s="121"/>
      <c r="W413" s="122"/>
      <c r="X413" s="123"/>
      <c r="Y413" s="80"/>
      <c r="AA413" s="124"/>
      <c r="AB413" s="65"/>
      <c r="AC413" s="46"/>
      <c r="AD413" s="46" t="s">
        <v>4096</v>
      </c>
      <c r="AH413" s="46"/>
      <c r="AI413" s="46" t="s">
        <v>5621</v>
      </c>
      <c r="AJ413" s="46"/>
      <c r="AK413" s="46"/>
      <c r="AL413" s="46" t="s">
        <v>31</v>
      </c>
      <c r="AM413" s="46"/>
      <c r="AN413" s="46"/>
      <c r="AO413" s="46"/>
      <c r="AP413" s="125"/>
      <c r="AQ413" s="118"/>
      <c r="AR413" s="119"/>
      <c r="AS413" s="120"/>
      <c r="AT413" s="80"/>
      <c r="AV413" s="118"/>
      <c r="AW413" s="121"/>
      <c r="AX413" s="122"/>
      <c r="AY413" s="123">
        <v>1</v>
      </c>
      <c r="AZ413" s="42" t="s">
        <v>4927</v>
      </c>
      <c r="BB413" s="124"/>
      <c r="BC413" s="46"/>
      <c r="BD413" s="46"/>
      <c r="BE413" s="46" t="s">
        <v>4096</v>
      </c>
      <c r="BG413" s="36" t="s">
        <v>5622</v>
      </c>
      <c r="BI413" s="46"/>
      <c r="BJ413" s="46"/>
      <c r="BK413" s="46"/>
      <c r="BL413" s="46"/>
      <c r="BM413" s="46"/>
      <c r="BN413" s="46"/>
      <c r="BO413" s="46"/>
      <c r="BP413" s="46"/>
    </row>
    <row r="414" spans="1:68" ht="15" customHeight="1">
      <c r="A414" s="36" t="s">
        <v>5568</v>
      </c>
      <c r="B414" s="36" t="s">
        <v>5776</v>
      </c>
      <c r="C414" s="36" t="s">
        <v>5829</v>
      </c>
      <c r="D414" s="68">
        <v>131</v>
      </c>
      <c r="E414" s="46">
        <v>1</v>
      </c>
      <c r="F414" s="46" t="s">
        <v>5569</v>
      </c>
      <c r="G414" s="46" t="s">
        <v>5621</v>
      </c>
      <c r="H414" s="46"/>
      <c r="I414" s="46"/>
      <c r="J414" s="46" t="s">
        <v>31</v>
      </c>
      <c r="K414" s="46"/>
      <c r="L414" s="46"/>
      <c r="M414" s="46"/>
      <c r="N414" s="117"/>
      <c r="O414" s="118"/>
      <c r="P414" s="119"/>
      <c r="Q414" s="120"/>
      <c r="R414" s="80"/>
      <c r="U414" s="118"/>
      <c r="V414" s="121"/>
      <c r="W414" s="122"/>
      <c r="X414" s="123"/>
      <c r="Y414" s="80"/>
      <c r="AA414" s="124"/>
      <c r="AB414" s="65"/>
      <c r="AC414" s="46"/>
      <c r="AD414" s="46" t="s">
        <v>4096</v>
      </c>
      <c r="AH414" s="46"/>
      <c r="AI414" s="46" t="s">
        <v>5621</v>
      </c>
      <c r="AJ414" s="46"/>
      <c r="AK414" s="46"/>
      <c r="AL414" s="46" t="s">
        <v>31</v>
      </c>
      <c r="AM414" s="46"/>
      <c r="AN414" s="46"/>
      <c r="AO414" s="46"/>
      <c r="AP414" s="125"/>
      <c r="AQ414" s="118"/>
      <c r="AR414" s="119"/>
      <c r="AS414" s="120"/>
      <c r="AT414" s="80"/>
      <c r="AV414" s="118"/>
      <c r="AW414" s="121"/>
      <c r="AX414" s="122"/>
      <c r="AY414" s="123">
        <v>2</v>
      </c>
      <c r="AZ414" s="80" t="s">
        <v>4965</v>
      </c>
      <c r="BB414" s="124"/>
      <c r="BC414" s="46"/>
      <c r="BD414" s="46"/>
      <c r="BE414" s="46" t="s">
        <v>4096</v>
      </c>
      <c r="BG414" s="36" t="s">
        <v>5623</v>
      </c>
      <c r="BI414" s="46"/>
      <c r="BJ414" s="46"/>
      <c r="BK414" s="46"/>
      <c r="BL414" s="46"/>
      <c r="BM414" s="46"/>
      <c r="BN414" s="46"/>
      <c r="BO414" s="46"/>
      <c r="BP414" s="46"/>
    </row>
    <row r="415" spans="1:68" ht="15" customHeight="1">
      <c r="A415" s="36" t="s">
        <v>5568</v>
      </c>
      <c r="B415" s="36" t="s">
        <v>5777</v>
      </c>
      <c r="C415" s="36" t="s">
        <v>5829</v>
      </c>
      <c r="D415" s="68">
        <v>132</v>
      </c>
      <c r="E415" s="46">
        <v>1</v>
      </c>
      <c r="F415" s="46" t="s">
        <v>5569</v>
      </c>
      <c r="G415" s="46" t="s">
        <v>5624</v>
      </c>
      <c r="I415" s="46"/>
      <c r="J415" s="46" t="s">
        <v>31</v>
      </c>
      <c r="K415" s="46"/>
      <c r="L415" s="46"/>
      <c r="M415" s="46"/>
      <c r="N415" s="117"/>
      <c r="O415" s="118"/>
      <c r="P415" s="119"/>
      <c r="Q415" s="120"/>
      <c r="R415" s="80"/>
      <c r="U415" s="118"/>
      <c r="V415" s="121"/>
      <c r="W415" s="122"/>
      <c r="X415" s="123"/>
      <c r="Y415" s="80"/>
      <c r="AA415" s="124"/>
      <c r="AB415" s="65"/>
      <c r="AC415" s="46"/>
      <c r="AD415" s="46" t="s">
        <v>5626</v>
      </c>
      <c r="AH415" s="46"/>
      <c r="AI415" s="46" t="s">
        <v>5624</v>
      </c>
      <c r="AJ415" s="46" t="s">
        <v>5625</v>
      </c>
      <c r="AK415" s="46"/>
      <c r="AL415" s="46" t="s">
        <v>31</v>
      </c>
      <c r="AM415" s="46"/>
      <c r="AN415" s="46"/>
      <c r="AO415" s="46"/>
      <c r="AP415" s="125"/>
      <c r="AQ415" s="118"/>
      <c r="AR415" s="119"/>
      <c r="AS415" s="120"/>
      <c r="AT415" s="80"/>
      <c r="AV415" s="118"/>
      <c r="AW415" s="121"/>
      <c r="AX415" s="122"/>
      <c r="AY415" s="123">
        <v>1</v>
      </c>
      <c r="AZ415" s="80">
        <v>0</v>
      </c>
      <c r="BB415" s="124"/>
      <c r="BC415" s="46"/>
      <c r="BD415" s="46"/>
      <c r="BE415" s="46" t="s">
        <v>5626</v>
      </c>
      <c r="BG415" s="36" t="s">
        <v>5627</v>
      </c>
      <c r="BI415" s="46"/>
      <c r="BJ415" s="46"/>
      <c r="BK415" s="46"/>
      <c r="BL415" s="46"/>
      <c r="BM415" s="46"/>
      <c r="BN415" s="46"/>
      <c r="BO415" s="46"/>
      <c r="BP415" s="46"/>
    </row>
    <row r="416" spans="1:68" ht="15" customHeight="1">
      <c r="A416" s="36" t="s">
        <v>5568</v>
      </c>
      <c r="B416" s="36" t="s">
        <v>5778</v>
      </c>
      <c r="C416" s="36" t="s">
        <v>5829</v>
      </c>
      <c r="D416" s="68">
        <v>133</v>
      </c>
      <c r="E416" s="46">
        <v>1</v>
      </c>
      <c r="F416" s="46" t="s">
        <v>5569</v>
      </c>
      <c r="G416" s="46" t="s">
        <v>5624</v>
      </c>
      <c r="I416" s="46"/>
      <c r="J416" s="46" t="s">
        <v>31</v>
      </c>
      <c r="K416" s="46"/>
      <c r="L416" s="46"/>
      <c r="M416" s="46"/>
      <c r="N416" s="117"/>
      <c r="O416" s="118"/>
      <c r="P416" s="119"/>
      <c r="Q416" s="120"/>
      <c r="R416" s="80"/>
      <c r="U416" s="118"/>
      <c r="V416" s="121"/>
      <c r="W416" s="122"/>
      <c r="X416" s="123"/>
      <c r="Y416" s="80"/>
      <c r="AA416" s="124"/>
      <c r="AB416" s="65"/>
      <c r="AC416" s="46"/>
      <c r="AD416" s="46" t="s">
        <v>5626</v>
      </c>
      <c r="AH416" s="46"/>
      <c r="AI416" s="46" t="s">
        <v>5624</v>
      </c>
      <c r="AJ416" s="46" t="s">
        <v>5628</v>
      </c>
      <c r="AK416" s="46"/>
      <c r="AL416" s="46" t="s">
        <v>31</v>
      </c>
      <c r="AM416" s="46"/>
      <c r="AN416" s="46"/>
      <c r="AO416" s="46"/>
      <c r="AP416" s="125"/>
      <c r="AQ416" s="118"/>
      <c r="AR416" s="119"/>
      <c r="AS416" s="120"/>
      <c r="AT416" s="80"/>
      <c r="AV416" s="118"/>
      <c r="AW416" s="121"/>
      <c r="AX416" s="122"/>
      <c r="AY416" s="123">
        <v>2</v>
      </c>
      <c r="AZ416" s="42" t="s">
        <v>4927</v>
      </c>
      <c r="BB416" s="124">
        <v>1</v>
      </c>
      <c r="BC416" s="46"/>
      <c r="BD416" s="46"/>
      <c r="BE416" s="46" t="s">
        <v>5626</v>
      </c>
      <c r="BG416" s="36" t="s">
        <v>5629</v>
      </c>
      <c r="BI416" s="46"/>
      <c r="BJ416" s="46"/>
      <c r="BK416" s="46"/>
      <c r="BL416" s="46"/>
      <c r="BM416" s="46"/>
      <c r="BN416" s="46"/>
      <c r="BO416" s="46"/>
      <c r="BP416" s="46"/>
    </row>
    <row r="417" spans="1:68" ht="15" customHeight="1">
      <c r="A417" s="36" t="s">
        <v>5568</v>
      </c>
      <c r="B417" s="36" t="s">
        <v>5779</v>
      </c>
      <c r="C417" s="36" t="s">
        <v>5829</v>
      </c>
      <c r="D417" s="68">
        <v>134</v>
      </c>
      <c r="E417" s="46">
        <v>1</v>
      </c>
      <c r="F417" s="46" t="s">
        <v>5569</v>
      </c>
      <c r="G417" s="46" t="s">
        <v>5624</v>
      </c>
      <c r="I417" s="46"/>
      <c r="J417" s="46" t="s">
        <v>31</v>
      </c>
      <c r="K417" s="46"/>
      <c r="L417" s="46"/>
      <c r="M417" s="46"/>
      <c r="N417" s="117"/>
      <c r="O417" s="118"/>
      <c r="P417" s="119"/>
      <c r="Q417" s="120"/>
      <c r="R417" s="80"/>
      <c r="U417" s="118"/>
      <c r="V417" s="121"/>
      <c r="W417" s="122"/>
      <c r="X417" s="123"/>
      <c r="Y417" s="80"/>
      <c r="AA417" s="124"/>
      <c r="AB417" s="65"/>
      <c r="AC417" s="46"/>
      <c r="AD417" s="46" t="s">
        <v>5626</v>
      </c>
      <c r="AH417" s="46"/>
      <c r="AI417" s="46" t="s">
        <v>5624</v>
      </c>
      <c r="AJ417" s="46" t="s">
        <v>5630</v>
      </c>
      <c r="AK417" s="46"/>
      <c r="AL417" s="46" t="s">
        <v>31</v>
      </c>
      <c r="AM417" s="46"/>
      <c r="AN417" s="46"/>
      <c r="AO417" s="46"/>
      <c r="AP417" s="125"/>
      <c r="AQ417" s="118"/>
      <c r="AR417" s="119"/>
      <c r="AS417" s="120"/>
      <c r="AT417" s="80"/>
      <c r="AV417" s="118"/>
      <c r="AW417" s="121"/>
      <c r="AX417" s="122"/>
      <c r="AY417" s="123">
        <v>4</v>
      </c>
      <c r="AZ417" s="42" t="s">
        <v>4927</v>
      </c>
      <c r="BB417" s="124">
        <v>1</v>
      </c>
      <c r="BC417" s="46"/>
      <c r="BD417" s="46"/>
      <c r="BE417" s="46" t="s">
        <v>5626</v>
      </c>
      <c r="BG417" s="36" t="s">
        <v>5631</v>
      </c>
      <c r="BI417" s="46"/>
      <c r="BJ417" s="46"/>
      <c r="BK417" s="46"/>
      <c r="BL417" s="46"/>
      <c r="BM417" s="46"/>
      <c r="BN417" s="46"/>
      <c r="BO417" s="46"/>
      <c r="BP417" s="46"/>
    </row>
    <row r="418" spans="1:68" ht="15" customHeight="1">
      <c r="A418" s="36" t="s">
        <v>5568</v>
      </c>
      <c r="B418" s="36" t="s">
        <v>5780</v>
      </c>
      <c r="C418" s="36" t="s">
        <v>5829</v>
      </c>
      <c r="D418" s="68">
        <v>135</v>
      </c>
      <c r="E418" s="46">
        <v>1</v>
      </c>
      <c r="F418" s="46" t="s">
        <v>5569</v>
      </c>
      <c r="G418" s="46" t="s">
        <v>5624</v>
      </c>
      <c r="I418" s="46"/>
      <c r="J418" s="46" t="s">
        <v>31</v>
      </c>
      <c r="K418" s="46"/>
      <c r="L418" s="46"/>
      <c r="M418" s="46"/>
      <c r="N418" s="117"/>
      <c r="O418" s="118"/>
      <c r="P418" s="119"/>
      <c r="Q418" s="120"/>
      <c r="R418" s="80"/>
      <c r="U418" s="118"/>
      <c r="V418" s="121"/>
      <c r="W418" s="122"/>
      <c r="X418" s="123"/>
      <c r="Y418" s="80"/>
      <c r="AA418" s="124"/>
      <c r="AB418" s="65"/>
      <c r="AC418" s="46"/>
      <c r="AD418" s="46" t="s">
        <v>5626</v>
      </c>
      <c r="AH418" s="46"/>
      <c r="AI418" s="46" t="s">
        <v>5624</v>
      </c>
      <c r="AJ418" s="46" t="s">
        <v>5632</v>
      </c>
      <c r="AK418" s="46"/>
      <c r="AL418" s="46" t="s">
        <v>31</v>
      </c>
      <c r="AM418" s="46"/>
      <c r="AN418" s="46"/>
      <c r="AO418" s="46"/>
      <c r="AP418" s="125"/>
      <c r="AQ418" s="118"/>
      <c r="AR418" s="119"/>
      <c r="AS418" s="120"/>
      <c r="AT418" s="80"/>
      <c r="AV418" s="118"/>
      <c r="AW418" s="121"/>
      <c r="AX418" s="122"/>
      <c r="AY418" s="123">
        <v>3</v>
      </c>
      <c r="AZ418" s="80" t="s">
        <v>4965</v>
      </c>
      <c r="BB418" s="124">
        <v>1</v>
      </c>
      <c r="BC418" s="46"/>
      <c r="BD418" s="46"/>
      <c r="BE418" s="46" t="s">
        <v>5626</v>
      </c>
      <c r="BG418" s="36" t="s">
        <v>5633</v>
      </c>
      <c r="BI418" s="46"/>
      <c r="BJ418" s="46"/>
      <c r="BK418" s="46"/>
      <c r="BL418" s="46"/>
      <c r="BM418" s="46"/>
      <c r="BN418" s="46"/>
      <c r="BO418" s="46"/>
      <c r="BP418" s="46"/>
    </row>
    <row r="419" spans="1:68" ht="15" customHeight="1">
      <c r="A419" s="36" t="s">
        <v>5568</v>
      </c>
      <c r="B419" s="36" t="s">
        <v>5781</v>
      </c>
      <c r="C419" s="36" t="s">
        <v>5829</v>
      </c>
      <c r="D419" s="68">
        <v>136</v>
      </c>
      <c r="E419" s="46">
        <v>1</v>
      </c>
      <c r="F419" s="46" t="s">
        <v>5569</v>
      </c>
      <c r="G419" s="46" t="s">
        <v>5624</v>
      </c>
      <c r="I419" s="46"/>
      <c r="J419" s="46" t="s">
        <v>31</v>
      </c>
      <c r="K419" s="46"/>
      <c r="L419" s="46"/>
      <c r="M419" s="46"/>
      <c r="N419" s="117"/>
      <c r="O419" s="118"/>
      <c r="P419" s="119"/>
      <c r="Q419" s="120"/>
      <c r="R419" s="80"/>
      <c r="U419" s="118"/>
      <c r="V419" s="121"/>
      <c r="W419" s="122"/>
      <c r="X419" s="123"/>
      <c r="Y419" s="80"/>
      <c r="AA419" s="124"/>
      <c r="AB419" s="65"/>
      <c r="AC419" s="46"/>
      <c r="AD419" s="46" t="s">
        <v>5626</v>
      </c>
      <c r="AH419" s="46"/>
      <c r="AI419" s="46" t="s">
        <v>5624</v>
      </c>
      <c r="AJ419" s="46" t="s">
        <v>5634</v>
      </c>
      <c r="AK419" s="46"/>
      <c r="AL419" s="46" t="s">
        <v>31</v>
      </c>
      <c r="AM419" s="46"/>
      <c r="AN419" s="46"/>
      <c r="AO419" s="46"/>
      <c r="AP419" s="125"/>
      <c r="AQ419" s="118"/>
      <c r="AR419" s="119"/>
      <c r="AS419" s="120"/>
      <c r="AT419" s="80"/>
      <c r="AV419" s="118"/>
      <c r="AW419" s="121"/>
      <c r="AX419" s="122"/>
      <c r="AY419" s="123">
        <v>3</v>
      </c>
      <c r="AZ419" s="80" t="s">
        <v>4965</v>
      </c>
      <c r="BB419" s="124">
        <v>1</v>
      </c>
      <c r="BC419" s="46"/>
      <c r="BD419" s="46"/>
      <c r="BE419" s="46" t="s">
        <v>5626</v>
      </c>
      <c r="BG419" s="36" t="s">
        <v>5635</v>
      </c>
      <c r="BI419" s="46"/>
      <c r="BJ419" s="46"/>
      <c r="BK419" s="46"/>
      <c r="BL419" s="46"/>
      <c r="BM419" s="46"/>
      <c r="BN419" s="46"/>
      <c r="BO419" s="46"/>
      <c r="BP419" s="46"/>
    </row>
    <row r="420" spans="1:68" ht="15" customHeight="1">
      <c r="A420" s="36" t="s">
        <v>5568</v>
      </c>
      <c r="B420" s="36" t="s">
        <v>5782</v>
      </c>
      <c r="C420" s="36" t="s">
        <v>5829</v>
      </c>
      <c r="D420" s="68">
        <v>137</v>
      </c>
      <c r="E420" s="46">
        <v>1</v>
      </c>
      <c r="F420" s="46" t="s">
        <v>5569</v>
      </c>
      <c r="G420" s="46" t="s">
        <v>5624</v>
      </c>
      <c r="I420" s="46"/>
      <c r="J420" s="46" t="s">
        <v>31</v>
      </c>
      <c r="K420" s="46"/>
      <c r="L420" s="46"/>
      <c r="M420" s="46"/>
      <c r="N420" s="117"/>
      <c r="O420" s="118"/>
      <c r="P420" s="119"/>
      <c r="Q420" s="120"/>
      <c r="R420" s="80"/>
      <c r="U420" s="118"/>
      <c r="V420" s="121"/>
      <c r="W420" s="122"/>
      <c r="X420" s="123"/>
      <c r="Y420" s="80"/>
      <c r="AA420" s="124"/>
      <c r="AB420" s="65"/>
      <c r="AC420" s="46"/>
      <c r="AD420" s="46" t="s">
        <v>5626</v>
      </c>
      <c r="AH420" s="46"/>
      <c r="AI420" s="46" t="s">
        <v>5624</v>
      </c>
      <c r="AJ420" s="46" t="s">
        <v>5636</v>
      </c>
      <c r="AK420" s="46"/>
      <c r="AL420" s="46" t="s">
        <v>31</v>
      </c>
      <c r="AM420" s="46"/>
      <c r="AN420" s="46"/>
      <c r="AO420" s="46"/>
      <c r="AP420" s="125"/>
      <c r="AQ420" s="118"/>
      <c r="AR420" s="119"/>
      <c r="AS420" s="120"/>
      <c r="AT420" s="80"/>
      <c r="AV420" s="118"/>
      <c r="AW420" s="121"/>
      <c r="AX420" s="122"/>
      <c r="AY420" s="123">
        <v>3</v>
      </c>
      <c r="AZ420" s="80" t="s">
        <v>4965</v>
      </c>
      <c r="BB420" s="124">
        <v>1</v>
      </c>
      <c r="BC420" s="46"/>
      <c r="BD420" s="46"/>
      <c r="BE420" s="46" t="s">
        <v>5626</v>
      </c>
      <c r="BG420" s="36" t="s">
        <v>5637</v>
      </c>
      <c r="BI420" s="46"/>
      <c r="BJ420" s="46"/>
      <c r="BK420" s="46"/>
      <c r="BL420" s="46"/>
      <c r="BM420" s="46"/>
      <c r="BN420" s="46"/>
      <c r="BO420" s="46"/>
      <c r="BP420" s="46"/>
    </row>
    <row r="421" spans="1:68" ht="15" customHeight="1">
      <c r="A421" s="36" t="s">
        <v>5568</v>
      </c>
      <c r="B421" s="36" t="s">
        <v>5783</v>
      </c>
      <c r="C421" s="36" t="s">
        <v>5829</v>
      </c>
      <c r="D421" s="68">
        <v>138</v>
      </c>
      <c r="E421" s="46">
        <v>1</v>
      </c>
      <c r="F421" s="46" t="s">
        <v>5569</v>
      </c>
      <c r="G421" s="46" t="s">
        <v>5638</v>
      </c>
      <c r="H421" s="46" t="s">
        <v>5639</v>
      </c>
      <c r="I421" s="46" t="s">
        <v>4077</v>
      </c>
      <c r="J421" s="46" t="s">
        <v>4111</v>
      </c>
      <c r="K421" s="46" t="s">
        <v>26</v>
      </c>
      <c r="L421" s="46"/>
      <c r="M421" s="46"/>
      <c r="N421" s="117">
        <v>0</v>
      </c>
      <c r="O421" s="118"/>
      <c r="P421" s="119">
        <v>1</v>
      </c>
      <c r="Q421" s="120"/>
      <c r="R421" s="80"/>
      <c r="T421" s="81">
        <v>1</v>
      </c>
      <c r="U421" s="118">
        <v>1</v>
      </c>
      <c r="V421" s="121"/>
      <c r="W421" s="122"/>
      <c r="X421" s="123"/>
      <c r="Y421" s="80"/>
      <c r="AA421" s="124"/>
      <c r="AB421" s="65"/>
      <c r="AC421" s="46"/>
      <c r="AD421" s="46" t="s">
        <v>4184</v>
      </c>
      <c r="AF421" s="36" t="s">
        <v>5640</v>
      </c>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5836</v>
      </c>
      <c r="BK421" s="46"/>
      <c r="BL421" s="46"/>
      <c r="BM421" s="46"/>
      <c r="BN421" s="46"/>
      <c r="BO421" s="46"/>
      <c r="BP421" s="46"/>
    </row>
    <row r="422" spans="1:68" ht="15" customHeight="1">
      <c r="A422" s="36" t="s">
        <v>5568</v>
      </c>
      <c r="B422" s="36" t="s">
        <v>5784</v>
      </c>
      <c r="C422" s="36" t="s">
        <v>5829</v>
      </c>
      <c r="D422" s="68">
        <v>139</v>
      </c>
      <c r="E422" s="46">
        <v>1</v>
      </c>
      <c r="F422" s="46" t="s">
        <v>5569</v>
      </c>
      <c r="G422" s="46" t="s">
        <v>5641</v>
      </c>
      <c r="H422" s="46" t="s">
        <v>5642</v>
      </c>
      <c r="I422" s="46" t="s">
        <v>4077</v>
      </c>
      <c r="J422" s="46" t="s">
        <v>4111</v>
      </c>
      <c r="K422" s="46" t="s">
        <v>26</v>
      </c>
      <c r="L422" s="46"/>
      <c r="M422" s="46"/>
      <c r="N422" s="117">
        <v>0</v>
      </c>
      <c r="O422" s="118"/>
      <c r="P422" s="119">
        <v>1</v>
      </c>
      <c r="Q422" s="120"/>
      <c r="R422" s="80">
        <v>1</v>
      </c>
      <c r="T422" s="81">
        <v>1</v>
      </c>
      <c r="U422" s="118">
        <v>1</v>
      </c>
      <c r="V422" s="121"/>
      <c r="W422" s="122"/>
      <c r="X422" s="123"/>
      <c r="Y422" s="80"/>
      <c r="AA422" s="124"/>
      <c r="AB422" s="65"/>
      <c r="AC422" s="46"/>
      <c r="AD422" s="46" t="s">
        <v>4184</v>
      </c>
      <c r="AF422" s="36" t="s">
        <v>5643</v>
      </c>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5836</v>
      </c>
      <c r="BK422" s="46"/>
      <c r="BL422" s="46"/>
      <c r="BM422" s="46"/>
      <c r="BN422" s="46"/>
      <c r="BO422" s="46"/>
      <c r="BP422" s="46"/>
    </row>
    <row r="423" spans="1:68" ht="15" customHeight="1">
      <c r="A423" s="36" t="s">
        <v>5568</v>
      </c>
      <c r="B423" s="36" t="s">
        <v>5785</v>
      </c>
      <c r="C423" s="36" t="s">
        <v>5829</v>
      </c>
      <c r="D423" s="68">
        <v>140</v>
      </c>
      <c r="E423" s="46">
        <v>1</v>
      </c>
      <c r="F423" s="46" t="s">
        <v>5569</v>
      </c>
      <c r="G423" s="46" t="s">
        <v>4121</v>
      </c>
      <c r="H423" s="46" t="s">
        <v>5644</v>
      </c>
      <c r="I423" s="46"/>
      <c r="J423" s="46" t="s">
        <v>4111</v>
      </c>
      <c r="K423" s="46" t="s">
        <v>26</v>
      </c>
      <c r="L423" s="46"/>
      <c r="M423" s="46"/>
      <c r="N423" s="117">
        <v>2</v>
      </c>
      <c r="O423" s="118"/>
      <c r="P423" s="119">
        <v>1</v>
      </c>
      <c r="Q423" s="120">
        <v>1</v>
      </c>
      <c r="R423" s="80"/>
      <c r="U423" s="118"/>
      <c r="V423" s="121"/>
      <c r="W423" s="122"/>
      <c r="X423" s="123"/>
      <c r="Y423" s="80"/>
      <c r="AA423" s="124"/>
      <c r="AB423" s="65" t="s">
        <v>4059</v>
      </c>
      <c r="AC423" s="46" t="s">
        <v>4112</v>
      </c>
      <c r="AD423" s="46" t="s">
        <v>4123</v>
      </c>
      <c r="AF423" s="36" t="s">
        <v>5645</v>
      </c>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15" customHeight="1">
      <c r="A424" s="36" t="s">
        <v>5568</v>
      </c>
      <c r="B424" s="36" t="s">
        <v>5786</v>
      </c>
      <c r="C424" s="36" t="s">
        <v>5829</v>
      </c>
      <c r="D424" s="68">
        <v>141</v>
      </c>
      <c r="E424" s="46">
        <v>1</v>
      </c>
      <c r="F424" s="46" t="s">
        <v>5569</v>
      </c>
      <c r="G424" s="46" t="s">
        <v>5646</v>
      </c>
      <c r="H424" s="46" t="s">
        <v>5647</v>
      </c>
      <c r="I424" s="46"/>
      <c r="J424" s="46" t="s">
        <v>29</v>
      </c>
      <c r="K424" s="46"/>
      <c r="L424" s="46"/>
      <c r="M424" s="46"/>
      <c r="N424" s="117"/>
      <c r="O424" s="118"/>
      <c r="P424" s="119"/>
      <c r="Q424" s="120">
        <v>2</v>
      </c>
      <c r="R424" s="80">
        <v>2</v>
      </c>
      <c r="T424" s="81">
        <v>3</v>
      </c>
      <c r="U424" s="118"/>
      <c r="V424" s="121">
        <v>1</v>
      </c>
      <c r="W424" s="122">
        <v>1</v>
      </c>
      <c r="X424" s="123"/>
      <c r="Y424" s="80"/>
      <c r="AA424" s="124"/>
      <c r="AB424" s="65"/>
      <c r="AC424" s="46"/>
      <c r="AD424" s="46" t="s">
        <v>5648</v>
      </c>
      <c r="AE424" s="37" t="s">
        <v>4707</v>
      </c>
      <c r="AF424" s="36" t="s">
        <v>5835</v>
      </c>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15" customHeight="1">
      <c r="A425" s="36" t="s">
        <v>5568</v>
      </c>
      <c r="B425" s="36" t="s">
        <v>5787</v>
      </c>
      <c r="C425" s="36" t="s">
        <v>5829</v>
      </c>
      <c r="D425" s="68">
        <v>142</v>
      </c>
      <c r="E425" s="46">
        <v>1</v>
      </c>
      <c r="F425" s="46" t="s">
        <v>5569</v>
      </c>
      <c r="G425" s="46" t="s">
        <v>5649</v>
      </c>
      <c r="H425" s="46"/>
      <c r="I425" s="46"/>
      <c r="J425" s="46" t="s">
        <v>28</v>
      </c>
      <c r="K425" s="46"/>
      <c r="L425" s="46"/>
      <c r="M425" s="46"/>
      <c r="N425" s="117"/>
      <c r="O425" s="118"/>
      <c r="P425" s="119"/>
      <c r="Q425" s="120"/>
      <c r="R425" s="80"/>
      <c r="U425" s="118"/>
      <c r="V425" s="121"/>
      <c r="W425" s="122"/>
      <c r="X425" s="123"/>
      <c r="Y425" s="80"/>
      <c r="AA425" s="124"/>
      <c r="AB425" s="65"/>
      <c r="AC425" s="46"/>
      <c r="AD425" s="46" t="s">
        <v>5517</v>
      </c>
      <c r="AF425" s="36" t="s">
        <v>5650</v>
      </c>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15" customHeight="1">
      <c r="A426" s="36" t="s">
        <v>5568</v>
      </c>
      <c r="B426" s="36" t="s">
        <v>5788</v>
      </c>
      <c r="C426" s="36" t="s">
        <v>5829</v>
      </c>
      <c r="D426" s="68">
        <v>143</v>
      </c>
      <c r="E426" s="46">
        <v>2</v>
      </c>
      <c r="F426" s="46" t="s">
        <v>5569</v>
      </c>
      <c r="G426" s="46" t="s">
        <v>5651</v>
      </c>
      <c r="H426" s="46"/>
      <c r="I426" s="46"/>
      <c r="J426" s="46" t="s">
        <v>28</v>
      </c>
      <c r="K426" s="46"/>
      <c r="L426" s="46"/>
      <c r="M426" s="46"/>
      <c r="N426" s="117"/>
      <c r="O426" s="118"/>
      <c r="P426" s="119"/>
      <c r="Q426" s="120"/>
      <c r="R426" s="80"/>
      <c r="U426" s="118"/>
      <c r="V426" s="121"/>
      <c r="W426" s="122"/>
      <c r="X426" s="123"/>
      <c r="Y426" s="80"/>
      <c r="AA426" s="124"/>
      <c r="AB426" s="65"/>
      <c r="AC426" s="46"/>
      <c r="AD426" s="46" t="s">
        <v>4161</v>
      </c>
      <c r="AF426" s="36" t="s">
        <v>5652</v>
      </c>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15" customHeight="1">
      <c r="A427" s="36" t="s">
        <v>5568</v>
      </c>
      <c r="B427" s="36" t="s">
        <v>5789</v>
      </c>
      <c r="C427" s="36" t="s">
        <v>5829</v>
      </c>
      <c r="D427" s="68">
        <v>144</v>
      </c>
      <c r="E427" s="46">
        <v>3</v>
      </c>
      <c r="F427" s="46" t="s">
        <v>5569</v>
      </c>
      <c r="G427" s="46" t="s">
        <v>5653</v>
      </c>
      <c r="H427" s="46"/>
      <c r="I427" s="46"/>
      <c r="J427" s="46" t="s">
        <v>28</v>
      </c>
      <c r="K427" s="46"/>
      <c r="L427" s="46"/>
      <c r="M427" s="46"/>
      <c r="N427" s="117"/>
      <c r="O427" s="118"/>
      <c r="P427" s="119"/>
      <c r="Q427" s="120"/>
      <c r="R427" s="80"/>
      <c r="U427" s="118"/>
      <c r="V427" s="121"/>
      <c r="W427" s="122"/>
      <c r="X427" s="123"/>
      <c r="Y427" s="80"/>
      <c r="AA427" s="124"/>
      <c r="AB427" s="65"/>
      <c r="AC427" s="46"/>
      <c r="AD427" s="46" t="s">
        <v>5517</v>
      </c>
      <c r="AF427" s="36" t="s">
        <v>5654</v>
      </c>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15" customHeight="1">
      <c r="A428" s="36" t="s">
        <v>5568</v>
      </c>
      <c r="B428" s="36" t="s">
        <v>5790</v>
      </c>
      <c r="C428" s="36" t="s">
        <v>5829</v>
      </c>
      <c r="D428" s="68">
        <v>145</v>
      </c>
      <c r="E428" s="46">
        <v>2</v>
      </c>
      <c r="F428" s="46" t="s">
        <v>5569</v>
      </c>
      <c r="G428" s="46" t="s">
        <v>5655</v>
      </c>
      <c r="H428" s="46"/>
      <c r="I428" s="46"/>
      <c r="J428" s="46" t="s">
        <v>28</v>
      </c>
      <c r="K428" s="46"/>
      <c r="L428" s="46"/>
      <c r="M428" s="46"/>
      <c r="N428" s="117"/>
      <c r="O428" s="118"/>
      <c r="P428" s="119"/>
      <c r="Q428" s="120"/>
      <c r="R428" s="80"/>
      <c r="U428" s="118"/>
      <c r="V428" s="121"/>
      <c r="W428" s="122"/>
      <c r="X428" s="123"/>
      <c r="Y428" s="80"/>
      <c r="AA428" s="124"/>
      <c r="AB428" s="65"/>
      <c r="AC428" s="46"/>
      <c r="AD428" s="46" t="s">
        <v>4335</v>
      </c>
      <c r="AF428" s="36" t="s">
        <v>5656</v>
      </c>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15" customHeight="1">
      <c r="A429" s="36" t="s">
        <v>5568</v>
      </c>
      <c r="B429" s="36" t="s">
        <v>5791</v>
      </c>
      <c r="C429" s="36" t="s">
        <v>5829</v>
      </c>
      <c r="D429" s="68">
        <v>146</v>
      </c>
      <c r="E429" s="46">
        <v>2</v>
      </c>
      <c r="F429" s="46" t="s">
        <v>5569</v>
      </c>
      <c r="G429" s="46" t="s">
        <v>5657</v>
      </c>
      <c r="H429" s="46"/>
      <c r="I429" s="46"/>
      <c r="J429" s="46" t="s">
        <v>28</v>
      </c>
      <c r="K429" s="46"/>
      <c r="L429" s="46"/>
      <c r="M429" s="46"/>
      <c r="N429" s="117"/>
      <c r="O429" s="118"/>
      <c r="P429" s="119"/>
      <c r="Q429" s="120"/>
      <c r="R429" s="80"/>
      <c r="U429" s="118"/>
      <c r="V429" s="121"/>
      <c r="W429" s="122"/>
      <c r="X429" s="123"/>
      <c r="Y429" s="80"/>
      <c r="AA429" s="124"/>
      <c r="AB429" s="65"/>
      <c r="AC429" s="46"/>
      <c r="AD429" s="46"/>
      <c r="AF429" s="36" t="s">
        <v>5658</v>
      </c>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15" customHeight="1">
      <c r="A430" s="67" t="s">
        <v>5571</v>
      </c>
      <c r="B430" s="127" t="s">
        <v>5792</v>
      </c>
      <c r="C430" s="67" t="s">
        <v>5830</v>
      </c>
      <c r="D430" s="66">
        <v>147</v>
      </c>
      <c r="E430" s="67">
        <v>2</v>
      </c>
      <c r="F430" s="67"/>
      <c r="G430" s="67" t="s">
        <v>5666</v>
      </c>
      <c r="J430" s="46" t="s">
        <v>4111</v>
      </c>
      <c r="K430" s="46" t="s">
        <v>4052</v>
      </c>
      <c r="N430" s="117">
        <v>2</v>
      </c>
      <c r="O430" s="118"/>
      <c r="P430" s="119"/>
      <c r="Q430" s="120"/>
      <c r="R430" s="80"/>
      <c r="S430" s="126"/>
      <c r="T430" s="81">
        <v>1</v>
      </c>
      <c r="U430" s="118" t="s">
        <v>38</v>
      </c>
      <c r="V430" s="121"/>
      <c r="W430" s="122"/>
      <c r="X430" s="123"/>
      <c r="Y430" s="80"/>
      <c r="Z430" s="81"/>
      <c r="AA430" s="124"/>
      <c r="AB430" s="65" t="s">
        <v>4060</v>
      </c>
      <c r="AC430" s="46" t="s">
        <v>4247</v>
      </c>
      <c r="AD430" s="46" t="s">
        <v>4119</v>
      </c>
      <c r="AE430" s="37"/>
      <c r="AF430" s="36" t="s">
        <v>5693</v>
      </c>
      <c r="AG430" s="36"/>
      <c r="AP430" s="125"/>
      <c r="AQ430" s="118"/>
      <c r="AR430" s="119"/>
      <c r="AS430" s="120"/>
      <c r="AT430" s="80"/>
      <c r="AU430" s="81"/>
      <c r="AV430" s="118"/>
      <c r="AW430" s="121"/>
      <c r="AX430" s="122"/>
      <c r="AY430" s="123"/>
      <c r="AZ430" s="80"/>
      <c r="BA430" s="81"/>
      <c r="BB430" s="124"/>
      <c r="BF430" s="37"/>
      <c r="BG430" s="36"/>
      <c r="BH430" s="36"/>
    </row>
    <row r="431" spans="1:68" s="46" customFormat="1" ht="15" customHeight="1">
      <c r="A431" s="46" t="s">
        <v>5571</v>
      </c>
      <c r="B431" s="46" t="s">
        <v>5793</v>
      </c>
      <c r="C431" s="46" t="s">
        <v>5830</v>
      </c>
      <c r="D431" s="68">
        <v>148</v>
      </c>
      <c r="E431" s="46">
        <v>2</v>
      </c>
      <c r="G431" s="46" t="s">
        <v>5660</v>
      </c>
      <c r="J431" s="46" t="s">
        <v>27</v>
      </c>
      <c r="K431" s="46" t="s">
        <v>4052</v>
      </c>
      <c r="L431" s="46">
        <v>3</v>
      </c>
      <c r="N431" s="117">
        <v>0</v>
      </c>
      <c r="O431" s="118"/>
      <c r="P431" s="119"/>
      <c r="Q431" s="120"/>
      <c r="R431" s="80"/>
      <c r="S431" s="126"/>
      <c r="T431" s="81"/>
      <c r="U431" s="118"/>
      <c r="V431" s="121"/>
      <c r="W431" s="122"/>
      <c r="X431" s="123"/>
      <c r="Y431" s="80"/>
      <c r="Z431" s="81"/>
      <c r="AA431" s="124"/>
      <c r="AB431" s="65" t="s">
        <v>4948</v>
      </c>
      <c r="AD431" s="46" t="s">
        <v>5659</v>
      </c>
      <c r="AE431" s="37"/>
      <c r="AF431" s="36" t="s">
        <v>5661</v>
      </c>
      <c r="AG431" s="36"/>
      <c r="AP431" s="125"/>
      <c r="AQ431" s="118"/>
      <c r="AR431" s="119"/>
      <c r="AS431" s="120"/>
      <c r="AT431" s="80"/>
      <c r="AU431" s="81"/>
      <c r="AV431" s="118"/>
      <c r="AW431" s="121"/>
      <c r="AX431" s="122"/>
      <c r="AY431" s="123"/>
      <c r="AZ431" s="80"/>
      <c r="BA431" s="81"/>
      <c r="BB431" s="124"/>
      <c r="BF431" s="37"/>
      <c r="BG431" s="36"/>
      <c r="BH431" s="36"/>
    </row>
    <row r="432" spans="1:68" s="46" customFormat="1" ht="15" customHeight="1">
      <c r="A432" s="46" t="s">
        <v>5571</v>
      </c>
      <c r="B432" s="46" t="s">
        <v>5794</v>
      </c>
      <c r="C432" s="46" t="s">
        <v>5830</v>
      </c>
      <c r="D432" s="68">
        <v>149</v>
      </c>
      <c r="E432" s="46">
        <v>2</v>
      </c>
      <c r="G432" s="46" t="s">
        <v>5667</v>
      </c>
      <c r="J432" s="46" t="s">
        <v>4111</v>
      </c>
      <c r="K432" s="46" t="s">
        <v>4053</v>
      </c>
      <c r="N432" s="117">
        <v>2</v>
      </c>
      <c r="O432" s="118"/>
      <c r="P432" s="119"/>
      <c r="Q432" s="120"/>
      <c r="R432" s="80"/>
      <c r="S432" s="126"/>
      <c r="T432" s="81">
        <v>1</v>
      </c>
      <c r="U432" s="118">
        <v>2</v>
      </c>
      <c r="V432" s="121"/>
      <c r="W432" s="122"/>
      <c r="X432" s="123"/>
      <c r="Y432" s="80"/>
      <c r="Z432" s="81"/>
      <c r="AA432" s="124"/>
      <c r="AB432" s="65" t="s">
        <v>4938</v>
      </c>
      <c r="AC432" s="46" t="s">
        <v>25</v>
      </c>
      <c r="AD432" s="46" t="s">
        <v>4184</v>
      </c>
      <c r="AE432" s="37"/>
      <c r="AF432" s="36" t="s">
        <v>5694</v>
      </c>
      <c r="AG432" s="36"/>
      <c r="AP432" s="125"/>
      <c r="AQ432" s="118"/>
      <c r="AR432" s="119"/>
      <c r="AS432" s="120"/>
      <c r="AT432" s="80"/>
      <c r="AU432" s="81"/>
      <c r="AV432" s="118"/>
      <c r="AW432" s="121"/>
      <c r="AX432" s="122"/>
      <c r="AY432" s="123"/>
      <c r="AZ432" s="80"/>
      <c r="BA432" s="81"/>
      <c r="BB432" s="124"/>
      <c r="BF432" s="37"/>
      <c r="BG432" s="36"/>
      <c r="BH432" s="36"/>
    </row>
    <row r="433" spans="1:60" s="46" customFormat="1" ht="15" customHeight="1">
      <c r="A433" s="46" t="s">
        <v>5571</v>
      </c>
      <c r="B433" s="46" t="s">
        <v>5795</v>
      </c>
      <c r="C433" s="46" t="s">
        <v>5830</v>
      </c>
      <c r="D433" s="68">
        <v>150</v>
      </c>
      <c r="E433" s="46">
        <v>2</v>
      </c>
      <c r="G433" s="46" t="s">
        <v>4200</v>
      </c>
      <c r="J433" s="46" t="s">
        <v>4166</v>
      </c>
      <c r="K433" s="46" t="s">
        <v>4053</v>
      </c>
      <c r="L433" s="46">
        <v>2</v>
      </c>
      <c r="N433" s="117"/>
      <c r="O433" s="118"/>
      <c r="P433" s="119"/>
      <c r="Q433" s="120"/>
      <c r="R433" s="80"/>
      <c r="S433" s="126"/>
      <c r="T433" s="81"/>
      <c r="U433" s="118"/>
      <c r="V433" s="121"/>
      <c r="W433" s="122"/>
      <c r="X433" s="123"/>
      <c r="Y433" s="80"/>
      <c r="Z433" s="81"/>
      <c r="AA433" s="124"/>
      <c r="AB433" s="65" t="s">
        <v>4938</v>
      </c>
      <c r="AD433" s="46" t="s">
        <v>5668</v>
      </c>
      <c r="AE433" s="37"/>
      <c r="AF433" s="36" t="s">
        <v>5669</v>
      </c>
      <c r="AG433" s="36"/>
      <c r="AP433" s="125"/>
      <c r="AQ433" s="118"/>
      <c r="AR433" s="119"/>
      <c r="AS433" s="120"/>
      <c r="AT433" s="80"/>
      <c r="AU433" s="81"/>
      <c r="AV433" s="118"/>
      <c r="AW433" s="121"/>
      <c r="AX433" s="122"/>
      <c r="AY433" s="123"/>
      <c r="AZ433" s="80"/>
      <c r="BA433" s="81"/>
      <c r="BB433" s="124"/>
      <c r="BF433" s="37"/>
      <c r="BG433" s="36"/>
      <c r="BH433" s="36"/>
    </row>
    <row r="434" spans="1:60" s="46" customFormat="1" ht="15" customHeight="1">
      <c r="A434" s="46" t="s">
        <v>5571</v>
      </c>
      <c r="B434" s="46" t="s">
        <v>5796</v>
      </c>
      <c r="C434" s="46" t="s">
        <v>5830</v>
      </c>
      <c r="D434" s="68">
        <v>151</v>
      </c>
      <c r="E434" s="46">
        <v>2</v>
      </c>
      <c r="G434" s="46" t="s">
        <v>5662</v>
      </c>
      <c r="J434" s="46" t="s">
        <v>27</v>
      </c>
      <c r="K434" s="46" t="s">
        <v>4055</v>
      </c>
      <c r="N434" s="117">
        <v>0</v>
      </c>
      <c r="O434" s="118"/>
      <c r="P434" s="119"/>
      <c r="Q434" s="120"/>
      <c r="R434" s="80"/>
      <c r="S434" s="126"/>
      <c r="T434" s="81"/>
      <c r="U434" s="118"/>
      <c r="V434" s="121"/>
      <c r="W434" s="122"/>
      <c r="X434" s="123"/>
      <c r="Y434" s="80"/>
      <c r="Z434" s="81"/>
      <c r="AA434" s="124"/>
      <c r="AB434" s="65" t="s">
        <v>4949</v>
      </c>
      <c r="AD434" s="46" t="s">
        <v>5663</v>
      </c>
      <c r="AE434" s="37"/>
      <c r="AF434" s="36" t="s">
        <v>5664</v>
      </c>
      <c r="AG434" s="36"/>
      <c r="AP434" s="125"/>
      <c r="AQ434" s="118"/>
      <c r="AR434" s="119"/>
      <c r="AS434" s="120"/>
      <c r="AT434" s="80"/>
      <c r="AU434" s="81"/>
      <c r="AV434" s="118"/>
      <c r="AW434" s="121"/>
      <c r="AX434" s="122"/>
      <c r="AY434" s="123"/>
      <c r="AZ434" s="80"/>
      <c r="BA434" s="81"/>
      <c r="BB434" s="124"/>
      <c r="BF434" s="37"/>
      <c r="BG434" s="36"/>
      <c r="BH434" s="36"/>
    </row>
    <row r="435" spans="1:60" s="46" customFormat="1" ht="15" customHeight="1">
      <c r="A435" s="46" t="s">
        <v>5571</v>
      </c>
      <c r="B435" s="46" t="s">
        <v>5797</v>
      </c>
      <c r="C435" s="46" t="s">
        <v>5830</v>
      </c>
      <c r="D435" s="68">
        <v>152</v>
      </c>
      <c r="E435" s="46">
        <v>2</v>
      </c>
      <c r="G435" s="46" t="s">
        <v>4205</v>
      </c>
      <c r="J435" s="46" t="s">
        <v>4111</v>
      </c>
      <c r="K435" s="46" t="s">
        <v>4055</v>
      </c>
      <c r="L435" s="46">
        <v>2</v>
      </c>
      <c r="N435" s="117">
        <v>1</v>
      </c>
      <c r="O435" s="118"/>
      <c r="P435" s="119"/>
      <c r="Q435" s="120"/>
      <c r="R435" s="80"/>
      <c r="S435" s="126"/>
      <c r="T435" s="81"/>
      <c r="U435" s="118"/>
      <c r="V435" s="121"/>
      <c r="W435" s="122"/>
      <c r="X435" s="123"/>
      <c r="Y435" s="80"/>
      <c r="Z435" s="81"/>
      <c r="AA435" s="124"/>
      <c r="AB435" s="65" t="s">
        <v>4941</v>
      </c>
      <c r="AC435" s="46" t="s">
        <v>4112</v>
      </c>
      <c r="AD435" s="46" t="s">
        <v>4206</v>
      </c>
      <c r="AE435" s="37"/>
      <c r="AF435" s="36" t="s">
        <v>5695</v>
      </c>
      <c r="AG435" s="36"/>
      <c r="AP435" s="125"/>
      <c r="AQ435" s="118"/>
      <c r="AR435" s="119"/>
      <c r="AS435" s="120"/>
      <c r="AT435" s="80"/>
      <c r="AU435" s="81"/>
      <c r="AV435" s="118"/>
      <c r="AW435" s="121"/>
      <c r="AX435" s="122"/>
      <c r="AY435" s="123"/>
      <c r="AZ435" s="80"/>
      <c r="BA435" s="81"/>
      <c r="BB435" s="124"/>
      <c r="BF435" s="37"/>
      <c r="BG435" s="36"/>
      <c r="BH435" s="36"/>
    </row>
    <row r="436" spans="1:60" s="46" customFormat="1" ht="15" customHeight="1">
      <c r="A436" s="46" t="s">
        <v>5571</v>
      </c>
      <c r="B436" s="46" t="s">
        <v>5798</v>
      </c>
      <c r="C436" s="46" t="s">
        <v>5830</v>
      </c>
      <c r="D436" s="68">
        <v>153</v>
      </c>
      <c r="E436" s="46">
        <v>2</v>
      </c>
      <c r="G436" s="46" t="s">
        <v>5670</v>
      </c>
      <c r="J436" s="46" t="s">
        <v>27</v>
      </c>
      <c r="K436" s="46" t="s">
        <v>4054</v>
      </c>
      <c r="N436" s="117">
        <v>3</v>
      </c>
      <c r="O436" s="118"/>
      <c r="P436" s="119"/>
      <c r="Q436" s="120"/>
      <c r="R436" s="80"/>
      <c r="S436" s="126"/>
      <c r="T436" s="81"/>
      <c r="U436" s="118"/>
      <c r="V436" s="121"/>
      <c r="W436" s="122"/>
      <c r="X436" s="123"/>
      <c r="Y436" s="80"/>
      <c r="Z436" s="81"/>
      <c r="AA436" s="124"/>
      <c r="AB436" s="65" t="s">
        <v>4941</v>
      </c>
      <c r="AC436" s="46" t="s">
        <v>4232</v>
      </c>
      <c r="AD436" s="46" t="s">
        <v>4133</v>
      </c>
      <c r="AE436" s="37"/>
      <c r="AF436" s="36" t="s">
        <v>5696</v>
      </c>
      <c r="AG436" s="36"/>
      <c r="AP436" s="125"/>
      <c r="AQ436" s="118"/>
      <c r="AR436" s="119"/>
      <c r="AS436" s="120"/>
      <c r="AT436" s="80"/>
      <c r="AU436" s="81"/>
      <c r="AV436" s="118"/>
      <c r="AW436" s="121"/>
      <c r="AX436" s="122"/>
      <c r="AY436" s="123"/>
      <c r="AZ436" s="80"/>
      <c r="BA436" s="81"/>
      <c r="BB436" s="124"/>
      <c r="BF436" s="37"/>
      <c r="BG436" s="36"/>
      <c r="BH436" s="36"/>
    </row>
    <row r="437" spans="1:60" s="46" customFormat="1" ht="15" customHeight="1">
      <c r="A437" s="46" t="s">
        <v>5571</v>
      </c>
      <c r="B437" s="46" t="s">
        <v>5799</v>
      </c>
      <c r="C437" s="46" t="s">
        <v>5830</v>
      </c>
      <c r="D437" s="68">
        <v>154</v>
      </c>
      <c r="E437" s="46">
        <v>2</v>
      </c>
      <c r="G437" s="46" t="s">
        <v>4231</v>
      </c>
      <c r="J437" s="46" t="s">
        <v>4111</v>
      </c>
      <c r="K437" s="46" t="s">
        <v>4054</v>
      </c>
      <c r="L437" s="46">
        <v>3</v>
      </c>
      <c r="N437" s="117">
        <v>3</v>
      </c>
      <c r="O437" s="118"/>
      <c r="P437" s="119"/>
      <c r="Q437" s="120"/>
      <c r="R437" s="80"/>
      <c r="S437" s="126"/>
      <c r="T437" s="81"/>
      <c r="U437" s="118"/>
      <c r="V437" s="121"/>
      <c r="W437" s="122"/>
      <c r="X437" s="123"/>
      <c r="Y437" s="80"/>
      <c r="Z437" s="81"/>
      <c r="AA437" s="124"/>
      <c r="AB437" s="65" t="s">
        <v>4937</v>
      </c>
      <c r="AC437" s="46" t="s">
        <v>4232</v>
      </c>
      <c r="AD437" s="46" t="s">
        <v>4133</v>
      </c>
      <c r="AE437" s="37"/>
      <c r="AF437" s="36" t="s">
        <v>5697</v>
      </c>
      <c r="AG437" s="36"/>
      <c r="AP437" s="125"/>
      <c r="AQ437" s="118"/>
      <c r="AR437" s="119"/>
      <c r="AS437" s="120"/>
      <c r="AT437" s="80"/>
      <c r="AU437" s="81"/>
      <c r="AV437" s="118"/>
      <c r="AW437" s="121"/>
      <c r="AX437" s="122"/>
      <c r="AY437" s="123"/>
      <c r="AZ437" s="80"/>
      <c r="BA437" s="81"/>
      <c r="BB437" s="124"/>
      <c r="BF437" s="37"/>
      <c r="BG437" s="36"/>
      <c r="BH437" s="36"/>
    </row>
    <row r="438" spans="1:60" s="46" customFormat="1" ht="15" customHeight="1">
      <c r="A438" s="46" t="s">
        <v>5571</v>
      </c>
      <c r="B438" s="46" t="s">
        <v>5800</v>
      </c>
      <c r="C438" s="46" t="s">
        <v>5830</v>
      </c>
      <c r="D438" s="68">
        <v>155</v>
      </c>
      <c r="E438" s="46">
        <v>2</v>
      </c>
      <c r="G438" s="46" t="s">
        <v>5671</v>
      </c>
      <c r="J438" s="46" t="s">
        <v>4111</v>
      </c>
      <c r="K438" s="46" t="s">
        <v>4056</v>
      </c>
      <c r="N438" s="117">
        <v>1</v>
      </c>
      <c r="O438" s="118"/>
      <c r="P438" s="119"/>
      <c r="Q438" s="120"/>
      <c r="R438" s="80"/>
      <c r="S438" s="126"/>
      <c r="T438" s="81"/>
      <c r="U438" s="118"/>
      <c r="V438" s="121"/>
      <c r="W438" s="122"/>
      <c r="X438" s="123"/>
      <c r="Y438" s="80"/>
      <c r="Z438" s="81"/>
      <c r="AA438" s="124"/>
      <c r="AB438" s="65" t="s">
        <v>4059</v>
      </c>
      <c r="AC438" s="46" t="s">
        <v>4112</v>
      </c>
      <c r="AD438" s="46" t="s">
        <v>4119</v>
      </c>
      <c r="AE438" s="37"/>
      <c r="AF438" s="36" t="s">
        <v>5698</v>
      </c>
      <c r="AG438" s="36"/>
      <c r="AP438" s="125"/>
      <c r="AQ438" s="118"/>
      <c r="AR438" s="119"/>
      <c r="AS438" s="120"/>
      <c r="AT438" s="80"/>
      <c r="AU438" s="81"/>
      <c r="AV438" s="118"/>
      <c r="AW438" s="121"/>
      <c r="AX438" s="122"/>
      <c r="AY438" s="123"/>
      <c r="AZ438" s="80"/>
      <c r="BA438" s="81"/>
      <c r="BB438" s="124"/>
      <c r="BF438" s="37"/>
      <c r="BG438" s="36"/>
      <c r="BH438" s="36"/>
    </row>
    <row r="439" spans="1:60" s="46" customFormat="1" ht="15" customHeight="1">
      <c r="A439" s="46" t="s">
        <v>5571</v>
      </c>
      <c r="B439" s="46" t="s">
        <v>5801</v>
      </c>
      <c r="C439" s="46" t="s">
        <v>5830</v>
      </c>
      <c r="D439" s="68">
        <v>156</v>
      </c>
      <c r="E439" s="46">
        <v>2</v>
      </c>
      <c r="G439" s="46" t="s">
        <v>5672</v>
      </c>
      <c r="J439" s="46" t="s">
        <v>27</v>
      </c>
      <c r="K439" s="46" t="s">
        <v>4056</v>
      </c>
      <c r="L439" s="46">
        <v>1</v>
      </c>
      <c r="N439" s="117">
        <v>1</v>
      </c>
      <c r="O439" s="118"/>
      <c r="P439" s="119"/>
      <c r="Q439" s="120"/>
      <c r="R439" s="80"/>
      <c r="S439" s="126"/>
      <c r="T439" s="81"/>
      <c r="U439" s="118"/>
      <c r="V439" s="121"/>
      <c r="W439" s="122"/>
      <c r="X439" s="123"/>
      <c r="Y439" s="80"/>
      <c r="Z439" s="81"/>
      <c r="AA439" s="124"/>
      <c r="AB439" s="65" t="s">
        <v>4949</v>
      </c>
      <c r="AC439" s="46" t="s">
        <v>4112</v>
      </c>
      <c r="AD439" s="46" t="s">
        <v>5266</v>
      </c>
      <c r="AE439" s="37"/>
      <c r="AF439" s="36" t="s">
        <v>5699</v>
      </c>
      <c r="AG439" s="36"/>
      <c r="AP439" s="125"/>
      <c r="AQ439" s="118"/>
      <c r="AR439" s="119"/>
      <c r="AS439" s="120"/>
      <c r="AT439" s="80"/>
      <c r="AU439" s="81"/>
      <c r="AV439" s="118"/>
      <c r="AW439" s="121"/>
      <c r="AX439" s="122"/>
      <c r="AY439" s="123"/>
      <c r="AZ439" s="80"/>
      <c r="BA439" s="81"/>
      <c r="BB439" s="124"/>
      <c r="BF439" s="37"/>
      <c r="BG439" s="36"/>
      <c r="BH439" s="36"/>
    </row>
    <row r="440" spans="1:60" s="46" customFormat="1" ht="15" customHeight="1">
      <c r="A440" s="46" t="s">
        <v>5571</v>
      </c>
      <c r="B440" s="46" t="s">
        <v>5802</v>
      </c>
      <c r="C440" s="46" t="s">
        <v>5830</v>
      </c>
      <c r="D440" s="68">
        <v>157</v>
      </c>
      <c r="E440" s="46">
        <v>2</v>
      </c>
      <c r="G440" s="46" t="s">
        <v>5673</v>
      </c>
      <c r="J440" s="46" t="s">
        <v>4111</v>
      </c>
      <c r="K440" s="46" t="s">
        <v>26</v>
      </c>
      <c r="L440" s="46">
        <v>3</v>
      </c>
      <c r="N440" s="117" t="s">
        <v>38</v>
      </c>
      <c r="O440" s="118"/>
      <c r="P440" s="119"/>
      <c r="Q440" s="120"/>
      <c r="R440" s="80"/>
      <c r="S440" s="126"/>
      <c r="T440" s="81"/>
      <c r="U440" s="118"/>
      <c r="V440" s="121"/>
      <c r="W440" s="122"/>
      <c r="X440" s="123"/>
      <c r="Y440" s="80"/>
      <c r="Z440" s="81"/>
      <c r="AA440" s="124"/>
      <c r="AB440" s="65"/>
      <c r="AD440" s="46" t="s">
        <v>4143</v>
      </c>
      <c r="AE440" s="37" t="s">
        <v>5832</v>
      </c>
      <c r="AF440" s="36" t="s">
        <v>5831</v>
      </c>
      <c r="AG440" s="36"/>
      <c r="AP440" s="125"/>
      <c r="AQ440" s="118"/>
      <c r="AR440" s="119"/>
      <c r="AS440" s="120"/>
      <c r="AT440" s="80"/>
      <c r="AU440" s="81"/>
      <c r="AV440" s="118"/>
      <c r="AW440" s="121"/>
      <c r="AX440" s="122"/>
      <c r="AY440" s="123"/>
      <c r="AZ440" s="80"/>
      <c r="BA440" s="81"/>
      <c r="BB440" s="124"/>
      <c r="BF440" s="37"/>
      <c r="BG440" s="36"/>
      <c r="BH440" s="36"/>
    </row>
    <row r="441" spans="1:60" s="46" customFormat="1" ht="15" customHeight="1">
      <c r="A441" s="46" t="s">
        <v>5571</v>
      </c>
      <c r="B441" s="46" t="s">
        <v>5803</v>
      </c>
      <c r="C441" s="46" t="s">
        <v>5830</v>
      </c>
      <c r="D441" s="68">
        <v>158</v>
      </c>
      <c r="E441" s="46">
        <v>2</v>
      </c>
      <c r="G441" s="46" t="s">
        <v>5665</v>
      </c>
      <c r="J441" s="46" t="s">
        <v>4111</v>
      </c>
      <c r="K441" s="46" t="s">
        <v>26</v>
      </c>
      <c r="L441" s="46">
        <v>3</v>
      </c>
      <c r="N441" s="117" t="s">
        <v>38</v>
      </c>
      <c r="O441" s="118"/>
      <c r="P441" s="119"/>
      <c r="Q441" s="120"/>
      <c r="R441" s="80"/>
      <c r="S441" s="126"/>
      <c r="T441" s="81"/>
      <c r="U441" s="118"/>
      <c r="V441" s="121"/>
      <c r="W441" s="122"/>
      <c r="X441" s="123"/>
      <c r="Y441" s="80"/>
      <c r="Z441" s="81"/>
      <c r="AA441" s="124"/>
      <c r="AB441" s="65"/>
      <c r="AD441" s="46" t="s">
        <v>4143</v>
      </c>
      <c r="AE441" s="37" t="s">
        <v>5833</v>
      </c>
      <c r="AF441" s="36" t="s">
        <v>5834</v>
      </c>
      <c r="AG441" s="36"/>
      <c r="AP441" s="125"/>
      <c r="AQ441" s="118"/>
      <c r="AR441" s="119"/>
      <c r="AS441" s="120"/>
      <c r="AT441" s="80"/>
      <c r="AU441" s="81"/>
      <c r="AV441" s="118"/>
      <c r="AW441" s="121"/>
      <c r="AX441" s="122"/>
      <c r="AY441" s="123"/>
      <c r="AZ441" s="80"/>
      <c r="BA441" s="81"/>
      <c r="BB441" s="124"/>
      <c r="BF441" s="37"/>
      <c r="BG441" s="36"/>
      <c r="BH441" s="36"/>
    </row>
    <row r="442" spans="1:60" s="46" customFormat="1" ht="15" customHeight="1">
      <c r="A442" s="46" t="s">
        <v>5571</v>
      </c>
      <c r="B442" s="46" t="s">
        <v>5804</v>
      </c>
      <c r="C442" s="46" t="s">
        <v>5830</v>
      </c>
      <c r="D442" s="68">
        <v>159</v>
      </c>
      <c r="E442" s="46">
        <v>1</v>
      </c>
      <c r="F442" s="46" t="s">
        <v>5572</v>
      </c>
      <c r="G442" s="46" t="s">
        <v>5572</v>
      </c>
      <c r="H442" s="46" t="s">
        <v>4563</v>
      </c>
      <c r="J442" s="46" t="s">
        <v>4472</v>
      </c>
      <c r="N442" s="117"/>
      <c r="O442" s="118"/>
      <c r="P442" s="119"/>
      <c r="Q442" s="120"/>
      <c r="R442" s="80"/>
      <c r="S442" s="126"/>
      <c r="T442" s="81"/>
      <c r="U442" s="118"/>
      <c r="V442" s="121"/>
      <c r="W442" s="122"/>
      <c r="X442" s="123"/>
      <c r="Y442" s="80"/>
      <c r="Z442" s="81"/>
      <c r="AA442" s="124"/>
      <c r="AB442" s="65"/>
      <c r="AE442" s="37"/>
      <c r="AF442" s="36" t="s">
        <v>5700</v>
      </c>
      <c r="AG442" s="36"/>
      <c r="AI442" s="46" t="s">
        <v>5572</v>
      </c>
      <c r="AJ442" s="46" t="s">
        <v>4564</v>
      </c>
      <c r="AL442" s="46" t="s">
        <v>4472</v>
      </c>
      <c r="AP442" s="125"/>
      <c r="AQ442" s="118"/>
      <c r="AR442" s="119"/>
      <c r="AS442" s="120"/>
      <c r="AT442" s="80"/>
      <c r="AU442" s="81"/>
      <c r="AV442" s="118"/>
      <c r="AW442" s="121"/>
      <c r="AX442" s="122"/>
      <c r="AY442" s="123"/>
      <c r="AZ442" s="80"/>
      <c r="BA442" s="81"/>
      <c r="BB442" s="124"/>
      <c r="BF442" s="37"/>
      <c r="BG442" s="36" t="s">
        <v>5728</v>
      </c>
      <c r="BH442" s="36"/>
    </row>
    <row r="443" spans="1:60" s="46" customFormat="1" ht="15" customHeight="1">
      <c r="A443" s="46" t="s">
        <v>5571</v>
      </c>
      <c r="B443" s="46" t="s">
        <v>5805</v>
      </c>
      <c r="C443" s="46" t="s">
        <v>5830</v>
      </c>
      <c r="D443" s="68">
        <v>160</v>
      </c>
      <c r="E443" s="46">
        <v>1</v>
      </c>
      <c r="F443" s="46" t="s">
        <v>5572</v>
      </c>
      <c r="G443" s="46" t="s">
        <v>5674</v>
      </c>
      <c r="J443" s="46" t="s">
        <v>4473</v>
      </c>
      <c r="L443" s="46">
        <v>1</v>
      </c>
      <c r="N443" s="117"/>
      <c r="O443" s="118"/>
      <c r="P443" s="119"/>
      <c r="Q443" s="120"/>
      <c r="R443" s="80"/>
      <c r="S443" s="126"/>
      <c r="T443" s="81"/>
      <c r="U443" s="118"/>
      <c r="V443" s="121"/>
      <c r="W443" s="122"/>
      <c r="X443" s="123"/>
      <c r="Y443" s="80"/>
      <c r="Z443" s="81">
        <v>4</v>
      </c>
      <c r="AA443" s="124"/>
      <c r="AB443" s="65"/>
      <c r="AE443" s="37"/>
      <c r="AF443" s="36"/>
      <c r="AG443" s="36"/>
      <c r="AI443" s="46" t="s">
        <v>5729</v>
      </c>
      <c r="AL443" s="46" t="s">
        <v>4473</v>
      </c>
      <c r="AN443" s="46">
        <v>1</v>
      </c>
      <c r="AP443" s="125"/>
      <c r="AQ443" s="118"/>
      <c r="AR443" s="119"/>
      <c r="AS443" s="120"/>
      <c r="AT443" s="80"/>
      <c r="AU443" s="81"/>
      <c r="AV443" s="118"/>
      <c r="AW443" s="121"/>
      <c r="AX443" s="122"/>
      <c r="AY443" s="123"/>
      <c r="AZ443" s="80"/>
      <c r="BA443" s="81"/>
      <c r="BB443" s="124"/>
      <c r="BF443" s="37"/>
      <c r="BG443" s="36" t="s">
        <v>5730</v>
      </c>
      <c r="BH443" s="36"/>
    </row>
    <row r="444" spans="1:60" s="46" customFormat="1" ht="15" customHeight="1">
      <c r="A444" s="46" t="s">
        <v>5571</v>
      </c>
      <c r="B444" s="46" t="s">
        <v>5806</v>
      </c>
      <c r="C444" s="46" t="s">
        <v>5830</v>
      </c>
      <c r="D444" s="68">
        <v>161</v>
      </c>
      <c r="E444" s="46">
        <v>1</v>
      </c>
      <c r="F444" s="46" t="s">
        <v>5572</v>
      </c>
      <c r="G444" s="46" t="s">
        <v>5675</v>
      </c>
      <c r="J444" s="46" t="s">
        <v>4473</v>
      </c>
      <c r="L444" s="46">
        <v>2</v>
      </c>
      <c r="N444" s="117"/>
      <c r="O444" s="118"/>
      <c r="P444" s="119"/>
      <c r="Q444" s="120"/>
      <c r="R444" s="80"/>
      <c r="S444" s="126"/>
      <c r="T444" s="81"/>
      <c r="U444" s="118"/>
      <c r="V444" s="121"/>
      <c r="W444" s="122"/>
      <c r="X444" s="123"/>
      <c r="Y444" s="80"/>
      <c r="Z444" s="81">
        <v>3</v>
      </c>
      <c r="AA444" s="124"/>
      <c r="AB444" s="65"/>
      <c r="AE444" s="37"/>
      <c r="AF444" s="36"/>
      <c r="AG444" s="36"/>
      <c r="AI444" s="46" t="s">
        <v>5731</v>
      </c>
      <c r="AL444" s="46" t="s">
        <v>4473</v>
      </c>
      <c r="AN444" s="46">
        <v>2</v>
      </c>
      <c r="AP444" s="125"/>
      <c r="AQ444" s="118"/>
      <c r="AR444" s="119"/>
      <c r="AS444" s="120"/>
      <c r="AT444" s="80"/>
      <c r="AU444" s="81"/>
      <c r="AV444" s="118"/>
      <c r="AW444" s="121"/>
      <c r="AX444" s="122"/>
      <c r="AY444" s="123"/>
      <c r="AZ444" s="80"/>
      <c r="BA444" s="81"/>
      <c r="BB444" s="124"/>
      <c r="BF444" s="37"/>
      <c r="BG444" s="36" t="s">
        <v>5730</v>
      </c>
      <c r="BH444" s="36"/>
    </row>
    <row r="445" spans="1:60" s="46" customFormat="1" ht="15" customHeight="1">
      <c r="A445" s="46" t="s">
        <v>5571</v>
      </c>
      <c r="B445" s="46" t="s">
        <v>5807</v>
      </c>
      <c r="C445" s="46" t="s">
        <v>5830</v>
      </c>
      <c r="D445" s="68">
        <v>162</v>
      </c>
      <c r="E445" s="46">
        <v>1</v>
      </c>
      <c r="F445" s="46" t="s">
        <v>5572</v>
      </c>
      <c r="G445" s="46" t="s">
        <v>5676</v>
      </c>
      <c r="J445" s="46" t="s">
        <v>4473</v>
      </c>
      <c r="L445" s="46">
        <v>3</v>
      </c>
      <c r="N445" s="117"/>
      <c r="O445" s="118"/>
      <c r="P445" s="119"/>
      <c r="Q445" s="120"/>
      <c r="R445" s="80"/>
      <c r="S445" s="126"/>
      <c r="T445" s="81"/>
      <c r="U445" s="118"/>
      <c r="V445" s="121"/>
      <c r="W445" s="122"/>
      <c r="X445" s="123"/>
      <c r="Y445" s="80"/>
      <c r="Z445" s="81">
        <v>4</v>
      </c>
      <c r="AA445" s="124"/>
      <c r="AB445" s="65"/>
      <c r="AE445" s="37"/>
      <c r="AF445" s="36"/>
      <c r="AG445" s="36"/>
      <c r="AI445" s="46" t="s">
        <v>5732</v>
      </c>
      <c r="AL445" s="46" t="s">
        <v>4473</v>
      </c>
      <c r="AN445" s="46">
        <v>3</v>
      </c>
      <c r="AP445" s="125"/>
      <c r="AQ445" s="118"/>
      <c r="AR445" s="119"/>
      <c r="AS445" s="120"/>
      <c r="AT445" s="80"/>
      <c r="AU445" s="81"/>
      <c r="AV445" s="118"/>
      <c r="AW445" s="121"/>
      <c r="AX445" s="122"/>
      <c r="AY445" s="123"/>
      <c r="AZ445" s="80"/>
      <c r="BA445" s="81"/>
      <c r="BB445" s="124"/>
      <c r="BF445" s="37"/>
      <c r="BG445" s="36" t="s">
        <v>5733</v>
      </c>
      <c r="BH445" s="36"/>
    </row>
    <row r="446" spans="1:60" s="46" customFormat="1" ht="15" customHeight="1">
      <c r="A446" s="46" t="s">
        <v>5571</v>
      </c>
      <c r="B446" s="46" t="s">
        <v>5808</v>
      </c>
      <c r="C446" s="46" t="s">
        <v>5830</v>
      </c>
      <c r="D446" s="68">
        <v>163</v>
      </c>
      <c r="E446" s="46">
        <v>1</v>
      </c>
      <c r="F446" s="46" t="s">
        <v>5572</v>
      </c>
      <c r="G446" s="46" t="s">
        <v>5677</v>
      </c>
      <c r="J446" s="46" t="s">
        <v>4473</v>
      </c>
      <c r="L446" s="46">
        <v>4</v>
      </c>
      <c r="N446" s="117"/>
      <c r="O446" s="118"/>
      <c r="P446" s="119"/>
      <c r="Q446" s="120"/>
      <c r="R446" s="80"/>
      <c r="S446" s="126"/>
      <c r="T446" s="81"/>
      <c r="U446" s="118"/>
      <c r="V446" s="121"/>
      <c r="W446" s="122"/>
      <c r="X446" s="123"/>
      <c r="Y446" s="80"/>
      <c r="Z446" s="81">
        <v>3</v>
      </c>
      <c r="AA446" s="124"/>
      <c r="AB446" s="65"/>
      <c r="AE446" s="37"/>
      <c r="AF446" s="36"/>
      <c r="AG446" s="36"/>
      <c r="AI446" s="46" t="s">
        <v>5734</v>
      </c>
      <c r="AL446" s="46" t="s">
        <v>4473</v>
      </c>
      <c r="AN446" s="46">
        <v>4</v>
      </c>
      <c r="AP446" s="125"/>
      <c r="AQ446" s="118"/>
      <c r="AR446" s="119"/>
      <c r="AS446" s="120"/>
      <c r="AT446" s="80"/>
      <c r="AU446" s="81"/>
      <c r="AV446" s="118"/>
      <c r="AW446" s="121"/>
      <c r="AX446" s="122"/>
      <c r="AY446" s="123"/>
      <c r="AZ446" s="80"/>
      <c r="BA446" s="81"/>
      <c r="BB446" s="124"/>
      <c r="BF446" s="37"/>
      <c r="BG446" s="36" t="s">
        <v>5733</v>
      </c>
      <c r="BH446" s="36"/>
    </row>
    <row r="447" spans="1:60" s="46" customFormat="1" ht="15" customHeight="1">
      <c r="A447" s="46" t="s">
        <v>5571</v>
      </c>
      <c r="B447" s="46" t="s">
        <v>5809</v>
      </c>
      <c r="C447" s="46" t="s">
        <v>5830</v>
      </c>
      <c r="D447" s="68">
        <v>164</v>
      </c>
      <c r="E447" s="46">
        <v>1</v>
      </c>
      <c r="F447" s="46" t="s">
        <v>5572</v>
      </c>
      <c r="G447" s="46" t="s">
        <v>5678</v>
      </c>
      <c r="J447" s="46" t="s">
        <v>4473</v>
      </c>
      <c r="L447" s="46">
        <v>5</v>
      </c>
      <c r="N447" s="117"/>
      <c r="O447" s="118"/>
      <c r="P447" s="119"/>
      <c r="Q447" s="120"/>
      <c r="R447" s="80"/>
      <c r="S447" s="126"/>
      <c r="T447" s="81"/>
      <c r="U447" s="118"/>
      <c r="V447" s="121"/>
      <c r="W447" s="122"/>
      <c r="X447" s="123"/>
      <c r="Y447" s="80"/>
      <c r="Z447" s="81">
        <v>3</v>
      </c>
      <c r="AA447" s="124"/>
      <c r="AB447" s="65"/>
      <c r="AE447" s="37"/>
      <c r="AF447" s="36"/>
      <c r="AG447" s="36"/>
      <c r="AI447" s="46" t="s">
        <v>5735</v>
      </c>
      <c r="AL447" s="46" t="s">
        <v>4473</v>
      </c>
      <c r="AN447" s="46">
        <v>5</v>
      </c>
      <c r="AP447" s="125"/>
      <c r="AQ447" s="118"/>
      <c r="AR447" s="119"/>
      <c r="AS447" s="120"/>
      <c r="AT447" s="80"/>
      <c r="AU447" s="81"/>
      <c r="AV447" s="118"/>
      <c r="AW447" s="121"/>
      <c r="AX447" s="122"/>
      <c r="AY447" s="123"/>
      <c r="AZ447" s="80"/>
      <c r="BA447" s="81"/>
      <c r="BB447" s="124"/>
      <c r="BF447" s="37"/>
      <c r="BG447" s="36" t="s">
        <v>5736</v>
      </c>
      <c r="BH447" s="36"/>
    </row>
    <row r="448" spans="1:60" s="46" customFormat="1" ht="15" customHeight="1">
      <c r="A448" s="46" t="s">
        <v>5571</v>
      </c>
      <c r="B448" s="46" t="s">
        <v>5810</v>
      </c>
      <c r="C448" s="46" t="s">
        <v>5830</v>
      </c>
      <c r="D448" s="68">
        <v>165</v>
      </c>
      <c r="E448" s="46">
        <v>1</v>
      </c>
      <c r="F448" s="46" t="s">
        <v>5572</v>
      </c>
      <c r="G448" s="46" t="s">
        <v>5679</v>
      </c>
      <c r="J448" s="46" t="s">
        <v>4475</v>
      </c>
      <c r="L448" s="46">
        <v>1</v>
      </c>
      <c r="N448" s="117"/>
      <c r="O448" s="118"/>
      <c r="P448" s="119"/>
      <c r="Q448" s="120"/>
      <c r="R448" s="80"/>
      <c r="S448" s="126"/>
      <c r="T448" s="81"/>
      <c r="U448" s="118"/>
      <c r="V448" s="121"/>
      <c r="W448" s="122"/>
      <c r="X448" s="123"/>
      <c r="Y448" s="80" t="s">
        <v>38</v>
      </c>
      <c r="Z448" s="81"/>
      <c r="AA448" s="124"/>
      <c r="AB448" s="65"/>
      <c r="AE448" s="37"/>
      <c r="AF448" s="36" t="s">
        <v>5701</v>
      </c>
      <c r="AG448" s="36"/>
      <c r="AI448" s="46" t="s">
        <v>5737</v>
      </c>
      <c r="AL448" s="46" t="s">
        <v>4475</v>
      </c>
      <c r="AN448" s="46">
        <v>1</v>
      </c>
      <c r="AP448" s="125"/>
      <c r="AQ448" s="118"/>
      <c r="AR448" s="119"/>
      <c r="AS448" s="120"/>
      <c r="AT448" s="80"/>
      <c r="AU448" s="81"/>
      <c r="AV448" s="118"/>
      <c r="AW448" s="121"/>
      <c r="AX448" s="122"/>
      <c r="AY448" s="123"/>
      <c r="AZ448" s="80"/>
      <c r="BA448" s="81"/>
      <c r="BB448" s="124"/>
      <c r="BF448" s="37"/>
      <c r="BG448" s="36" t="s">
        <v>5738</v>
      </c>
      <c r="BH448" s="36"/>
    </row>
    <row r="449" spans="1:62" s="46" customFormat="1" ht="15" customHeight="1">
      <c r="A449" s="46" t="s">
        <v>5571</v>
      </c>
      <c r="B449" s="46" t="s">
        <v>5811</v>
      </c>
      <c r="C449" s="46" t="s">
        <v>5830</v>
      </c>
      <c r="D449" s="68">
        <v>166</v>
      </c>
      <c r="E449" s="46">
        <v>1</v>
      </c>
      <c r="F449" s="46" t="s">
        <v>5572</v>
      </c>
      <c r="G449" s="46" t="s">
        <v>5680</v>
      </c>
      <c r="J449" s="46" t="s">
        <v>4475</v>
      </c>
      <c r="L449" s="46">
        <v>2</v>
      </c>
      <c r="N449" s="117"/>
      <c r="O449" s="118"/>
      <c r="P449" s="119"/>
      <c r="Q449" s="120"/>
      <c r="R449" s="80"/>
      <c r="S449" s="126"/>
      <c r="T449" s="81"/>
      <c r="U449" s="118"/>
      <c r="V449" s="121"/>
      <c r="W449" s="122"/>
      <c r="X449" s="123"/>
      <c r="Y449" s="80" t="s">
        <v>38</v>
      </c>
      <c r="Z449" s="81"/>
      <c r="AA449" s="124"/>
      <c r="AB449" s="65"/>
      <c r="AE449" s="37"/>
      <c r="AF449" s="36" t="s">
        <v>5702</v>
      </c>
      <c r="AG449" s="36"/>
      <c r="AI449" s="46" t="s">
        <v>5739</v>
      </c>
      <c r="AL449" s="46" t="s">
        <v>4475</v>
      </c>
      <c r="AN449" s="46">
        <v>2</v>
      </c>
      <c r="AP449" s="125"/>
      <c r="AQ449" s="118"/>
      <c r="AR449" s="119"/>
      <c r="AS449" s="120"/>
      <c r="AT449" s="80"/>
      <c r="AU449" s="81"/>
      <c r="AV449" s="118"/>
      <c r="AW449" s="121"/>
      <c r="AX449" s="122"/>
      <c r="AY449" s="123"/>
      <c r="AZ449" s="80"/>
      <c r="BA449" s="81"/>
      <c r="BB449" s="124"/>
      <c r="BF449" s="37"/>
      <c r="BG449" s="36" t="s">
        <v>5740</v>
      </c>
      <c r="BH449" s="36"/>
    </row>
    <row r="450" spans="1:62" s="46" customFormat="1" ht="15" customHeight="1">
      <c r="A450" s="46" t="s">
        <v>5571</v>
      </c>
      <c r="B450" s="46" t="s">
        <v>5812</v>
      </c>
      <c r="C450" s="46" t="s">
        <v>5830</v>
      </c>
      <c r="D450" s="68">
        <v>167</v>
      </c>
      <c r="E450" s="46">
        <v>1</v>
      </c>
      <c r="F450" s="46" t="s">
        <v>5572</v>
      </c>
      <c r="G450" s="46" t="s">
        <v>5681</v>
      </c>
      <c r="J450" s="46" t="s">
        <v>31</v>
      </c>
      <c r="N450" s="117"/>
      <c r="O450" s="118"/>
      <c r="P450" s="119"/>
      <c r="Q450" s="120"/>
      <c r="R450" s="80"/>
      <c r="S450" s="126"/>
      <c r="T450" s="81"/>
      <c r="U450" s="118"/>
      <c r="V450" s="121"/>
      <c r="W450" s="122"/>
      <c r="X450" s="123"/>
      <c r="Y450" s="80"/>
      <c r="Z450" s="81"/>
      <c r="AA450" s="124"/>
      <c r="AB450" s="65"/>
      <c r="AD450" s="46" t="s">
        <v>5682</v>
      </c>
      <c r="AE450" s="37"/>
      <c r="AF450" s="36" t="s">
        <v>5741</v>
      </c>
      <c r="AG450" s="36"/>
      <c r="AI450" s="46" t="s">
        <v>5742</v>
      </c>
      <c r="AL450" s="46" t="s">
        <v>31</v>
      </c>
      <c r="AP450" s="125"/>
      <c r="AQ450" s="118"/>
      <c r="AR450" s="119"/>
      <c r="AS450" s="120"/>
      <c r="AT450" s="80"/>
      <c r="AU450" s="81"/>
      <c r="AV450" s="118"/>
      <c r="AW450" s="121"/>
      <c r="AX450" s="122"/>
      <c r="AY450" s="123">
        <v>1</v>
      </c>
      <c r="AZ450" s="80" t="s">
        <v>4966</v>
      </c>
      <c r="BA450" s="81"/>
      <c r="BB450" s="124"/>
      <c r="BF450" s="37"/>
      <c r="BG450" s="36" t="s">
        <v>5703</v>
      </c>
      <c r="BH450" s="36"/>
    </row>
    <row r="451" spans="1:62" s="46" customFormat="1" ht="15" customHeight="1">
      <c r="A451" s="46" t="s">
        <v>5571</v>
      </c>
      <c r="B451" s="128" t="s">
        <v>5813</v>
      </c>
      <c r="C451" s="46" t="s">
        <v>5830</v>
      </c>
      <c r="D451" s="68">
        <v>168</v>
      </c>
      <c r="E451" s="46">
        <v>1</v>
      </c>
      <c r="F451" s="46" t="s">
        <v>5572</v>
      </c>
      <c r="G451" s="46" t="s">
        <v>5681</v>
      </c>
      <c r="J451" s="46" t="s">
        <v>31</v>
      </c>
      <c r="N451" s="117"/>
      <c r="O451" s="118"/>
      <c r="P451" s="119"/>
      <c r="Q451" s="120"/>
      <c r="R451" s="80"/>
      <c r="S451" s="126"/>
      <c r="T451" s="81"/>
      <c r="U451" s="118"/>
      <c r="V451" s="121"/>
      <c r="W451" s="122"/>
      <c r="X451" s="123"/>
      <c r="Y451" s="80"/>
      <c r="Z451" s="81"/>
      <c r="AA451" s="124"/>
      <c r="AB451" s="65"/>
      <c r="AD451" s="46" t="s">
        <v>5682</v>
      </c>
      <c r="AE451" s="37"/>
      <c r="AF451" s="36" t="s">
        <v>5741</v>
      </c>
      <c r="AG451" s="36"/>
      <c r="AI451" s="46" t="s">
        <v>5742</v>
      </c>
      <c r="AL451" s="46" t="s">
        <v>31</v>
      </c>
      <c r="AP451" s="125"/>
      <c r="AQ451" s="118"/>
      <c r="AR451" s="119"/>
      <c r="AS451" s="120"/>
      <c r="AT451" s="80"/>
      <c r="AU451" s="81"/>
      <c r="AV451" s="118"/>
      <c r="AW451" s="121"/>
      <c r="AX451" s="122"/>
      <c r="AY451" s="123">
        <v>4</v>
      </c>
      <c r="AZ451" s="42" t="s">
        <v>4927</v>
      </c>
      <c r="BA451" s="81"/>
      <c r="BB451" s="124"/>
      <c r="BF451" s="37"/>
      <c r="BG451" s="36" t="s">
        <v>5704</v>
      </c>
      <c r="BH451" s="36"/>
    </row>
    <row r="452" spans="1:62" s="46" customFormat="1" ht="15" customHeight="1">
      <c r="A452" s="46" t="s">
        <v>5571</v>
      </c>
      <c r="B452" s="46" t="s">
        <v>5814</v>
      </c>
      <c r="C452" s="46" t="s">
        <v>5830</v>
      </c>
      <c r="D452" s="68">
        <v>169</v>
      </c>
      <c r="E452" s="46">
        <v>1</v>
      </c>
      <c r="F452" s="46" t="s">
        <v>5572</v>
      </c>
      <c r="G452" s="46" t="s">
        <v>5681</v>
      </c>
      <c r="J452" s="46" t="s">
        <v>31</v>
      </c>
      <c r="N452" s="117"/>
      <c r="O452" s="118"/>
      <c r="P452" s="119"/>
      <c r="Q452" s="120"/>
      <c r="R452" s="80"/>
      <c r="S452" s="126"/>
      <c r="T452" s="81"/>
      <c r="U452" s="118"/>
      <c r="V452" s="121"/>
      <c r="W452" s="122"/>
      <c r="X452" s="123"/>
      <c r="Y452" s="80"/>
      <c r="Z452" s="81"/>
      <c r="AA452" s="124"/>
      <c r="AB452" s="65"/>
      <c r="AD452" s="46" t="s">
        <v>5682</v>
      </c>
      <c r="AE452" s="37"/>
      <c r="AF452" s="36" t="s">
        <v>5741</v>
      </c>
      <c r="AG452" s="36"/>
      <c r="AI452" s="46" t="s">
        <v>5742</v>
      </c>
      <c r="AL452" s="46" t="s">
        <v>31</v>
      </c>
      <c r="AP452" s="125"/>
      <c r="AQ452" s="118"/>
      <c r="AR452" s="119"/>
      <c r="AS452" s="120"/>
      <c r="AT452" s="80"/>
      <c r="AU452" s="81"/>
      <c r="AV452" s="118"/>
      <c r="AW452" s="121"/>
      <c r="AX452" s="122"/>
      <c r="AY452" s="123">
        <v>2</v>
      </c>
      <c r="AZ452" s="80" t="s">
        <v>4965</v>
      </c>
      <c r="BA452" s="81"/>
      <c r="BB452" s="124"/>
      <c r="BF452" s="37"/>
      <c r="BG452" s="36" t="s">
        <v>5705</v>
      </c>
      <c r="BH452" s="36"/>
    </row>
    <row r="453" spans="1:62" s="46" customFormat="1" ht="15" customHeight="1">
      <c r="A453" s="46" t="s">
        <v>5571</v>
      </c>
      <c r="B453" s="46" t="s">
        <v>5815</v>
      </c>
      <c r="C453" s="46" t="s">
        <v>5830</v>
      </c>
      <c r="D453" s="68">
        <v>170</v>
      </c>
      <c r="E453" s="46">
        <v>1</v>
      </c>
      <c r="F453" s="46" t="s">
        <v>5572</v>
      </c>
      <c r="G453" s="46" t="s">
        <v>5681</v>
      </c>
      <c r="J453" s="46" t="s">
        <v>31</v>
      </c>
      <c r="N453" s="117"/>
      <c r="O453" s="118"/>
      <c r="P453" s="119"/>
      <c r="Q453" s="120"/>
      <c r="R453" s="80"/>
      <c r="S453" s="126"/>
      <c r="T453" s="81"/>
      <c r="U453" s="118"/>
      <c r="V453" s="121"/>
      <c r="W453" s="122"/>
      <c r="X453" s="123"/>
      <c r="Y453" s="80"/>
      <c r="Z453" s="81"/>
      <c r="AA453" s="124"/>
      <c r="AB453" s="65"/>
      <c r="AD453" s="46" t="s">
        <v>5682</v>
      </c>
      <c r="AE453" s="37"/>
      <c r="AF453" s="36" t="s">
        <v>5741</v>
      </c>
      <c r="AG453" s="36"/>
      <c r="AI453" s="46" t="s">
        <v>5742</v>
      </c>
      <c r="AL453" s="46" t="s">
        <v>31</v>
      </c>
      <c r="AP453" s="125"/>
      <c r="AQ453" s="118"/>
      <c r="AR453" s="119"/>
      <c r="AS453" s="120"/>
      <c r="AT453" s="80"/>
      <c r="AU453" s="81"/>
      <c r="AV453" s="118"/>
      <c r="AW453" s="121"/>
      <c r="AX453" s="122"/>
      <c r="AY453" s="123">
        <v>3</v>
      </c>
      <c r="AZ453" s="80" t="s">
        <v>4965</v>
      </c>
      <c r="BA453" s="81"/>
      <c r="BB453" s="124"/>
      <c r="BF453" s="37"/>
      <c r="BG453" s="36" t="s">
        <v>5706</v>
      </c>
      <c r="BH453" s="36"/>
    </row>
    <row r="454" spans="1:62" s="46" customFormat="1" ht="15" customHeight="1">
      <c r="A454" s="46" t="s">
        <v>5571</v>
      </c>
      <c r="B454" s="46" t="s">
        <v>5816</v>
      </c>
      <c r="C454" s="46" t="s">
        <v>5830</v>
      </c>
      <c r="D454" s="68">
        <v>171</v>
      </c>
      <c r="E454" s="46">
        <v>1</v>
      </c>
      <c r="F454" s="46" t="s">
        <v>5572</v>
      </c>
      <c r="G454" s="46" t="s">
        <v>5681</v>
      </c>
      <c r="J454" s="46" t="s">
        <v>31</v>
      </c>
      <c r="N454" s="117"/>
      <c r="O454" s="118"/>
      <c r="P454" s="119"/>
      <c r="Q454" s="120"/>
      <c r="R454" s="80"/>
      <c r="S454" s="126"/>
      <c r="T454" s="81"/>
      <c r="U454" s="118"/>
      <c r="V454" s="121"/>
      <c r="W454" s="122"/>
      <c r="X454" s="123"/>
      <c r="Y454" s="80"/>
      <c r="Z454" s="81"/>
      <c r="AA454" s="124"/>
      <c r="AB454" s="65"/>
      <c r="AD454" s="46" t="s">
        <v>5682</v>
      </c>
      <c r="AE454" s="37"/>
      <c r="AF454" s="36" t="s">
        <v>5741</v>
      </c>
      <c r="AG454" s="36"/>
      <c r="AI454" s="46" t="s">
        <v>5742</v>
      </c>
      <c r="AL454" s="46" t="s">
        <v>31</v>
      </c>
      <c r="AP454" s="125"/>
      <c r="AQ454" s="118"/>
      <c r="AR454" s="119"/>
      <c r="AS454" s="120"/>
      <c r="AT454" s="80"/>
      <c r="AU454" s="81"/>
      <c r="AV454" s="118"/>
      <c r="AW454" s="121"/>
      <c r="AX454" s="122"/>
      <c r="AY454" s="123">
        <v>1</v>
      </c>
      <c r="AZ454" s="80" t="s">
        <v>4927</v>
      </c>
      <c r="BA454" s="81"/>
      <c r="BB454" s="124"/>
      <c r="BF454" s="37"/>
      <c r="BG454" s="36" t="s">
        <v>5743</v>
      </c>
      <c r="BH454" s="36"/>
    </row>
    <row r="455" spans="1:62" s="46" customFormat="1" ht="15" customHeight="1">
      <c r="A455" s="46" t="s">
        <v>5571</v>
      </c>
      <c r="B455" s="46" t="s">
        <v>5817</v>
      </c>
      <c r="C455" s="46" t="s">
        <v>5830</v>
      </c>
      <c r="D455" s="68">
        <v>172</v>
      </c>
      <c r="E455" s="46">
        <v>1</v>
      </c>
      <c r="F455" s="46" t="s">
        <v>5572</v>
      </c>
      <c r="G455" s="46" t="s">
        <v>5681</v>
      </c>
      <c r="J455" s="46" t="s">
        <v>31</v>
      </c>
      <c r="N455" s="117"/>
      <c r="O455" s="118"/>
      <c r="P455" s="119"/>
      <c r="Q455" s="120"/>
      <c r="R455" s="80"/>
      <c r="S455" s="126"/>
      <c r="T455" s="81"/>
      <c r="U455" s="118"/>
      <c r="V455" s="121"/>
      <c r="W455" s="122"/>
      <c r="X455" s="123"/>
      <c r="Y455" s="80"/>
      <c r="Z455" s="81"/>
      <c r="AA455" s="124"/>
      <c r="AB455" s="65"/>
      <c r="AD455" s="46" t="s">
        <v>5682</v>
      </c>
      <c r="AE455" s="37"/>
      <c r="AF455" s="36" t="s">
        <v>5741</v>
      </c>
      <c r="AG455" s="36"/>
      <c r="AI455" s="46" t="s">
        <v>5744</v>
      </c>
      <c r="AL455" s="46" t="s">
        <v>31</v>
      </c>
      <c r="AP455" s="125"/>
      <c r="AQ455" s="118"/>
      <c r="AR455" s="119"/>
      <c r="AS455" s="120"/>
      <c r="AT455" s="80"/>
      <c r="AU455" s="81"/>
      <c r="AV455" s="118"/>
      <c r="AW455" s="121"/>
      <c r="AX455" s="122"/>
      <c r="AY455" s="123">
        <v>4</v>
      </c>
      <c r="AZ455" s="80">
        <v>1</v>
      </c>
      <c r="BA455" s="81"/>
      <c r="BB455" s="124"/>
      <c r="BF455" s="37"/>
      <c r="BG455" s="36" t="s">
        <v>5707</v>
      </c>
      <c r="BH455" s="36"/>
    </row>
    <row r="456" spans="1:62" s="46" customFormat="1" ht="15" customHeight="1">
      <c r="A456" s="46" t="s">
        <v>5571</v>
      </c>
      <c r="B456" s="46" t="s">
        <v>5818</v>
      </c>
      <c r="C456" s="46" t="s">
        <v>5830</v>
      </c>
      <c r="D456" s="68">
        <v>173</v>
      </c>
      <c r="E456" s="46">
        <v>1</v>
      </c>
      <c r="F456" s="46" t="s">
        <v>5572</v>
      </c>
      <c r="G456" s="46" t="s">
        <v>5681</v>
      </c>
      <c r="J456" s="46" t="s">
        <v>31</v>
      </c>
      <c r="N456" s="117"/>
      <c r="O456" s="118"/>
      <c r="P456" s="119"/>
      <c r="Q456" s="120"/>
      <c r="R456" s="80"/>
      <c r="S456" s="126"/>
      <c r="T456" s="81"/>
      <c r="U456" s="118"/>
      <c r="V456" s="121"/>
      <c r="W456" s="122"/>
      <c r="X456" s="123"/>
      <c r="Y456" s="80"/>
      <c r="Z456" s="81"/>
      <c r="AA456" s="124"/>
      <c r="AB456" s="65"/>
      <c r="AD456" s="46" t="s">
        <v>5682</v>
      </c>
      <c r="AE456" s="37"/>
      <c r="AF456" s="36" t="s">
        <v>5741</v>
      </c>
      <c r="AG456" s="36"/>
      <c r="AI456" s="46" t="s">
        <v>5745</v>
      </c>
      <c r="AL456" s="46" t="s">
        <v>31</v>
      </c>
      <c r="AP456" s="125"/>
      <c r="AQ456" s="118"/>
      <c r="AR456" s="119"/>
      <c r="AS456" s="120"/>
      <c r="AT456" s="80"/>
      <c r="AU456" s="81"/>
      <c r="AV456" s="118"/>
      <c r="AW456" s="121"/>
      <c r="AX456" s="122"/>
      <c r="AY456" s="123">
        <v>2</v>
      </c>
      <c r="AZ456" s="80">
        <v>0</v>
      </c>
      <c r="BA456" s="81"/>
      <c r="BB456" s="124"/>
      <c r="BF456" s="37"/>
      <c r="BG456" s="36" t="s">
        <v>5708</v>
      </c>
      <c r="BH456" s="36"/>
    </row>
    <row r="457" spans="1:62" s="46" customFormat="1" ht="15" customHeight="1">
      <c r="A457" s="46" t="s">
        <v>5571</v>
      </c>
      <c r="B457" s="46" t="s">
        <v>5819</v>
      </c>
      <c r="C457" s="46" t="s">
        <v>5830</v>
      </c>
      <c r="D457" s="68">
        <v>174</v>
      </c>
      <c r="E457" s="46">
        <v>1</v>
      </c>
      <c r="F457" s="46" t="s">
        <v>5572</v>
      </c>
      <c r="G457" s="46" t="s">
        <v>5681</v>
      </c>
      <c r="J457" s="46" t="s">
        <v>31</v>
      </c>
      <c r="N457" s="117"/>
      <c r="O457" s="118"/>
      <c r="P457" s="119"/>
      <c r="Q457" s="120"/>
      <c r="R457" s="80"/>
      <c r="S457" s="126"/>
      <c r="T457" s="81"/>
      <c r="U457" s="118"/>
      <c r="V457" s="121"/>
      <c r="W457" s="122"/>
      <c r="X457" s="123"/>
      <c r="Y457" s="80"/>
      <c r="Z457" s="81"/>
      <c r="AA457" s="124"/>
      <c r="AB457" s="65"/>
      <c r="AD457" s="46" t="s">
        <v>5682</v>
      </c>
      <c r="AE457" s="37"/>
      <c r="AF457" s="36" t="s">
        <v>5741</v>
      </c>
      <c r="AG457" s="36"/>
      <c r="AI457" s="46" t="s">
        <v>5746</v>
      </c>
      <c r="AL457" s="46" t="s">
        <v>31</v>
      </c>
      <c r="AP457" s="125"/>
      <c r="AQ457" s="118"/>
      <c r="AR457" s="119"/>
      <c r="AS457" s="120"/>
      <c r="AT457" s="80"/>
      <c r="AU457" s="81"/>
      <c r="AV457" s="118"/>
      <c r="AW457" s="121"/>
      <c r="AX457" s="122"/>
      <c r="AY457" s="123">
        <v>3</v>
      </c>
      <c r="AZ457" s="80" t="s">
        <v>4927</v>
      </c>
      <c r="BA457" s="81"/>
      <c r="BB457" s="124">
        <v>1</v>
      </c>
      <c r="BF457" s="37"/>
      <c r="BG457" s="36" t="s">
        <v>5709</v>
      </c>
      <c r="BH457" s="36"/>
    </row>
    <row r="458" spans="1:62" s="46" customFormat="1" ht="15" customHeight="1">
      <c r="A458" s="46" t="s">
        <v>5571</v>
      </c>
      <c r="B458" s="46" t="s">
        <v>5820</v>
      </c>
      <c r="C458" s="46" t="s">
        <v>5830</v>
      </c>
      <c r="D458" s="68">
        <v>175</v>
      </c>
      <c r="E458" s="46">
        <v>1</v>
      </c>
      <c r="F458" s="46" t="s">
        <v>5572</v>
      </c>
      <c r="G458" s="46" t="s">
        <v>5683</v>
      </c>
      <c r="J458" s="46" t="s">
        <v>31</v>
      </c>
      <c r="N458" s="117"/>
      <c r="O458" s="118"/>
      <c r="P458" s="119"/>
      <c r="Q458" s="120"/>
      <c r="R458" s="80"/>
      <c r="S458" s="126"/>
      <c r="T458" s="81"/>
      <c r="U458" s="118"/>
      <c r="V458" s="121"/>
      <c r="W458" s="122"/>
      <c r="X458" s="123"/>
      <c r="Y458" s="80"/>
      <c r="Z458" s="81"/>
      <c r="AA458" s="124"/>
      <c r="AB458" s="65"/>
      <c r="AD458" s="46" t="s">
        <v>5682</v>
      </c>
      <c r="AE458" s="37"/>
      <c r="AF458" s="36" t="s">
        <v>5747</v>
      </c>
      <c r="AG458" s="36"/>
      <c r="AI458" s="46" t="s">
        <v>5683</v>
      </c>
      <c r="AL458" s="46" t="s">
        <v>31</v>
      </c>
      <c r="AP458" s="125"/>
      <c r="AQ458" s="118"/>
      <c r="AR458" s="119"/>
      <c r="AS458" s="120"/>
      <c r="AT458" s="80"/>
      <c r="AU458" s="81"/>
      <c r="AV458" s="118"/>
      <c r="AW458" s="121"/>
      <c r="AX458" s="122"/>
      <c r="AY458" s="123">
        <v>4</v>
      </c>
      <c r="AZ458" s="80" t="s">
        <v>4965</v>
      </c>
      <c r="BA458" s="81"/>
      <c r="BB458" s="124">
        <v>1</v>
      </c>
      <c r="BF458" s="37"/>
      <c r="BG458" s="36" t="s">
        <v>5684</v>
      </c>
      <c r="BH458" s="36"/>
    </row>
    <row r="459" spans="1:62" s="46" customFormat="1" ht="15" customHeight="1">
      <c r="A459" s="46" t="s">
        <v>5571</v>
      </c>
      <c r="B459" s="46" t="s">
        <v>5821</v>
      </c>
      <c r="C459" s="46" t="s">
        <v>5830</v>
      </c>
      <c r="D459" s="68">
        <v>176</v>
      </c>
      <c r="E459" s="46">
        <v>1</v>
      </c>
      <c r="F459" s="46" t="s">
        <v>5572</v>
      </c>
      <c r="G459" s="46" t="s">
        <v>5683</v>
      </c>
      <c r="J459" s="46" t="s">
        <v>31</v>
      </c>
      <c r="N459" s="117"/>
      <c r="O459" s="118"/>
      <c r="P459" s="119"/>
      <c r="Q459" s="120"/>
      <c r="R459" s="80"/>
      <c r="S459" s="126"/>
      <c r="T459" s="81"/>
      <c r="U459" s="118"/>
      <c r="V459" s="121"/>
      <c r="W459" s="122"/>
      <c r="X459" s="123"/>
      <c r="Y459" s="80"/>
      <c r="Z459" s="81"/>
      <c r="AA459" s="124"/>
      <c r="AB459" s="65"/>
      <c r="AD459" s="46" t="s">
        <v>5682</v>
      </c>
      <c r="AE459" s="37"/>
      <c r="AF459" s="36" t="s">
        <v>5747</v>
      </c>
      <c r="AG459" s="36"/>
      <c r="AI459" s="46" t="s">
        <v>5683</v>
      </c>
      <c r="AL459" s="46" t="s">
        <v>31</v>
      </c>
      <c r="AP459" s="125"/>
      <c r="AQ459" s="118"/>
      <c r="AR459" s="119"/>
      <c r="AS459" s="120"/>
      <c r="AT459" s="80"/>
      <c r="AU459" s="81"/>
      <c r="AV459" s="118"/>
      <c r="AW459" s="121"/>
      <c r="AX459" s="122"/>
      <c r="AY459" s="123">
        <v>2</v>
      </c>
      <c r="AZ459" s="80" t="s">
        <v>4965</v>
      </c>
      <c r="BA459" s="81"/>
      <c r="BB459" s="124">
        <v>1</v>
      </c>
      <c r="BF459" s="37"/>
      <c r="BG459" s="36" t="s">
        <v>5710</v>
      </c>
      <c r="BH459" s="36"/>
    </row>
    <row r="460" spans="1:62" s="46" customFormat="1" ht="15" customHeight="1">
      <c r="A460" s="46" t="s">
        <v>5571</v>
      </c>
      <c r="B460" s="46" t="s">
        <v>5822</v>
      </c>
      <c r="C460" s="46" t="s">
        <v>5830</v>
      </c>
      <c r="D460" s="68">
        <v>177</v>
      </c>
      <c r="E460" s="46">
        <v>1</v>
      </c>
      <c r="F460" s="46" t="s">
        <v>5572</v>
      </c>
      <c r="G460" s="46" t="s">
        <v>5683</v>
      </c>
      <c r="J460" s="46" t="s">
        <v>31</v>
      </c>
      <c r="N460" s="117"/>
      <c r="O460" s="118"/>
      <c r="P460" s="119"/>
      <c r="Q460" s="120"/>
      <c r="R460" s="80"/>
      <c r="S460" s="126"/>
      <c r="T460" s="81"/>
      <c r="U460" s="118"/>
      <c r="V460" s="121"/>
      <c r="W460" s="122"/>
      <c r="X460" s="123"/>
      <c r="Y460" s="80"/>
      <c r="Z460" s="81"/>
      <c r="AA460" s="124"/>
      <c r="AB460" s="65"/>
      <c r="AD460" s="46" t="s">
        <v>5682</v>
      </c>
      <c r="AE460" s="37"/>
      <c r="AF460" s="36" t="s">
        <v>5747</v>
      </c>
      <c r="AG460" s="36"/>
      <c r="AI460" s="46" t="s">
        <v>5683</v>
      </c>
      <c r="AL460" s="46" t="s">
        <v>31</v>
      </c>
      <c r="AP460" s="125"/>
      <c r="AQ460" s="118"/>
      <c r="AR460" s="119"/>
      <c r="AS460" s="120"/>
      <c r="AT460" s="80"/>
      <c r="AU460" s="81"/>
      <c r="AV460" s="118"/>
      <c r="AW460" s="121"/>
      <c r="AX460" s="122"/>
      <c r="AY460" s="123">
        <v>1</v>
      </c>
      <c r="AZ460" s="80" t="s">
        <v>4965</v>
      </c>
      <c r="BA460" s="81"/>
      <c r="BB460" s="124">
        <v>1</v>
      </c>
      <c r="BF460" s="37"/>
      <c r="BG460" s="36" t="s">
        <v>5711</v>
      </c>
      <c r="BH460" s="36"/>
    </row>
    <row r="461" spans="1:62" s="46" customFormat="1" ht="15" customHeight="1">
      <c r="A461" s="46" t="s">
        <v>5571</v>
      </c>
      <c r="B461" s="46" t="s">
        <v>5823</v>
      </c>
      <c r="C461" s="46" t="s">
        <v>5830</v>
      </c>
      <c r="D461" s="68">
        <v>178</v>
      </c>
      <c r="E461" s="46">
        <v>4</v>
      </c>
      <c r="F461" s="46" t="s">
        <v>5572</v>
      </c>
      <c r="G461" s="46" t="s">
        <v>5685</v>
      </c>
      <c r="J461" s="46" t="s">
        <v>28</v>
      </c>
      <c r="K461" s="46" t="s">
        <v>26</v>
      </c>
      <c r="M461" s="46" t="s">
        <v>4502</v>
      </c>
      <c r="N461" s="117"/>
      <c r="O461" s="118"/>
      <c r="P461" s="119"/>
      <c r="Q461" s="120"/>
      <c r="R461" s="80"/>
      <c r="S461" s="126"/>
      <c r="T461" s="81"/>
      <c r="U461" s="118"/>
      <c r="V461" s="121"/>
      <c r="W461" s="122"/>
      <c r="X461" s="123"/>
      <c r="Y461" s="80"/>
      <c r="Z461" s="81"/>
      <c r="AA461" s="124"/>
      <c r="AB461" s="65"/>
      <c r="AD461" s="46" t="s">
        <v>4138</v>
      </c>
      <c r="AE461" s="37"/>
      <c r="AF461" s="36" t="s">
        <v>5712</v>
      </c>
      <c r="AG461" s="36"/>
      <c r="AP461" s="125"/>
      <c r="AQ461" s="118"/>
      <c r="AR461" s="119"/>
      <c r="AS461" s="120"/>
      <c r="AT461" s="80"/>
      <c r="AU461" s="81"/>
      <c r="AV461" s="118"/>
      <c r="AW461" s="121"/>
      <c r="AX461" s="122"/>
      <c r="AY461" s="123"/>
      <c r="AZ461" s="80"/>
      <c r="BA461" s="81"/>
      <c r="BB461" s="124"/>
      <c r="BF461" s="37"/>
      <c r="BG461" s="36"/>
      <c r="BH461" s="36"/>
    </row>
    <row r="462" spans="1:62" s="46" customFormat="1" ht="15" customHeight="1">
      <c r="A462" s="46" t="s">
        <v>5571</v>
      </c>
      <c r="B462" s="46" t="s">
        <v>5824</v>
      </c>
      <c r="C462" s="46" t="s">
        <v>5830</v>
      </c>
      <c r="D462" s="68">
        <v>179</v>
      </c>
      <c r="E462" s="46">
        <v>3</v>
      </c>
      <c r="F462" s="46" t="s">
        <v>5572</v>
      </c>
      <c r="G462" s="46" t="s">
        <v>5686</v>
      </c>
      <c r="J462" s="46" t="s">
        <v>4111</v>
      </c>
      <c r="K462" s="46" t="s">
        <v>26</v>
      </c>
      <c r="N462" s="117">
        <v>0</v>
      </c>
      <c r="O462" s="118"/>
      <c r="P462" s="119"/>
      <c r="Q462" s="120"/>
      <c r="R462" s="80"/>
      <c r="S462" s="126"/>
      <c r="T462" s="81">
        <v>1</v>
      </c>
      <c r="U462" s="118">
        <v>1</v>
      </c>
      <c r="V462" s="121"/>
      <c r="W462" s="122"/>
      <c r="X462" s="123"/>
      <c r="Y462" s="80"/>
      <c r="Z462" s="81"/>
      <c r="AA462" s="124"/>
      <c r="AB462" s="65"/>
      <c r="AD462" s="46" t="s">
        <v>5687</v>
      </c>
      <c r="AE462" s="37" t="s">
        <v>5749</v>
      </c>
      <c r="AF462" s="36" t="s">
        <v>5748</v>
      </c>
      <c r="AG462" s="36"/>
      <c r="AP462" s="125"/>
      <c r="AQ462" s="118"/>
      <c r="AR462" s="119"/>
      <c r="AS462" s="120"/>
      <c r="AT462" s="80"/>
      <c r="AU462" s="81"/>
      <c r="AV462" s="118"/>
      <c r="AW462" s="121"/>
      <c r="AX462" s="122"/>
      <c r="AY462" s="123"/>
      <c r="AZ462" s="80"/>
      <c r="BA462" s="81"/>
      <c r="BB462" s="124"/>
      <c r="BF462" s="37"/>
      <c r="BG462" s="36"/>
      <c r="BH462" s="36"/>
      <c r="BJ462" s="46" t="s">
        <v>5836</v>
      </c>
    </row>
    <row r="463" spans="1:62" s="46" customFormat="1" ht="15" customHeight="1">
      <c r="A463" s="46" t="s">
        <v>5571</v>
      </c>
      <c r="B463" s="46" t="s">
        <v>5825</v>
      </c>
      <c r="C463" s="46" t="s">
        <v>5830</v>
      </c>
      <c r="D463" s="68">
        <v>180</v>
      </c>
      <c r="E463" s="46">
        <v>3</v>
      </c>
      <c r="F463" s="46" t="s">
        <v>5572</v>
      </c>
      <c r="G463" s="46" t="s">
        <v>5688</v>
      </c>
      <c r="J463" s="46" t="s">
        <v>28</v>
      </c>
      <c r="N463" s="117"/>
      <c r="O463" s="118"/>
      <c r="P463" s="119"/>
      <c r="Q463" s="120"/>
      <c r="R463" s="80"/>
      <c r="S463" s="126"/>
      <c r="T463" s="81"/>
      <c r="U463" s="118"/>
      <c r="V463" s="121"/>
      <c r="W463" s="122"/>
      <c r="X463" s="123"/>
      <c r="Y463" s="80"/>
      <c r="Z463" s="81"/>
      <c r="AA463" s="124"/>
      <c r="AB463" s="65"/>
      <c r="AD463" s="46" t="s">
        <v>5517</v>
      </c>
      <c r="AE463" s="37"/>
      <c r="AF463" s="36" t="s">
        <v>5713</v>
      </c>
      <c r="AG463" s="36"/>
      <c r="AP463" s="125"/>
      <c r="AQ463" s="118"/>
      <c r="AR463" s="119"/>
      <c r="AS463" s="120"/>
      <c r="AT463" s="80"/>
      <c r="AU463" s="81"/>
      <c r="AV463" s="118"/>
      <c r="AW463" s="121"/>
      <c r="AX463" s="122"/>
      <c r="AY463" s="123"/>
      <c r="AZ463" s="80"/>
      <c r="BA463" s="81"/>
      <c r="BB463" s="124"/>
      <c r="BF463" s="37"/>
      <c r="BG463" s="36"/>
      <c r="BH463" s="36"/>
    </row>
    <row r="464" spans="1:62" s="46" customFormat="1" ht="15" customHeight="1">
      <c r="A464" s="46" t="s">
        <v>5571</v>
      </c>
      <c r="B464" s="46" t="s">
        <v>5826</v>
      </c>
      <c r="C464" s="46" t="s">
        <v>5830</v>
      </c>
      <c r="D464" s="68">
        <v>181</v>
      </c>
      <c r="E464" s="46">
        <v>3</v>
      </c>
      <c r="F464" s="46" t="s">
        <v>5572</v>
      </c>
      <c r="G464" s="46" t="s">
        <v>5689</v>
      </c>
      <c r="J464" s="46" t="s">
        <v>28</v>
      </c>
      <c r="N464" s="117"/>
      <c r="O464" s="118"/>
      <c r="P464" s="119"/>
      <c r="Q464" s="120"/>
      <c r="R464" s="80"/>
      <c r="S464" s="126"/>
      <c r="T464" s="81"/>
      <c r="U464" s="118"/>
      <c r="V464" s="121"/>
      <c r="W464" s="122"/>
      <c r="X464" s="123"/>
      <c r="Y464" s="80"/>
      <c r="Z464" s="81"/>
      <c r="AA464" s="124"/>
      <c r="AB464" s="65"/>
      <c r="AD464" s="46" t="s">
        <v>4333</v>
      </c>
      <c r="AE464" s="37"/>
      <c r="AF464" s="36" t="s">
        <v>5714</v>
      </c>
      <c r="AG464" s="36"/>
      <c r="AP464" s="125"/>
      <c r="AQ464" s="118"/>
      <c r="AR464" s="119"/>
      <c r="AS464" s="120"/>
      <c r="AT464" s="80"/>
      <c r="AU464" s="81"/>
      <c r="AV464" s="118"/>
      <c r="AW464" s="121"/>
      <c r="AX464" s="122"/>
      <c r="AY464" s="123"/>
      <c r="AZ464" s="80"/>
      <c r="BA464" s="81"/>
      <c r="BB464" s="124"/>
      <c r="BF464" s="37"/>
      <c r="BG464" s="36"/>
      <c r="BH464" s="36"/>
    </row>
    <row r="465" spans="1:60" s="46" customFormat="1" ht="15" customHeight="1">
      <c r="A465" s="46" t="s">
        <v>5571</v>
      </c>
      <c r="B465" s="46" t="s">
        <v>5827</v>
      </c>
      <c r="C465" s="46" t="s">
        <v>5830</v>
      </c>
      <c r="D465" s="68">
        <v>182</v>
      </c>
      <c r="E465" s="46">
        <v>2</v>
      </c>
      <c r="F465" s="46" t="s">
        <v>5572</v>
      </c>
      <c r="G465" s="46" t="s">
        <v>5690</v>
      </c>
      <c r="J465" s="46" t="s">
        <v>29</v>
      </c>
      <c r="N465" s="117"/>
      <c r="O465" s="118"/>
      <c r="P465" s="119"/>
      <c r="Q465" s="120">
        <v>3</v>
      </c>
      <c r="R465" s="80">
        <v>2</v>
      </c>
      <c r="S465" s="126"/>
      <c r="T465" s="81">
        <v>3</v>
      </c>
      <c r="U465" s="118"/>
      <c r="V465" s="121">
        <v>1</v>
      </c>
      <c r="W465" s="122">
        <v>1</v>
      </c>
      <c r="X465" s="123"/>
      <c r="Y465" s="80"/>
      <c r="Z465" s="81"/>
      <c r="AA465" s="124"/>
      <c r="AB465" s="65"/>
      <c r="AD465" s="46" t="s">
        <v>5545</v>
      </c>
      <c r="AE465" s="37"/>
      <c r="AF465" s="36" t="s">
        <v>5691</v>
      </c>
      <c r="AG465" s="36"/>
      <c r="AP465" s="125"/>
      <c r="AQ465" s="118"/>
      <c r="AR465" s="119"/>
      <c r="AS465" s="120"/>
      <c r="AT465" s="80"/>
      <c r="AU465" s="81"/>
      <c r="AV465" s="118"/>
      <c r="AW465" s="121"/>
      <c r="AX465" s="122"/>
      <c r="AY465" s="123"/>
      <c r="AZ465" s="80"/>
      <c r="BA465" s="81"/>
      <c r="BB465" s="124"/>
      <c r="BF465" s="37"/>
      <c r="BG465" s="36"/>
      <c r="BH465" s="36"/>
    </row>
    <row r="466" spans="1:60" s="46" customFormat="1" ht="15" customHeight="1">
      <c r="A466" s="46" t="s">
        <v>5571</v>
      </c>
      <c r="B466" s="46" t="s">
        <v>5828</v>
      </c>
      <c r="C466" s="46" t="s">
        <v>5830</v>
      </c>
      <c r="D466" s="68">
        <v>183</v>
      </c>
      <c r="E466" s="46">
        <v>2</v>
      </c>
      <c r="F466" s="46" t="s">
        <v>5572</v>
      </c>
      <c r="G466" s="46" t="s">
        <v>5692</v>
      </c>
      <c r="J466" s="46" t="s">
        <v>29</v>
      </c>
      <c r="N466" s="117"/>
      <c r="O466" s="118"/>
      <c r="P466" s="119"/>
      <c r="Q466" s="120">
        <v>4</v>
      </c>
      <c r="R466" s="80">
        <v>3</v>
      </c>
      <c r="S466" s="126"/>
      <c r="T466" s="81">
        <v>5</v>
      </c>
      <c r="U466" s="118"/>
      <c r="V466" s="121">
        <v>2</v>
      </c>
      <c r="W466" s="122">
        <v>2</v>
      </c>
      <c r="X466" s="123"/>
      <c r="Y466" s="80"/>
      <c r="Z466" s="81"/>
      <c r="AA466" s="124">
        <v>1</v>
      </c>
      <c r="AB466" s="65"/>
      <c r="AD466" s="46" t="s">
        <v>5545</v>
      </c>
      <c r="AE466" s="37"/>
      <c r="AF466" s="36" t="s">
        <v>5715</v>
      </c>
      <c r="AG466" s="36"/>
      <c r="AP466" s="125"/>
      <c r="AQ466" s="118"/>
      <c r="AR466" s="119"/>
      <c r="AS466" s="120"/>
      <c r="AT466" s="80"/>
      <c r="AU466" s="81"/>
      <c r="AV466" s="118"/>
      <c r="AW466" s="121"/>
      <c r="AX466" s="122"/>
      <c r="AY466" s="123"/>
      <c r="AZ466" s="80"/>
      <c r="BA466" s="81"/>
      <c r="BB466" s="124"/>
      <c r="BF466" s="37"/>
      <c r="BG466" s="36"/>
      <c r="BH466" s="36"/>
    </row>
    <row r="467" spans="1:60" ht="15" customHeight="1">
      <c r="A467" s="54" t="s">
        <v>5899</v>
      </c>
      <c r="B467" s="54" t="s">
        <v>5900</v>
      </c>
      <c r="C467" s="54" t="s">
        <v>5941</v>
      </c>
      <c r="D467" s="129">
        <v>184</v>
      </c>
      <c r="E467" s="54">
        <v>2</v>
      </c>
      <c r="F467" s="54"/>
      <c r="G467" s="54" t="s">
        <v>5838</v>
      </c>
      <c r="J467" s="36" t="s">
        <v>27</v>
      </c>
      <c r="K467" s="36" t="s">
        <v>4052</v>
      </c>
      <c r="L467" s="36">
        <v>0</v>
      </c>
      <c r="N467" s="75">
        <v>1</v>
      </c>
      <c r="P467" s="77">
        <v>1</v>
      </c>
      <c r="Q467" s="78">
        <v>1</v>
      </c>
      <c r="AB467" s="36" t="s">
        <v>4945</v>
      </c>
      <c r="AD467" s="36" t="s">
        <v>4161</v>
      </c>
      <c r="AF467" s="36" t="s">
        <v>5839</v>
      </c>
      <c r="AP467" s="86"/>
      <c r="AQ467" s="88"/>
      <c r="AR467" s="89"/>
      <c r="AS467" s="90"/>
      <c r="AV467" s="88"/>
      <c r="AW467" s="96"/>
      <c r="AX467" s="97"/>
      <c r="AY467" s="93"/>
      <c r="BB467" s="94"/>
    </row>
    <row r="468" spans="1:60" ht="15" customHeight="1">
      <c r="A468" s="36" t="s">
        <v>5899</v>
      </c>
      <c r="B468" s="36" t="s">
        <v>5901</v>
      </c>
      <c r="C468" s="36" t="s">
        <v>5941</v>
      </c>
      <c r="D468" s="37">
        <v>185</v>
      </c>
      <c r="E468" s="36">
        <v>2</v>
      </c>
      <c r="G468" s="36" t="s">
        <v>5840</v>
      </c>
      <c r="J468" s="36" t="s">
        <v>4111</v>
      </c>
      <c r="K468" s="36" t="s">
        <v>4052</v>
      </c>
      <c r="L468" s="36">
        <v>3</v>
      </c>
      <c r="N468" s="75">
        <v>0</v>
      </c>
      <c r="AD468" s="36" t="s">
        <v>4143</v>
      </c>
      <c r="AE468" s="37" t="s">
        <v>5832</v>
      </c>
      <c r="AF468" s="36" t="s">
        <v>6233</v>
      </c>
      <c r="AP468" s="86"/>
      <c r="AQ468" s="88"/>
      <c r="AR468" s="89"/>
      <c r="AS468" s="90"/>
      <c r="AV468" s="88"/>
      <c r="AW468" s="96"/>
      <c r="AX468" s="97"/>
      <c r="AY468" s="93"/>
      <c r="BB468" s="94"/>
    </row>
    <row r="469" spans="1:60" ht="15" customHeight="1">
      <c r="A469" s="36" t="s">
        <v>5899</v>
      </c>
      <c r="B469" s="36" t="s">
        <v>5902</v>
      </c>
      <c r="C469" s="36" t="s">
        <v>5941</v>
      </c>
      <c r="D469" s="37">
        <v>186</v>
      </c>
      <c r="E469" s="36">
        <v>2</v>
      </c>
      <c r="G469" s="36" t="s">
        <v>5841</v>
      </c>
      <c r="J469" s="36" t="s">
        <v>27</v>
      </c>
      <c r="K469" s="36" t="s">
        <v>4053</v>
      </c>
      <c r="L469" s="36">
        <v>0</v>
      </c>
      <c r="N469" s="75">
        <v>2</v>
      </c>
      <c r="O469" s="76">
        <v>1</v>
      </c>
      <c r="P469" s="77">
        <v>1</v>
      </c>
      <c r="AB469" s="36" t="s">
        <v>4946</v>
      </c>
      <c r="AD469" s="36" t="s">
        <v>4194</v>
      </c>
      <c r="AF469" s="36" t="s">
        <v>5943</v>
      </c>
      <c r="AP469" s="86"/>
      <c r="AQ469" s="88"/>
      <c r="AR469" s="89"/>
      <c r="AS469" s="90"/>
      <c r="AV469" s="88"/>
      <c r="AW469" s="96"/>
      <c r="AX469" s="97"/>
      <c r="AY469" s="93"/>
      <c r="BB469" s="94"/>
    </row>
    <row r="470" spans="1:60" ht="15" customHeight="1">
      <c r="A470" s="36" t="s">
        <v>5899</v>
      </c>
      <c r="B470" s="36" t="s">
        <v>5903</v>
      </c>
      <c r="C470" s="36" t="s">
        <v>5941</v>
      </c>
      <c r="D470" s="37">
        <v>187</v>
      </c>
      <c r="E470" s="36">
        <v>2</v>
      </c>
      <c r="G470" s="36" t="s">
        <v>5842</v>
      </c>
      <c r="J470" s="36" t="s">
        <v>4111</v>
      </c>
      <c r="K470" s="36" t="s">
        <v>4053</v>
      </c>
      <c r="L470" s="36">
        <v>3</v>
      </c>
      <c r="N470" s="75">
        <v>0</v>
      </c>
      <c r="AD470" s="36" t="s">
        <v>4143</v>
      </c>
      <c r="AE470" s="37" t="s">
        <v>5832</v>
      </c>
      <c r="AF470" s="36" t="s">
        <v>6234</v>
      </c>
      <c r="AP470" s="86"/>
      <c r="AQ470" s="88"/>
      <c r="AR470" s="89"/>
      <c r="AS470" s="90"/>
      <c r="AV470" s="88"/>
      <c r="AW470" s="96"/>
      <c r="AX470" s="97"/>
      <c r="AY470" s="93"/>
      <c r="BB470" s="94"/>
    </row>
    <row r="471" spans="1:60" ht="15" customHeight="1">
      <c r="A471" s="36" t="s">
        <v>5899</v>
      </c>
      <c r="B471" s="36" t="s">
        <v>5904</v>
      </c>
      <c r="C471" s="36" t="s">
        <v>5941</v>
      </c>
      <c r="D471" s="37">
        <v>188</v>
      </c>
      <c r="E471" s="36">
        <v>2</v>
      </c>
      <c r="G471" s="36" t="s">
        <v>5843</v>
      </c>
      <c r="J471" s="36" t="s">
        <v>4111</v>
      </c>
      <c r="K471" s="36" t="s">
        <v>4055</v>
      </c>
      <c r="L471" s="36">
        <v>0</v>
      </c>
      <c r="N471" s="75">
        <v>1</v>
      </c>
      <c r="R471" s="79">
        <v>1</v>
      </c>
      <c r="AB471" s="36" t="s">
        <v>4061</v>
      </c>
      <c r="AD471" s="36" t="s">
        <v>4143</v>
      </c>
      <c r="AF471" s="36" t="s">
        <v>5944</v>
      </c>
      <c r="AP471" s="86"/>
      <c r="AQ471" s="88"/>
      <c r="AR471" s="89"/>
      <c r="AS471" s="90"/>
      <c r="AV471" s="88"/>
      <c r="AW471" s="96"/>
      <c r="AX471" s="97"/>
      <c r="AY471" s="93"/>
      <c r="BB471" s="94"/>
    </row>
    <row r="472" spans="1:60" ht="15" customHeight="1">
      <c r="A472" s="36" t="s">
        <v>5899</v>
      </c>
      <c r="B472" s="36" t="s">
        <v>5905</v>
      </c>
      <c r="C472" s="36" t="s">
        <v>5941</v>
      </c>
      <c r="D472" s="37">
        <v>189</v>
      </c>
      <c r="E472" s="36">
        <v>2</v>
      </c>
      <c r="G472" s="36" t="s">
        <v>5844</v>
      </c>
      <c r="J472" s="36" t="s">
        <v>4111</v>
      </c>
      <c r="K472" s="36" t="s">
        <v>4055</v>
      </c>
      <c r="L472" s="36">
        <v>3</v>
      </c>
      <c r="N472" s="75">
        <v>0</v>
      </c>
      <c r="AD472" s="36" t="s">
        <v>4143</v>
      </c>
      <c r="AE472" s="37" t="s">
        <v>5832</v>
      </c>
      <c r="AF472" s="36" t="s">
        <v>6235</v>
      </c>
      <c r="AP472" s="86"/>
      <c r="AQ472" s="88"/>
      <c r="AR472" s="89"/>
      <c r="AS472" s="90"/>
      <c r="AV472" s="88"/>
      <c r="AW472" s="96"/>
      <c r="AX472" s="97"/>
      <c r="AY472" s="93"/>
      <c r="BB472" s="94"/>
    </row>
    <row r="473" spans="1:60" ht="15" customHeight="1">
      <c r="A473" s="36" t="s">
        <v>5899</v>
      </c>
      <c r="B473" s="36" t="s">
        <v>5906</v>
      </c>
      <c r="C473" s="36" t="s">
        <v>5941</v>
      </c>
      <c r="D473" s="37">
        <v>190</v>
      </c>
      <c r="E473" s="36">
        <v>2</v>
      </c>
      <c r="G473" s="36" t="s">
        <v>5845</v>
      </c>
      <c r="J473" s="36" t="s">
        <v>4166</v>
      </c>
      <c r="K473" s="36" t="s">
        <v>4054</v>
      </c>
      <c r="L473" s="36">
        <v>0</v>
      </c>
      <c r="S473" s="126">
        <v>1</v>
      </c>
      <c r="AB473" s="36" t="s">
        <v>4062</v>
      </c>
      <c r="AD473" s="36" t="s">
        <v>4266</v>
      </c>
      <c r="AF473" s="36" t="s">
        <v>5846</v>
      </c>
      <c r="AP473" s="86"/>
      <c r="AQ473" s="88"/>
      <c r="AR473" s="89"/>
      <c r="AS473" s="90"/>
      <c r="AV473" s="88"/>
      <c r="AW473" s="96"/>
      <c r="AX473" s="97"/>
      <c r="AY473" s="93"/>
      <c r="BB473" s="94"/>
    </row>
    <row r="474" spans="1:60" ht="15" customHeight="1">
      <c r="A474" s="36" t="s">
        <v>5899</v>
      </c>
      <c r="B474" s="36" t="s">
        <v>5907</v>
      </c>
      <c r="C474" s="36" t="s">
        <v>5941</v>
      </c>
      <c r="D474" s="37">
        <v>191</v>
      </c>
      <c r="E474" s="36">
        <v>2</v>
      </c>
      <c r="G474" s="36" t="s">
        <v>5847</v>
      </c>
      <c r="J474" s="36" t="s">
        <v>4111</v>
      </c>
      <c r="K474" s="36" t="s">
        <v>4054</v>
      </c>
      <c r="L474" s="36">
        <v>3</v>
      </c>
      <c r="N474" s="75">
        <v>0</v>
      </c>
      <c r="AD474" s="36" t="s">
        <v>5848</v>
      </c>
      <c r="AE474" s="37" t="s">
        <v>5832</v>
      </c>
      <c r="AF474" s="36" t="s">
        <v>6236</v>
      </c>
      <c r="AP474" s="86"/>
      <c r="AQ474" s="88"/>
      <c r="AR474" s="89"/>
      <c r="AS474" s="90"/>
      <c r="AV474" s="88"/>
      <c r="AW474" s="96"/>
      <c r="AX474" s="97"/>
      <c r="AY474" s="93"/>
      <c r="BB474" s="94"/>
    </row>
    <row r="475" spans="1:60" ht="15" customHeight="1">
      <c r="A475" s="36" t="s">
        <v>5899</v>
      </c>
      <c r="B475" s="36" t="s">
        <v>5908</v>
      </c>
      <c r="C475" s="36" t="s">
        <v>5941</v>
      </c>
      <c r="D475" s="37">
        <v>192</v>
      </c>
      <c r="E475" s="36">
        <v>2</v>
      </c>
      <c r="G475" s="36" t="s">
        <v>5849</v>
      </c>
      <c r="J475" s="36" t="s">
        <v>4166</v>
      </c>
      <c r="K475" s="36" t="s">
        <v>4056</v>
      </c>
      <c r="L475" s="36">
        <v>0</v>
      </c>
      <c r="S475" s="126">
        <v>3</v>
      </c>
      <c r="AB475" s="36" t="s">
        <v>5850</v>
      </c>
      <c r="AD475" s="36" t="s">
        <v>4266</v>
      </c>
      <c r="AF475" s="36" t="s">
        <v>5851</v>
      </c>
      <c r="AP475" s="86"/>
      <c r="AQ475" s="88"/>
      <c r="AR475" s="89"/>
      <c r="AS475" s="90"/>
      <c r="AV475" s="88"/>
      <c r="AW475" s="96"/>
      <c r="AX475" s="97"/>
      <c r="AY475" s="93"/>
      <c r="BB475" s="94"/>
    </row>
    <row r="476" spans="1:60" ht="15" customHeight="1">
      <c r="A476" s="36" t="s">
        <v>5899</v>
      </c>
      <c r="B476" s="36" t="s">
        <v>5909</v>
      </c>
      <c r="C476" s="36" t="s">
        <v>5941</v>
      </c>
      <c r="D476" s="37">
        <v>193</v>
      </c>
      <c r="E476" s="36">
        <v>2</v>
      </c>
      <c r="G476" s="36" t="s">
        <v>5852</v>
      </c>
      <c r="J476" s="36" t="s">
        <v>4111</v>
      </c>
      <c r="K476" s="36" t="s">
        <v>4056</v>
      </c>
      <c r="L476" s="36">
        <v>3</v>
      </c>
      <c r="N476" s="75">
        <v>0</v>
      </c>
      <c r="AD476" s="36" t="s">
        <v>4143</v>
      </c>
      <c r="AE476" s="37" t="s">
        <v>5832</v>
      </c>
      <c r="AF476" s="36" t="s">
        <v>6237</v>
      </c>
      <c r="AP476" s="86"/>
      <c r="AQ476" s="88"/>
      <c r="AR476" s="89"/>
      <c r="AS476" s="90"/>
      <c r="AV476" s="88"/>
      <c r="AW476" s="96"/>
      <c r="AX476" s="97"/>
      <c r="AY476" s="93"/>
      <c r="BB476" s="94"/>
    </row>
    <row r="477" spans="1:60" ht="15" customHeight="1">
      <c r="A477" s="36" t="s">
        <v>5899</v>
      </c>
      <c r="B477" s="36" t="s">
        <v>5910</v>
      </c>
      <c r="C477" s="36" t="s">
        <v>5941</v>
      </c>
      <c r="D477" s="37">
        <v>194</v>
      </c>
      <c r="E477" s="36">
        <v>2</v>
      </c>
      <c r="G477" s="36" t="s">
        <v>4277</v>
      </c>
      <c r="J477" s="36" t="s">
        <v>27</v>
      </c>
      <c r="K477" s="36" t="s">
        <v>26</v>
      </c>
      <c r="L477" s="36">
        <v>2</v>
      </c>
      <c r="N477" s="75">
        <v>0</v>
      </c>
      <c r="AD477" s="36" t="s">
        <v>4170</v>
      </c>
      <c r="AF477" s="36" t="s">
        <v>5853</v>
      </c>
      <c r="AP477" s="86"/>
      <c r="AQ477" s="88"/>
      <c r="AR477" s="89"/>
      <c r="AS477" s="90"/>
      <c r="AV477" s="88"/>
      <c r="AW477" s="96"/>
      <c r="AX477" s="97"/>
      <c r="AY477" s="93"/>
      <c r="BB477" s="94"/>
    </row>
    <row r="478" spans="1:60" ht="15" customHeight="1">
      <c r="A478" s="36" t="s">
        <v>5899</v>
      </c>
      <c r="B478" s="36" t="s">
        <v>5911</v>
      </c>
      <c r="C478" s="36" t="s">
        <v>5941</v>
      </c>
      <c r="D478" s="37">
        <v>195</v>
      </c>
      <c r="E478" s="36">
        <v>1</v>
      </c>
      <c r="F478" s="36" t="s">
        <v>5837</v>
      </c>
      <c r="G478" s="36" t="s">
        <v>5837</v>
      </c>
      <c r="H478" s="36" t="s">
        <v>4563</v>
      </c>
      <c r="J478" s="36" t="s">
        <v>4472</v>
      </c>
      <c r="AF478" s="36" t="s">
        <v>5945</v>
      </c>
      <c r="AI478" s="36" t="s">
        <v>5837</v>
      </c>
      <c r="AJ478" s="36" t="s">
        <v>4564</v>
      </c>
      <c r="AL478" s="36" t="s">
        <v>4472</v>
      </c>
      <c r="AP478" s="86"/>
      <c r="AQ478" s="88"/>
      <c r="AR478" s="89"/>
      <c r="AS478" s="90"/>
      <c r="AV478" s="88"/>
      <c r="AW478" s="96"/>
      <c r="AX478" s="97"/>
      <c r="AY478" s="93"/>
      <c r="BB478" s="94"/>
      <c r="BG478" s="36" t="s">
        <v>5953</v>
      </c>
    </row>
    <row r="479" spans="1:60" ht="15" customHeight="1">
      <c r="A479" s="36" t="s">
        <v>5899</v>
      </c>
      <c r="B479" s="36" t="s">
        <v>5912</v>
      </c>
      <c r="C479" s="36" t="s">
        <v>5941</v>
      </c>
      <c r="D479" s="37">
        <v>196</v>
      </c>
      <c r="E479" s="36">
        <v>1</v>
      </c>
      <c r="F479" s="36" t="s">
        <v>5837</v>
      </c>
      <c r="G479" s="36" t="s">
        <v>5854</v>
      </c>
      <c r="J479" s="36" t="s">
        <v>4473</v>
      </c>
      <c r="L479" s="36">
        <v>1</v>
      </c>
      <c r="Z479" s="81">
        <v>6</v>
      </c>
      <c r="AI479" s="36" t="s">
        <v>5854</v>
      </c>
      <c r="AL479" s="36" t="s">
        <v>4473</v>
      </c>
      <c r="AN479" s="36">
        <v>1</v>
      </c>
      <c r="AP479" s="86"/>
      <c r="AQ479" s="88"/>
      <c r="AR479" s="89"/>
      <c r="AS479" s="90"/>
      <c r="AV479" s="88"/>
      <c r="AW479" s="96"/>
      <c r="AX479" s="97"/>
      <c r="AY479" s="93"/>
      <c r="BB479" s="94"/>
      <c r="BG479" s="36" t="s">
        <v>5855</v>
      </c>
    </row>
    <row r="480" spans="1:60" ht="15" customHeight="1">
      <c r="A480" s="36" t="s">
        <v>5899</v>
      </c>
      <c r="B480" s="36" t="s">
        <v>5913</v>
      </c>
      <c r="C480" s="36" t="s">
        <v>5941</v>
      </c>
      <c r="D480" s="37">
        <v>197</v>
      </c>
      <c r="E480" s="36">
        <v>1</v>
      </c>
      <c r="F480" s="36" t="s">
        <v>5837</v>
      </c>
      <c r="G480" s="36" t="s">
        <v>5856</v>
      </c>
      <c r="J480" s="36" t="s">
        <v>4473</v>
      </c>
      <c r="L480" s="36">
        <v>2</v>
      </c>
      <c r="Z480" s="81">
        <v>6</v>
      </c>
      <c r="AI480" s="36" t="s">
        <v>5856</v>
      </c>
      <c r="AL480" s="36" t="s">
        <v>4473</v>
      </c>
      <c r="AN480" s="36">
        <v>2</v>
      </c>
      <c r="AP480" s="86"/>
      <c r="AQ480" s="88"/>
      <c r="AR480" s="89"/>
      <c r="AS480" s="90"/>
      <c r="AV480" s="88"/>
      <c r="AW480" s="96"/>
      <c r="AX480" s="97"/>
      <c r="AY480" s="93"/>
      <c r="BB480" s="94"/>
      <c r="BG480" s="36" t="s">
        <v>5857</v>
      </c>
    </row>
    <row r="481" spans="1:59" ht="15" customHeight="1">
      <c r="A481" s="36" t="s">
        <v>5899</v>
      </c>
      <c r="B481" s="36" t="s">
        <v>5914</v>
      </c>
      <c r="C481" s="36" t="s">
        <v>5941</v>
      </c>
      <c r="D481" s="37">
        <v>198</v>
      </c>
      <c r="E481" s="36">
        <v>1</v>
      </c>
      <c r="F481" s="36" t="s">
        <v>5837</v>
      </c>
      <c r="G481" s="36" t="s">
        <v>5858</v>
      </c>
      <c r="J481" s="36" t="s">
        <v>4473</v>
      </c>
      <c r="L481" s="36">
        <v>3</v>
      </c>
      <c r="Z481" s="81">
        <v>7</v>
      </c>
      <c r="AI481" s="36" t="s">
        <v>5858</v>
      </c>
      <c r="AL481" s="36" t="s">
        <v>4473</v>
      </c>
      <c r="AN481" s="36">
        <v>3</v>
      </c>
      <c r="AP481" s="86"/>
      <c r="AQ481" s="88"/>
      <c r="AR481" s="89"/>
      <c r="AS481" s="90"/>
      <c r="AV481" s="88"/>
      <c r="AW481" s="96"/>
      <c r="AX481" s="97"/>
      <c r="AY481" s="93"/>
      <c r="BB481" s="94"/>
      <c r="BG481" s="36" t="s">
        <v>5859</v>
      </c>
    </row>
    <row r="482" spans="1:59" ht="15" customHeight="1">
      <c r="A482" s="36" t="s">
        <v>5899</v>
      </c>
      <c r="B482" s="36" t="s">
        <v>5915</v>
      </c>
      <c r="C482" s="36" t="s">
        <v>5941</v>
      </c>
      <c r="D482" s="37">
        <v>199</v>
      </c>
      <c r="E482" s="36">
        <v>1</v>
      </c>
      <c r="F482" s="36" t="s">
        <v>5837</v>
      </c>
      <c r="G482" s="36" t="s">
        <v>5860</v>
      </c>
      <c r="J482" s="36" t="s">
        <v>4475</v>
      </c>
      <c r="L482" s="36">
        <v>1</v>
      </c>
      <c r="Y482" s="79" t="s">
        <v>38</v>
      </c>
      <c r="AF482" s="36" t="s">
        <v>5861</v>
      </c>
      <c r="AI482" s="36" t="s">
        <v>5860</v>
      </c>
      <c r="AL482" s="36" t="s">
        <v>4475</v>
      </c>
      <c r="AN482" s="36">
        <v>1</v>
      </c>
      <c r="AP482" s="86"/>
      <c r="AQ482" s="88"/>
      <c r="AR482" s="89"/>
      <c r="AS482" s="90"/>
      <c r="AV482" s="88"/>
      <c r="AW482" s="96"/>
      <c r="AX482" s="97"/>
      <c r="AY482" s="93"/>
      <c r="BB482" s="94"/>
      <c r="BG482" s="36" t="s">
        <v>5954</v>
      </c>
    </row>
    <row r="483" spans="1:59" ht="15" customHeight="1">
      <c r="A483" s="36" t="s">
        <v>5899</v>
      </c>
      <c r="B483" s="36" t="s">
        <v>5916</v>
      </c>
      <c r="C483" s="36" t="s">
        <v>5941</v>
      </c>
      <c r="D483" s="37">
        <v>200</v>
      </c>
      <c r="E483" s="36">
        <v>1</v>
      </c>
      <c r="F483" s="36" t="s">
        <v>5837</v>
      </c>
      <c r="G483" s="36" t="s">
        <v>5862</v>
      </c>
      <c r="J483" s="36" t="s">
        <v>4475</v>
      </c>
      <c r="L483" s="36">
        <v>2</v>
      </c>
      <c r="Y483" s="79" t="s">
        <v>38</v>
      </c>
      <c r="AF483" s="36" t="s">
        <v>5946</v>
      </c>
      <c r="AI483" s="36" t="s">
        <v>5862</v>
      </c>
      <c r="AL483" s="36" t="s">
        <v>4475</v>
      </c>
      <c r="AN483" s="36">
        <v>2</v>
      </c>
      <c r="AP483" s="86"/>
      <c r="AQ483" s="88"/>
      <c r="AR483" s="89"/>
      <c r="AS483" s="90"/>
      <c r="AV483" s="88"/>
      <c r="AW483" s="96"/>
      <c r="AX483" s="97"/>
      <c r="AY483" s="93"/>
      <c r="BB483" s="94"/>
      <c r="BG483" s="36" t="s">
        <v>5955</v>
      </c>
    </row>
    <row r="484" spans="1:59" ht="15" customHeight="1">
      <c r="A484" s="36" t="s">
        <v>5899</v>
      </c>
      <c r="B484" s="36" t="s">
        <v>5917</v>
      </c>
      <c r="C484" s="36" t="s">
        <v>5941</v>
      </c>
      <c r="D484" s="37">
        <v>201</v>
      </c>
      <c r="E484" s="36">
        <v>1</v>
      </c>
      <c r="F484" s="36" t="s">
        <v>5837</v>
      </c>
      <c r="G484" s="36" t="s">
        <v>5863</v>
      </c>
      <c r="J484" s="36" t="s">
        <v>31</v>
      </c>
      <c r="AD484" s="36" t="s">
        <v>5864</v>
      </c>
      <c r="AI484" s="36" t="s">
        <v>5863</v>
      </c>
      <c r="AL484" s="36" t="s">
        <v>31</v>
      </c>
      <c r="AP484" s="86"/>
      <c r="AQ484" s="88"/>
      <c r="AR484" s="89"/>
      <c r="AS484" s="90"/>
      <c r="AV484" s="88"/>
      <c r="AW484" s="96"/>
      <c r="AX484" s="97"/>
      <c r="AY484" s="93"/>
      <c r="BB484" s="94"/>
      <c r="BE484" s="36" t="s">
        <v>5864</v>
      </c>
      <c r="BG484" s="36" t="s">
        <v>5865</v>
      </c>
    </row>
    <row r="485" spans="1:59" ht="15" customHeight="1">
      <c r="A485" s="36" t="s">
        <v>5899</v>
      </c>
      <c r="B485" s="36" t="s">
        <v>5918</v>
      </c>
      <c r="C485" s="36" t="s">
        <v>5941</v>
      </c>
      <c r="D485" s="37">
        <v>202</v>
      </c>
      <c r="E485" s="36">
        <v>1</v>
      </c>
      <c r="F485" s="36" t="s">
        <v>5837</v>
      </c>
      <c r="G485" s="36" t="s">
        <v>5866</v>
      </c>
      <c r="J485" s="36" t="s">
        <v>31</v>
      </c>
      <c r="AD485" s="36" t="s">
        <v>5867</v>
      </c>
      <c r="AI485" s="36" t="s">
        <v>5866</v>
      </c>
      <c r="AL485" s="36" t="s">
        <v>31</v>
      </c>
      <c r="AP485" s="86"/>
      <c r="AQ485" s="88"/>
      <c r="AR485" s="89"/>
      <c r="AS485" s="90"/>
      <c r="AV485" s="88"/>
      <c r="AW485" s="96"/>
      <c r="AX485" s="97"/>
      <c r="AY485" s="93">
        <v>3</v>
      </c>
      <c r="AZ485" s="79">
        <v>2</v>
      </c>
      <c r="BB485" s="94"/>
      <c r="BE485" s="36" t="s">
        <v>5867</v>
      </c>
      <c r="BG485" s="36" t="s">
        <v>5956</v>
      </c>
    </row>
    <row r="486" spans="1:59" ht="15" customHeight="1">
      <c r="A486" s="36" t="s">
        <v>5899</v>
      </c>
      <c r="B486" s="36" t="s">
        <v>5919</v>
      </c>
      <c r="C486" s="36" t="s">
        <v>5941</v>
      </c>
      <c r="D486" s="37">
        <v>203</v>
      </c>
      <c r="E486" s="36">
        <v>1</v>
      </c>
      <c r="F486" s="36" t="s">
        <v>5837</v>
      </c>
      <c r="G486" s="36" t="s">
        <v>5866</v>
      </c>
      <c r="J486" s="36" t="s">
        <v>31</v>
      </c>
      <c r="AD486" s="36" t="s">
        <v>5867</v>
      </c>
      <c r="AI486" s="36" t="s">
        <v>5866</v>
      </c>
      <c r="AL486" s="36" t="s">
        <v>31</v>
      </c>
      <c r="AP486" s="86"/>
      <c r="AQ486" s="88"/>
      <c r="AR486" s="89"/>
      <c r="AS486" s="90"/>
      <c r="AV486" s="88"/>
      <c r="AW486" s="96"/>
      <c r="AX486" s="97"/>
      <c r="AY486" s="93">
        <v>3</v>
      </c>
      <c r="AZ486" s="79">
        <v>2</v>
      </c>
      <c r="BB486" s="94"/>
      <c r="BE486" s="36" t="s">
        <v>5867</v>
      </c>
      <c r="BG486" s="36" t="s">
        <v>5957</v>
      </c>
    </row>
    <row r="487" spans="1:59" ht="15" customHeight="1">
      <c r="A487" s="36" t="s">
        <v>5899</v>
      </c>
      <c r="B487" s="36" t="s">
        <v>5920</v>
      </c>
      <c r="C487" s="36" t="s">
        <v>5941</v>
      </c>
      <c r="D487" s="37">
        <v>204</v>
      </c>
      <c r="E487" s="36">
        <v>1</v>
      </c>
      <c r="F487" s="36" t="s">
        <v>5837</v>
      </c>
      <c r="G487" s="36" t="s">
        <v>5868</v>
      </c>
      <c r="J487" s="36" t="s">
        <v>31</v>
      </c>
      <c r="AD487" s="36" t="s">
        <v>5867</v>
      </c>
      <c r="AI487" s="36" t="s">
        <v>5868</v>
      </c>
      <c r="AL487" s="36" t="s">
        <v>31</v>
      </c>
      <c r="AP487" s="86"/>
      <c r="AQ487" s="88"/>
      <c r="AR487" s="89"/>
      <c r="AS487" s="90"/>
      <c r="AV487" s="88"/>
      <c r="AW487" s="96"/>
      <c r="AX487" s="97"/>
      <c r="AY487" s="93">
        <v>3</v>
      </c>
      <c r="AZ487" s="79">
        <v>3</v>
      </c>
      <c r="BB487" s="94"/>
      <c r="BE487" s="36" t="s">
        <v>5867</v>
      </c>
      <c r="BG487" s="36" t="s">
        <v>5958</v>
      </c>
    </row>
    <row r="488" spans="1:59" ht="15" customHeight="1">
      <c r="A488" s="36" t="s">
        <v>5899</v>
      </c>
      <c r="B488" s="36" t="s">
        <v>5921</v>
      </c>
      <c r="C488" s="36" t="s">
        <v>5941</v>
      </c>
      <c r="D488" s="37">
        <v>205</v>
      </c>
      <c r="E488" s="36">
        <v>1</v>
      </c>
      <c r="F488" s="36" t="s">
        <v>5837</v>
      </c>
      <c r="G488" s="36" t="s">
        <v>5868</v>
      </c>
      <c r="J488" s="36" t="s">
        <v>31</v>
      </c>
      <c r="AD488" s="36" t="s">
        <v>5867</v>
      </c>
      <c r="AI488" s="36" t="s">
        <v>5868</v>
      </c>
      <c r="AL488" s="36" t="s">
        <v>31</v>
      </c>
      <c r="AP488" s="86"/>
      <c r="AQ488" s="88"/>
      <c r="AR488" s="89"/>
      <c r="AS488" s="90"/>
      <c r="AV488" s="88"/>
      <c r="AW488" s="96"/>
      <c r="AX488" s="97"/>
      <c r="AY488" s="93">
        <v>2</v>
      </c>
      <c r="AZ488" s="79">
        <v>3</v>
      </c>
      <c r="BB488" s="94"/>
      <c r="BE488" s="36" t="s">
        <v>5867</v>
      </c>
      <c r="BG488" s="36" t="s">
        <v>5959</v>
      </c>
    </row>
    <row r="489" spans="1:59" ht="15" customHeight="1">
      <c r="A489" s="36" t="s">
        <v>5899</v>
      </c>
      <c r="B489" s="36" t="s">
        <v>5922</v>
      </c>
      <c r="C489" s="36" t="s">
        <v>5941</v>
      </c>
      <c r="D489" s="37">
        <v>206</v>
      </c>
      <c r="E489" s="36">
        <v>1</v>
      </c>
      <c r="F489" s="36" t="s">
        <v>5837</v>
      </c>
      <c r="G489" s="36" t="s">
        <v>5869</v>
      </c>
      <c r="J489" s="36" t="s">
        <v>31</v>
      </c>
      <c r="AD489" s="36" t="s">
        <v>5867</v>
      </c>
      <c r="AI489" s="36" t="s">
        <v>5869</v>
      </c>
      <c r="AL489" s="36" t="s">
        <v>31</v>
      </c>
      <c r="AP489" s="86"/>
      <c r="AQ489" s="88"/>
      <c r="AR489" s="89"/>
      <c r="AS489" s="90"/>
      <c r="AV489" s="88"/>
      <c r="AW489" s="96"/>
      <c r="AX489" s="97"/>
      <c r="AY489" s="93">
        <v>2</v>
      </c>
      <c r="AZ489" s="79" t="s">
        <v>4927</v>
      </c>
      <c r="BB489" s="94"/>
      <c r="BE489" s="36" t="s">
        <v>5867</v>
      </c>
      <c r="BG489" s="36" t="s">
        <v>5960</v>
      </c>
    </row>
    <row r="490" spans="1:59" ht="15" customHeight="1">
      <c r="A490" s="36" t="s">
        <v>5899</v>
      </c>
      <c r="B490" s="36" t="s">
        <v>5923</v>
      </c>
      <c r="C490" s="36" t="s">
        <v>5941</v>
      </c>
      <c r="D490" s="37">
        <v>207</v>
      </c>
      <c r="E490" s="36">
        <v>1</v>
      </c>
      <c r="F490" s="36" t="s">
        <v>5837</v>
      </c>
      <c r="G490" s="36" t="s">
        <v>5869</v>
      </c>
      <c r="J490" s="36" t="s">
        <v>31</v>
      </c>
      <c r="AD490" s="36" t="s">
        <v>5867</v>
      </c>
      <c r="AI490" s="36" t="s">
        <v>5869</v>
      </c>
      <c r="AL490" s="36" t="s">
        <v>31</v>
      </c>
      <c r="AP490" s="86"/>
      <c r="AQ490" s="88"/>
      <c r="AR490" s="89"/>
      <c r="AS490" s="90"/>
      <c r="AV490" s="88"/>
      <c r="AW490" s="96"/>
      <c r="AX490" s="97"/>
      <c r="AY490" s="93">
        <v>3</v>
      </c>
      <c r="AZ490" s="79" t="s">
        <v>4927</v>
      </c>
      <c r="BB490" s="94"/>
      <c r="BE490" s="36" t="s">
        <v>5867</v>
      </c>
      <c r="BG490" s="36" t="s">
        <v>5961</v>
      </c>
    </row>
    <row r="491" spans="1:59" ht="15" customHeight="1">
      <c r="A491" s="36" t="s">
        <v>5899</v>
      </c>
      <c r="B491" s="36" t="s">
        <v>5924</v>
      </c>
      <c r="C491" s="36" t="s">
        <v>5941</v>
      </c>
      <c r="D491" s="37">
        <v>208</v>
      </c>
      <c r="E491" s="36">
        <v>1</v>
      </c>
      <c r="F491" s="36" t="s">
        <v>5837</v>
      </c>
      <c r="G491" s="36" t="s">
        <v>5870</v>
      </c>
      <c r="J491" s="36" t="s">
        <v>31</v>
      </c>
      <c r="AD491" s="36" t="s">
        <v>5867</v>
      </c>
      <c r="AI491" s="36" t="s">
        <v>5870</v>
      </c>
      <c r="AL491" s="36" t="s">
        <v>31</v>
      </c>
      <c r="AP491" s="86"/>
      <c r="AQ491" s="88"/>
      <c r="AR491" s="89"/>
      <c r="AS491" s="90"/>
      <c r="AV491" s="88"/>
      <c r="AW491" s="96"/>
      <c r="AX491" s="97"/>
      <c r="AY491" s="93">
        <v>1</v>
      </c>
      <c r="AZ491" s="79" t="s">
        <v>4927</v>
      </c>
      <c r="BB491" s="94"/>
      <c r="BE491" s="36" t="s">
        <v>5867</v>
      </c>
      <c r="BG491" s="36" t="s">
        <v>5962</v>
      </c>
    </row>
    <row r="492" spans="1:59" ht="15" customHeight="1">
      <c r="A492" s="36" t="s">
        <v>5899</v>
      </c>
      <c r="B492" s="36" t="s">
        <v>5925</v>
      </c>
      <c r="C492" s="36" t="s">
        <v>5941</v>
      </c>
      <c r="D492" s="37">
        <v>209</v>
      </c>
      <c r="E492" s="36">
        <v>1</v>
      </c>
      <c r="F492" s="36" t="s">
        <v>5837</v>
      </c>
      <c r="G492" s="36" t="s">
        <v>5870</v>
      </c>
      <c r="J492" s="36" t="s">
        <v>31</v>
      </c>
      <c r="AD492" s="36" t="s">
        <v>5867</v>
      </c>
      <c r="AI492" s="36" t="s">
        <v>5870</v>
      </c>
      <c r="AL492" s="36" t="s">
        <v>31</v>
      </c>
      <c r="AP492" s="86"/>
      <c r="AQ492" s="88"/>
      <c r="AR492" s="89"/>
      <c r="AS492" s="90"/>
      <c r="AV492" s="88"/>
      <c r="AW492" s="96"/>
      <c r="AX492" s="97"/>
      <c r="AY492" s="93">
        <v>2</v>
      </c>
      <c r="AZ492" s="79" t="s">
        <v>4927</v>
      </c>
      <c r="BB492" s="94"/>
      <c r="BE492" s="36" t="s">
        <v>5867</v>
      </c>
      <c r="BG492" s="36" t="s">
        <v>5963</v>
      </c>
    </row>
    <row r="493" spans="1:59" ht="15" customHeight="1">
      <c r="A493" s="36" t="s">
        <v>5899</v>
      </c>
      <c r="B493" s="36" t="s">
        <v>5926</v>
      </c>
      <c r="C493" s="36" t="s">
        <v>5941</v>
      </c>
      <c r="D493" s="37">
        <v>210</v>
      </c>
      <c r="E493" s="36">
        <v>1</v>
      </c>
      <c r="F493" s="36" t="s">
        <v>5837</v>
      </c>
      <c r="G493" s="36" t="s">
        <v>5871</v>
      </c>
      <c r="J493" s="36" t="s">
        <v>31</v>
      </c>
      <c r="AD493" s="36" t="s">
        <v>5867</v>
      </c>
      <c r="AI493" s="36" t="s">
        <v>5871</v>
      </c>
      <c r="AL493" s="36" t="s">
        <v>31</v>
      </c>
      <c r="AP493" s="86"/>
      <c r="AQ493" s="88"/>
      <c r="AR493" s="89"/>
      <c r="AS493" s="90"/>
      <c r="AV493" s="88"/>
      <c r="AW493" s="96"/>
      <c r="AX493" s="97"/>
      <c r="AY493" s="93">
        <v>2</v>
      </c>
      <c r="AZ493" s="79" t="s">
        <v>4927</v>
      </c>
      <c r="BB493" s="94"/>
      <c r="BE493" s="36" t="s">
        <v>5867</v>
      </c>
      <c r="BG493" s="36" t="s">
        <v>5964</v>
      </c>
    </row>
    <row r="494" spans="1:59" ht="15" customHeight="1">
      <c r="A494" s="36" t="s">
        <v>5899</v>
      </c>
      <c r="B494" s="36" t="s">
        <v>5927</v>
      </c>
      <c r="C494" s="36" t="s">
        <v>5941</v>
      </c>
      <c r="D494" s="37">
        <v>211</v>
      </c>
      <c r="E494" s="36">
        <v>1</v>
      </c>
      <c r="F494" s="36" t="s">
        <v>5837</v>
      </c>
      <c r="G494" s="36" t="s">
        <v>5871</v>
      </c>
      <c r="J494" s="36" t="s">
        <v>31</v>
      </c>
      <c r="AD494" s="36" t="s">
        <v>5867</v>
      </c>
      <c r="AI494" s="36" t="s">
        <v>5871</v>
      </c>
      <c r="AL494" s="36" t="s">
        <v>31</v>
      </c>
      <c r="AP494" s="86"/>
      <c r="AQ494" s="88"/>
      <c r="AR494" s="89"/>
      <c r="AS494" s="90"/>
      <c r="AV494" s="88"/>
      <c r="AW494" s="96"/>
      <c r="AX494" s="97"/>
      <c r="AY494" s="93">
        <v>1</v>
      </c>
      <c r="AZ494" s="79" t="s">
        <v>4927</v>
      </c>
      <c r="BB494" s="94"/>
      <c r="BE494" s="36" t="s">
        <v>5867</v>
      </c>
      <c r="BG494" s="36" t="s">
        <v>5965</v>
      </c>
    </row>
    <row r="495" spans="1:59" ht="15" customHeight="1">
      <c r="A495" s="36" t="s">
        <v>5899</v>
      </c>
      <c r="B495" s="36" t="s">
        <v>5928</v>
      </c>
      <c r="C495" s="36" t="s">
        <v>5941</v>
      </c>
      <c r="D495" s="37">
        <v>212</v>
      </c>
      <c r="E495" s="36">
        <v>1</v>
      </c>
      <c r="F495" s="36" t="s">
        <v>5837</v>
      </c>
      <c r="G495" s="36" t="s">
        <v>5872</v>
      </c>
      <c r="J495" s="36" t="s">
        <v>31</v>
      </c>
      <c r="AD495" s="36" t="s">
        <v>5867</v>
      </c>
      <c r="AI495" s="36" t="s">
        <v>5872</v>
      </c>
      <c r="AL495" s="36" t="s">
        <v>31</v>
      </c>
      <c r="AP495" s="86"/>
      <c r="AQ495" s="88"/>
      <c r="AR495" s="89"/>
      <c r="AS495" s="90"/>
      <c r="AV495" s="88"/>
      <c r="AW495" s="96"/>
      <c r="AX495" s="97"/>
      <c r="AY495" s="93">
        <v>4</v>
      </c>
      <c r="AZ495" s="79">
        <v>1</v>
      </c>
      <c r="BB495" s="94"/>
      <c r="BE495" s="36" t="s">
        <v>5867</v>
      </c>
      <c r="BG495" s="36" t="s">
        <v>5966</v>
      </c>
    </row>
    <row r="496" spans="1:59" ht="15" customHeight="1">
      <c r="A496" s="36" t="s">
        <v>5899</v>
      </c>
      <c r="B496" s="36" t="s">
        <v>5929</v>
      </c>
      <c r="C496" s="36" t="s">
        <v>5941</v>
      </c>
      <c r="D496" s="37">
        <v>213</v>
      </c>
      <c r="E496" s="36">
        <v>1</v>
      </c>
      <c r="F496" s="36" t="s">
        <v>5837</v>
      </c>
      <c r="G496" s="36" t="s">
        <v>5872</v>
      </c>
      <c r="J496" s="36" t="s">
        <v>31</v>
      </c>
      <c r="AD496" s="36" t="s">
        <v>5867</v>
      </c>
      <c r="AI496" s="36" t="s">
        <v>5872</v>
      </c>
      <c r="AL496" s="36" t="s">
        <v>31</v>
      </c>
      <c r="AP496" s="86"/>
      <c r="AQ496" s="88"/>
      <c r="AR496" s="89"/>
      <c r="AS496" s="90"/>
      <c r="AV496" s="88"/>
      <c r="AW496" s="96"/>
      <c r="AX496" s="97"/>
      <c r="AY496" s="93">
        <v>4</v>
      </c>
      <c r="AZ496" s="79">
        <v>1</v>
      </c>
      <c r="BB496" s="94"/>
      <c r="BE496" s="36" t="s">
        <v>5867</v>
      </c>
      <c r="BG496" s="36" t="s">
        <v>5967</v>
      </c>
    </row>
    <row r="497" spans="1:62" ht="15" customHeight="1">
      <c r="A497" s="36" t="s">
        <v>5899</v>
      </c>
      <c r="B497" s="36" t="s">
        <v>5930</v>
      </c>
      <c r="C497" s="36" t="s">
        <v>5941</v>
      </c>
      <c r="D497" s="37">
        <v>214</v>
      </c>
      <c r="E497" s="36">
        <v>1</v>
      </c>
      <c r="F497" s="36" t="s">
        <v>5837</v>
      </c>
      <c r="G497" s="36" t="s">
        <v>5873</v>
      </c>
      <c r="J497" s="36" t="s">
        <v>31</v>
      </c>
      <c r="X497" s="93">
        <v>3</v>
      </c>
      <c r="Y497" s="79">
        <v>0</v>
      </c>
      <c r="AD497" s="36" t="s">
        <v>5867</v>
      </c>
      <c r="AF497" s="36" t="s">
        <v>5968</v>
      </c>
      <c r="AP497" s="86"/>
      <c r="AQ497" s="88"/>
      <c r="AR497" s="89"/>
      <c r="AS497" s="90"/>
      <c r="AV497" s="88"/>
      <c r="AW497" s="96"/>
      <c r="AX497" s="97"/>
      <c r="AY497" s="93"/>
      <c r="BB497" s="94"/>
      <c r="BJ497" s="46" t="s">
        <v>5836</v>
      </c>
    </row>
    <row r="498" spans="1:62" ht="15" customHeight="1">
      <c r="A498" s="36" t="s">
        <v>5899</v>
      </c>
      <c r="B498" s="36" t="s">
        <v>5931</v>
      </c>
      <c r="C498" s="36" t="s">
        <v>5941</v>
      </c>
      <c r="D498" s="37">
        <v>215</v>
      </c>
      <c r="E498" s="36">
        <v>1</v>
      </c>
      <c r="F498" s="36" t="s">
        <v>5837</v>
      </c>
      <c r="G498" s="36" t="s">
        <v>5874</v>
      </c>
      <c r="J498" s="36" t="s">
        <v>4111</v>
      </c>
      <c r="AD498" s="36" t="s">
        <v>5875</v>
      </c>
      <c r="AF498" s="36" t="s">
        <v>5947</v>
      </c>
      <c r="AP498" s="86"/>
      <c r="AQ498" s="88"/>
      <c r="AR498" s="89"/>
      <c r="AS498" s="90"/>
      <c r="AV498" s="88"/>
      <c r="AW498" s="96"/>
      <c r="AX498" s="97"/>
      <c r="AY498" s="93"/>
      <c r="BB498" s="94"/>
      <c r="BJ498" s="46" t="s">
        <v>5836</v>
      </c>
    </row>
    <row r="499" spans="1:62" ht="15" customHeight="1">
      <c r="A499" s="36" t="s">
        <v>5899</v>
      </c>
      <c r="B499" s="36" t="s">
        <v>5932</v>
      </c>
      <c r="C499" s="36" t="s">
        <v>5941</v>
      </c>
      <c r="D499" s="37">
        <v>216</v>
      </c>
      <c r="E499" s="36">
        <v>1</v>
      </c>
      <c r="F499" s="36" t="s">
        <v>5837</v>
      </c>
      <c r="G499" s="36" t="s">
        <v>5876</v>
      </c>
      <c r="H499" s="36" t="s">
        <v>5877</v>
      </c>
      <c r="I499" s="36" t="s">
        <v>5878</v>
      </c>
      <c r="J499" s="36" t="s">
        <v>29</v>
      </c>
      <c r="Q499" s="78">
        <v>3</v>
      </c>
      <c r="R499" s="79">
        <v>7</v>
      </c>
      <c r="T499" s="81" t="s">
        <v>5879</v>
      </c>
      <c r="V499" s="82">
        <v>2</v>
      </c>
      <c r="W499" s="83">
        <v>2</v>
      </c>
      <c r="AA499" s="85">
        <v>2</v>
      </c>
      <c r="AD499" s="36" t="s">
        <v>5377</v>
      </c>
      <c r="AE499" s="37" t="s">
        <v>5880</v>
      </c>
      <c r="AF499" s="36" t="s">
        <v>5881</v>
      </c>
      <c r="AP499" s="86"/>
      <c r="AQ499" s="88"/>
      <c r="AR499" s="89"/>
      <c r="AS499" s="90"/>
      <c r="AV499" s="88"/>
      <c r="AW499" s="96"/>
      <c r="AX499" s="97"/>
      <c r="AY499" s="93"/>
      <c r="BB499" s="94"/>
    </row>
    <row r="500" spans="1:62" ht="15" customHeight="1">
      <c r="A500" s="36" t="s">
        <v>5899</v>
      </c>
      <c r="B500" s="36" t="s">
        <v>5933</v>
      </c>
      <c r="C500" s="36" t="s">
        <v>5941</v>
      </c>
      <c r="D500" s="37">
        <v>217</v>
      </c>
      <c r="E500" s="36">
        <v>1</v>
      </c>
      <c r="F500" s="36" t="s">
        <v>5837</v>
      </c>
      <c r="G500" s="36" t="s">
        <v>5882</v>
      </c>
      <c r="H500" s="36" t="s">
        <v>5883</v>
      </c>
      <c r="I500" s="36" t="s">
        <v>5878</v>
      </c>
      <c r="J500" s="36" t="s">
        <v>4111</v>
      </c>
      <c r="N500" s="75">
        <v>3</v>
      </c>
      <c r="O500" s="76">
        <v>1</v>
      </c>
      <c r="S500" s="126">
        <v>1</v>
      </c>
      <c r="T500" s="81">
        <v>1</v>
      </c>
      <c r="U500" s="76">
        <v>4</v>
      </c>
      <c r="AB500" s="36" t="s">
        <v>4940</v>
      </c>
      <c r="AC500" s="36" t="s">
        <v>25</v>
      </c>
      <c r="AD500" s="36" t="s">
        <v>5884</v>
      </c>
      <c r="AF500" s="36" t="s">
        <v>5948</v>
      </c>
      <c r="AP500" s="86"/>
      <c r="AQ500" s="88"/>
      <c r="AR500" s="89"/>
      <c r="AS500" s="90"/>
      <c r="AV500" s="88"/>
      <c r="AW500" s="96"/>
      <c r="AX500" s="97"/>
      <c r="AY500" s="93"/>
      <c r="BB500" s="94"/>
    </row>
    <row r="501" spans="1:62" ht="15" customHeight="1">
      <c r="A501" s="36" t="s">
        <v>5899</v>
      </c>
      <c r="B501" s="36" t="s">
        <v>5934</v>
      </c>
      <c r="C501" s="36" t="s">
        <v>5941</v>
      </c>
      <c r="D501" s="37">
        <v>218</v>
      </c>
      <c r="E501" s="36">
        <v>1</v>
      </c>
      <c r="F501" s="36" t="s">
        <v>5837</v>
      </c>
      <c r="G501" s="36" t="s">
        <v>5885</v>
      </c>
      <c r="H501" s="36" t="s">
        <v>5886</v>
      </c>
      <c r="I501" s="36" t="s">
        <v>5878</v>
      </c>
      <c r="J501" s="36" t="s">
        <v>4111</v>
      </c>
      <c r="N501" s="75">
        <v>3</v>
      </c>
      <c r="R501" s="79">
        <v>1</v>
      </c>
      <c r="S501" s="126">
        <v>1</v>
      </c>
      <c r="T501" s="81">
        <v>3</v>
      </c>
      <c r="U501" s="76">
        <v>2</v>
      </c>
      <c r="AB501" s="36" t="s">
        <v>5034</v>
      </c>
      <c r="AC501" s="36" t="s">
        <v>25</v>
      </c>
      <c r="AD501" s="36" t="s">
        <v>5884</v>
      </c>
      <c r="AF501" s="36" t="s">
        <v>5949</v>
      </c>
      <c r="AP501" s="86"/>
      <c r="AQ501" s="88"/>
      <c r="AR501" s="89"/>
      <c r="AS501" s="90"/>
      <c r="AV501" s="88"/>
      <c r="AW501" s="96"/>
      <c r="AX501" s="97"/>
      <c r="AY501" s="93"/>
      <c r="BB501" s="94"/>
    </row>
    <row r="502" spans="1:62" ht="15" customHeight="1">
      <c r="A502" s="36" t="s">
        <v>5899</v>
      </c>
      <c r="B502" s="36" t="s">
        <v>5935</v>
      </c>
      <c r="C502" s="36" t="s">
        <v>5941</v>
      </c>
      <c r="D502" s="37">
        <v>219</v>
      </c>
      <c r="E502" s="36">
        <v>1</v>
      </c>
      <c r="F502" s="36" t="s">
        <v>5837</v>
      </c>
      <c r="G502" s="36" t="s">
        <v>5887</v>
      </c>
      <c r="H502" s="36" t="s">
        <v>5888</v>
      </c>
      <c r="J502" s="36" t="s">
        <v>4111</v>
      </c>
      <c r="N502" s="75">
        <v>0</v>
      </c>
      <c r="AD502" s="36" t="s">
        <v>4119</v>
      </c>
      <c r="AF502" s="36" t="s">
        <v>5950</v>
      </c>
      <c r="AP502" s="86"/>
      <c r="AQ502" s="88"/>
      <c r="AR502" s="89"/>
      <c r="AS502" s="90"/>
      <c r="AV502" s="88"/>
      <c r="AW502" s="96"/>
      <c r="AX502" s="97"/>
      <c r="AY502" s="93"/>
      <c r="BB502" s="94"/>
    </row>
    <row r="503" spans="1:62" ht="15" customHeight="1">
      <c r="A503" s="36" t="s">
        <v>5899</v>
      </c>
      <c r="B503" s="36" t="s">
        <v>5936</v>
      </c>
      <c r="C503" s="36" t="s">
        <v>5941</v>
      </c>
      <c r="D503" s="37">
        <v>220</v>
      </c>
      <c r="E503" s="36">
        <v>3</v>
      </c>
      <c r="F503" s="36" t="s">
        <v>5837</v>
      </c>
      <c r="G503" s="36" t="s">
        <v>5889</v>
      </c>
      <c r="J503" s="36" t="s">
        <v>28</v>
      </c>
      <c r="AF503" s="36" t="s">
        <v>5951</v>
      </c>
      <c r="AP503" s="86"/>
      <c r="AQ503" s="88"/>
      <c r="AR503" s="89"/>
      <c r="AS503" s="90"/>
      <c r="AV503" s="88"/>
      <c r="AW503" s="96"/>
      <c r="AX503" s="97"/>
      <c r="AY503" s="93"/>
      <c r="BB503" s="94"/>
    </row>
    <row r="504" spans="1:62" ht="15" customHeight="1">
      <c r="A504" s="36" t="s">
        <v>5899</v>
      </c>
      <c r="B504" s="36" t="s">
        <v>5937</v>
      </c>
      <c r="C504" s="36" t="s">
        <v>5941</v>
      </c>
      <c r="D504" s="37">
        <v>221</v>
      </c>
      <c r="E504" s="36">
        <v>2</v>
      </c>
      <c r="F504" s="36" t="s">
        <v>5837</v>
      </c>
      <c r="G504" s="36" t="s">
        <v>5890</v>
      </c>
      <c r="J504" s="36" t="s">
        <v>28</v>
      </c>
      <c r="AD504" s="36" t="s">
        <v>4346</v>
      </c>
      <c r="AE504" s="37" t="s">
        <v>5891</v>
      </c>
      <c r="AF504" s="36" t="s">
        <v>5952</v>
      </c>
      <c r="AP504" s="86"/>
      <c r="AQ504" s="88"/>
      <c r="AR504" s="89"/>
      <c r="AS504" s="90"/>
      <c r="AV504" s="88"/>
      <c r="AW504" s="96"/>
      <c r="AX504" s="97"/>
      <c r="AY504" s="93"/>
      <c r="BB504" s="94"/>
    </row>
    <row r="505" spans="1:62" ht="15" customHeight="1">
      <c r="A505" s="36" t="s">
        <v>5899</v>
      </c>
      <c r="B505" s="36" t="s">
        <v>5938</v>
      </c>
      <c r="C505" s="36" t="s">
        <v>5941</v>
      </c>
      <c r="D505" s="37">
        <v>222</v>
      </c>
      <c r="E505" s="36">
        <v>2</v>
      </c>
      <c r="F505" s="36" t="s">
        <v>5837</v>
      </c>
      <c r="G505" s="36" t="s">
        <v>5892</v>
      </c>
      <c r="J505" s="36" t="s">
        <v>28</v>
      </c>
      <c r="AD505" s="36" t="s">
        <v>4346</v>
      </c>
      <c r="AF505" s="36" t="s">
        <v>5893</v>
      </c>
      <c r="AP505" s="86"/>
      <c r="AQ505" s="88"/>
      <c r="AR505" s="89"/>
      <c r="AS505" s="90"/>
      <c r="AV505" s="88"/>
      <c r="AW505" s="96"/>
      <c r="AX505" s="97"/>
      <c r="AY505" s="93"/>
      <c r="BB505" s="94"/>
    </row>
    <row r="506" spans="1:62" ht="15" customHeight="1">
      <c r="A506" s="36" t="s">
        <v>5899</v>
      </c>
      <c r="B506" s="36" t="s">
        <v>5939</v>
      </c>
      <c r="C506" s="36" t="s">
        <v>5941</v>
      </c>
      <c r="D506" s="37">
        <v>223</v>
      </c>
      <c r="E506" s="36">
        <v>3</v>
      </c>
      <c r="F506" s="36" t="s">
        <v>5837</v>
      </c>
      <c r="G506" s="36" t="s">
        <v>4334</v>
      </c>
      <c r="J506" s="36" t="s">
        <v>28</v>
      </c>
      <c r="AD506" s="36" t="s">
        <v>4335</v>
      </c>
      <c r="AF506" s="36" t="s">
        <v>5894</v>
      </c>
      <c r="AP506" s="86"/>
      <c r="AQ506" s="88"/>
      <c r="AR506" s="89"/>
      <c r="AS506" s="90"/>
      <c r="AV506" s="88"/>
      <c r="AW506" s="96"/>
      <c r="AX506" s="97"/>
      <c r="AY506" s="93"/>
      <c r="BB506" s="94"/>
    </row>
    <row r="507" spans="1:62" ht="15" customHeight="1">
      <c r="A507" s="36" t="s">
        <v>5899</v>
      </c>
      <c r="B507" s="36" t="s">
        <v>5940</v>
      </c>
      <c r="C507" s="36" t="s">
        <v>5941</v>
      </c>
      <c r="D507" s="37">
        <v>224</v>
      </c>
      <c r="E507" s="36">
        <v>3</v>
      </c>
      <c r="F507" s="36" t="s">
        <v>5837</v>
      </c>
      <c r="G507" s="36" t="s">
        <v>5895</v>
      </c>
      <c r="J507" s="36" t="s">
        <v>29</v>
      </c>
      <c r="Q507" s="78">
        <v>3</v>
      </c>
      <c r="R507" s="79">
        <v>1</v>
      </c>
      <c r="T507" s="81">
        <v>2</v>
      </c>
      <c r="V507" s="82">
        <v>2</v>
      </c>
      <c r="AD507" s="36" t="s">
        <v>5896</v>
      </c>
      <c r="AE507" s="37" t="s">
        <v>5897</v>
      </c>
      <c r="AF507" s="36" t="s">
        <v>5898</v>
      </c>
      <c r="AP507" s="86"/>
      <c r="AQ507" s="88"/>
      <c r="AR507" s="89"/>
      <c r="AS507" s="90"/>
      <c r="AV507" s="88"/>
      <c r="AW507" s="96"/>
      <c r="AX507" s="97"/>
      <c r="AY507" s="93"/>
      <c r="BB507" s="94"/>
    </row>
    <row r="508" spans="1:62" ht="15" customHeight="1">
      <c r="A508" s="54" t="s">
        <v>5970</v>
      </c>
      <c r="B508" s="54" t="s">
        <v>5973</v>
      </c>
      <c r="C508" s="54" t="s">
        <v>6214</v>
      </c>
      <c r="D508" s="129">
        <v>225</v>
      </c>
      <c r="E508" s="54">
        <v>2</v>
      </c>
      <c r="F508" s="54"/>
      <c r="G508" s="54" t="s">
        <v>5974</v>
      </c>
      <c r="J508" s="36" t="s">
        <v>27</v>
      </c>
      <c r="K508" s="36" t="s">
        <v>4052</v>
      </c>
      <c r="L508" s="36">
        <v>0</v>
      </c>
      <c r="N508" s="75">
        <v>1</v>
      </c>
      <c r="O508" s="76">
        <v>1</v>
      </c>
      <c r="Q508" s="78">
        <v>1</v>
      </c>
      <c r="AB508" s="36" t="s">
        <v>6033</v>
      </c>
      <c r="AF508" s="36" t="s">
        <v>6034</v>
      </c>
      <c r="AP508" s="86"/>
      <c r="AQ508" s="88"/>
      <c r="AR508" s="89"/>
      <c r="AS508" s="90"/>
      <c r="AV508" s="88"/>
      <c r="AW508" s="96"/>
      <c r="AX508" s="97"/>
      <c r="AY508" s="93"/>
      <c r="BB508" s="94"/>
    </row>
    <row r="509" spans="1:62" ht="15" customHeight="1">
      <c r="A509" s="36" t="s">
        <v>5970</v>
      </c>
      <c r="B509" s="36" t="s">
        <v>5975</v>
      </c>
      <c r="C509" s="36" t="s">
        <v>6214</v>
      </c>
      <c r="D509" s="37">
        <v>226</v>
      </c>
      <c r="E509" s="36">
        <v>2</v>
      </c>
      <c r="G509" s="36" t="s">
        <v>5976</v>
      </c>
      <c r="J509" s="36" t="s">
        <v>4111</v>
      </c>
      <c r="K509" s="36" t="s">
        <v>4052</v>
      </c>
      <c r="L509" s="36">
        <v>4</v>
      </c>
      <c r="N509" s="75">
        <v>4</v>
      </c>
      <c r="Q509" s="78">
        <v>1</v>
      </c>
      <c r="R509" s="79">
        <v>1</v>
      </c>
      <c r="AB509" s="36" t="s">
        <v>6035</v>
      </c>
      <c r="AC509" s="36" t="s">
        <v>6036</v>
      </c>
      <c r="AD509" s="36" t="s">
        <v>4113</v>
      </c>
      <c r="AF509" s="36" t="s">
        <v>6037</v>
      </c>
      <c r="AP509" s="86"/>
      <c r="AQ509" s="88"/>
      <c r="AR509" s="89"/>
      <c r="AS509" s="90"/>
      <c r="AV509" s="88"/>
      <c r="AW509" s="96"/>
      <c r="AX509" s="97"/>
      <c r="AY509" s="93"/>
      <c r="BB509" s="94"/>
    </row>
    <row r="510" spans="1:62" ht="15" customHeight="1">
      <c r="A510" s="36" t="s">
        <v>5970</v>
      </c>
      <c r="B510" s="36" t="s">
        <v>5977</v>
      </c>
      <c r="C510" s="36" t="s">
        <v>6214</v>
      </c>
      <c r="D510" s="37">
        <v>227</v>
      </c>
      <c r="E510" s="36">
        <v>2</v>
      </c>
      <c r="G510" s="36" t="s">
        <v>5978</v>
      </c>
      <c r="J510" s="36" t="s">
        <v>4166</v>
      </c>
      <c r="K510" s="36" t="s">
        <v>4053</v>
      </c>
      <c r="L510" s="36">
        <v>0</v>
      </c>
      <c r="S510" s="126">
        <v>3</v>
      </c>
      <c r="AB510" s="36" t="s">
        <v>5850</v>
      </c>
      <c r="AD510" s="36" t="s">
        <v>4266</v>
      </c>
      <c r="AF510" s="36" t="s">
        <v>6038</v>
      </c>
      <c r="AP510" s="86"/>
      <c r="AQ510" s="88"/>
      <c r="AR510" s="89"/>
      <c r="AS510" s="90"/>
      <c r="AV510" s="88"/>
      <c r="AW510" s="96"/>
      <c r="AX510" s="97"/>
      <c r="AY510" s="93"/>
      <c r="BB510" s="94"/>
    </row>
    <row r="511" spans="1:62" ht="15" customHeight="1">
      <c r="A511" s="36" t="s">
        <v>5970</v>
      </c>
      <c r="B511" s="36" t="s">
        <v>5979</v>
      </c>
      <c r="C511" s="36" t="s">
        <v>6214</v>
      </c>
      <c r="D511" s="37">
        <v>228</v>
      </c>
      <c r="E511" s="36">
        <v>2</v>
      </c>
      <c r="G511" s="36" t="s">
        <v>5980</v>
      </c>
      <c r="J511" s="36" t="s">
        <v>27</v>
      </c>
      <c r="K511" s="36" t="s">
        <v>4053</v>
      </c>
      <c r="L511" s="36">
        <v>1</v>
      </c>
      <c r="N511" s="75">
        <v>0</v>
      </c>
      <c r="P511" s="77">
        <v>1</v>
      </c>
      <c r="Q511" s="78">
        <v>2</v>
      </c>
      <c r="AB511" s="36" t="s">
        <v>6039</v>
      </c>
      <c r="AD511" s="36" t="s">
        <v>4194</v>
      </c>
      <c r="AF511" s="36" t="s">
        <v>6040</v>
      </c>
      <c r="AP511" s="86"/>
      <c r="AQ511" s="88"/>
      <c r="AR511" s="89"/>
      <c r="AS511" s="90"/>
      <c r="AV511" s="88"/>
      <c r="AW511" s="96"/>
      <c r="AX511" s="97"/>
      <c r="AY511" s="93"/>
      <c r="BB511" s="94"/>
    </row>
    <row r="512" spans="1:62" ht="15" customHeight="1">
      <c r="A512" s="36" t="s">
        <v>5970</v>
      </c>
      <c r="B512" s="36" t="s">
        <v>5981</v>
      </c>
      <c r="C512" s="36" t="s">
        <v>6214</v>
      </c>
      <c r="D512" s="37">
        <v>229</v>
      </c>
      <c r="E512" s="36">
        <v>2</v>
      </c>
      <c r="G512" s="36" t="s">
        <v>5982</v>
      </c>
      <c r="J512" s="36" t="s">
        <v>4166</v>
      </c>
      <c r="K512" s="36" t="s">
        <v>4055</v>
      </c>
      <c r="L512" s="36">
        <v>0</v>
      </c>
      <c r="S512" s="126">
        <v>1</v>
      </c>
      <c r="AB512" s="36" t="s">
        <v>4062</v>
      </c>
      <c r="AD512" s="36" t="s">
        <v>4266</v>
      </c>
      <c r="AF512" s="36" t="s">
        <v>6041</v>
      </c>
      <c r="AP512" s="86"/>
      <c r="AQ512" s="88"/>
      <c r="AR512" s="89"/>
      <c r="AS512" s="90"/>
      <c r="AV512" s="88"/>
      <c r="AW512" s="96"/>
      <c r="AX512" s="97"/>
      <c r="AY512" s="93"/>
      <c r="BB512" s="94"/>
    </row>
    <row r="513" spans="1:59" ht="15" customHeight="1">
      <c r="A513" s="36" t="s">
        <v>5970</v>
      </c>
      <c r="B513" s="36" t="s">
        <v>5983</v>
      </c>
      <c r="C513" s="36" t="s">
        <v>6214</v>
      </c>
      <c r="D513" s="37">
        <v>230</v>
      </c>
      <c r="E513" s="36">
        <v>2</v>
      </c>
      <c r="G513" s="36" t="s">
        <v>5984</v>
      </c>
      <c r="J513" s="36" t="s">
        <v>4111</v>
      </c>
      <c r="K513" s="36" t="s">
        <v>4055</v>
      </c>
      <c r="L513" s="36">
        <v>2</v>
      </c>
      <c r="N513" s="75">
        <v>2</v>
      </c>
      <c r="O513" s="76">
        <v>1</v>
      </c>
      <c r="R513" s="79">
        <v>1</v>
      </c>
      <c r="AB513" s="36" t="s">
        <v>6042</v>
      </c>
      <c r="AC513" s="36" t="s">
        <v>4129</v>
      </c>
      <c r="AD513" s="36" t="s">
        <v>4130</v>
      </c>
      <c r="AF513" s="36" t="s">
        <v>6043</v>
      </c>
      <c r="AP513" s="86"/>
      <c r="AQ513" s="88"/>
      <c r="AR513" s="89"/>
      <c r="AS513" s="90"/>
      <c r="AV513" s="88"/>
      <c r="AW513" s="96"/>
      <c r="AX513" s="97"/>
      <c r="AY513" s="93"/>
      <c r="BB513" s="94"/>
    </row>
    <row r="514" spans="1:59" ht="15" customHeight="1">
      <c r="A514" s="36" t="s">
        <v>5970</v>
      </c>
      <c r="B514" s="36" t="s">
        <v>5985</v>
      </c>
      <c r="C514" s="36" t="s">
        <v>6214</v>
      </c>
      <c r="D514" s="37">
        <v>231</v>
      </c>
      <c r="E514" s="36">
        <v>2</v>
      </c>
      <c r="G514" s="36" t="s">
        <v>4224</v>
      </c>
      <c r="J514" s="36" t="s">
        <v>4166</v>
      </c>
      <c r="K514" s="36" t="s">
        <v>4055</v>
      </c>
      <c r="L514" s="36">
        <v>2</v>
      </c>
      <c r="S514" s="126">
        <v>1</v>
      </c>
      <c r="AB514" s="36" t="s">
        <v>4062</v>
      </c>
      <c r="AD514" s="36" t="s">
        <v>6044</v>
      </c>
      <c r="AF514" s="36" t="s">
        <v>6045</v>
      </c>
      <c r="AP514" s="86"/>
      <c r="AQ514" s="88"/>
      <c r="AR514" s="89"/>
      <c r="AS514" s="90"/>
      <c r="AV514" s="88"/>
      <c r="AW514" s="96"/>
      <c r="AX514" s="97"/>
      <c r="AY514" s="93"/>
      <c r="BB514" s="94"/>
    </row>
    <row r="515" spans="1:59" ht="15" customHeight="1">
      <c r="A515" s="36" t="s">
        <v>5970</v>
      </c>
      <c r="B515" s="36" t="s">
        <v>5986</v>
      </c>
      <c r="C515" s="36" t="s">
        <v>6214</v>
      </c>
      <c r="D515" s="37">
        <v>232</v>
      </c>
      <c r="E515" s="36">
        <v>2</v>
      </c>
      <c r="G515" s="36" t="s">
        <v>5987</v>
      </c>
      <c r="H515" s="36" t="s">
        <v>6046</v>
      </c>
      <c r="I515" s="36" t="s">
        <v>4077</v>
      </c>
      <c r="J515" s="36" t="s">
        <v>4111</v>
      </c>
      <c r="K515" s="36" t="s">
        <v>4054</v>
      </c>
      <c r="L515" s="36">
        <v>0</v>
      </c>
      <c r="N515" s="75">
        <v>4</v>
      </c>
      <c r="P515" s="77">
        <v>1</v>
      </c>
      <c r="T515" s="81">
        <v>1</v>
      </c>
      <c r="U515" s="76">
        <v>3</v>
      </c>
      <c r="AB515" s="36" t="s">
        <v>4059</v>
      </c>
      <c r="AC515" s="36" t="s">
        <v>25</v>
      </c>
      <c r="AD515" s="36" t="s">
        <v>4524</v>
      </c>
      <c r="AF515" s="36" t="s">
        <v>6047</v>
      </c>
      <c r="AP515" s="86"/>
      <c r="AQ515" s="88"/>
      <c r="AR515" s="89"/>
      <c r="AS515" s="90"/>
      <c r="AV515" s="88"/>
      <c r="AW515" s="96"/>
      <c r="AX515" s="97"/>
      <c r="AY515" s="93"/>
      <c r="BB515" s="94"/>
    </row>
    <row r="516" spans="1:59" ht="15" customHeight="1">
      <c r="A516" s="36" t="s">
        <v>5970</v>
      </c>
      <c r="B516" s="36" t="s">
        <v>5988</v>
      </c>
      <c r="C516" s="36" t="s">
        <v>6214</v>
      </c>
      <c r="D516" s="37">
        <v>233</v>
      </c>
      <c r="E516" s="36">
        <v>2</v>
      </c>
      <c r="G516" s="36" t="s">
        <v>5275</v>
      </c>
      <c r="J516" s="36" t="s">
        <v>4111</v>
      </c>
      <c r="K516" s="36" t="s">
        <v>4054</v>
      </c>
      <c r="L516" s="36">
        <v>4</v>
      </c>
      <c r="N516" s="75">
        <v>5</v>
      </c>
      <c r="P516" s="77">
        <v>2</v>
      </c>
      <c r="AB516" s="36" t="s">
        <v>4938</v>
      </c>
      <c r="AC516" s="36" t="s">
        <v>4232</v>
      </c>
      <c r="AD516" s="36" t="s">
        <v>4133</v>
      </c>
      <c r="AF516" s="36" t="s">
        <v>6048</v>
      </c>
      <c r="AP516" s="86"/>
      <c r="AQ516" s="88"/>
      <c r="AR516" s="89"/>
      <c r="AS516" s="90"/>
      <c r="AV516" s="88"/>
      <c r="AW516" s="96"/>
      <c r="AX516" s="97"/>
      <c r="AY516" s="93"/>
      <c r="BB516" s="94"/>
    </row>
    <row r="517" spans="1:59" ht="15" customHeight="1">
      <c r="A517" s="36" t="s">
        <v>5970</v>
      </c>
      <c r="B517" s="36" t="s">
        <v>5989</v>
      </c>
      <c r="C517" s="36" t="s">
        <v>6214</v>
      </c>
      <c r="D517" s="37">
        <v>234</v>
      </c>
      <c r="E517" s="36">
        <v>2</v>
      </c>
      <c r="G517" s="36" t="s">
        <v>5990</v>
      </c>
      <c r="J517" s="36" t="s">
        <v>4111</v>
      </c>
      <c r="K517" s="36" t="s">
        <v>4056</v>
      </c>
      <c r="L517" s="36">
        <v>0</v>
      </c>
      <c r="N517" s="75">
        <v>3</v>
      </c>
      <c r="O517" s="76">
        <v>1</v>
      </c>
      <c r="AB517" s="36" t="s">
        <v>4058</v>
      </c>
      <c r="AD517" s="36" t="s">
        <v>6049</v>
      </c>
      <c r="AF517" s="36" t="s">
        <v>6050</v>
      </c>
      <c r="AP517" s="86"/>
      <c r="AQ517" s="88"/>
      <c r="AR517" s="89"/>
      <c r="AS517" s="90"/>
      <c r="AV517" s="88"/>
      <c r="AW517" s="96"/>
      <c r="AX517" s="97"/>
      <c r="AY517" s="93"/>
      <c r="BB517" s="94"/>
    </row>
    <row r="518" spans="1:59" ht="15" customHeight="1">
      <c r="A518" s="36" t="s">
        <v>5970</v>
      </c>
      <c r="B518" s="36" t="s">
        <v>5991</v>
      </c>
      <c r="C518" s="36" t="s">
        <v>6214</v>
      </c>
      <c r="D518" s="37">
        <v>235</v>
      </c>
      <c r="E518" s="36">
        <v>2</v>
      </c>
      <c r="G518" s="36" t="s">
        <v>4265</v>
      </c>
      <c r="J518" s="36" t="s">
        <v>4166</v>
      </c>
      <c r="K518" s="36" t="s">
        <v>4056</v>
      </c>
      <c r="L518" s="36">
        <v>2</v>
      </c>
      <c r="R518" s="79">
        <v>2</v>
      </c>
      <c r="AB518" s="36" t="s">
        <v>4949</v>
      </c>
      <c r="AD518" s="36" t="s">
        <v>6044</v>
      </c>
      <c r="AF518" s="36" t="s">
        <v>6051</v>
      </c>
      <c r="AP518" s="86"/>
      <c r="AQ518" s="88"/>
      <c r="AR518" s="89"/>
      <c r="AS518" s="90"/>
      <c r="AV518" s="88"/>
      <c r="AW518" s="96"/>
      <c r="AX518" s="97"/>
      <c r="AY518" s="93"/>
      <c r="BB518" s="94"/>
    </row>
    <row r="519" spans="1:59" ht="15" customHeight="1">
      <c r="A519" s="36" t="s">
        <v>5970</v>
      </c>
      <c r="B519" s="36" t="s">
        <v>5992</v>
      </c>
      <c r="C519" s="36" t="s">
        <v>6214</v>
      </c>
      <c r="D519" s="37">
        <v>236</v>
      </c>
      <c r="E519" s="36">
        <v>1</v>
      </c>
      <c r="F519" s="36" t="s">
        <v>5971</v>
      </c>
      <c r="G519" s="36" t="s">
        <v>5971</v>
      </c>
      <c r="H519" s="46" t="s">
        <v>4563</v>
      </c>
      <c r="J519" s="36" t="s">
        <v>4472</v>
      </c>
      <c r="AF519" s="36" t="s">
        <v>6052</v>
      </c>
      <c r="AI519" s="36" t="s">
        <v>5971</v>
      </c>
      <c r="AJ519" s="36" t="s">
        <v>4564</v>
      </c>
      <c r="AL519" s="36" t="s">
        <v>4472</v>
      </c>
      <c r="AP519" s="86"/>
      <c r="AQ519" s="88"/>
      <c r="AR519" s="89"/>
      <c r="AS519" s="90"/>
      <c r="AV519" s="88"/>
      <c r="AW519" s="96"/>
      <c r="AX519" s="97"/>
      <c r="AY519" s="93"/>
      <c r="BB519" s="94"/>
      <c r="BG519" s="36" t="s">
        <v>6053</v>
      </c>
    </row>
    <row r="520" spans="1:59" ht="15" customHeight="1">
      <c r="A520" s="36" t="s">
        <v>5970</v>
      </c>
      <c r="B520" s="36" t="s">
        <v>5993</v>
      </c>
      <c r="C520" s="36" t="s">
        <v>6214</v>
      </c>
      <c r="D520" s="37">
        <v>237</v>
      </c>
      <c r="E520" s="36">
        <v>1</v>
      </c>
      <c r="F520" s="36" t="s">
        <v>5971</v>
      </c>
      <c r="G520" s="36" t="s">
        <v>5994</v>
      </c>
      <c r="J520" s="36" t="s">
        <v>4473</v>
      </c>
      <c r="Z520" s="81">
        <v>5</v>
      </c>
      <c r="AF520" s="36" t="s">
        <v>6054</v>
      </c>
      <c r="AI520" s="36" t="s">
        <v>6055</v>
      </c>
      <c r="AL520" s="36" t="s">
        <v>4473</v>
      </c>
      <c r="AP520" s="86"/>
      <c r="AQ520" s="88"/>
      <c r="AR520" s="89"/>
      <c r="AS520" s="90"/>
      <c r="AV520" s="88"/>
      <c r="AW520" s="96"/>
      <c r="AX520" s="97"/>
      <c r="AY520" s="93"/>
      <c r="BB520" s="94"/>
      <c r="BG520" s="36" t="s">
        <v>6056</v>
      </c>
    </row>
    <row r="521" spans="1:59" ht="15" customHeight="1">
      <c r="A521" s="36" t="s">
        <v>5970</v>
      </c>
      <c r="B521" s="36" t="s">
        <v>5995</v>
      </c>
      <c r="C521" s="36" t="s">
        <v>6214</v>
      </c>
      <c r="D521" s="37">
        <v>238</v>
      </c>
      <c r="E521" s="36">
        <v>1</v>
      </c>
      <c r="F521" s="36" t="s">
        <v>5971</v>
      </c>
      <c r="G521" s="36" t="s">
        <v>5996</v>
      </c>
      <c r="J521" s="36" t="s">
        <v>4473</v>
      </c>
      <c r="Z521" s="81">
        <v>6</v>
      </c>
      <c r="AF521" s="36" t="s">
        <v>6054</v>
      </c>
      <c r="AI521" s="36" t="s">
        <v>6057</v>
      </c>
      <c r="AL521" s="36" t="s">
        <v>4473</v>
      </c>
      <c r="AP521" s="86"/>
      <c r="AQ521" s="88"/>
      <c r="AR521" s="89"/>
      <c r="AS521" s="90"/>
      <c r="AV521" s="88"/>
      <c r="AW521" s="96"/>
      <c r="AX521" s="97"/>
      <c r="AY521" s="93"/>
      <c r="BB521" s="94"/>
      <c r="BG521" s="36" t="s">
        <v>6058</v>
      </c>
    </row>
    <row r="522" spans="1:59" ht="15" customHeight="1">
      <c r="A522" s="36" t="s">
        <v>5970</v>
      </c>
      <c r="B522" s="36" t="s">
        <v>5997</v>
      </c>
      <c r="C522" s="36" t="s">
        <v>6214</v>
      </c>
      <c r="D522" s="37">
        <v>239</v>
      </c>
      <c r="E522" s="36">
        <v>1</v>
      </c>
      <c r="F522" s="36" t="s">
        <v>5971</v>
      </c>
      <c r="G522" s="36" t="s">
        <v>5998</v>
      </c>
      <c r="J522" s="36" t="s">
        <v>4473</v>
      </c>
      <c r="Z522" s="81">
        <v>7</v>
      </c>
      <c r="AF522" s="36" t="s">
        <v>6059</v>
      </c>
      <c r="AI522" s="36" t="s">
        <v>6060</v>
      </c>
      <c r="AL522" s="36" t="s">
        <v>4473</v>
      </c>
      <c r="AP522" s="86"/>
      <c r="AQ522" s="88"/>
      <c r="AR522" s="89"/>
      <c r="AS522" s="90"/>
      <c r="AV522" s="88"/>
      <c r="AW522" s="96"/>
      <c r="AX522" s="97"/>
      <c r="AY522" s="93"/>
      <c r="BB522" s="94"/>
      <c r="BG522" s="36" t="s">
        <v>5740</v>
      </c>
    </row>
    <row r="523" spans="1:59" ht="15" customHeight="1">
      <c r="A523" s="36" t="s">
        <v>5970</v>
      </c>
      <c r="B523" s="36" t="s">
        <v>5999</v>
      </c>
      <c r="C523" s="36" t="s">
        <v>6214</v>
      </c>
      <c r="D523" s="37">
        <v>240</v>
      </c>
      <c r="E523" s="36">
        <v>1</v>
      </c>
      <c r="F523" s="36" t="s">
        <v>5971</v>
      </c>
      <c r="G523" s="36" t="s">
        <v>6000</v>
      </c>
      <c r="J523" s="36" t="s">
        <v>4475</v>
      </c>
      <c r="Y523" s="79" t="s">
        <v>5551</v>
      </c>
      <c r="AF523" s="36" t="s">
        <v>6061</v>
      </c>
      <c r="AI523" s="36" t="s">
        <v>6062</v>
      </c>
      <c r="AL523" s="36" t="s">
        <v>4475</v>
      </c>
      <c r="AP523" s="86"/>
      <c r="AQ523" s="88"/>
      <c r="AR523" s="89"/>
      <c r="AS523" s="90"/>
      <c r="AV523" s="88"/>
      <c r="AW523" s="96"/>
      <c r="AX523" s="97"/>
      <c r="AY523" s="93"/>
      <c r="BB523" s="94"/>
      <c r="BG523" s="36" t="s">
        <v>6063</v>
      </c>
    </row>
    <row r="524" spans="1:59" ht="15" customHeight="1">
      <c r="A524" s="36" t="s">
        <v>5970</v>
      </c>
      <c r="B524" s="36" t="s">
        <v>6001</v>
      </c>
      <c r="C524" s="36" t="s">
        <v>6214</v>
      </c>
      <c r="D524" s="37">
        <v>241</v>
      </c>
      <c r="E524" s="36">
        <v>1</v>
      </c>
      <c r="F524" s="36" t="s">
        <v>5971</v>
      </c>
      <c r="G524" s="36" t="s">
        <v>6002</v>
      </c>
      <c r="J524" s="36" t="s">
        <v>4475</v>
      </c>
      <c r="Y524" s="79" t="s">
        <v>38</v>
      </c>
      <c r="AF524" s="36" t="s">
        <v>6064</v>
      </c>
      <c r="AI524" s="36" t="s">
        <v>6065</v>
      </c>
      <c r="AL524" s="36" t="s">
        <v>4475</v>
      </c>
      <c r="AP524" s="86"/>
      <c r="AQ524" s="88"/>
      <c r="AR524" s="89"/>
      <c r="AS524" s="90"/>
      <c r="AV524" s="88"/>
      <c r="AW524" s="96"/>
      <c r="AX524" s="97"/>
      <c r="AY524" s="93"/>
      <c r="BB524" s="94"/>
      <c r="BG524" s="36" t="s">
        <v>6066</v>
      </c>
    </row>
    <row r="525" spans="1:59" ht="15" customHeight="1">
      <c r="A525" s="36" t="s">
        <v>5970</v>
      </c>
      <c r="B525" s="36" t="s">
        <v>6003</v>
      </c>
      <c r="C525" s="36" t="s">
        <v>6214</v>
      </c>
      <c r="D525" s="37">
        <v>242</v>
      </c>
      <c r="E525" s="36">
        <v>1</v>
      </c>
      <c r="F525" s="36" t="s">
        <v>5971</v>
      </c>
      <c r="G525" s="36" t="s">
        <v>6004</v>
      </c>
      <c r="J525" s="36" t="s">
        <v>31</v>
      </c>
      <c r="AD525" s="36" t="s">
        <v>5867</v>
      </c>
      <c r="AI525" s="36" t="s">
        <v>6004</v>
      </c>
      <c r="AL525" s="36" t="s">
        <v>31</v>
      </c>
      <c r="AP525" s="86"/>
      <c r="AQ525" s="88"/>
      <c r="AR525" s="89"/>
      <c r="AS525" s="90"/>
      <c r="AV525" s="88"/>
      <c r="AW525" s="96"/>
      <c r="AX525" s="97"/>
      <c r="AY525" s="93">
        <v>3</v>
      </c>
      <c r="AZ525" s="79">
        <v>1</v>
      </c>
      <c r="BB525" s="94"/>
      <c r="BE525" s="36" t="s">
        <v>5867</v>
      </c>
      <c r="BG525" s="36" t="s">
        <v>6067</v>
      </c>
    </row>
    <row r="526" spans="1:59" ht="15" customHeight="1">
      <c r="A526" s="36" t="s">
        <v>5970</v>
      </c>
      <c r="B526" s="36" t="s">
        <v>6005</v>
      </c>
      <c r="C526" s="36" t="s">
        <v>6214</v>
      </c>
      <c r="D526" s="37">
        <v>243</v>
      </c>
      <c r="E526" s="36">
        <v>1</v>
      </c>
      <c r="F526" s="36" t="s">
        <v>5971</v>
      </c>
      <c r="G526" s="36" t="s">
        <v>6004</v>
      </c>
      <c r="J526" s="36" t="s">
        <v>31</v>
      </c>
      <c r="AD526" s="36" t="s">
        <v>5867</v>
      </c>
      <c r="AI526" s="36" t="s">
        <v>6004</v>
      </c>
      <c r="AL526" s="36" t="s">
        <v>31</v>
      </c>
      <c r="AP526" s="86"/>
      <c r="AQ526" s="88"/>
      <c r="AR526" s="89"/>
      <c r="AS526" s="90"/>
      <c r="AV526" s="88"/>
      <c r="AW526" s="96"/>
      <c r="AX526" s="97"/>
      <c r="AY526" s="93">
        <v>2</v>
      </c>
      <c r="AZ526" s="79">
        <v>3</v>
      </c>
      <c r="BB526" s="94"/>
      <c r="BE526" s="36" t="s">
        <v>5867</v>
      </c>
      <c r="BG526" s="36" t="s">
        <v>6068</v>
      </c>
    </row>
    <row r="527" spans="1:59" ht="15" customHeight="1">
      <c r="A527" s="36" t="s">
        <v>5970</v>
      </c>
      <c r="B527" s="36" t="s">
        <v>6006</v>
      </c>
      <c r="C527" s="36" t="s">
        <v>6214</v>
      </c>
      <c r="D527" s="37">
        <v>244</v>
      </c>
      <c r="E527" s="36">
        <v>1</v>
      </c>
      <c r="F527" s="36" t="s">
        <v>5971</v>
      </c>
      <c r="G527" s="36" t="s">
        <v>6007</v>
      </c>
      <c r="J527" s="36" t="s">
        <v>31</v>
      </c>
      <c r="AD527" s="36" t="s">
        <v>5867</v>
      </c>
      <c r="AI527" s="36" t="s">
        <v>6007</v>
      </c>
      <c r="AL527" s="36" t="s">
        <v>31</v>
      </c>
      <c r="AP527" s="86"/>
      <c r="AQ527" s="88"/>
      <c r="AR527" s="89"/>
      <c r="AS527" s="90"/>
      <c r="AV527" s="88"/>
      <c r="AW527" s="96"/>
      <c r="AX527" s="97"/>
      <c r="AY527" s="93">
        <v>3</v>
      </c>
      <c r="AZ527" s="79">
        <v>2</v>
      </c>
      <c r="BB527" s="94"/>
      <c r="BE527" s="36" t="s">
        <v>5867</v>
      </c>
      <c r="BG527" s="36" t="s">
        <v>6069</v>
      </c>
    </row>
    <row r="528" spans="1:59" ht="15" customHeight="1">
      <c r="A528" s="36" t="s">
        <v>5970</v>
      </c>
      <c r="B528" s="36" t="s">
        <v>6008</v>
      </c>
      <c r="C528" s="36" t="s">
        <v>6214</v>
      </c>
      <c r="D528" s="37">
        <v>245</v>
      </c>
      <c r="E528" s="36">
        <v>1</v>
      </c>
      <c r="F528" s="36" t="s">
        <v>5971</v>
      </c>
      <c r="G528" s="36" t="s">
        <v>6007</v>
      </c>
      <c r="J528" s="36" t="s">
        <v>31</v>
      </c>
      <c r="AD528" s="36" t="s">
        <v>5867</v>
      </c>
      <c r="AI528" s="36" t="s">
        <v>6007</v>
      </c>
      <c r="AL528" s="36" t="s">
        <v>31</v>
      </c>
      <c r="AP528" s="86"/>
      <c r="AQ528" s="88"/>
      <c r="AR528" s="89"/>
      <c r="AS528" s="90"/>
      <c r="AV528" s="88"/>
      <c r="AW528" s="96"/>
      <c r="AX528" s="97"/>
      <c r="AY528" s="93">
        <v>2</v>
      </c>
      <c r="AZ528" s="79">
        <v>0</v>
      </c>
      <c r="BB528" s="94"/>
      <c r="BE528" s="36" t="s">
        <v>5867</v>
      </c>
      <c r="BG528" s="36" t="s">
        <v>6070</v>
      </c>
    </row>
    <row r="529" spans="1:59" ht="15" customHeight="1">
      <c r="A529" s="36" t="s">
        <v>5970</v>
      </c>
      <c r="B529" s="36" t="s">
        <v>6009</v>
      </c>
      <c r="C529" s="36" t="s">
        <v>6214</v>
      </c>
      <c r="D529" s="37">
        <v>246</v>
      </c>
      <c r="E529" s="36">
        <v>1</v>
      </c>
      <c r="F529" s="36" t="s">
        <v>5971</v>
      </c>
      <c r="G529" s="36" t="s">
        <v>6010</v>
      </c>
      <c r="J529" s="36" t="s">
        <v>31</v>
      </c>
      <c r="AD529" s="36" t="s">
        <v>5867</v>
      </c>
      <c r="AI529" s="36" t="s">
        <v>6010</v>
      </c>
      <c r="AL529" s="36" t="s">
        <v>31</v>
      </c>
      <c r="AP529" s="86"/>
      <c r="AQ529" s="88"/>
      <c r="AR529" s="89"/>
      <c r="AS529" s="90"/>
      <c r="AV529" s="88"/>
      <c r="AW529" s="96"/>
      <c r="AX529" s="97"/>
      <c r="AY529" s="93">
        <v>3</v>
      </c>
      <c r="AZ529" s="79">
        <v>1</v>
      </c>
      <c r="BB529" s="94"/>
      <c r="BE529" s="36" t="s">
        <v>5867</v>
      </c>
      <c r="BG529" s="36" t="s">
        <v>6071</v>
      </c>
    </row>
    <row r="530" spans="1:59" ht="15" customHeight="1">
      <c r="A530" s="36" t="s">
        <v>5970</v>
      </c>
      <c r="B530" s="36" t="s">
        <v>6011</v>
      </c>
      <c r="C530" s="36" t="s">
        <v>6214</v>
      </c>
      <c r="D530" s="37">
        <v>247</v>
      </c>
      <c r="E530" s="36">
        <v>1</v>
      </c>
      <c r="F530" s="36" t="s">
        <v>5971</v>
      </c>
      <c r="G530" s="36" t="s">
        <v>6010</v>
      </c>
      <c r="J530" s="36" t="s">
        <v>31</v>
      </c>
      <c r="AD530" s="36" t="s">
        <v>5867</v>
      </c>
      <c r="AI530" s="36" t="s">
        <v>6010</v>
      </c>
      <c r="AL530" s="36" t="s">
        <v>31</v>
      </c>
      <c r="AP530" s="86"/>
      <c r="AQ530" s="88"/>
      <c r="AR530" s="89"/>
      <c r="AS530" s="90"/>
      <c r="AV530" s="88"/>
      <c r="AW530" s="96"/>
      <c r="AX530" s="97"/>
      <c r="AY530" s="93">
        <v>2</v>
      </c>
      <c r="AZ530" s="79">
        <v>3</v>
      </c>
      <c r="BB530" s="94"/>
      <c r="BE530" s="36" t="s">
        <v>5867</v>
      </c>
      <c r="BG530" s="36" t="s">
        <v>6072</v>
      </c>
    </row>
    <row r="531" spans="1:59" ht="15" customHeight="1">
      <c r="A531" s="36" t="s">
        <v>5970</v>
      </c>
      <c r="B531" s="36" t="s">
        <v>6012</v>
      </c>
      <c r="C531" s="36" t="s">
        <v>6214</v>
      </c>
      <c r="D531" s="37">
        <v>248</v>
      </c>
      <c r="E531" s="36">
        <v>1</v>
      </c>
      <c r="F531" s="36" t="s">
        <v>5971</v>
      </c>
      <c r="G531" s="36" t="s">
        <v>6013</v>
      </c>
      <c r="J531" s="36" t="s">
        <v>31</v>
      </c>
      <c r="AD531" s="36" t="s">
        <v>5867</v>
      </c>
      <c r="AI531" s="36" t="s">
        <v>6013</v>
      </c>
      <c r="AL531" s="36" t="s">
        <v>31</v>
      </c>
      <c r="AP531" s="86"/>
      <c r="AQ531" s="88"/>
      <c r="AR531" s="89"/>
      <c r="AS531" s="90"/>
      <c r="AV531" s="88"/>
      <c r="AW531" s="96"/>
      <c r="AX531" s="97"/>
      <c r="AY531" s="93">
        <v>4</v>
      </c>
      <c r="AZ531" s="79">
        <v>3</v>
      </c>
      <c r="BB531" s="94"/>
      <c r="BE531" s="36" t="s">
        <v>5867</v>
      </c>
      <c r="BG531" s="36" t="s">
        <v>6073</v>
      </c>
    </row>
    <row r="532" spans="1:59" ht="15" customHeight="1">
      <c r="A532" s="36" t="s">
        <v>5970</v>
      </c>
      <c r="B532" s="36" t="s">
        <v>6014</v>
      </c>
      <c r="C532" s="36" t="s">
        <v>6214</v>
      </c>
      <c r="D532" s="37">
        <v>249</v>
      </c>
      <c r="E532" s="36">
        <v>1</v>
      </c>
      <c r="F532" s="36" t="s">
        <v>5971</v>
      </c>
      <c r="G532" s="36" t="s">
        <v>6013</v>
      </c>
      <c r="J532" s="36" t="s">
        <v>31</v>
      </c>
      <c r="AD532" s="36" t="s">
        <v>5867</v>
      </c>
      <c r="AI532" s="36" t="s">
        <v>6013</v>
      </c>
      <c r="AL532" s="36" t="s">
        <v>31</v>
      </c>
      <c r="AP532" s="86"/>
      <c r="AQ532" s="88"/>
      <c r="AR532" s="89"/>
      <c r="AS532" s="90"/>
      <c r="AV532" s="88"/>
      <c r="AW532" s="96"/>
      <c r="AX532" s="97"/>
      <c r="AY532" s="93">
        <v>3</v>
      </c>
      <c r="AZ532" s="79">
        <v>2</v>
      </c>
      <c r="BB532" s="94"/>
      <c r="BE532" s="36" t="s">
        <v>5867</v>
      </c>
      <c r="BG532" s="36" t="s">
        <v>6074</v>
      </c>
    </row>
    <row r="533" spans="1:59" ht="15" customHeight="1">
      <c r="A533" s="36" t="s">
        <v>5970</v>
      </c>
      <c r="B533" s="36" t="s">
        <v>6015</v>
      </c>
      <c r="C533" s="36" t="s">
        <v>6214</v>
      </c>
      <c r="D533" s="37">
        <v>250</v>
      </c>
      <c r="E533" s="36">
        <v>1</v>
      </c>
      <c r="F533" s="36" t="s">
        <v>5971</v>
      </c>
      <c r="G533" s="36" t="s">
        <v>6016</v>
      </c>
      <c r="J533" s="36" t="s">
        <v>31</v>
      </c>
      <c r="AD533" s="36" t="s">
        <v>5867</v>
      </c>
      <c r="AI533" s="36" t="s">
        <v>6016</v>
      </c>
      <c r="AL533" s="36" t="s">
        <v>31</v>
      </c>
      <c r="AP533" s="86"/>
      <c r="AQ533" s="88"/>
      <c r="AR533" s="89"/>
      <c r="AS533" s="90"/>
      <c r="AV533" s="88"/>
      <c r="AW533" s="96"/>
      <c r="AX533" s="97"/>
      <c r="AY533" s="93">
        <v>3</v>
      </c>
      <c r="AZ533" s="79" t="s">
        <v>5551</v>
      </c>
      <c r="BB533" s="94"/>
      <c r="BE533" s="36" t="s">
        <v>5867</v>
      </c>
      <c r="BG533" s="36" t="s">
        <v>6075</v>
      </c>
    </row>
    <row r="534" spans="1:59" ht="15" customHeight="1">
      <c r="A534" s="36" t="s">
        <v>5970</v>
      </c>
      <c r="B534" s="36" t="s">
        <v>6017</v>
      </c>
      <c r="C534" s="36" t="s">
        <v>6214</v>
      </c>
      <c r="D534" s="37">
        <v>251</v>
      </c>
      <c r="E534" s="36">
        <v>1</v>
      </c>
      <c r="F534" s="36" t="s">
        <v>5971</v>
      </c>
      <c r="G534" s="36" t="s">
        <v>6016</v>
      </c>
      <c r="J534" s="36" t="s">
        <v>31</v>
      </c>
      <c r="AD534" s="36" t="s">
        <v>5867</v>
      </c>
      <c r="AI534" s="36" t="s">
        <v>6016</v>
      </c>
      <c r="AL534" s="36" t="s">
        <v>31</v>
      </c>
      <c r="AP534" s="86"/>
      <c r="AQ534" s="88"/>
      <c r="AR534" s="89"/>
      <c r="AS534" s="90"/>
      <c r="AV534" s="88"/>
      <c r="AW534" s="96"/>
      <c r="AX534" s="97"/>
      <c r="AY534" s="93">
        <v>2</v>
      </c>
      <c r="AZ534" s="79" t="s">
        <v>5551</v>
      </c>
      <c r="BB534" s="94"/>
      <c r="BE534" s="36" t="s">
        <v>5867</v>
      </c>
      <c r="BG534" s="36" t="s">
        <v>6076</v>
      </c>
    </row>
    <row r="535" spans="1:59" ht="15" customHeight="1">
      <c r="A535" s="36" t="s">
        <v>5970</v>
      </c>
      <c r="B535" s="36" t="s">
        <v>6018</v>
      </c>
      <c r="C535" s="36" t="s">
        <v>6214</v>
      </c>
      <c r="D535" s="37">
        <v>252</v>
      </c>
      <c r="E535" s="36">
        <v>1</v>
      </c>
      <c r="F535" s="36" t="s">
        <v>5971</v>
      </c>
      <c r="G535" s="36" t="s">
        <v>6019</v>
      </c>
      <c r="J535" s="36" t="s">
        <v>31</v>
      </c>
      <c r="AD535" s="36" t="s">
        <v>5867</v>
      </c>
      <c r="AI535" s="36" t="s">
        <v>6019</v>
      </c>
      <c r="AL535" s="36" t="s">
        <v>31</v>
      </c>
      <c r="AP535" s="86"/>
      <c r="AQ535" s="88"/>
      <c r="AR535" s="89"/>
      <c r="AS535" s="90"/>
      <c r="AV535" s="88"/>
      <c r="AW535" s="96"/>
      <c r="AX535" s="97"/>
      <c r="AY535" s="93">
        <v>1</v>
      </c>
      <c r="AZ535" s="79">
        <v>2</v>
      </c>
      <c r="BB535" s="94"/>
      <c r="BE535" s="36" t="s">
        <v>5867</v>
      </c>
      <c r="BG535" s="36" t="s">
        <v>6077</v>
      </c>
    </row>
    <row r="536" spans="1:59" ht="15" customHeight="1">
      <c r="A536" s="36" t="s">
        <v>5970</v>
      </c>
      <c r="B536" s="36" t="s">
        <v>6020</v>
      </c>
      <c r="C536" s="36" t="s">
        <v>6214</v>
      </c>
      <c r="D536" s="37">
        <v>253</v>
      </c>
      <c r="E536" s="36">
        <v>1</v>
      </c>
      <c r="F536" s="36" t="s">
        <v>5971</v>
      </c>
      <c r="G536" s="36" t="s">
        <v>6019</v>
      </c>
      <c r="J536" s="36" t="s">
        <v>31</v>
      </c>
      <c r="AD536" s="36" t="s">
        <v>5867</v>
      </c>
      <c r="AI536" s="36" t="s">
        <v>6019</v>
      </c>
      <c r="AL536" s="36" t="s">
        <v>31</v>
      </c>
      <c r="AP536" s="86"/>
      <c r="AQ536" s="88"/>
      <c r="AR536" s="89"/>
      <c r="AS536" s="90"/>
      <c r="AV536" s="88"/>
      <c r="AW536" s="96"/>
      <c r="AX536" s="97"/>
      <c r="AY536" s="93">
        <v>2</v>
      </c>
      <c r="AZ536" s="79" t="s">
        <v>4925</v>
      </c>
      <c r="BB536" s="94"/>
      <c r="BE536" s="36" t="s">
        <v>5867</v>
      </c>
      <c r="BG536" s="36" t="s">
        <v>6078</v>
      </c>
    </row>
    <row r="537" spans="1:59" ht="15" customHeight="1">
      <c r="A537" s="36" t="s">
        <v>5970</v>
      </c>
      <c r="B537" s="36" t="s">
        <v>6021</v>
      </c>
      <c r="C537" s="36" t="s">
        <v>6214</v>
      </c>
      <c r="D537" s="37">
        <v>254</v>
      </c>
      <c r="E537" s="36">
        <v>1</v>
      </c>
      <c r="F537" s="36" t="s">
        <v>5971</v>
      </c>
      <c r="G537" s="36" t="s">
        <v>6022</v>
      </c>
      <c r="J537" s="36" t="s">
        <v>4111</v>
      </c>
      <c r="K537" s="36" t="s">
        <v>26</v>
      </c>
      <c r="N537" s="75">
        <v>0</v>
      </c>
      <c r="AD537" s="36" t="s">
        <v>4133</v>
      </c>
      <c r="AF537" s="36" t="s">
        <v>6079</v>
      </c>
      <c r="AP537" s="86"/>
      <c r="AQ537" s="88"/>
      <c r="AR537" s="89"/>
      <c r="AS537" s="90"/>
      <c r="AV537" s="88"/>
      <c r="AW537" s="96"/>
      <c r="AX537" s="97"/>
      <c r="AY537" s="93"/>
      <c r="BB537" s="94"/>
    </row>
    <row r="538" spans="1:59" ht="15" customHeight="1">
      <c r="A538" s="36" t="s">
        <v>5970</v>
      </c>
      <c r="B538" s="36" t="s">
        <v>6023</v>
      </c>
      <c r="C538" s="36" t="s">
        <v>6214</v>
      </c>
      <c r="D538" s="37">
        <v>255</v>
      </c>
      <c r="E538" s="36">
        <v>5</v>
      </c>
      <c r="F538" s="36" t="s">
        <v>5971</v>
      </c>
      <c r="G538" s="36" t="s">
        <v>6024</v>
      </c>
      <c r="J538" s="36" t="s">
        <v>29</v>
      </c>
      <c r="Q538" s="78">
        <v>6</v>
      </c>
      <c r="R538" s="79">
        <v>3</v>
      </c>
      <c r="T538" s="81">
        <v>1</v>
      </c>
      <c r="V538" s="82">
        <v>2</v>
      </c>
      <c r="W538" s="83">
        <v>2</v>
      </c>
      <c r="AA538" s="85">
        <v>1</v>
      </c>
      <c r="AD538" s="36" t="s">
        <v>5545</v>
      </c>
      <c r="AF538" s="36" t="s">
        <v>6080</v>
      </c>
      <c r="AP538" s="86"/>
      <c r="AQ538" s="88"/>
      <c r="AR538" s="89"/>
      <c r="AS538" s="90"/>
      <c r="AV538" s="88"/>
      <c r="AW538" s="96"/>
      <c r="AX538" s="97"/>
      <c r="AY538" s="93"/>
      <c r="BB538" s="94"/>
    </row>
    <row r="539" spans="1:59" ht="15" customHeight="1">
      <c r="A539" s="36" t="s">
        <v>5970</v>
      </c>
      <c r="B539" s="36" t="s">
        <v>6025</v>
      </c>
      <c r="C539" s="36" t="s">
        <v>6214</v>
      </c>
      <c r="D539" s="37">
        <v>256</v>
      </c>
      <c r="E539" s="36">
        <v>4</v>
      </c>
      <c r="F539" s="36" t="s">
        <v>5971</v>
      </c>
      <c r="G539" s="36" t="s">
        <v>6026</v>
      </c>
      <c r="J539" s="36" t="s">
        <v>28</v>
      </c>
      <c r="AF539" s="36" t="s">
        <v>6081</v>
      </c>
      <c r="AP539" s="86"/>
      <c r="AQ539" s="88"/>
      <c r="AR539" s="89"/>
      <c r="AS539" s="90"/>
      <c r="AV539" s="88"/>
      <c r="AW539" s="96"/>
      <c r="AX539" s="97"/>
      <c r="AY539" s="93"/>
      <c r="BB539" s="94"/>
    </row>
    <row r="540" spans="1:59" ht="15" customHeight="1">
      <c r="A540" s="36" t="s">
        <v>5970</v>
      </c>
      <c r="B540" s="36" t="s">
        <v>6027</v>
      </c>
      <c r="C540" s="36" t="s">
        <v>6214</v>
      </c>
      <c r="D540" s="37">
        <v>257</v>
      </c>
      <c r="E540" s="36">
        <v>3</v>
      </c>
      <c r="F540" s="36" t="s">
        <v>5971</v>
      </c>
      <c r="G540" s="36" t="s">
        <v>6028</v>
      </c>
      <c r="J540" s="36" t="s">
        <v>28</v>
      </c>
      <c r="AD540" s="36" t="s">
        <v>4333</v>
      </c>
      <c r="AF540" s="36" t="s">
        <v>6082</v>
      </c>
      <c r="AP540" s="86"/>
      <c r="AQ540" s="88"/>
      <c r="AR540" s="89"/>
      <c r="AS540" s="90"/>
      <c r="AV540" s="88"/>
      <c r="AW540" s="96"/>
      <c r="AX540" s="97"/>
      <c r="AY540" s="93"/>
      <c r="BB540" s="94"/>
    </row>
    <row r="541" spans="1:59" ht="15" customHeight="1">
      <c r="A541" s="36" t="s">
        <v>5970</v>
      </c>
      <c r="B541" s="36" t="s">
        <v>6029</v>
      </c>
      <c r="C541" s="36" t="s">
        <v>6214</v>
      </c>
      <c r="D541" s="37">
        <v>258</v>
      </c>
      <c r="E541" s="36">
        <v>2</v>
      </c>
      <c r="F541" s="36" t="s">
        <v>5971</v>
      </c>
      <c r="G541" s="36" t="s">
        <v>6030</v>
      </c>
      <c r="J541" s="36" t="s">
        <v>28</v>
      </c>
      <c r="AF541" s="36" t="s">
        <v>6083</v>
      </c>
      <c r="AP541" s="86"/>
      <c r="AQ541" s="88"/>
      <c r="AR541" s="89"/>
      <c r="AS541" s="90"/>
      <c r="AV541" s="88"/>
      <c r="AW541" s="96"/>
      <c r="AX541" s="97"/>
      <c r="AY541" s="93"/>
      <c r="BB541" s="94"/>
    </row>
    <row r="542" spans="1:59" ht="15" customHeight="1">
      <c r="A542" s="36" t="s">
        <v>5970</v>
      </c>
      <c r="B542" s="36" t="s">
        <v>6031</v>
      </c>
      <c r="C542" s="36" t="s">
        <v>6214</v>
      </c>
      <c r="D542" s="37">
        <v>259</v>
      </c>
      <c r="E542" s="36">
        <v>2</v>
      </c>
      <c r="F542" s="36" t="s">
        <v>5971</v>
      </c>
      <c r="G542" s="36" t="s">
        <v>6032</v>
      </c>
      <c r="J542" s="36" t="s">
        <v>28</v>
      </c>
      <c r="AD542" s="36" t="s">
        <v>4335</v>
      </c>
      <c r="AF542" s="36" t="s">
        <v>6084</v>
      </c>
      <c r="AP542" s="86"/>
      <c r="AQ542" s="88"/>
      <c r="AR542" s="89"/>
      <c r="AS542" s="90"/>
      <c r="AV542" s="88"/>
      <c r="AW542" s="96"/>
      <c r="AX542" s="97"/>
      <c r="AY542" s="93"/>
      <c r="BB542" s="94"/>
    </row>
    <row r="543" spans="1:59" ht="15" customHeight="1">
      <c r="A543" s="54" t="s">
        <v>6085</v>
      </c>
      <c r="B543" s="54" t="s">
        <v>6088</v>
      </c>
      <c r="C543" s="54" t="s">
        <v>6215</v>
      </c>
      <c r="D543" s="129">
        <v>260</v>
      </c>
      <c r="E543" s="54">
        <v>2</v>
      </c>
      <c r="F543" s="54"/>
      <c r="G543" s="54" t="s">
        <v>6089</v>
      </c>
      <c r="J543" s="36" t="s">
        <v>4166</v>
      </c>
      <c r="K543" s="36" t="s">
        <v>4052</v>
      </c>
      <c r="L543" s="36">
        <v>0</v>
      </c>
      <c r="S543" s="126">
        <v>1</v>
      </c>
      <c r="AB543" s="36" t="s">
        <v>4062</v>
      </c>
      <c r="AD543" s="36" t="s">
        <v>4167</v>
      </c>
      <c r="AF543" s="36" t="s">
        <v>6163</v>
      </c>
      <c r="AP543" s="86"/>
      <c r="AQ543" s="88"/>
      <c r="AR543" s="89"/>
      <c r="AS543" s="90"/>
      <c r="AV543" s="88"/>
      <c r="AW543" s="96"/>
      <c r="AX543" s="97"/>
      <c r="AY543" s="93"/>
      <c r="BB543" s="94"/>
    </row>
    <row r="544" spans="1:59" ht="15" customHeight="1">
      <c r="A544" s="36" t="s">
        <v>6085</v>
      </c>
      <c r="B544" s="36" t="s">
        <v>6090</v>
      </c>
      <c r="C544" s="36" t="s">
        <v>6215</v>
      </c>
      <c r="D544" s="37">
        <v>261</v>
      </c>
      <c r="E544" s="36">
        <v>2</v>
      </c>
      <c r="G544" s="36" t="s">
        <v>6091</v>
      </c>
      <c r="J544" s="36" t="s">
        <v>27</v>
      </c>
      <c r="K544" s="36" t="s">
        <v>4052</v>
      </c>
      <c r="L544" s="36">
        <v>4</v>
      </c>
      <c r="N544" s="75">
        <v>0</v>
      </c>
      <c r="O544" s="76">
        <v>2</v>
      </c>
      <c r="R544" s="79">
        <v>1</v>
      </c>
      <c r="AB544" s="36" t="s">
        <v>6164</v>
      </c>
      <c r="AD544" s="36" t="s">
        <v>5659</v>
      </c>
      <c r="AF544" s="130" t="s">
        <v>6216</v>
      </c>
      <c r="AP544" s="86"/>
      <c r="AQ544" s="88"/>
      <c r="AR544" s="89"/>
      <c r="AS544" s="90"/>
      <c r="AV544" s="88"/>
      <c r="AW544" s="96"/>
      <c r="AX544" s="97"/>
      <c r="AY544" s="93"/>
      <c r="BB544" s="94"/>
    </row>
    <row r="545" spans="1:59" ht="15" customHeight="1">
      <c r="A545" s="36" t="s">
        <v>6085</v>
      </c>
      <c r="B545" s="36" t="s">
        <v>6092</v>
      </c>
      <c r="C545" s="36" t="s">
        <v>6215</v>
      </c>
      <c r="D545" s="37">
        <v>262</v>
      </c>
      <c r="E545" s="36">
        <v>2</v>
      </c>
      <c r="G545" s="36" t="s">
        <v>5250</v>
      </c>
      <c r="H545" s="36" t="s">
        <v>6165</v>
      </c>
      <c r="J545" s="36" t="s">
        <v>4111</v>
      </c>
      <c r="K545" s="36" t="s">
        <v>4053</v>
      </c>
      <c r="L545" s="36">
        <v>4</v>
      </c>
      <c r="N545" s="75">
        <v>1</v>
      </c>
      <c r="O545" s="76">
        <v>2</v>
      </c>
      <c r="AB545" s="36" t="s">
        <v>4948</v>
      </c>
      <c r="AD545" s="36" t="s">
        <v>5252</v>
      </c>
      <c r="AF545" s="36" t="s">
        <v>6217</v>
      </c>
      <c r="AP545" s="86"/>
      <c r="AQ545" s="88"/>
      <c r="AR545" s="89"/>
      <c r="AS545" s="90"/>
      <c r="AV545" s="88"/>
      <c r="AW545" s="96"/>
      <c r="AX545" s="97"/>
      <c r="AY545" s="93"/>
      <c r="BB545" s="94"/>
    </row>
    <row r="546" spans="1:59" ht="15" customHeight="1">
      <c r="A546" s="36" t="s">
        <v>6085</v>
      </c>
      <c r="B546" s="36" t="s">
        <v>6093</v>
      </c>
      <c r="C546" s="36" t="s">
        <v>6215</v>
      </c>
      <c r="D546" s="37">
        <v>263</v>
      </c>
      <c r="E546" s="36">
        <v>2</v>
      </c>
      <c r="G546" s="36" t="s">
        <v>5250</v>
      </c>
      <c r="H546" s="36" t="s">
        <v>6166</v>
      </c>
      <c r="J546" s="36" t="s">
        <v>4111</v>
      </c>
      <c r="K546" s="36" t="s">
        <v>4053</v>
      </c>
      <c r="L546" s="36">
        <v>4</v>
      </c>
      <c r="N546" s="75">
        <v>1</v>
      </c>
      <c r="Q546" s="78">
        <v>2</v>
      </c>
      <c r="AB546" s="36" t="s">
        <v>4942</v>
      </c>
      <c r="AD546" s="36" t="s">
        <v>5252</v>
      </c>
      <c r="AF546" s="36" t="s">
        <v>6218</v>
      </c>
      <c r="AP546" s="86"/>
      <c r="AQ546" s="88"/>
      <c r="AR546" s="89"/>
      <c r="AS546" s="90"/>
      <c r="AV546" s="88"/>
      <c r="AW546" s="96"/>
      <c r="AX546" s="97"/>
      <c r="AY546" s="93"/>
      <c r="BB546" s="94"/>
    </row>
    <row r="547" spans="1:59" ht="15" customHeight="1">
      <c r="A547" s="36" t="s">
        <v>6085</v>
      </c>
      <c r="B547" s="36" t="s">
        <v>6094</v>
      </c>
      <c r="C547" s="36" t="s">
        <v>6215</v>
      </c>
      <c r="D547" s="37">
        <v>264</v>
      </c>
      <c r="E547" s="36">
        <v>2</v>
      </c>
      <c r="G547" s="36" t="s">
        <v>5250</v>
      </c>
      <c r="H547" s="36" t="s">
        <v>6167</v>
      </c>
      <c r="J547" s="36" t="s">
        <v>4111</v>
      </c>
      <c r="K547" s="36" t="s">
        <v>4053</v>
      </c>
      <c r="L547" s="36">
        <v>4</v>
      </c>
      <c r="N547" s="75">
        <v>1</v>
      </c>
      <c r="R547" s="79">
        <v>2</v>
      </c>
      <c r="AB547" s="36" t="s">
        <v>4949</v>
      </c>
      <c r="AD547" s="36" t="s">
        <v>5252</v>
      </c>
      <c r="AF547" s="36" t="s">
        <v>6219</v>
      </c>
      <c r="AP547" s="86"/>
      <c r="AQ547" s="88"/>
      <c r="AR547" s="89"/>
      <c r="AS547" s="90"/>
      <c r="AV547" s="88"/>
      <c r="AW547" s="96"/>
      <c r="AX547" s="97"/>
      <c r="AY547" s="93"/>
      <c r="BB547" s="94"/>
    </row>
    <row r="548" spans="1:59" ht="15" customHeight="1">
      <c r="A548" s="36" t="s">
        <v>6085</v>
      </c>
      <c r="B548" s="36" t="s">
        <v>6095</v>
      </c>
      <c r="C548" s="36" t="s">
        <v>6215</v>
      </c>
      <c r="D548" s="37">
        <v>265</v>
      </c>
      <c r="E548" s="36">
        <v>2</v>
      </c>
      <c r="G548" s="36" t="s">
        <v>6096</v>
      </c>
      <c r="H548" s="36" t="s">
        <v>6168</v>
      </c>
      <c r="I548" s="36" t="s">
        <v>4077</v>
      </c>
      <c r="J548" s="36" t="s">
        <v>4111</v>
      </c>
      <c r="K548" s="36" t="s">
        <v>4055</v>
      </c>
      <c r="L548" s="36">
        <v>0</v>
      </c>
      <c r="N548" s="75">
        <v>4</v>
      </c>
      <c r="P548" s="77">
        <v>1</v>
      </c>
      <c r="R548" s="79">
        <v>1</v>
      </c>
      <c r="T548" s="81">
        <v>3</v>
      </c>
      <c r="U548" s="76">
        <v>2</v>
      </c>
      <c r="AB548" s="36" t="s">
        <v>6169</v>
      </c>
      <c r="AD548" s="36" t="s">
        <v>4216</v>
      </c>
      <c r="AF548" s="36" t="s">
        <v>6170</v>
      </c>
      <c r="AP548" s="86"/>
      <c r="AQ548" s="88"/>
      <c r="AR548" s="89"/>
      <c r="AS548" s="90"/>
      <c r="AV548" s="88"/>
      <c r="AW548" s="96"/>
      <c r="AX548" s="97"/>
      <c r="AY548" s="93"/>
      <c r="BB548" s="94"/>
    </row>
    <row r="549" spans="1:59" ht="15" customHeight="1">
      <c r="A549" s="36" t="s">
        <v>6085</v>
      </c>
      <c r="B549" s="36" t="s">
        <v>6097</v>
      </c>
      <c r="C549" s="36" t="s">
        <v>6215</v>
      </c>
      <c r="D549" s="37">
        <v>266</v>
      </c>
      <c r="E549" s="36">
        <v>2</v>
      </c>
      <c r="G549" s="36" t="s">
        <v>6098</v>
      </c>
      <c r="J549" s="36" t="s">
        <v>27</v>
      </c>
      <c r="K549" s="36" t="s">
        <v>4055</v>
      </c>
      <c r="L549" s="36">
        <v>3</v>
      </c>
      <c r="N549" s="75">
        <v>0</v>
      </c>
      <c r="AD549" s="36" t="s">
        <v>5266</v>
      </c>
      <c r="AF549" s="36" t="s">
        <v>6220</v>
      </c>
      <c r="AP549" s="86"/>
      <c r="AQ549" s="88"/>
      <c r="AR549" s="89"/>
      <c r="AS549" s="90"/>
      <c r="AV549" s="88"/>
      <c r="AW549" s="96"/>
      <c r="AX549" s="97"/>
      <c r="AY549" s="93"/>
      <c r="BB549" s="94"/>
    </row>
    <row r="550" spans="1:59" ht="15" customHeight="1">
      <c r="A550" s="36" t="s">
        <v>6085</v>
      </c>
      <c r="B550" s="36" t="s">
        <v>6099</v>
      </c>
      <c r="C550" s="36" t="s">
        <v>6215</v>
      </c>
      <c r="D550" s="37">
        <v>267</v>
      </c>
      <c r="E550" s="36">
        <v>2</v>
      </c>
      <c r="G550" s="36" t="s">
        <v>6100</v>
      </c>
      <c r="J550" s="36" t="s">
        <v>27</v>
      </c>
      <c r="K550" s="36" t="s">
        <v>4054</v>
      </c>
      <c r="L550" s="36">
        <v>0</v>
      </c>
      <c r="N550" s="75">
        <v>0</v>
      </c>
      <c r="P550" s="77">
        <v>1</v>
      </c>
      <c r="R550" s="79">
        <v>1</v>
      </c>
      <c r="AB550" s="36" t="s">
        <v>6169</v>
      </c>
      <c r="AD550" s="36" t="s">
        <v>6171</v>
      </c>
      <c r="AF550" s="36" t="s">
        <v>6172</v>
      </c>
      <c r="AP550" s="86"/>
      <c r="AQ550" s="88"/>
      <c r="AR550" s="89"/>
      <c r="AS550" s="90"/>
      <c r="AV550" s="88"/>
      <c r="AW550" s="96"/>
      <c r="AX550" s="97"/>
      <c r="AY550" s="93"/>
      <c r="BB550" s="94"/>
    </row>
    <row r="551" spans="1:59" ht="15" customHeight="1">
      <c r="A551" s="36" t="s">
        <v>6085</v>
      </c>
      <c r="B551" s="36" t="s">
        <v>6101</v>
      </c>
      <c r="C551" s="36" t="s">
        <v>6215</v>
      </c>
      <c r="D551" s="37">
        <v>268</v>
      </c>
      <c r="E551" s="36">
        <v>2</v>
      </c>
      <c r="G551" s="36" t="s">
        <v>4532</v>
      </c>
      <c r="J551" s="36" t="s">
        <v>4166</v>
      </c>
      <c r="K551" s="36" t="s">
        <v>4054</v>
      </c>
      <c r="L551" s="36">
        <v>2</v>
      </c>
      <c r="O551" s="76">
        <v>2</v>
      </c>
      <c r="AB551" s="36" t="s">
        <v>4948</v>
      </c>
      <c r="AD551" s="36" t="s">
        <v>6044</v>
      </c>
      <c r="AF551" s="36" t="s">
        <v>6173</v>
      </c>
      <c r="AP551" s="86"/>
      <c r="AQ551" s="88"/>
      <c r="AR551" s="89"/>
      <c r="AS551" s="90"/>
      <c r="AV551" s="88"/>
      <c r="AW551" s="96"/>
      <c r="AX551" s="97"/>
      <c r="AY551" s="93"/>
      <c r="BB551" s="94"/>
    </row>
    <row r="552" spans="1:59" ht="15" customHeight="1">
      <c r="A552" s="36" t="s">
        <v>6085</v>
      </c>
      <c r="B552" s="36" t="s">
        <v>6102</v>
      </c>
      <c r="C552" s="36" t="s">
        <v>6215</v>
      </c>
      <c r="D552" s="37">
        <v>269</v>
      </c>
      <c r="E552" s="36">
        <v>2</v>
      </c>
      <c r="G552" s="36" t="s">
        <v>6103</v>
      </c>
      <c r="H552" s="36" t="s">
        <v>6174</v>
      </c>
      <c r="I552" s="36" t="s">
        <v>4077</v>
      </c>
      <c r="J552" s="36" t="s">
        <v>4111</v>
      </c>
      <c r="K552" s="36" t="s">
        <v>4054</v>
      </c>
      <c r="L552" s="36">
        <v>3</v>
      </c>
      <c r="N552" s="75">
        <v>3</v>
      </c>
      <c r="S552" s="126">
        <v>1</v>
      </c>
      <c r="AB552" s="36" t="s">
        <v>4062</v>
      </c>
      <c r="AC552" s="36" t="s">
        <v>4129</v>
      </c>
      <c r="AD552" s="36" t="s">
        <v>4130</v>
      </c>
      <c r="AF552" s="36" t="s">
        <v>6175</v>
      </c>
      <c r="AP552" s="86"/>
      <c r="AQ552" s="88"/>
      <c r="AR552" s="89"/>
      <c r="AS552" s="90"/>
      <c r="AV552" s="88"/>
      <c r="AW552" s="96"/>
      <c r="AX552" s="97"/>
      <c r="AY552" s="93"/>
      <c r="BB552" s="94"/>
    </row>
    <row r="553" spans="1:59" ht="15" customHeight="1">
      <c r="A553" s="36" t="s">
        <v>6085</v>
      </c>
      <c r="B553" s="36" t="s">
        <v>6104</v>
      </c>
      <c r="C553" s="36" t="s">
        <v>6215</v>
      </c>
      <c r="D553" s="37">
        <v>270</v>
      </c>
      <c r="E553" s="36">
        <v>2</v>
      </c>
      <c r="G553" s="36" t="s">
        <v>6105</v>
      </c>
      <c r="J553" s="36" t="s">
        <v>27</v>
      </c>
      <c r="K553" s="36" t="s">
        <v>4056</v>
      </c>
      <c r="L553" s="36">
        <v>0</v>
      </c>
      <c r="N553" s="75">
        <v>1</v>
      </c>
      <c r="O553" s="76">
        <v>1</v>
      </c>
      <c r="P553" s="77">
        <v>1</v>
      </c>
      <c r="AB553" s="36" t="s">
        <v>6176</v>
      </c>
      <c r="AD553" s="36" t="s">
        <v>4226</v>
      </c>
      <c r="AF553" s="36" t="s">
        <v>6177</v>
      </c>
      <c r="AP553" s="86"/>
      <c r="AQ553" s="88"/>
      <c r="AR553" s="89"/>
      <c r="AS553" s="90"/>
      <c r="AV553" s="88"/>
      <c r="AW553" s="96"/>
      <c r="AX553" s="97"/>
      <c r="AY553" s="93"/>
      <c r="BB553" s="94"/>
    </row>
    <row r="554" spans="1:59" ht="15" customHeight="1">
      <c r="A554" s="36" t="s">
        <v>6085</v>
      </c>
      <c r="B554" s="36" t="s">
        <v>6106</v>
      </c>
      <c r="C554" s="36" t="s">
        <v>6215</v>
      </c>
      <c r="D554" s="37">
        <v>271</v>
      </c>
      <c r="E554" s="36">
        <v>2</v>
      </c>
      <c r="G554" s="36" t="s">
        <v>6107</v>
      </c>
      <c r="J554" s="36" t="s">
        <v>4166</v>
      </c>
      <c r="K554" s="36" t="s">
        <v>4056</v>
      </c>
      <c r="L554" s="36">
        <v>2</v>
      </c>
      <c r="S554" s="126">
        <v>1</v>
      </c>
      <c r="AB554" s="36" t="s">
        <v>4062</v>
      </c>
      <c r="AD554" s="36" t="s">
        <v>6178</v>
      </c>
      <c r="AF554" s="36" t="s">
        <v>6221</v>
      </c>
      <c r="AP554" s="86"/>
      <c r="AQ554" s="88"/>
      <c r="AR554" s="89"/>
      <c r="AS554" s="90"/>
      <c r="AV554" s="88"/>
      <c r="AW554" s="96"/>
      <c r="AX554" s="97"/>
      <c r="AY554" s="93"/>
      <c r="BB554" s="94"/>
    </row>
    <row r="555" spans="1:59" ht="15" customHeight="1">
      <c r="A555" s="36" t="s">
        <v>6085</v>
      </c>
      <c r="B555" s="36" t="s">
        <v>6108</v>
      </c>
      <c r="C555" s="36" t="s">
        <v>6215</v>
      </c>
      <c r="D555" s="37">
        <v>272</v>
      </c>
      <c r="E555" s="36">
        <v>2</v>
      </c>
      <c r="G555" s="36" t="s">
        <v>6109</v>
      </c>
      <c r="J555" s="36" t="s">
        <v>4111</v>
      </c>
      <c r="K555" s="36" t="s">
        <v>26</v>
      </c>
      <c r="L555" s="36">
        <v>0</v>
      </c>
      <c r="N555" s="75">
        <v>1</v>
      </c>
      <c r="R555" s="79">
        <v>1</v>
      </c>
      <c r="T555" s="81">
        <v>1</v>
      </c>
      <c r="U555" s="76">
        <v>1</v>
      </c>
      <c r="AB555" s="36" t="s">
        <v>4061</v>
      </c>
      <c r="AC555" s="36" t="s">
        <v>4247</v>
      </c>
      <c r="AD555" s="36" t="s">
        <v>6179</v>
      </c>
      <c r="AF555" s="36" t="s">
        <v>6180</v>
      </c>
      <c r="AP555" s="86"/>
      <c r="AQ555" s="88"/>
      <c r="AR555" s="89"/>
      <c r="AS555" s="90"/>
      <c r="AV555" s="88"/>
      <c r="AW555" s="96"/>
      <c r="AX555" s="97"/>
      <c r="AY555" s="93"/>
      <c r="BB555" s="94"/>
    </row>
    <row r="556" spans="1:59" ht="15" customHeight="1">
      <c r="A556" s="36" t="s">
        <v>6085</v>
      </c>
      <c r="B556" s="36" t="s">
        <v>6110</v>
      </c>
      <c r="C556" s="36" t="s">
        <v>6215</v>
      </c>
      <c r="D556" s="37">
        <v>273</v>
      </c>
      <c r="E556" s="36">
        <v>2</v>
      </c>
      <c r="G556" s="36" t="s">
        <v>6111</v>
      </c>
      <c r="J556" s="36" t="s">
        <v>27</v>
      </c>
      <c r="K556" s="36" t="s">
        <v>26</v>
      </c>
      <c r="L556" s="36">
        <v>3</v>
      </c>
      <c r="N556" s="75">
        <v>3</v>
      </c>
      <c r="O556" s="76">
        <v>2</v>
      </c>
      <c r="AB556" s="36" t="s">
        <v>4948</v>
      </c>
      <c r="AD556" s="36" t="s">
        <v>5659</v>
      </c>
      <c r="AF556" s="36" t="s">
        <v>6222</v>
      </c>
      <c r="AP556" s="86"/>
      <c r="AQ556" s="88"/>
      <c r="AR556" s="89"/>
      <c r="AS556" s="90"/>
      <c r="AV556" s="88"/>
      <c r="AW556" s="96"/>
      <c r="AX556" s="97"/>
      <c r="AY556" s="93"/>
      <c r="BB556" s="94"/>
    </row>
    <row r="557" spans="1:59" ht="15" customHeight="1">
      <c r="A557" s="36" t="s">
        <v>6085</v>
      </c>
      <c r="B557" s="36" t="s">
        <v>6112</v>
      </c>
      <c r="C557" s="36" t="s">
        <v>6215</v>
      </c>
      <c r="D557" s="37">
        <v>274</v>
      </c>
      <c r="E557" s="36">
        <v>1</v>
      </c>
      <c r="F557" s="36" t="s">
        <v>6086</v>
      </c>
      <c r="G557" s="36" t="s">
        <v>6086</v>
      </c>
      <c r="H557" s="46" t="s">
        <v>4563</v>
      </c>
      <c r="J557" s="36" t="s">
        <v>4472</v>
      </c>
      <c r="AF557" s="36" t="s">
        <v>6231</v>
      </c>
      <c r="AI557" s="36" t="s">
        <v>6086</v>
      </c>
      <c r="AJ557" s="36" t="s">
        <v>4564</v>
      </c>
      <c r="AL557" s="36" t="s">
        <v>4472</v>
      </c>
      <c r="AP557" s="86"/>
      <c r="AQ557" s="88"/>
      <c r="AR557" s="89"/>
      <c r="AS557" s="90"/>
      <c r="AV557" s="88"/>
      <c r="AW557" s="96"/>
      <c r="AX557" s="97"/>
      <c r="AY557" s="93"/>
      <c r="BB557" s="94"/>
      <c r="BG557" s="36" t="s">
        <v>6230</v>
      </c>
    </row>
    <row r="558" spans="1:59" ht="15" customHeight="1">
      <c r="A558" s="36" t="s">
        <v>6085</v>
      </c>
      <c r="B558" s="36" t="s">
        <v>6113</v>
      </c>
      <c r="C558" s="36" t="s">
        <v>6215</v>
      </c>
      <c r="D558" s="37">
        <v>275</v>
      </c>
      <c r="E558" s="36">
        <v>1</v>
      </c>
      <c r="F558" s="36" t="s">
        <v>6086</v>
      </c>
      <c r="G558" s="36" t="s">
        <v>6114</v>
      </c>
      <c r="J558" s="36" t="s">
        <v>4473</v>
      </c>
      <c r="Z558" s="81">
        <v>12</v>
      </c>
      <c r="AI558" s="36" t="s">
        <v>6181</v>
      </c>
      <c r="AL558" s="36" t="s">
        <v>4473</v>
      </c>
      <c r="AP558" s="86"/>
      <c r="AQ558" s="88"/>
      <c r="AR558" s="89"/>
      <c r="AS558" s="90"/>
      <c r="AV558" s="88"/>
      <c r="AW558" s="96"/>
      <c r="AX558" s="97"/>
      <c r="AY558" s="93"/>
      <c r="BB558" s="94"/>
      <c r="BG558" s="36" t="s">
        <v>6182</v>
      </c>
    </row>
    <row r="559" spans="1:59" ht="15" customHeight="1">
      <c r="A559" s="36" t="s">
        <v>6085</v>
      </c>
      <c r="B559" s="36" t="s">
        <v>6115</v>
      </c>
      <c r="C559" s="36" t="s">
        <v>6215</v>
      </c>
      <c r="D559" s="37">
        <v>276</v>
      </c>
      <c r="E559" s="36">
        <v>1</v>
      </c>
      <c r="F559" s="36" t="s">
        <v>6086</v>
      </c>
      <c r="G559" s="36" t="s">
        <v>6116</v>
      </c>
      <c r="J559" s="36" t="s">
        <v>4473</v>
      </c>
      <c r="Z559" s="81">
        <v>10</v>
      </c>
      <c r="AI559" s="36" t="s">
        <v>6183</v>
      </c>
      <c r="AL559" s="36" t="s">
        <v>4473</v>
      </c>
      <c r="AP559" s="86"/>
      <c r="AQ559" s="88"/>
      <c r="AR559" s="89"/>
      <c r="AS559" s="90"/>
      <c r="AV559" s="88"/>
      <c r="AW559" s="96"/>
      <c r="AX559" s="97"/>
      <c r="AY559" s="93"/>
      <c r="BB559" s="94"/>
      <c r="BG559" s="36" t="s">
        <v>6066</v>
      </c>
    </row>
    <row r="560" spans="1:59" ht="15" customHeight="1">
      <c r="A560" s="36" t="s">
        <v>6085</v>
      </c>
      <c r="B560" s="36" t="s">
        <v>6117</v>
      </c>
      <c r="C560" s="36" t="s">
        <v>6215</v>
      </c>
      <c r="D560" s="37">
        <v>277</v>
      </c>
      <c r="E560" s="36">
        <v>1</v>
      </c>
      <c r="F560" s="36" t="s">
        <v>6086</v>
      </c>
      <c r="G560" s="36" t="s">
        <v>6118</v>
      </c>
      <c r="J560" s="36" t="s">
        <v>4475</v>
      </c>
      <c r="Y560" s="79" t="s">
        <v>5551</v>
      </c>
      <c r="AF560" s="36" t="s">
        <v>6184</v>
      </c>
      <c r="AI560" s="36" t="s">
        <v>6185</v>
      </c>
      <c r="AL560" s="36" t="s">
        <v>4475</v>
      </c>
      <c r="AP560" s="86"/>
      <c r="AQ560" s="88"/>
      <c r="AR560" s="89"/>
      <c r="AS560" s="90"/>
      <c r="AV560" s="88"/>
      <c r="AW560" s="96"/>
      <c r="AX560" s="97"/>
      <c r="AY560" s="93"/>
      <c r="BB560" s="94"/>
      <c r="BG560" s="36" t="s">
        <v>6223</v>
      </c>
    </row>
    <row r="561" spans="1:59" ht="15" customHeight="1">
      <c r="A561" s="36" t="s">
        <v>6085</v>
      </c>
      <c r="B561" s="36" t="s">
        <v>6119</v>
      </c>
      <c r="C561" s="36" t="s">
        <v>6215</v>
      </c>
      <c r="D561" s="37">
        <v>278</v>
      </c>
      <c r="E561" s="36">
        <v>1</v>
      </c>
      <c r="F561" s="36" t="s">
        <v>6086</v>
      </c>
      <c r="G561" s="36" t="s">
        <v>6120</v>
      </c>
      <c r="J561" s="36" t="s">
        <v>4475</v>
      </c>
      <c r="Y561" s="79" t="s">
        <v>38</v>
      </c>
      <c r="AF561" s="36" t="s">
        <v>6224</v>
      </c>
      <c r="AI561" s="36" t="s">
        <v>6186</v>
      </c>
      <c r="AL561" s="36" t="s">
        <v>4475</v>
      </c>
      <c r="AP561" s="86"/>
      <c r="AQ561" s="88"/>
      <c r="AR561" s="89"/>
      <c r="AS561" s="90"/>
      <c r="AV561" s="88"/>
      <c r="AW561" s="96"/>
      <c r="AX561" s="97"/>
      <c r="AY561" s="93"/>
      <c r="BB561" s="94"/>
      <c r="BG561" s="36" t="s">
        <v>6187</v>
      </c>
    </row>
    <row r="562" spans="1:59" ht="15" customHeight="1">
      <c r="A562" s="36" t="s">
        <v>6085</v>
      </c>
      <c r="B562" s="36" t="s">
        <v>6121</v>
      </c>
      <c r="C562" s="36" t="s">
        <v>6215</v>
      </c>
      <c r="D562" s="37">
        <v>279</v>
      </c>
      <c r="E562" s="36">
        <v>1</v>
      </c>
      <c r="F562" s="36" t="s">
        <v>6086</v>
      </c>
      <c r="G562" s="36" t="s">
        <v>6122</v>
      </c>
      <c r="J562" s="36" t="s">
        <v>4475</v>
      </c>
      <c r="Y562" s="79" t="s">
        <v>38</v>
      </c>
      <c r="AF562" s="36" t="s">
        <v>6224</v>
      </c>
      <c r="AI562" s="36" t="s">
        <v>6188</v>
      </c>
      <c r="AL562" s="36" t="s">
        <v>4475</v>
      </c>
      <c r="AP562" s="86"/>
      <c r="AQ562" s="88"/>
      <c r="AR562" s="89"/>
      <c r="AS562" s="90"/>
      <c r="AV562" s="88"/>
      <c r="AW562" s="96"/>
      <c r="AX562" s="97"/>
      <c r="AY562" s="93"/>
      <c r="BB562" s="94"/>
      <c r="BG562" s="36" t="s">
        <v>6189</v>
      </c>
    </row>
    <row r="563" spans="1:59" ht="15" customHeight="1">
      <c r="A563" s="36" t="s">
        <v>6085</v>
      </c>
      <c r="B563" s="36" t="s">
        <v>6123</v>
      </c>
      <c r="C563" s="36" t="s">
        <v>6215</v>
      </c>
      <c r="D563" s="37">
        <v>280</v>
      </c>
      <c r="E563" s="36">
        <v>1</v>
      </c>
      <c r="F563" s="36" t="s">
        <v>6086</v>
      </c>
      <c r="G563" s="36" t="s">
        <v>6124</v>
      </c>
      <c r="J563" s="36" t="s">
        <v>4475</v>
      </c>
      <c r="Y563" s="79" t="s">
        <v>38</v>
      </c>
      <c r="AF563" s="36" t="s">
        <v>6224</v>
      </c>
      <c r="AI563" s="36" t="s">
        <v>6190</v>
      </c>
      <c r="AL563" s="36" t="s">
        <v>4475</v>
      </c>
      <c r="AP563" s="86"/>
      <c r="AQ563" s="88"/>
      <c r="AR563" s="89"/>
      <c r="AS563" s="90"/>
      <c r="AV563" s="88"/>
      <c r="AW563" s="96"/>
      <c r="AX563" s="97"/>
      <c r="AY563" s="93"/>
      <c r="BB563" s="94"/>
      <c r="BG563" s="36" t="s">
        <v>6191</v>
      </c>
    </row>
    <row r="564" spans="1:59" ht="15" customHeight="1">
      <c r="A564" s="36" t="s">
        <v>6085</v>
      </c>
      <c r="B564" s="36" t="s">
        <v>6125</v>
      </c>
      <c r="C564" s="36" t="s">
        <v>6215</v>
      </c>
      <c r="D564" s="37">
        <v>281</v>
      </c>
      <c r="E564" s="36">
        <v>1</v>
      </c>
      <c r="F564" s="36" t="s">
        <v>6086</v>
      </c>
      <c r="G564" s="36" t="s">
        <v>6126</v>
      </c>
      <c r="J564" s="36" t="s">
        <v>4475</v>
      </c>
      <c r="Y564" s="79" t="s">
        <v>5551</v>
      </c>
      <c r="AF564" s="36" t="s">
        <v>6192</v>
      </c>
      <c r="AI564" s="36" t="s">
        <v>6193</v>
      </c>
      <c r="AL564" s="36" t="s">
        <v>4475</v>
      </c>
      <c r="AP564" s="86"/>
      <c r="AQ564" s="88"/>
      <c r="AR564" s="89"/>
      <c r="AS564" s="90"/>
      <c r="AV564" s="88"/>
      <c r="AW564" s="96"/>
      <c r="AX564" s="97"/>
      <c r="AY564" s="93"/>
      <c r="BB564" s="94"/>
      <c r="BG564" s="36" t="s">
        <v>5740</v>
      </c>
    </row>
    <row r="565" spans="1:59" ht="15" customHeight="1">
      <c r="A565" s="36" t="s">
        <v>6085</v>
      </c>
      <c r="B565" s="36" t="s">
        <v>6127</v>
      </c>
      <c r="C565" s="36" t="s">
        <v>6215</v>
      </c>
      <c r="D565" s="37">
        <v>282</v>
      </c>
      <c r="E565" s="36">
        <v>1</v>
      </c>
      <c r="F565" s="36" t="s">
        <v>6086</v>
      </c>
      <c r="G565" s="36" t="s">
        <v>6128</v>
      </c>
      <c r="J565" s="36" t="s">
        <v>31</v>
      </c>
      <c r="AD565" s="36" t="s">
        <v>6194</v>
      </c>
      <c r="AI565" s="36" t="s">
        <v>6128</v>
      </c>
      <c r="AL565" s="36" t="s">
        <v>31</v>
      </c>
      <c r="AP565" s="86"/>
      <c r="AQ565" s="88"/>
      <c r="AR565" s="89"/>
      <c r="AS565" s="90"/>
      <c r="AV565" s="88"/>
      <c r="AW565" s="96"/>
      <c r="AX565" s="97"/>
      <c r="AY565" s="93">
        <v>3</v>
      </c>
      <c r="AZ565" s="79">
        <v>0</v>
      </c>
      <c r="BB565" s="94"/>
      <c r="BE565" s="36" t="s">
        <v>6194</v>
      </c>
      <c r="BG565" s="36" t="s">
        <v>6225</v>
      </c>
    </row>
    <row r="566" spans="1:59" ht="15" customHeight="1">
      <c r="A566" s="36" t="s">
        <v>6085</v>
      </c>
      <c r="B566" s="36" t="s">
        <v>6129</v>
      </c>
      <c r="C566" s="36" t="s">
        <v>6215</v>
      </c>
      <c r="D566" s="37">
        <v>283</v>
      </c>
      <c r="E566" s="36">
        <v>1</v>
      </c>
      <c r="F566" s="36" t="s">
        <v>6086</v>
      </c>
      <c r="G566" s="36" t="s">
        <v>6130</v>
      </c>
      <c r="J566" s="36" t="s">
        <v>31</v>
      </c>
      <c r="AD566" s="36" t="s">
        <v>6194</v>
      </c>
      <c r="AF566" s="36" t="s">
        <v>6195</v>
      </c>
      <c r="AI566" s="36" t="s">
        <v>6130</v>
      </c>
      <c r="AL566" s="36" t="s">
        <v>31</v>
      </c>
      <c r="AP566" s="86"/>
      <c r="AQ566" s="88"/>
      <c r="AR566" s="89"/>
      <c r="AS566" s="90"/>
      <c r="AV566" s="88"/>
      <c r="AW566" s="96"/>
      <c r="AX566" s="97"/>
      <c r="AY566" s="93">
        <v>3</v>
      </c>
      <c r="AZ566" s="79">
        <v>0</v>
      </c>
      <c r="BB566" s="94"/>
      <c r="BE566" s="36" t="s">
        <v>6194</v>
      </c>
      <c r="BG566" s="36" t="s">
        <v>6226</v>
      </c>
    </row>
    <row r="567" spans="1:59" ht="15" customHeight="1">
      <c r="A567" s="36" t="s">
        <v>6085</v>
      </c>
      <c r="B567" s="36" t="s">
        <v>6131</v>
      </c>
      <c r="C567" s="36" t="s">
        <v>6215</v>
      </c>
      <c r="D567" s="37">
        <v>284</v>
      </c>
      <c r="E567" s="36">
        <v>1</v>
      </c>
      <c r="F567" s="36" t="s">
        <v>6086</v>
      </c>
      <c r="G567" s="36" t="s">
        <v>6132</v>
      </c>
      <c r="J567" s="36" t="s">
        <v>31</v>
      </c>
      <c r="AD567" s="36" t="s">
        <v>6194</v>
      </c>
      <c r="AF567" s="36" t="s">
        <v>6196</v>
      </c>
      <c r="AI567" s="36" t="s">
        <v>6132</v>
      </c>
      <c r="AL567" s="36" t="s">
        <v>31</v>
      </c>
      <c r="AP567" s="86"/>
      <c r="AQ567" s="88"/>
      <c r="AR567" s="89"/>
      <c r="AS567" s="90"/>
      <c r="AV567" s="88"/>
      <c r="AW567" s="96"/>
      <c r="AX567" s="97"/>
      <c r="AY567" s="93">
        <v>4</v>
      </c>
      <c r="AZ567" s="79" t="s">
        <v>5551</v>
      </c>
      <c r="BB567" s="94">
        <v>2</v>
      </c>
      <c r="BE567" s="36" t="s">
        <v>6194</v>
      </c>
      <c r="BG567" s="36" t="s">
        <v>6197</v>
      </c>
    </row>
    <row r="568" spans="1:59" ht="15" customHeight="1">
      <c r="A568" s="36" t="s">
        <v>6085</v>
      </c>
      <c r="B568" s="36" t="s">
        <v>6133</v>
      </c>
      <c r="C568" s="36" t="s">
        <v>6215</v>
      </c>
      <c r="D568" s="37">
        <v>285</v>
      </c>
      <c r="E568" s="36">
        <v>1</v>
      </c>
      <c r="F568" s="36" t="s">
        <v>6086</v>
      </c>
      <c r="G568" s="36" t="s">
        <v>6161</v>
      </c>
      <c r="J568" s="36" t="s">
        <v>31</v>
      </c>
      <c r="AD568" s="36" t="s">
        <v>6198</v>
      </c>
      <c r="AI568" s="36" t="s">
        <v>6134</v>
      </c>
      <c r="AL568" s="36" t="s">
        <v>31</v>
      </c>
      <c r="AP568" s="86"/>
      <c r="AQ568" s="88"/>
      <c r="AR568" s="89"/>
      <c r="AS568" s="90"/>
      <c r="AV568" s="88"/>
      <c r="AW568" s="96"/>
      <c r="AX568" s="97"/>
      <c r="AY568" s="93">
        <v>2</v>
      </c>
      <c r="AZ568" s="79" t="s">
        <v>4925</v>
      </c>
      <c r="BB568" s="94"/>
      <c r="BE568" s="36" t="s">
        <v>6198</v>
      </c>
      <c r="BG568" s="36" t="s">
        <v>6199</v>
      </c>
    </row>
    <row r="569" spans="1:59" ht="15" customHeight="1">
      <c r="A569" s="36" t="s">
        <v>6085</v>
      </c>
      <c r="B569" s="36" t="s">
        <v>6135</v>
      </c>
      <c r="C569" s="36" t="s">
        <v>6215</v>
      </c>
      <c r="D569" s="37">
        <v>286</v>
      </c>
      <c r="E569" s="36">
        <v>1</v>
      </c>
      <c r="F569" s="36" t="s">
        <v>6086</v>
      </c>
      <c r="G569" s="36" t="s">
        <v>6161</v>
      </c>
      <c r="J569" s="36" t="s">
        <v>31</v>
      </c>
      <c r="AD569" s="36" t="s">
        <v>6198</v>
      </c>
      <c r="AI569" s="36" t="s">
        <v>6136</v>
      </c>
      <c r="AL569" s="36" t="s">
        <v>31</v>
      </c>
      <c r="AP569" s="86"/>
      <c r="AQ569" s="88"/>
      <c r="AR569" s="89"/>
      <c r="AS569" s="90"/>
      <c r="AV569" s="88"/>
      <c r="AW569" s="96"/>
      <c r="AX569" s="97"/>
      <c r="AY569" s="93">
        <v>4</v>
      </c>
      <c r="AZ569" s="79" t="s">
        <v>4925</v>
      </c>
      <c r="BB569" s="94"/>
      <c r="BE569" s="36" t="s">
        <v>6198</v>
      </c>
      <c r="BG569" s="36" t="s">
        <v>6200</v>
      </c>
    </row>
    <row r="570" spans="1:59" ht="15" customHeight="1">
      <c r="A570" s="36" t="s">
        <v>6085</v>
      </c>
      <c r="B570" s="36" t="s">
        <v>6137</v>
      </c>
      <c r="C570" s="36" t="s">
        <v>6215</v>
      </c>
      <c r="D570" s="37">
        <v>287</v>
      </c>
      <c r="E570" s="36">
        <v>1</v>
      </c>
      <c r="F570" s="36" t="s">
        <v>6086</v>
      </c>
      <c r="G570" s="36" t="s">
        <v>6161</v>
      </c>
      <c r="J570" s="36" t="s">
        <v>31</v>
      </c>
      <c r="AD570" s="36" t="s">
        <v>6198</v>
      </c>
      <c r="AI570" s="36" t="s">
        <v>6138</v>
      </c>
      <c r="AL570" s="36" t="s">
        <v>31</v>
      </c>
      <c r="AP570" s="86"/>
      <c r="AQ570" s="88"/>
      <c r="AR570" s="89"/>
      <c r="AS570" s="90"/>
      <c r="AV570" s="88"/>
      <c r="AW570" s="96"/>
      <c r="AX570" s="97"/>
      <c r="AY570" s="93">
        <v>3</v>
      </c>
      <c r="AZ570" s="79">
        <v>0</v>
      </c>
      <c r="BB570" s="94"/>
      <c r="BE570" s="36" t="s">
        <v>6198</v>
      </c>
      <c r="BG570" s="36" t="s">
        <v>6227</v>
      </c>
    </row>
    <row r="571" spans="1:59" ht="15" customHeight="1">
      <c r="A571" s="36" t="s">
        <v>6085</v>
      </c>
      <c r="B571" s="36" t="s">
        <v>6139</v>
      </c>
      <c r="C571" s="36" t="s">
        <v>6215</v>
      </c>
      <c r="D571" s="37">
        <v>288</v>
      </c>
      <c r="E571" s="36">
        <v>1</v>
      </c>
      <c r="F571" s="36" t="s">
        <v>6086</v>
      </c>
      <c r="G571" s="36" t="s">
        <v>6161</v>
      </c>
      <c r="J571" s="36" t="s">
        <v>31</v>
      </c>
      <c r="AD571" s="36" t="s">
        <v>6198</v>
      </c>
      <c r="AI571" s="36" t="s">
        <v>6140</v>
      </c>
      <c r="AL571" s="36" t="s">
        <v>31</v>
      </c>
      <c r="AP571" s="86"/>
      <c r="AQ571" s="88"/>
      <c r="AR571" s="89"/>
      <c r="AS571" s="90"/>
      <c r="AV571" s="88"/>
      <c r="AW571" s="96"/>
      <c r="AX571" s="97"/>
      <c r="AY571" s="93">
        <v>3</v>
      </c>
      <c r="AZ571" s="79" t="s">
        <v>4925</v>
      </c>
      <c r="BB571" s="94"/>
      <c r="BE571" s="36" t="s">
        <v>6198</v>
      </c>
      <c r="BG571" s="36" t="s">
        <v>6201</v>
      </c>
    </row>
    <row r="572" spans="1:59" ht="15" customHeight="1">
      <c r="A572" s="36" t="s">
        <v>6085</v>
      </c>
      <c r="B572" s="36" t="s">
        <v>6141</v>
      </c>
      <c r="C572" s="36" t="s">
        <v>6215</v>
      </c>
      <c r="D572" s="37">
        <v>289</v>
      </c>
      <c r="E572" s="36">
        <v>1</v>
      </c>
      <c r="F572" s="36" t="s">
        <v>6086</v>
      </c>
      <c r="G572" s="36" t="s">
        <v>6162</v>
      </c>
      <c r="J572" s="36" t="s">
        <v>31</v>
      </c>
      <c r="AD572" s="36" t="s">
        <v>6202</v>
      </c>
      <c r="AI572" s="36" t="s">
        <v>6142</v>
      </c>
      <c r="AL572" s="36" t="s">
        <v>31</v>
      </c>
      <c r="AP572" s="86"/>
      <c r="AQ572" s="88"/>
      <c r="AR572" s="89"/>
      <c r="AS572" s="90"/>
      <c r="AV572" s="88"/>
      <c r="AW572" s="96"/>
      <c r="AX572" s="97"/>
      <c r="AY572" s="93">
        <v>3</v>
      </c>
      <c r="AZ572" s="79" t="s">
        <v>4925</v>
      </c>
      <c r="BB572" s="94"/>
      <c r="BE572" s="36" t="s">
        <v>6202</v>
      </c>
      <c r="BG572" s="36" t="s">
        <v>6203</v>
      </c>
    </row>
    <row r="573" spans="1:59" ht="15" customHeight="1">
      <c r="A573" s="36" t="s">
        <v>6085</v>
      </c>
      <c r="B573" s="36" t="s">
        <v>6143</v>
      </c>
      <c r="C573" s="36" t="s">
        <v>6215</v>
      </c>
      <c r="D573" s="37">
        <v>290</v>
      </c>
      <c r="E573" s="36">
        <v>1</v>
      </c>
      <c r="F573" s="36" t="s">
        <v>6086</v>
      </c>
      <c r="G573" s="36" t="s">
        <v>6162</v>
      </c>
      <c r="J573" s="36" t="s">
        <v>31</v>
      </c>
      <c r="AD573" s="36" t="s">
        <v>6202</v>
      </c>
      <c r="AI573" s="36" t="s">
        <v>6144</v>
      </c>
      <c r="AL573" s="36" t="s">
        <v>31</v>
      </c>
      <c r="AP573" s="86"/>
      <c r="AQ573" s="88"/>
      <c r="AR573" s="89"/>
      <c r="AS573" s="90"/>
      <c r="AV573" s="88"/>
      <c r="AW573" s="96"/>
      <c r="AX573" s="97"/>
      <c r="AY573" s="93">
        <v>3</v>
      </c>
      <c r="AZ573" s="79" t="s">
        <v>4925</v>
      </c>
      <c r="BB573" s="94"/>
      <c r="BE573" s="36" t="s">
        <v>6202</v>
      </c>
      <c r="BG573" s="36" t="s">
        <v>6204</v>
      </c>
    </row>
    <row r="574" spans="1:59" ht="15" customHeight="1">
      <c r="A574" s="36" t="s">
        <v>6085</v>
      </c>
      <c r="B574" s="36" t="s">
        <v>6145</v>
      </c>
      <c r="C574" s="36" t="s">
        <v>6215</v>
      </c>
      <c r="D574" s="37">
        <v>291</v>
      </c>
      <c r="E574" s="36">
        <v>1</v>
      </c>
      <c r="F574" s="36" t="s">
        <v>6086</v>
      </c>
      <c r="G574" s="36" t="s">
        <v>6162</v>
      </c>
      <c r="J574" s="36" t="s">
        <v>31</v>
      </c>
      <c r="AD574" s="36" t="s">
        <v>6202</v>
      </c>
      <c r="AI574" s="36" t="s">
        <v>6146</v>
      </c>
      <c r="AL574" s="36" t="s">
        <v>31</v>
      </c>
      <c r="AP574" s="86"/>
      <c r="AQ574" s="88"/>
      <c r="AR574" s="89"/>
      <c r="AS574" s="90"/>
      <c r="AV574" s="88"/>
      <c r="AW574" s="96"/>
      <c r="AX574" s="97"/>
      <c r="AY574" s="93">
        <v>2</v>
      </c>
      <c r="AZ574" s="79" t="s">
        <v>4925</v>
      </c>
      <c r="BB574" s="94"/>
      <c r="BE574" s="36" t="s">
        <v>6202</v>
      </c>
      <c r="BG574" s="36" t="s">
        <v>6205</v>
      </c>
    </row>
    <row r="575" spans="1:59" ht="15" customHeight="1">
      <c r="A575" s="36" t="s">
        <v>6085</v>
      </c>
      <c r="B575" s="36" t="s">
        <v>6147</v>
      </c>
      <c r="C575" s="36" t="s">
        <v>6215</v>
      </c>
      <c r="D575" s="37">
        <v>292</v>
      </c>
      <c r="E575" s="36">
        <v>1</v>
      </c>
      <c r="F575" s="36" t="s">
        <v>6086</v>
      </c>
      <c r="G575" s="36" t="s">
        <v>6162</v>
      </c>
      <c r="J575" s="36" t="s">
        <v>31</v>
      </c>
      <c r="AD575" s="36" t="s">
        <v>6202</v>
      </c>
      <c r="AI575" s="36" t="s">
        <v>6148</v>
      </c>
      <c r="AL575" s="36" t="s">
        <v>31</v>
      </c>
      <c r="AP575" s="86"/>
      <c r="AQ575" s="88"/>
      <c r="AR575" s="89"/>
      <c r="AS575" s="90"/>
      <c r="AV575" s="88"/>
      <c r="AW575" s="96"/>
      <c r="AX575" s="97"/>
      <c r="AY575" s="93">
        <v>2</v>
      </c>
      <c r="AZ575" s="79" t="s">
        <v>4925</v>
      </c>
      <c r="BB575" s="94"/>
      <c r="BE575" s="36" t="s">
        <v>6202</v>
      </c>
      <c r="BG575" s="36" t="s">
        <v>6206</v>
      </c>
    </row>
    <row r="576" spans="1:59" ht="15" customHeight="1">
      <c r="A576" s="36" t="s">
        <v>6085</v>
      </c>
      <c r="B576" s="36" t="s">
        <v>6149</v>
      </c>
      <c r="C576" s="36" t="s">
        <v>6215</v>
      </c>
      <c r="D576" s="37">
        <v>293</v>
      </c>
      <c r="E576" s="36">
        <v>1</v>
      </c>
      <c r="F576" s="36" t="s">
        <v>6086</v>
      </c>
      <c r="G576" s="36" t="s">
        <v>6150</v>
      </c>
      <c r="H576" s="36" t="s">
        <v>6207</v>
      </c>
      <c r="I576" s="36" t="s">
        <v>4077</v>
      </c>
      <c r="J576" s="36" t="s">
        <v>29</v>
      </c>
      <c r="Q576" s="78">
        <v>5</v>
      </c>
      <c r="R576" s="79">
        <v>5</v>
      </c>
      <c r="T576" s="81" t="s">
        <v>4966</v>
      </c>
      <c r="V576" s="82">
        <v>1</v>
      </c>
      <c r="W576" s="83">
        <v>1</v>
      </c>
      <c r="AA576" s="85">
        <v>1</v>
      </c>
      <c r="AD576" s="36" t="s">
        <v>5019</v>
      </c>
      <c r="AF576" s="36" t="s">
        <v>6208</v>
      </c>
      <c r="AP576" s="86"/>
      <c r="AQ576" s="88"/>
      <c r="AR576" s="89"/>
      <c r="AS576" s="90"/>
      <c r="AV576" s="88"/>
      <c r="AW576" s="96"/>
      <c r="AX576" s="97"/>
      <c r="AY576" s="93"/>
      <c r="BB576" s="94"/>
    </row>
    <row r="577" spans="1:54" ht="15" customHeight="1">
      <c r="A577" s="36" t="s">
        <v>6085</v>
      </c>
      <c r="B577" s="36" t="s">
        <v>6151</v>
      </c>
      <c r="C577" s="36" t="s">
        <v>6215</v>
      </c>
      <c r="D577" s="37">
        <v>294</v>
      </c>
      <c r="E577" s="36">
        <v>2</v>
      </c>
      <c r="F577" s="36" t="s">
        <v>6086</v>
      </c>
      <c r="G577" s="36" t="s">
        <v>6152</v>
      </c>
      <c r="J577" s="36" t="s">
        <v>29</v>
      </c>
      <c r="Q577" s="78">
        <v>3</v>
      </c>
      <c r="R577" s="79">
        <v>3</v>
      </c>
      <c r="T577" s="81">
        <v>3</v>
      </c>
      <c r="V577" s="82">
        <v>1</v>
      </c>
      <c r="W577" s="83">
        <v>1</v>
      </c>
      <c r="AD577" s="36" t="s">
        <v>5484</v>
      </c>
      <c r="AF577" s="36" t="s">
        <v>6228</v>
      </c>
      <c r="AP577" s="86"/>
      <c r="AQ577" s="88"/>
      <c r="AR577" s="89"/>
      <c r="AS577" s="90"/>
      <c r="AV577" s="88"/>
      <c r="AW577" s="96"/>
      <c r="AX577" s="97"/>
      <c r="AY577" s="93"/>
      <c r="BB577" s="94"/>
    </row>
    <row r="578" spans="1:54" ht="15" customHeight="1">
      <c r="A578" s="36" t="s">
        <v>6085</v>
      </c>
      <c r="B578" s="36" t="s">
        <v>6153</v>
      </c>
      <c r="C578" s="36" t="s">
        <v>6215</v>
      </c>
      <c r="D578" s="37">
        <v>295</v>
      </c>
      <c r="E578" s="36">
        <v>1</v>
      </c>
      <c r="F578" s="36" t="s">
        <v>6086</v>
      </c>
      <c r="G578" s="36" t="s">
        <v>6154</v>
      </c>
      <c r="J578" s="36" t="s">
        <v>29</v>
      </c>
      <c r="Q578" s="78">
        <v>3</v>
      </c>
      <c r="R578" s="79">
        <v>4</v>
      </c>
      <c r="T578" s="81">
        <v>6</v>
      </c>
      <c r="V578" s="82">
        <v>2</v>
      </c>
      <c r="W578" s="83">
        <v>2</v>
      </c>
      <c r="AA578" s="85">
        <v>1</v>
      </c>
      <c r="AD578" s="36" t="s">
        <v>6209</v>
      </c>
      <c r="AF578" s="36" t="s">
        <v>6229</v>
      </c>
      <c r="AP578" s="86"/>
      <c r="AQ578" s="88"/>
      <c r="AR578" s="89"/>
      <c r="AS578" s="90"/>
      <c r="AV578" s="88"/>
      <c r="AW578" s="96"/>
      <c r="AX578" s="97"/>
      <c r="AY578" s="93"/>
      <c r="BB578" s="94"/>
    </row>
    <row r="579" spans="1:54" ht="15" customHeight="1">
      <c r="A579" s="36" t="s">
        <v>6085</v>
      </c>
      <c r="B579" s="36" t="s">
        <v>6155</v>
      </c>
      <c r="C579" s="36" t="s">
        <v>6215</v>
      </c>
      <c r="D579" s="37">
        <v>296</v>
      </c>
      <c r="E579" s="36">
        <v>3</v>
      </c>
      <c r="F579" s="36" t="s">
        <v>6086</v>
      </c>
      <c r="G579" s="36" t="s">
        <v>6156</v>
      </c>
      <c r="J579" s="36" t="s">
        <v>28</v>
      </c>
      <c r="AD579" s="36" t="s">
        <v>4340</v>
      </c>
      <c r="AF579" s="36" t="s">
        <v>6210</v>
      </c>
      <c r="AP579" s="86"/>
      <c r="AQ579" s="88"/>
      <c r="AR579" s="89"/>
      <c r="AS579" s="90"/>
      <c r="AV579" s="88"/>
      <c r="AW579" s="96"/>
      <c r="AX579" s="97"/>
      <c r="AY579" s="93"/>
      <c r="BB579" s="94"/>
    </row>
    <row r="580" spans="1:54" ht="15" customHeight="1">
      <c r="A580" s="36" t="s">
        <v>6085</v>
      </c>
      <c r="B580" s="36" t="s">
        <v>6157</v>
      </c>
      <c r="C580" s="36" t="s">
        <v>6215</v>
      </c>
      <c r="D580" s="37">
        <v>297</v>
      </c>
      <c r="E580" s="36">
        <v>3</v>
      </c>
      <c r="F580" s="36" t="s">
        <v>6086</v>
      </c>
      <c r="G580" s="36" t="s">
        <v>6158</v>
      </c>
      <c r="J580" s="36" t="s">
        <v>28</v>
      </c>
      <c r="AD580" s="36" t="s">
        <v>6211</v>
      </c>
      <c r="AF580" s="36" t="s">
        <v>6212</v>
      </c>
      <c r="AP580" s="86"/>
      <c r="AQ580" s="88"/>
      <c r="AR580" s="89"/>
      <c r="AS580" s="90"/>
      <c r="AV580" s="88"/>
      <c r="AW580" s="96"/>
      <c r="AX580" s="97"/>
      <c r="AY580" s="93"/>
      <c r="BB580" s="94"/>
    </row>
    <row r="581" spans="1:54" ht="15" customHeight="1">
      <c r="A581" s="36" t="s">
        <v>6085</v>
      </c>
      <c r="B581" s="36" t="s">
        <v>6159</v>
      </c>
      <c r="C581" s="36" t="s">
        <v>6215</v>
      </c>
      <c r="D581" s="37">
        <v>298</v>
      </c>
      <c r="E581" s="36">
        <v>3</v>
      </c>
      <c r="F581" s="36" t="s">
        <v>6086</v>
      </c>
      <c r="G581" s="36" t="s">
        <v>6160</v>
      </c>
      <c r="J581" s="36" t="s">
        <v>28</v>
      </c>
      <c r="AD581" s="36" t="s">
        <v>6211</v>
      </c>
      <c r="AF581" s="36" t="s">
        <v>6213</v>
      </c>
      <c r="AP581" s="86"/>
      <c r="AQ581" s="88"/>
      <c r="AR581" s="89"/>
      <c r="AS581" s="90"/>
      <c r="AV581" s="88"/>
      <c r="AW581" s="96"/>
      <c r="AX581" s="97"/>
      <c r="AY581" s="93"/>
      <c r="BB581" s="94"/>
    </row>
    <row r="582" spans="1:54" ht="15" customHeight="1">
      <c r="A582" s="36" t="s">
        <v>6238</v>
      </c>
      <c r="B582" s="36" t="s">
        <v>6239</v>
      </c>
      <c r="C582" s="36" t="s">
        <v>5941</v>
      </c>
      <c r="D582" s="37">
        <v>299</v>
      </c>
      <c r="E582" s="36">
        <v>2</v>
      </c>
      <c r="G582" s="36" t="s">
        <v>4165</v>
      </c>
      <c r="J582" s="36" t="s">
        <v>4166</v>
      </c>
      <c r="K582" s="36" t="s">
        <v>4052</v>
      </c>
      <c r="L582" s="36">
        <v>2</v>
      </c>
      <c r="Q582" s="78">
        <v>2</v>
      </c>
      <c r="AB582" s="36" t="s">
        <v>4942</v>
      </c>
      <c r="AD582" s="36" t="s">
        <v>5668</v>
      </c>
      <c r="AF582" s="36" t="s">
        <v>6240</v>
      </c>
      <c r="AP582" s="86"/>
      <c r="AQ582" s="88"/>
      <c r="AR582" s="89"/>
      <c r="AS582" s="90"/>
      <c r="AV582" s="88"/>
      <c r="AW582" s="96"/>
      <c r="AX582" s="97"/>
      <c r="AY582" s="93"/>
      <c r="BB582" s="94"/>
    </row>
    <row r="583" spans="1:54" ht="15" customHeight="1">
      <c r="A583" s="36" t="s">
        <v>6238</v>
      </c>
      <c r="B583" s="36" t="s">
        <v>6241</v>
      </c>
      <c r="C583" s="36" t="s">
        <v>5941</v>
      </c>
      <c r="D583" s="37">
        <v>300</v>
      </c>
      <c r="E583" s="36">
        <v>2</v>
      </c>
      <c r="G583" s="36" t="s">
        <v>6242</v>
      </c>
      <c r="J583" s="36" t="s">
        <v>27</v>
      </c>
      <c r="K583" s="36" t="s">
        <v>4052</v>
      </c>
      <c r="L583" s="36">
        <v>5</v>
      </c>
      <c r="N583" s="75">
        <v>1</v>
      </c>
      <c r="Q583" s="78">
        <v>1</v>
      </c>
      <c r="S583" s="126">
        <v>1</v>
      </c>
      <c r="AB583" s="36" t="s">
        <v>4947</v>
      </c>
      <c r="AD583" s="36" t="s">
        <v>5659</v>
      </c>
      <c r="AF583" s="36" t="s">
        <v>6243</v>
      </c>
      <c r="AP583" s="86"/>
      <c r="AQ583" s="88"/>
      <c r="AR583" s="89"/>
      <c r="AS583" s="90"/>
      <c r="AV583" s="88"/>
      <c r="AW583" s="96"/>
      <c r="AX583" s="97"/>
      <c r="AY583" s="93"/>
      <c r="BB583" s="94"/>
    </row>
    <row r="584" spans="1:54" ht="15" customHeight="1">
      <c r="A584" s="36" t="s">
        <v>6238</v>
      </c>
      <c r="B584" s="36" t="s">
        <v>6244</v>
      </c>
      <c r="C584" s="36" t="s">
        <v>5941</v>
      </c>
      <c r="D584" s="37">
        <v>301</v>
      </c>
      <c r="E584" s="36">
        <v>2</v>
      </c>
      <c r="G584" s="36" t="s">
        <v>6245</v>
      </c>
      <c r="J584" s="36" t="s">
        <v>4111</v>
      </c>
      <c r="K584" s="36" t="s">
        <v>4052</v>
      </c>
      <c r="L584" s="36">
        <v>5</v>
      </c>
      <c r="N584" s="75">
        <v>6</v>
      </c>
      <c r="P584" s="77">
        <v>1</v>
      </c>
      <c r="Q584" s="78">
        <v>1</v>
      </c>
      <c r="AB584" s="36" t="s">
        <v>4945</v>
      </c>
      <c r="AC584" s="36" t="s">
        <v>4176</v>
      </c>
      <c r="AD584" s="36" t="s">
        <v>4113</v>
      </c>
      <c r="AF584" s="36" t="s">
        <v>6246</v>
      </c>
      <c r="AP584" s="86"/>
      <c r="AQ584" s="88"/>
      <c r="AR584" s="89"/>
      <c r="AS584" s="90"/>
      <c r="AV584" s="88"/>
      <c r="AW584" s="96"/>
      <c r="AX584" s="97"/>
      <c r="AY584" s="93"/>
      <c r="BB584" s="94"/>
    </row>
    <row r="585" spans="1:54" ht="15" customHeight="1">
      <c r="A585" s="36" t="s">
        <v>6238</v>
      </c>
      <c r="B585" s="36" t="s">
        <v>6247</v>
      </c>
      <c r="C585" s="36" t="s">
        <v>5941</v>
      </c>
      <c r="D585" s="37">
        <v>302</v>
      </c>
      <c r="E585" s="36">
        <v>2</v>
      </c>
      <c r="G585" s="36" t="s">
        <v>6248</v>
      </c>
      <c r="H585" s="36" t="s">
        <v>6249</v>
      </c>
      <c r="I585" s="36" t="s">
        <v>4077</v>
      </c>
      <c r="J585" s="36" t="s">
        <v>4111</v>
      </c>
      <c r="K585" s="36" t="s">
        <v>4053</v>
      </c>
      <c r="L585" s="36">
        <v>0</v>
      </c>
      <c r="N585" s="75">
        <v>1</v>
      </c>
      <c r="O585" s="76">
        <v>1</v>
      </c>
      <c r="T585" s="81">
        <v>2</v>
      </c>
      <c r="U585" s="76">
        <v>2</v>
      </c>
      <c r="AB585" s="36" t="s">
        <v>4058</v>
      </c>
      <c r="AC585" s="36" t="s">
        <v>25</v>
      </c>
      <c r="AD585" s="36" t="s">
        <v>4184</v>
      </c>
      <c r="AF585" s="36" t="s">
        <v>6250</v>
      </c>
      <c r="AP585" s="86"/>
      <c r="AQ585" s="88"/>
      <c r="AR585" s="89"/>
      <c r="AS585" s="90"/>
      <c r="AV585" s="88"/>
      <c r="AW585" s="96"/>
      <c r="AX585" s="97"/>
      <c r="AY585" s="93"/>
      <c r="BB585" s="94"/>
    </row>
    <row r="586" spans="1:54" ht="15" customHeight="1">
      <c r="A586" s="36" t="s">
        <v>6238</v>
      </c>
      <c r="B586" s="36" t="s">
        <v>6251</v>
      </c>
      <c r="C586" s="36" t="s">
        <v>5941</v>
      </c>
      <c r="D586" s="37">
        <v>303</v>
      </c>
      <c r="E586" s="36">
        <v>2</v>
      </c>
      <c r="G586" s="36" t="s">
        <v>6252</v>
      </c>
      <c r="J586" s="36" t="s">
        <v>27</v>
      </c>
      <c r="K586" s="36" t="s">
        <v>4053</v>
      </c>
      <c r="L586" s="36">
        <v>5</v>
      </c>
      <c r="N586" s="75">
        <v>4</v>
      </c>
      <c r="O586" s="76">
        <v>1</v>
      </c>
      <c r="P586" s="77">
        <v>2</v>
      </c>
      <c r="AB586" s="36" t="s">
        <v>6253</v>
      </c>
      <c r="AD586" s="36" t="s">
        <v>4194</v>
      </c>
      <c r="AF586" s="36" t="s">
        <v>6254</v>
      </c>
      <c r="AP586" s="86"/>
      <c r="AQ586" s="88"/>
      <c r="AR586" s="89"/>
      <c r="AS586" s="90"/>
      <c r="AV586" s="88"/>
      <c r="AW586" s="96"/>
      <c r="AX586" s="97"/>
      <c r="AY586" s="93"/>
      <c r="BB586" s="94"/>
    </row>
    <row r="587" spans="1:54" ht="15" customHeight="1">
      <c r="A587" s="36" t="s">
        <v>6238</v>
      </c>
      <c r="B587" s="36" t="s">
        <v>6255</v>
      </c>
      <c r="C587" s="36" t="s">
        <v>5941</v>
      </c>
      <c r="D587" s="37">
        <v>304</v>
      </c>
      <c r="E587" s="36">
        <v>2</v>
      </c>
      <c r="G587" s="36" t="s">
        <v>6256</v>
      </c>
      <c r="J587" s="36" t="s">
        <v>4111</v>
      </c>
      <c r="K587" s="36" t="s">
        <v>4055</v>
      </c>
      <c r="L587" s="36">
        <v>4</v>
      </c>
      <c r="N587" s="75">
        <v>5</v>
      </c>
      <c r="Q587" s="78">
        <v>2</v>
      </c>
      <c r="AB587" s="36" t="s">
        <v>4942</v>
      </c>
      <c r="AC587" s="36" t="s">
        <v>4176</v>
      </c>
      <c r="AD587" s="36" t="s">
        <v>4777</v>
      </c>
      <c r="AF587" s="36" t="s">
        <v>6257</v>
      </c>
      <c r="AP587" s="86"/>
      <c r="AQ587" s="88"/>
      <c r="AR587" s="89"/>
      <c r="AS587" s="90"/>
      <c r="AV587" s="88"/>
      <c r="AW587" s="96"/>
      <c r="AX587" s="97"/>
      <c r="AY587" s="93"/>
      <c r="BB587" s="94"/>
    </row>
    <row r="588" spans="1:54" ht="15" customHeight="1">
      <c r="A588" s="36" t="s">
        <v>6238</v>
      </c>
      <c r="B588" s="36" t="s">
        <v>6258</v>
      </c>
      <c r="C588" s="36" t="s">
        <v>5941</v>
      </c>
      <c r="D588" s="37">
        <v>305</v>
      </c>
      <c r="E588" s="36">
        <v>2</v>
      </c>
      <c r="G588" s="36" t="s">
        <v>6259</v>
      </c>
      <c r="H588" s="36" t="s">
        <v>6260</v>
      </c>
      <c r="I588" s="36" t="s">
        <v>4077</v>
      </c>
      <c r="J588" s="36" t="s">
        <v>4111</v>
      </c>
      <c r="K588" s="36" t="s">
        <v>4055</v>
      </c>
      <c r="L588" s="36">
        <v>4</v>
      </c>
      <c r="N588" s="75">
        <v>2</v>
      </c>
      <c r="O588" s="76">
        <v>1</v>
      </c>
      <c r="S588" s="126">
        <v>1</v>
      </c>
      <c r="AB588" s="36" t="s">
        <v>4940</v>
      </c>
      <c r="AC588" s="36" t="s">
        <v>4129</v>
      </c>
      <c r="AD588" s="36" t="s">
        <v>4130</v>
      </c>
      <c r="AF588" s="36" t="s">
        <v>6261</v>
      </c>
      <c r="AP588" s="86"/>
      <c r="AQ588" s="88"/>
      <c r="AR588" s="89"/>
      <c r="AS588" s="90"/>
      <c r="AV588" s="88"/>
      <c r="AW588" s="96"/>
      <c r="AX588" s="97"/>
      <c r="AY588" s="93"/>
      <c r="BB588" s="94"/>
    </row>
    <row r="589" spans="1:54" ht="15" customHeight="1">
      <c r="A589" s="36" t="s">
        <v>6238</v>
      </c>
      <c r="B589" s="36" t="s">
        <v>6262</v>
      </c>
      <c r="C589" s="36" t="s">
        <v>5941</v>
      </c>
      <c r="D589" s="37">
        <v>306</v>
      </c>
      <c r="E589" s="36">
        <v>2</v>
      </c>
      <c r="G589" s="36" t="s">
        <v>4231</v>
      </c>
      <c r="J589" s="36" t="s">
        <v>4111</v>
      </c>
      <c r="K589" s="36" t="s">
        <v>4054</v>
      </c>
      <c r="L589" s="36">
        <v>5</v>
      </c>
      <c r="N589" s="75">
        <v>3</v>
      </c>
      <c r="O589" s="76">
        <v>1</v>
      </c>
      <c r="Q589" s="78">
        <v>2</v>
      </c>
      <c r="AB589" s="36" t="s">
        <v>6263</v>
      </c>
      <c r="AC589" s="36" t="s">
        <v>4232</v>
      </c>
      <c r="AD589" s="36" t="s">
        <v>4133</v>
      </c>
      <c r="AF589" s="36" t="s">
        <v>6264</v>
      </c>
      <c r="AP589" s="86"/>
      <c r="AQ589" s="88"/>
      <c r="AR589" s="89"/>
      <c r="AS589" s="90"/>
      <c r="AV589" s="88"/>
      <c r="AW589" s="96"/>
      <c r="AX589" s="97"/>
      <c r="AY589" s="93"/>
      <c r="BB589" s="94"/>
    </row>
    <row r="590" spans="1:54" ht="15" customHeight="1">
      <c r="A590" s="36" t="s">
        <v>6238</v>
      </c>
      <c r="B590" s="36" t="s">
        <v>6265</v>
      </c>
      <c r="C590" s="36" t="s">
        <v>5941</v>
      </c>
      <c r="D590" s="37">
        <v>307</v>
      </c>
      <c r="E590" s="36">
        <v>2</v>
      </c>
      <c r="G590" s="36" t="s">
        <v>4527</v>
      </c>
      <c r="J590" s="36" t="s">
        <v>27</v>
      </c>
      <c r="K590" s="36" t="s">
        <v>4054</v>
      </c>
      <c r="L590" s="36">
        <v>5</v>
      </c>
      <c r="N590" s="75">
        <v>1</v>
      </c>
      <c r="O590" s="76">
        <v>1</v>
      </c>
      <c r="S590" s="126">
        <v>1</v>
      </c>
      <c r="AB590" s="36" t="s">
        <v>4940</v>
      </c>
      <c r="AD590" s="36" t="s">
        <v>4528</v>
      </c>
      <c r="AF590" s="36" t="s">
        <v>6266</v>
      </c>
      <c r="AP590" s="86"/>
      <c r="AQ590" s="88"/>
      <c r="AR590" s="89"/>
      <c r="AS590" s="90"/>
      <c r="AV590" s="88"/>
      <c r="AW590" s="96"/>
      <c r="AX590" s="97"/>
      <c r="AY590" s="93"/>
      <c r="BB590" s="94"/>
    </row>
    <row r="591" spans="1:54" ht="15" customHeight="1">
      <c r="A591" s="36" t="s">
        <v>6238</v>
      </c>
      <c r="B591" s="36" t="s">
        <v>6267</v>
      </c>
      <c r="C591" s="36" t="s">
        <v>5941</v>
      </c>
      <c r="D591" s="37">
        <v>308</v>
      </c>
      <c r="E591" s="36">
        <v>2</v>
      </c>
      <c r="G591" s="36" t="s">
        <v>4542</v>
      </c>
      <c r="H591" s="36" t="s">
        <v>4543</v>
      </c>
      <c r="I591" s="36" t="s">
        <v>4077</v>
      </c>
      <c r="J591" s="36" t="s">
        <v>4111</v>
      </c>
      <c r="K591" s="36" t="s">
        <v>4056</v>
      </c>
      <c r="L591" s="36">
        <v>3</v>
      </c>
      <c r="N591" s="75">
        <v>4</v>
      </c>
      <c r="O591" s="76">
        <v>1</v>
      </c>
      <c r="R591" s="79">
        <v>1</v>
      </c>
      <c r="T591" s="81">
        <v>1</v>
      </c>
      <c r="U591" s="76">
        <v>4</v>
      </c>
      <c r="AB591" s="36" t="s">
        <v>6042</v>
      </c>
      <c r="AC591" s="36" t="s">
        <v>25</v>
      </c>
      <c r="AD591" s="36" t="s">
        <v>4312</v>
      </c>
      <c r="AF591" s="36" t="s">
        <v>6268</v>
      </c>
      <c r="AP591" s="86"/>
      <c r="AQ591" s="88"/>
      <c r="AR591" s="89"/>
      <c r="AS591" s="90"/>
      <c r="AV591" s="88"/>
      <c r="AW591" s="96"/>
      <c r="AX591" s="97"/>
      <c r="AY591" s="93"/>
      <c r="BB591" s="94"/>
    </row>
    <row r="592" spans="1:54" ht="15" customHeight="1">
      <c r="A592" s="36" t="s">
        <v>6238</v>
      </c>
      <c r="B592" s="36" t="s">
        <v>6269</v>
      </c>
      <c r="C592" s="36" t="s">
        <v>5941</v>
      </c>
      <c r="D592" s="37">
        <v>309</v>
      </c>
      <c r="E592" s="36">
        <v>2</v>
      </c>
      <c r="G592" s="36" t="s">
        <v>6270</v>
      </c>
      <c r="J592" s="36" t="s">
        <v>4111</v>
      </c>
      <c r="K592" s="36" t="s">
        <v>4056</v>
      </c>
      <c r="L592" s="36">
        <v>3</v>
      </c>
      <c r="N592" s="75">
        <v>2</v>
      </c>
      <c r="O592" s="76">
        <v>2</v>
      </c>
      <c r="AB592" s="36" t="s">
        <v>4948</v>
      </c>
      <c r="AD592" s="36" t="s">
        <v>4143</v>
      </c>
      <c r="AF592" s="36" t="s">
        <v>6271</v>
      </c>
      <c r="AP592" s="86"/>
      <c r="AQ592" s="88"/>
      <c r="AR592" s="89"/>
      <c r="AS592" s="90"/>
      <c r="AV592" s="88"/>
      <c r="AW592" s="96"/>
      <c r="AX592" s="97"/>
      <c r="AY592" s="93"/>
      <c r="BB592" s="94"/>
    </row>
    <row r="593" spans="1:59" ht="15" customHeight="1">
      <c r="A593" s="36" t="s">
        <v>6238</v>
      </c>
      <c r="B593" s="36" t="s">
        <v>6272</v>
      </c>
      <c r="C593" s="36" t="s">
        <v>5941</v>
      </c>
      <c r="D593" s="37">
        <v>310</v>
      </c>
      <c r="E593" s="36">
        <v>2</v>
      </c>
      <c r="G593" s="36" t="s">
        <v>6273</v>
      </c>
      <c r="H593" s="36" t="s">
        <v>6274</v>
      </c>
      <c r="I593" s="36" t="s">
        <v>4077</v>
      </c>
      <c r="J593" s="36" t="s">
        <v>4111</v>
      </c>
      <c r="K593" s="36" t="s">
        <v>26</v>
      </c>
      <c r="L593" s="36">
        <v>5</v>
      </c>
      <c r="N593" s="75">
        <v>2</v>
      </c>
      <c r="S593" s="126">
        <v>1</v>
      </c>
      <c r="T593" s="81">
        <v>4</v>
      </c>
      <c r="U593" s="76">
        <v>4</v>
      </c>
      <c r="AB593" s="36" t="s">
        <v>4062</v>
      </c>
      <c r="AC593" s="36" t="s">
        <v>25</v>
      </c>
      <c r="AD593" s="36" t="s">
        <v>6275</v>
      </c>
      <c r="AF593" s="36" t="s">
        <v>6276</v>
      </c>
      <c r="AP593" s="86"/>
      <c r="AQ593" s="88"/>
      <c r="AR593" s="89"/>
      <c r="AS593" s="90"/>
      <c r="AV593" s="88"/>
      <c r="AW593" s="96"/>
      <c r="AX593" s="97"/>
      <c r="AY593" s="93"/>
      <c r="BB593" s="94"/>
    </row>
    <row r="594" spans="1:59" ht="15" customHeight="1">
      <c r="A594" s="36" t="s">
        <v>6238</v>
      </c>
      <c r="B594" s="36" t="s">
        <v>6277</v>
      </c>
      <c r="C594" s="36" t="s">
        <v>5941</v>
      </c>
      <c r="D594" s="37">
        <v>311</v>
      </c>
      <c r="E594" s="36">
        <v>1</v>
      </c>
      <c r="F594" s="36" t="s">
        <v>6278</v>
      </c>
      <c r="G594" s="36" t="s">
        <v>6278</v>
      </c>
      <c r="J594" s="36" t="s">
        <v>4472</v>
      </c>
      <c r="AF594" s="36" t="s">
        <v>6279</v>
      </c>
      <c r="AI594" s="36" t="s">
        <v>6278</v>
      </c>
      <c r="AL594" s="36" t="s">
        <v>4472</v>
      </c>
      <c r="AM594" s="36" t="s">
        <v>6280</v>
      </c>
      <c r="AP594" s="86"/>
      <c r="AQ594" s="88"/>
      <c r="AR594" s="89"/>
      <c r="AS594" s="90"/>
      <c r="AV594" s="88"/>
      <c r="AW594" s="96"/>
      <c r="AX594" s="97"/>
      <c r="AY594" s="93"/>
      <c r="BB594" s="94"/>
      <c r="BG594" s="36" t="s">
        <v>6281</v>
      </c>
    </row>
    <row r="595" spans="1:59" ht="15" customHeight="1">
      <c r="A595" s="36" t="s">
        <v>6238</v>
      </c>
      <c r="B595" s="36" t="s">
        <v>6282</v>
      </c>
      <c r="C595" s="36" t="s">
        <v>5941</v>
      </c>
      <c r="D595" s="37">
        <v>312</v>
      </c>
      <c r="E595" s="36">
        <v>1</v>
      </c>
      <c r="F595" s="36" t="s">
        <v>6278</v>
      </c>
      <c r="G595" s="36" t="s">
        <v>6283</v>
      </c>
      <c r="J595" s="36" t="s">
        <v>4473</v>
      </c>
      <c r="L595" s="36">
        <v>1</v>
      </c>
      <c r="Z595" s="81">
        <v>4</v>
      </c>
      <c r="AF595" s="36" t="s">
        <v>6284</v>
      </c>
      <c r="AI595" s="36" t="s">
        <v>6285</v>
      </c>
      <c r="AL595" s="36" t="s">
        <v>4473</v>
      </c>
      <c r="AM595" s="36" t="s">
        <v>6280</v>
      </c>
      <c r="AN595" s="36">
        <v>1</v>
      </c>
      <c r="AP595" s="86"/>
      <c r="AQ595" s="88"/>
      <c r="AR595" s="89"/>
      <c r="AS595" s="90"/>
      <c r="AV595" s="88"/>
      <c r="AW595" s="96"/>
      <c r="AX595" s="97"/>
      <c r="AY595" s="93"/>
      <c r="BB595" s="94"/>
      <c r="BG595" s="36" t="s">
        <v>6286</v>
      </c>
    </row>
    <row r="596" spans="1:59" ht="15" customHeight="1">
      <c r="A596" s="36" t="s">
        <v>6238</v>
      </c>
      <c r="B596" s="36" t="s">
        <v>6287</v>
      </c>
      <c r="C596" s="36" t="s">
        <v>5941</v>
      </c>
      <c r="D596" s="37">
        <v>313</v>
      </c>
      <c r="E596" s="36">
        <v>1</v>
      </c>
      <c r="F596" s="36" t="s">
        <v>6278</v>
      </c>
      <c r="G596" s="36" t="s">
        <v>6288</v>
      </c>
      <c r="J596" s="36" t="s">
        <v>4473</v>
      </c>
      <c r="L596" s="36">
        <v>2</v>
      </c>
      <c r="Z596" s="81">
        <v>4</v>
      </c>
      <c r="AF596" s="36" t="s">
        <v>6284</v>
      </c>
      <c r="AI596" s="36" t="s">
        <v>6289</v>
      </c>
      <c r="AL596" s="36" t="s">
        <v>4473</v>
      </c>
      <c r="AM596" s="36" t="s">
        <v>6280</v>
      </c>
      <c r="AN596" s="36">
        <v>2</v>
      </c>
      <c r="AP596" s="86"/>
      <c r="AQ596" s="88"/>
      <c r="AR596" s="89"/>
      <c r="AS596" s="90"/>
      <c r="AV596" s="88"/>
      <c r="AW596" s="96"/>
      <c r="AX596" s="97"/>
      <c r="AY596" s="93"/>
      <c r="BB596" s="94"/>
      <c r="BG596" s="36" t="s">
        <v>6290</v>
      </c>
    </row>
    <row r="597" spans="1:59" ht="15" customHeight="1">
      <c r="A597" s="36" t="s">
        <v>6238</v>
      </c>
      <c r="B597" s="36" t="s">
        <v>6291</v>
      </c>
      <c r="C597" s="36" t="s">
        <v>5941</v>
      </c>
      <c r="D597" s="37">
        <v>314</v>
      </c>
      <c r="E597" s="36">
        <v>1</v>
      </c>
      <c r="F597" s="36" t="s">
        <v>6278</v>
      </c>
      <c r="G597" s="36" t="s">
        <v>6292</v>
      </c>
      <c r="J597" s="36" t="s">
        <v>4473</v>
      </c>
      <c r="L597" s="36">
        <v>3</v>
      </c>
      <c r="Z597" s="81">
        <v>6</v>
      </c>
      <c r="AF597" s="36" t="s">
        <v>6284</v>
      </c>
      <c r="AI597" s="36" t="s">
        <v>6293</v>
      </c>
      <c r="AL597" s="36" t="s">
        <v>4473</v>
      </c>
      <c r="AM597" s="36" t="s">
        <v>6280</v>
      </c>
      <c r="AN597" s="36">
        <v>3</v>
      </c>
      <c r="AP597" s="86"/>
      <c r="AQ597" s="88"/>
      <c r="AR597" s="89"/>
      <c r="AS597" s="90"/>
      <c r="AV597" s="88"/>
      <c r="AW597" s="96"/>
      <c r="AX597" s="97"/>
      <c r="AY597" s="93"/>
      <c r="BB597" s="94"/>
      <c r="BG597" s="36" t="s">
        <v>6294</v>
      </c>
    </row>
    <row r="598" spans="1:59" ht="15" customHeight="1">
      <c r="A598" s="36" t="s">
        <v>6238</v>
      </c>
      <c r="B598" s="36" t="s">
        <v>6295</v>
      </c>
      <c r="C598" s="36" t="s">
        <v>5941</v>
      </c>
      <c r="D598" s="37">
        <v>315</v>
      </c>
      <c r="E598" s="36">
        <v>1</v>
      </c>
      <c r="F598" s="36" t="s">
        <v>6278</v>
      </c>
      <c r="G598" s="36" t="s">
        <v>6296</v>
      </c>
      <c r="J598" s="36" t="s">
        <v>4473</v>
      </c>
      <c r="L598" s="36">
        <v>4</v>
      </c>
      <c r="Z598" s="81">
        <v>2</v>
      </c>
      <c r="AF598" s="36" t="s">
        <v>6297</v>
      </c>
      <c r="AI598" s="36" t="s">
        <v>6298</v>
      </c>
      <c r="AL598" s="36" t="s">
        <v>4473</v>
      </c>
      <c r="AM598" s="36" t="s">
        <v>6280</v>
      </c>
      <c r="AN598" s="36">
        <v>4</v>
      </c>
      <c r="AP598" s="86"/>
      <c r="AQ598" s="88"/>
      <c r="AR598" s="89"/>
      <c r="AS598" s="90"/>
      <c r="AV598" s="88"/>
      <c r="AW598" s="96"/>
      <c r="AX598" s="97"/>
      <c r="AY598" s="93"/>
      <c r="BB598" s="94"/>
      <c r="BG598" s="36" t="s">
        <v>6299</v>
      </c>
    </row>
    <row r="599" spans="1:59" ht="15" customHeight="1">
      <c r="A599" s="36" t="s">
        <v>6238</v>
      </c>
      <c r="B599" s="36" t="s">
        <v>6300</v>
      </c>
      <c r="C599" s="36" t="s">
        <v>5941</v>
      </c>
      <c r="D599" s="37">
        <v>316</v>
      </c>
      <c r="E599" s="36">
        <v>1</v>
      </c>
      <c r="F599" s="36" t="s">
        <v>6278</v>
      </c>
      <c r="G599" s="36" t="s">
        <v>6301</v>
      </c>
      <c r="J599" s="36" t="s">
        <v>4475</v>
      </c>
      <c r="L599" s="36">
        <v>1</v>
      </c>
      <c r="Y599" s="79" t="s">
        <v>5551</v>
      </c>
      <c r="AF599" s="36" t="s">
        <v>6302</v>
      </c>
      <c r="AI599" s="36" t="s">
        <v>6303</v>
      </c>
      <c r="AL599" s="36" t="s">
        <v>4475</v>
      </c>
      <c r="AM599" s="36" t="s">
        <v>6280</v>
      </c>
      <c r="AN599" s="36">
        <v>1</v>
      </c>
      <c r="AP599" s="86"/>
      <c r="AQ599" s="88"/>
      <c r="AR599" s="89"/>
      <c r="AS599" s="90"/>
      <c r="AV599" s="88"/>
      <c r="AW599" s="96"/>
      <c r="AX599" s="97"/>
      <c r="AY599" s="93"/>
      <c r="BB599" s="94"/>
      <c r="BG599" s="36" t="s">
        <v>6304</v>
      </c>
    </row>
    <row r="600" spans="1:59" ht="15" customHeight="1">
      <c r="A600" s="36" t="s">
        <v>6238</v>
      </c>
      <c r="B600" s="36" t="s">
        <v>6305</v>
      </c>
      <c r="C600" s="36" t="s">
        <v>5941</v>
      </c>
      <c r="D600" s="37">
        <v>317</v>
      </c>
      <c r="E600" s="36">
        <v>1</v>
      </c>
      <c r="F600" s="36" t="s">
        <v>6278</v>
      </c>
      <c r="G600" s="36" t="s">
        <v>6306</v>
      </c>
      <c r="J600" s="36" t="s">
        <v>4475</v>
      </c>
      <c r="L600" s="36">
        <v>2</v>
      </c>
      <c r="Y600" s="79" t="s">
        <v>38</v>
      </c>
      <c r="AF600" s="36" t="s">
        <v>6307</v>
      </c>
      <c r="AI600" s="36" t="s">
        <v>6308</v>
      </c>
      <c r="AL600" s="36" t="s">
        <v>4475</v>
      </c>
      <c r="AM600" s="36" t="s">
        <v>6280</v>
      </c>
      <c r="AN600" s="36">
        <v>2</v>
      </c>
      <c r="AP600" s="86"/>
      <c r="AQ600" s="88"/>
      <c r="AR600" s="89"/>
      <c r="AS600" s="90"/>
      <c r="AV600" s="88"/>
      <c r="AW600" s="96"/>
      <c r="AX600" s="97"/>
      <c r="AY600" s="93"/>
      <c r="BB600" s="94"/>
    </row>
    <row r="601" spans="1:59" ht="15" customHeight="1">
      <c r="A601" s="36" t="s">
        <v>6238</v>
      </c>
      <c r="B601" s="36" t="s">
        <v>6309</v>
      </c>
      <c r="C601" s="36" t="s">
        <v>5941</v>
      </c>
      <c r="D601" s="37">
        <v>318</v>
      </c>
      <c r="E601" s="36">
        <v>1</v>
      </c>
      <c r="F601" s="36" t="s">
        <v>6278</v>
      </c>
      <c r="G601" s="36" t="s">
        <v>6310</v>
      </c>
      <c r="J601" s="36" t="s">
        <v>4475</v>
      </c>
      <c r="L601" s="36">
        <v>3</v>
      </c>
      <c r="Y601" s="79" t="s">
        <v>5550</v>
      </c>
      <c r="AF601" s="36" t="s">
        <v>6311</v>
      </c>
      <c r="AI601" s="36" t="s">
        <v>6312</v>
      </c>
      <c r="AL601" s="36" t="s">
        <v>4475</v>
      </c>
      <c r="AM601" s="36" t="s">
        <v>6280</v>
      </c>
      <c r="AN601" s="36">
        <v>3</v>
      </c>
      <c r="AP601" s="86"/>
      <c r="AQ601" s="88"/>
      <c r="AR601" s="89"/>
      <c r="AS601" s="90"/>
      <c r="AV601" s="88"/>
      <c r="AW601" s="96"/>
      <c r="AX601" s="97"/>
      <c r="AY601" s="93"/>
      <c r="BB601" s="94"/>
      <c r="BG601" s="36" t="s">
        <v>6313</v>
      </c>
    </row>
    <row r="602" spans="1:59" ht="15" customHeight="1">
      <c r="A602" s="36" t="s">
        <v>6238</v>
      </c>
      <c r="B602" s="36" t="s">
        <v>6314</v>
      </c>
      <c r="C602" s="36" t="s">
        <v>5941</v>
      </c>
      <c r="D602" s="37">
        <v>319</v>
      </c>
      <c r="E602" s="36">
        <v>1</v>
      </c>
      <c r="F602" s="36" t="s">
        <v>6278</v>
      </c>
      <c r="G602" s="36" t="s">
        <v>6315</v>
      </c>
      <c r="J602" s="36" t="s">
        <v>4475</v>
      </c>
      <c r="L602" s="36">
        <v>4</v>
      </c>
      <c r="Y602" s="79" t="s">
        <v>38</v>
      </c>
      <c r="AF602" s="36" t="s">
        <v>6316</v>
      </c>
      <c r="AI602" s="36" t="s">
        <v>6317</v>
      </c>
      <c r="AL602" s="36" t="s">
        <v>4475</v>
      </c>
      <c r="AM602" s="36" t="s">
        <v>6280</v>
      </c>
      <c r="AN602" s="36">
        <v>4</v>
      </c>
      <c r="AP602" s="86"/>
      <c r="AQ602" s="88"/>
      <c r="AR602" s="89"/>
      <c r="AS602" s="90"/>
      <c r="AV602" s="88"/>
      <c r="AW602" s="96"/>
      <c r="AX602" s="97"/>
      <c r="AY602" s="93"/>
      <c r="BB602" s="94"/>
      <c r="BG602" s="36" t="s">
        <v>5740</v>
      </c>
    </row>
    <row r="603" spans="1:59" ht="15" customHeight="1">
      <c r="A603" s="36" t="s">
        <v>6238</v>
      </c>
      <c r="B603" s="36" t="s">
        <v>6318</v>
      </c>
      <c r="C603" s="36" t="s">
        <v>5941</v>
      </c>
      <c r="D603" s="37">
        <v>320</v>
      </c>
      <c r="E603" s="36">
        <v>1</v>
      </c>
      <c r="F603" s="36" t="s">
        <v>6278</v>
      </c>
      <c r="G603" s="36" t="s">
        <v>6319</v>
      </c>
      <c r="J603" s="36" t="s">
        <v>31</v>
      </c>
      <c r="AD603" s="36" t="s">
        <v>6320</v>
      </c>
      <c r="AI603" s="36" t="s">
        <v>6319</v>
      </c>
      <c r="AJ603" s="36" t="s">
        <v>6321</v>
      </c>
      <c r="AL603" s="36" t="s">
        <v>31</v>
      </c>
      <c r="AM603" s="36" t="s">
        <v>6280</v>
      </c>
      <c r="AP603" s="86"/>
      <c r="AQ603" s="88"/>
      <c r="AR603" s="89"/>
      <c r="AS603" s="90"/>
      <c r="AV603" s="88"/>
      <c r="AW603" s="96"/>
      <c r="AX603" s="97"/>
      <c r="AY603" s="93">
        <v>6</v>
      </c>
      <c r="AZ603" s="79">
        <v>0</v>
      </c>
      <c r="BB603" s="94"/>
      <c r="BE603" s="36" t="s">
        <v>6320</v>
      </c>
      <c r="BG603" s="36" t="s">
        <v>6322</v>
      </c>
    </row>
    <row r="604" spans="1:59" ht="15" customHeight="1">
      <c r="A604" s="36" t="s">
        <v>6238</v>
      </c>
      <c r="B604" s="36" t="s">
        <v>6323</v>
      </c>
      <c r="C604" s="36" t="s">
        <v>5941</v>
      </c>
      <c r="D604" s="37">
        <v>321</v>
      </c>
      <c r="E604" s="36">
        <v>1</v>
      </c>
      <c r="F604" s="36" t="s">
        <v>6278</v>
      </c>
      <c r="G604" s="36" t="s">
        <v>6324</v>
      </c>
      <c r="J604" s="36" t="s">
        <v>31</v>
      </c>
      <c r="AD604" s="36" t="s">
        <v>6320</v>
      </c>
      <c r="AF604" s="36" t="s">
        <v>6325</v>
      </c>
      <c r="AI604" s="36" t="s">
        <v>6324</v>
      </c>
      <c r="AL604" s="36" t="s">
        <v>31</v>
      </c>
      <c r="AM604" s="36" t="s">
        <v>6280</v>
      </c>
      <c r="AP604" s="86"/>
      <c r="AQ604" s="88"/>
      <c r="AR604" s="89"/>
      <c r="AS604" s="90"/>
      <c r="AV604" s="88"/>
      <c r="AW604" s="96"/>
      <c r="AX604" s="97"/>
      <c r="AY604" s="93">
        <v>2</v>
      </c>
      <c r="AZ604" s="79" t="s">
        <v>5551</v>
      </c>
      <c r="BB604" s="94"/>
      <c r="BE604" s="36" t="s">
        <v>6320</v>
      </c>
      <c r="BG604" s="36" t="s">
        <v>6326</v>
      </c>
    </row>
    <row r="605" spans="1:59" ht="15" customHeight="1">
      <c r="A605" s="36" t="s">
        <v>6238</v>
      </c>
      <c r="B605" s="36" t="s">
        <v>6327</v>
      </c>
      <c r="C605" s="36" t="s">
        <v>5941</v>
      </c>
      <c r="D605" s="37">
        <v>322</v>
      </c>
      <c r="E605" s="36">
        <v>1</v>
      </c>
      <c r="F605" s="36" t="s">
        <v>6278</v>
      </c>
      <c r="G605" s="36" t="s">
        <v>6328</v>
      </c>
      <c r="J605" s="36" t="s">
        <v>31</v>
      </c>
      <c r="AD605" s="36" t="s">
        <v>6320</v>
      </c>
      <c r="AI605" s="36" t="s">
        <v>6328</v>
      </c>
      <c r="AL605" s="36" t="s">
        <v>31</v>
      </c>
      <c r="AM605" s="36" t="s">
        <v>6280</v>
      </c>
      <c r="AP605" s="86"/>
      <c r="AQ605" s="88"/>
      <c r="AR605" s="89"/>
      <c r="AS605" s="90"/>
      <c r="AV605" s="88"/>
      <c r="AW605" s="96"/>
      <c r="AX605" s="97"/>
      <c r="AY605" s="93">
        <v>2</v>
      </c>
      <c r="AZ605" s="79" t="s">
        <v>4965</v>
      </c>
      <c r="BB605" s="94"/>
      <c r="BE605" s="36" t="s">
        <v>6320</v>
      </c>
      <c r="BG605" s="36" t="s">
        <v>6329</v>
      </c>
    </row>
    <row r="606" spans="1:59" ht="15" customHeight="1">
      <c r="A606" s="36" t="s">
        <v>6238</v>
      </c>
      <c r="B606" s="36" t="s">
        <v>6330</v>
      </c>
      <c r="C606" s="36" t="s">
        <v>5941</v>
      </c>
      <c r="D606" s="37">
        <v>323</v>
      </c>
      <c r="E606" s="36">
        <v>1</v>
      </c>
      <c r="F606" s="36" t="s">
        <v>6278</v>
      </c>
      <c r="G606" s="36" t="s">
        <v>6331</v>
      </c>
      <c r="H606" s="36" t="s">
        <v>6332</v>
      </c>
      <c r="I606" s="36" t="s">
        <v>4077</v>
      </c>
      <c r="J606" s="36" t="s">
        <v>29</v>
      </c>
      <c r="Q606" s="78">
        <v>4</v>
      </c>
      <c r="R606" s="79" t="s">
        <v>38</v>
      </c>
      <c r="T606" s="81">
        <v>4</v>
      </c>
      <c r="V606" s="82">
        <v>1</v>
      </c>
      <c r="W606" s="83">
        <v>5</v>
      </c>
      <c r="AD606" s="36" t="s">
        <v>4676</v>
      </c>
      <c r="AF606" s="36" t="s">
        <v>6333</v>
      </c>
      <c r="AP606" s="86"/>
      <c r="AQ606" s="88"/>
      <c r="AR606" s="89"/>
      <c r="AS606" s="90"/>
      <c r="AV606" s="88"/>
      <c r="AW606" s="96"/>
      <c r="AX606" s="97"/>
      <c r="AY606" s="93"/>
      <c r="BB606" s="94"/>
    </row>
    <row r="607" spans="1:59" ht="15" customHeight="1">
      <c r="A607" s="36" t="s">
        <v>6238</v>
      </c>
      <c r="B607" s="36" t="s">
        <v>6334</v>
      </c>
      <c r="C607" s="36" t="s">
        <v>5941</v>
      </c>
      <c r="D607" s="37">
        <v>324</v>
      </c>
      <c r="E607" s="36">
        <v>4</v>
      </c>
      <c r="F607" s="36" t="s">
        <v>6278</v>
      </c>
      <c r="G607" s="36" t="s">
        <v>6335</v>
      </c>
      <c r="J607" s="36" t="s">
        <v>31</v>
      </c>
      <c r="X607" s="84">
        <v>1</v>
      </c>
      <c r="Y607" s="79">
        <v>1</v>
      </c>
      <c r="AD607" s="36" t="s">
        <v>6336</v>
      </c>
      <c r="AF607" s="36" t="s">
        <v>6337</v>
      </c>
      <c r="AP607" s="86"/>
      <c r="AQ607" s="88"/>
      <c r="AR607" s="89"/>
      <c r="AS607" s="90"/>
      <c r="AV607" s="88"/>
      <c r="AW607" s="96"/>
      <c r="AX607" s="97"/>
      <c r="AY607" s="93"/>
      <c r="BB607" s="94"/>
    </row>
    <row r="608" spans="1:59" ht="15" customHeight="1">
      <c r="A608" s="36" t="s">
        <v>6238</v>
      </c>
      <c r="B608" s="36" t="s">
        <v>6338</v>
      </c>
      <c r="C608" s="36" t="s">
        <v>5941</v>
      </c>
      <c r="D608" s="37">
        <v>325</v>
      </c>
      <c r="E608" s="36">
        <v>2</v>
      </c>
      <c r="F608" s="36" t="s">
        <v>6278</v>
      </c>
      <c r="G608" s="36" t="s">
        <v>6339</v>
      </c>
      <c r="J608" s="36" t="s">
        <v>31</v>
      </c>
      <c r="X608" s="84">
        <v>2</v>
      </c>
      <c r="Y608" s="79">
        <v>3</v>
      </c>
      <c r="AD608" s="36" t="s">
        <v>6336</v>
      </c>
      <c r="AF608" s="36" t="s">
        <v>6340</v>
      </c>
      <c r="AP608" s="86"/>
      <c r="AQ608" s="88"/>
      <c r="AR608" s="89"/>
      <c r="AS608" s="90"/>
      <c r="AV608" s="88"/>
      <c r="AW608" s="96"/>
      <c r="AX608" s="97"/>
      <c r="AY608" s="93"/>
      <c r="BB608" s="94"/>
    </row>
    <row r="609" spans="1:59" ht="15" customHeight="1">
      <c r="A609" s="36" t="s">
        <v>6238</v>
      </c>
      <c r="B609" s="36" t="s">
        <v>6341</v>
      </c>
      <c r="C609" s="36" t="s">
        <v>5941</v>
      </c>
      <c r="D609" s="37">
        <v>326</v>
      </c>
      <c r="E609" s="36">
        <v>2</v>
      </c>
      <c r="F609" s="36" t="s">
        <v>6278</v>
      </c>
      <c r="G609" s="36" t="s">
        <v>6342</v>
      </c>
      <c r="J609" s="36" t="s">
        <v>31</v>
      </c>
      <c r="X609" s="84">
        <v>4</v>
      </c>
      <c r="Y609" s="79">
        <v>2</v>
      </c>
      <c r="AD609" s="36" t="s">
        <v>6336</v>
      </c>
      <c r="AF609" s="36" t="s">
        <v>6343</v>
      </c>
      <c r="AP609" s="86"/>
      <c r="AQ609" s="88"/>
      <c r="AR609" s="89"/>
      <c r="AS609" s="90"/>
      <c r="AV609" s="88"/>
      <c r="AW609" s="96"/>
      <c r="AX609" s="97"/>
      <c r="AY609" s="93"/>
      <c r="BB609" s="94"/>
    </row>
    <row r="610" spans="1:59" ht="15" customHeight="1">
      <c r="A610" s="36" t="s">
        <v>6238</v>
      </c>
      <c r="B610" s="36" t="s">
        <v>6344</v>
      </c>
      <c r="C610" s="36" t="s">
        <v>5941</v>
      </c>
      <c r="D610" s="37">
        <v>327</v>
      </c>
      <c r="E610" s="36">
        <v>1</v>
      </c>
      <c r="F610" s="36" t="s">
        <v>6278</v>
      </c>
      <c r="G610" s="36" t="s">
        <v>6345</v>
      </c>
      <c r="J610" s="36" t="s">
        <v>31</v>
      </c>
      <c r="X610" s="84">
        <v>3</v>
      </c>
      <c r="Y610" s="79" t="s">
        <v>4927</v>
      </c>
      <c r="AD610" s="36" t="s">
        <v>6336</v>
      </c>
      <c r="AF610" s="36" t="s">
        <v>6346</v>
      </c>
      <c r="AP610" s="86"/>
      <c r="AQ610" s="88"/>
      <c r="AR610" s="89"/>
      <c r="AS610" s="90"/>
      <c r="AV610" s="88"/>
      <c r="AW610" s="96"/>
      <c r="AX610" s="97"/>
      <c r="AY610" s="93"/>
      <c r="BB610" s="94"/>
    </row>
    <row r="611" spans="1:59" ht="15" customHeight="1">
      <c r="A611" s="36" t="s">
        <v>6238</v>
      </c>
      <c r="B611" s="36" t="s">
        <v>6347</v>
      </c>
      <c r="C611" s="36" t="s">
        <v>5941</v>
      </c>
      <c r="D611" s="37">
        <v>328</v>
      </c>
      <c r="E611" s="36">
        <v>1</v>
      </c>
      <c r="F611" s="36" t="s">
        <v>6278</v>
      </c>
      <c r="G611" s="36" t="s">
        <v>6348</v>
      </c>
      <c r="J611" s="36" t="s">
        <v>31</v>
      </c>
      <c r="X611" s="84">
        <v>2</v>
      </c>
      <c r="Y611" s="79" t="s">
        <v>4927</v>
      </c>
      <c r="AD611" s="36" t="s">
        <v>6336</v>
      </c>
      <c r="AF611" s="36" t="s">
        <v>6349</v>
      </c>
      <c r="AP611" s="86"/>
      <c r="AQ611" s="88"/>
      <c r="AR611" s="89"/>
      <c r="AS611" s="90"/>
      <c r="AV611" s="88"/>
      <c r="AW611" s="96"/>
      <c r="AX611" s="97"/>
      <c r="AY611" s="93"/>
      <c r="BB611" s="94"/>
    </row>
    <row r="612" spans="1:59" ht="15" customHeight="1">
      <c r="A612" s="36" t="s">
        <v>6238</v>
      </c>
      <c r="B612" s="36" t="s">
        <v>6350</v>
      </c>
      <c r="C612" s="36" t="s">
        <v>5941</v>
      </c>
      <c r="D612" s="37">
        <v>329</v>
      </c>
      <c r="E612" s="36">
        <v>3</v>
      </c>
      <c r="F612" s="36" t="s">
        <v>6278</v>
      </c>
      <c r="G612" s="36" t="s">
        <v>6351</v>
      </c>
      <c r="J612" s="36" t="s">
        <v>29</v>
      </c>
      <c r="Q612" s="78">
        <v>4</v>
      </c>
      <c r="R612" s="79">
        <v>2</v>
      </c>
      <c r="T612" s="81">
        <v>3</v>
      </c>
      <c r="V612" s="82">
        <v>1</v>
      </c>
      <c r="W612" s="83">
        <v>2</v>
      </c>
      <c r="AD612" s="36" t="s">
        <v>4344</v>
      </c>
      <c r="AF612" s="36" t="s">
        <v>6352</v>
      </c>
      <c r="AP612" s="86"/>
      <c r="AQ612" s="88"/>
      <c r="AR612" s="89"/>
      <c r="AS612" s="90"/>
      <c r="AV612" s="88"/>
      <c r="AW612" s="96"/>
      <c r="AX612" s="97"/>
      <c r="AY612" s="93"/>
      <c r="BB612" s="94"/>
    </row>
    <row r="613" spans="1:59" ht="15" customHeight="1">
      <c r="A613" s="36" t="s">
        <v>6238</v>
      </c>
      <c r="B613" s="36" t="s">
        <v>6353</v>
      </c>
      <c r="C613" s="36" t="s">
        <v>5941</v>
      </c>
      <c r="D613" s="37">
        <v>330</v>
      </c>
      <c r="E613" s="36">
        <v>2</v>
      </c>
      <c r="F613" s="36" t="s">
        <v>6278</v>
      </c>
      <c r="G613" s="36" t="s">
        <v>6354</v>
      </c>
      <c r="J613" s="36" t="s">
        <v>29</v>
      </c>
      <c r="Q613" s="78">
        <v>3</v>
      </c>
      <c r="R613" s="79">
        <v>5</v>
      </c>
      <c r="T613" s="81">
        <v>4</v>
      </c>
      <c r="V613" s="82">
        <v>2</v>
      </c>
      <c r="W613" s="83">
        <v>1</v>
      </c>
      <c r="AD613" s="36" t="s">
        <v>4344</v>
      </c>
      <c r="AF613" s="36" t="s">
        <v>6355</v>
      </c>
      <c r="AP613" s="86"/>
      <c r="AQ613" s="88"/>
      <c r="AR613" s="89"/>
      <c r="AS613" s="90"/>
      <c r="AV613" s="88"/>
      <c r="AW613" s="96"/>
      <c r="AX613" s="97"/>
      <c r="AY613" s="93"/>
      <c r="BB613" s="94"/>
    </row>
    <row r="614" spans="1:59" ht="15" customHeight="1">
      <c r="A614" s="36" t="s">
        <v>6238</v>
      </c>
      <c r="B614" s="36" t="s">
        <v>6356</v>
      </c>
      <c r="C614" s="36" t="s">
        <v>5941</v>
      </c>
      <c r="D614" s="37">
        <v>331</v>
      </c>
      <c r="E614" s="36">
        <v>3</v>
      </c>
      <c r="F614" s="36" t="s">
        <v>6278</v>
      </c>
      <c r="G614" s="36" t="s">
        <v>6357</v>
      </c>
      <c r="J614" s="36" t="s">
        <v>28</v>
      </c>
      <c r="AD614" s="36" t="s">
        <v>4333</v>
      </c>
      <c r="AF614" s="36" t="s">
        <v>6358</v>
      </c>
      <c r="AP614" s="86"/>
      <c r="AQ614" s="88"/>
      <c r="AR614" s="89"/>
      <c r="AS614" s="90"/>
      <c r="AV614" s="88"/>
      <c r="AW614" s="96"/>
      <c r="AX614" s="97"/>
      <c r="AY614" s="93"/>
      <c r="BB614" s="94"/>
    </row>
    <row r="615" spans="1:59" ht="15" customHeight="1">
      <c r="A615" s="36" t="s">
        <v>6238</v>
      </c>
      <c r="B615" s="36" t="s">
        <v>6359</v>
      </c>
      <c r="C615" s="36" t="s">
        <v>5941</v>
      </c>
      <c r="D615" s="37">
        <v>332</v>
      </c>
      <c r="E615" s="36">
        <v>2</v>
      </c>
      <c r="F615" s="36" t="s">
        <v>6278</v>
      </c>
      <c r="G615" s="36" t="s">
        <v>6360</v>
      </c>
      <c r="J615" s="36" t="s">
        <v>28</v>
      </c>
      <c r="AD615" s="36" t="s">
        <v>4333</v>
      </c>
      <c r="AF615" s="36" t="s">
        <v>6361</v>
      </c>
      <c r="AP615" s="86"/>
      <c r="AQ615" s="88"/>
      <c r="AR615" s="89"/>
      <c r="AS615" s="90"/>
      <c r="AV615" s="88"/>
      <c r="AW615" s="96"/>
      <c r="AX615" s="97"/>
      <c r="AY615" s="93"/>
      <c r="BB615" s="94"/>
    </row>
    <row r="616" spans="1:59" ht="15" customHeight="1">
      <c r="A616" s="36" t="s">
        <v>6238</v>
      </c>
      <c r="B616" s="36" t="s">
        <v>6362</v>
      </c>
      <c r="C616" s="36" t="s">
        <v>5941</v>
      </c>
      <c r="D616" s="37">
        <v>333</v>
      </c>
      <c r="E616" s="36">
        <v>3</v>
      </c>
      <c r="F616" s="36" t="s">
        <v>6278</v>
      </c>
      <c r="G616" s="36" t="s">
        <v>6363</v>
      </c>
      <c r="J616" s="36" t="s">
        <v>28</v>
      </c>
      <c r="AD616" s="36" t="s">
        <v>4335</v>
      </c>
      <c r="AF616" s="36" t="s">
        <v>6364</v>
      </c>
      <c r="AP616" s="86"/>
      <c r="AQ616" s="88"/>
      <c r="AR616" s="89"/>
      <c r="AS616" s="90"/>
      <c r="AV616" s="88"/>
      <c r="AW616" s="96"/>
      <c r="AX616" s="97"/>
      <c r="AY616" s="93"/>
      <c r="BB616" s="94"/>
    </row>
    <row r="617" spans="1:59" ht="15" customHeight="1">
      <c r="A617" s="53" t="s">
        <v>6791</v>
      </c>
      <c r="B617" s="53" t="s">
        <v>6681</v>
      </c>
      <c r="C617" s="53" t="s">
        <v>6214</v>
      </c>
      <c r="D617" s="157">
        <v>1</v>
      </c>
      <c r="E617" s="53">
        <v>1</v>
      </c>
      <c r="F617" s="53"/>
      <c r="G617" s="53" t="s">
        <v>6366</v>
      </c>
      <c r="H617" s="36" t="s">
        <v>6367</v>
      </c>
      <c r="I617" s="36" t="s">
        <v>4077</v>
      </c>
      <c r="J617" s="36" t="s">
        <v>4057</v>
      </c>
      <c r="K617" s="36" t="s">
        <v>4052</v>
      </c>
      <c r="O617" s="76">
        <v>3</v>
      </c>
      <c r="P617" s="77">
        <v>2</v>
      </c>
      <c r="Q617" s="78">
        <v>5</v>
      </c>
      <c r="R617" s="79">
        <v>3</v>
      </c>
      <c r="T617" s="81">
        <v>9</v>
      </c>
      <c r="U617" s="76">
        <v>5</v>
      </c>
      <c r="AD617" s="36" t="s">
        <v>6368</v>
      </c>
      <c r="AF617" s="36" t="s">
        <v>6369</v>
      </c>
      <c r="AI617" s="36" t="s">
        <v>6366</v>
      </c>
      <c r="AJ617" s="36" t="s">
        <v>6367</v>
      </c>
      <c r="AK617" s="36" t="s">
        <v>4077</v>
      </c>
      <c r="AL617" s="36" t="s">
        <v>4057</v>
      </c>
      <c r="AM617" s="36" t="s">
        <v>4052</v>
      </c>
      <c r="AP617" s="86"/>
      <c r="AQ617" s="88"/>
      <c r="AR617" s="89"/>
      <c r="AS617" s="90"/>
      <c r="AV617" s="88"/>
      <c r="AW617" s="96"/>
      <c r="AX617" s="97"/>
      <c r="AY617" s="93"/>
      <c r="BB617" s="94"/>
      <c r="BE617" s="36" t="s">
        <v>6368</v>
      </c>
      <c r="BG617" s="36" t="s">
        <v>6370</v>
      </c>
    </row>
    <row r="618" spans="1:59" ht="15" customHeight="1">
      <c r="A618" s="36" t="s">
        <v>6791</v>
      </c>
      <c r="B618" s="36" t="s">
        <v>6682</v>
      </c>
      <c r="C618" s="36" t="s">
        <v>6214</v>
      </c>
      <c r="D618" s="37">
        <v>2</v>
      </c>
      <c r="E618" s="36">
        <v>1</v>
      </c>
      <c r="G618" s="36" t="s">
        <v>6371</v>
      </c>
      <c r="H618" s="36" t="s">
        <v>6372</v>
      </c>
      <c r="I618" s="36" t="s">
        <v>4077</v>
      </c>
      <c r="J618" s="36" t="s">
        <v>4057</v>
      </c>
      <c r="K618" s="36" t="s">
        <v>4053</v>
      </c>
      <c r="O618" s="76">
        <v>4</v>
      </c>
      <c r="P618" s="77">
        <v>4</v>
      </c>
      <c r="Q618" s="78">
        <v>2</v>
      </c>
      <c r="R618" s="79">
        <v>2</v>
      </c>
      <c r="T618" s="81">
        <v>7</v>
      </c>
      <c r="U618" s="76">
        <v>7</v>
      </c>
      <c r="AD618" s="36" t="s">
        <v>6373</v>
      </c>
      <c r="AF618" s="36" t="s">
        <v>6374</v>
      </c>
      <c r="AI618" s="36" t="s">
        <v>6371</v>
      </c>
      <c r="AJ618" s="36" t="s">
        <v>6372</v>
      </c>
      <c r="AK618" s="36" t="s">
        <v>4077</v>
      </c>
      <c r="AL618" s="36" t="s">
        <v>4057</v>
      </c>
      <c r="AM618" s="36" t="s">
        <v>4053</v>
      </c>
      <c r="AP618" s="86"/>
      <c r="AQ618" s="88"/>
      <c r="AR618" s="89"/>
      <c r="AS618" s="90"/>
      <c r="AV618" s="88"/>
      <c r="AW618" s="96"/>
      <c r="AX618" s="97"/>
      <c r="AY618" s="93"/>
      <c r="BB618" s="94"/>
      <c r="BE618" s="36" t="s">
        <v>6373</v>
      </c>
      <c r="BG618" s="36" t="s">
        <v>6375</v>
      </c>
    </row>
    <row r="619" spans="1:59" ht="15" customHeight="1">
      <c r="A619" s="36" t="s">
        <v>6791</v>
      </c>
      <c r="B619" s="36" t="s">
        <v>6683</v>
      </c>
      <c r="C619" s="36" t="s">
        <v>6214</v>
      </c>
      <c r="D619" s="37">
        <v>3</v>
      </c>
      <c r="E619" s="36">
        <v>1</v>
      </c>
      <c r="G619" s="36" t="s">
        <v>6376</v>
      </c>
      <c r="H619" s="36" t="s">
        <v>6377</v>
      </c>
      <c r="I619" s="36" t="s">
        <v>4077</v>
      </c>
      <c r="J619" s="36" t="s">
        <v>4057</v>
      </c>
      <c r="K619" s="36" t="s">
        <v>4055</v>
      </c>
      <c r="O619" s="76">
        <v>4</v>
      </c>
      <c r="P619" s="77">
        <v>2</v>
      </c>
      <c r="Q619" s="78">
        <v>2</v>
      </c>
      <c r="R619" s="79">
        <v>4</v>
      </c>
      <c r="T619" s="81">
        <v>5</v>
      </c>
      <c r="U619" s="76">
        <v>9</v>
      </c>
      <c r="AD619" s="36" t="s">
        <v>6378</v>
      </c>
      <c r="AF619" s="36" t="s">
        <v>6379</v>
      </c>
      <c r="AI619" s="36" t="s">
        <v>6376</v>
      </c>
      <c r="AJ619" s="36" t="s">
        <v>6377</v>
      </c>
      <c r="AK619" s="36" t="s">
        <v>4077</v>
      </c>
      <c r="AL619" s="36" t="s">
        <v>4057</v>
      </c>
      <c r="AM619" s="36" t="s">
        <v>4055</v>
      </c>
      <c r="AP619" s="86"/>
      <c r="AQ619" s="88"/>
      <c r="AR619" s="89"/>
      <c r="AS619" s="90"/>
      <c r="AV619" s="88"/>
      <c r="AW619" s="96"/>
      <c r="AX619" s="97"/>
      <c r="AY619" s="93"/>
      <c r="BB619" s="94"/>
      <c r="BE619" s="36" t="s">
        <v>6378</v>
      </c>
      <c r="BG619" s="36" t="s">
        <v>6380</v>
      </c>
    </row>
    <row r="620" spans="1:59" ht="15" customHeight="1">
      <c r="A620" s="36" t="s">
        <v>6791</v>
      </c>
      <c r="B620" s="36" t="s">
        <v>6684</v>
      </c>
      <c r="C620" s="36" t="s">
        <v>6214</v>
      </c>
      <c r="D620" s="37">
        <v>4</v>
      </c>
      <c r="E620" s="36">
        <v>1</v>
      </c>
      <c r="G620" s="36" t="s">
        <v>6381</v>
      </c>
      <c r="H620" s="36" t="s">
        <v>6382</v>
      </c>
      <c r="I620" s="36" t="s">
        <v>4077</v>
      </c>
      <c r="J620" s="36" t="s">
        <v>4057</v>
      </c>
      <c r="K620" s="36" t="s">
        <v>4054</v>
      </c>
      <c r="O620" s="76">
        <v>5</v>
      </c>
      <c r="P620" s="77">
        <v>2</v>
      </c>
      <c r="Q620" s="78">
        <v>3</v>
      </c>
      <c r="R620" s="79">
        <v>3</v>
      </c>
      <c r="T620" s="81">
        <v>6</v>
      </c>
      <c r="U620" s="76">
        <v>8</v>
      </c>
      <c r="AD620" s="36" t="s">
        <v>4104</v>
      </c>
      <c r="AF620" s="36" t="s">
        <v>6383</v>
      </c>
      <c r="AI620" s="36" t="s">
        <v>6381</v>
      </c>
      <c r="AJ620" s="36" t="s">
        <v>6382</v>
      </c>
      <c r="AK620" s="36" t="s">
        <v>4077</v>
      </c>
      <c r="AL620" s="36" t="s">
        <v>4057</v>
      </c>
      <c r="AM620" s="36" t="s">
        <v>4054</v>
      </c>
      <c r="AP620" s="86"/>
      <c r="AQ620" s="88"/>
      <c r="AR620" s="89"/>
      <c r="AS620" s="90"/>
      <c r="AV620" s="88"/>
      <c r="AW620" s="96"/>
      <c r="AX620" s="97"/>
      <c r="AY620" s="93"/>
      <c r="BB620" s="94"/>
      <c r="BE620" s="36" t="s">
        <v>4104</v>
      </c>
      <c r="BG620" s="36" t="s">
        <v>6384</v>
      </c>
    </row>
    <row r="621" spans="1:59" ht="15" customHeight="1">
      <c r="A621" s="36" t="s">
        <v>6791</v>
      </c>
      <c r="B621" s="36" t="s">
        <v>6685</v>
      </c>
      <c r="C621" s="36" t="s">
        <v>6214</v>
      </c>
      <c r="D621" s="37">
        <v>5</v>
      </c>
      <c r="E621" s="36">
        <v>1</v>
      </c>
      <c r="G621" s="36" t="s">
        <v>6385</v>
      </c>
      <c r="H621" s="36" t="s">
        <v>6386</v>
      </c>
      <c r="I621" s="36" t="s">
        <v>4077</v>
      </c>
      <c r="J621" s="36" t="s">
        <v>4057</v>
      </c>
      <c r="K621" s="36" t="s">
        <v>4056</v>
      </c>
      <c r="O621" s="76">
        <v>3</v>
      </c>
      <c r="P621" s="77">
        <v>2</v>
      </c>
      <c r="Q621" s="78">
        <v>4</v>
      </c>
      <c r="R621" s="79">
        <v>3</v>
      </c>
      <c r="T621" s="81">
        <v>8</v>
      </c>
      <c r="U621" s="76">
        <v>6</v>
      </c>
      <c r="AD621" s="36" t="s">
        <v>6387</v>
      </c>
      <c r="AF621" s="36" t="s">
        <v>6388</v>
      </c>
      <c r="AI621" s="36" t="s">
        <v>6385</v>
      </c>
      <c r="AJ621" s="36" t="s">
        <v>6386</v>
      </c>
      <c r="AK621" s="36" t="s">
        <v>4077</v>
      </c>
      <c r="AL621" s="36" t="s">
        <v>4057</v>
      </c>
      <c r="AM621" s="36" t="s">
        <v>4056</v>
      </c>
      <c r="AP621" s="86"/>
      <c r="AQ621" s="88"/>
      <c r="AR621" s="89"/>
      <c r="AS621" s="90"/>
      <c r="AV621" s="88"/>
      <c r="AW621" s="96"/>
      <c r="AX621" s="97"/>
      <c r="AY621" s="93"/>
      <c r="BB621" s="94"/>
      <c r="BE621" s="36" t="s">
        <v>6387</v>
      </c>
      <c r="BG621" s="36" t="s">
        <v>6389</v>
      </c>
    </row>
    <row r="622" spans="1:59" ht="15" customHeight="1">
      <c r="A622" s="36" t="s">
        <v>6791</v>
      </c>
      <c r="B622" s="36" t="s">
        <v>6686</v>
      </c>
      <c r="C622" s="36" t="s">
        <v>6214</v>
      </c>
      <c r="D622" s="37">
        <v>6</v>
      </c>
      <c r="E622" s="36">
        <v>1</v>
      </c>
      <c r="G622" s="36" t="s">
        <v>6390</v>
      </c>
      <c r="H622" s="36" t="s">
        <v>6391</v>
      </c>
      <c r="I622" s="36" t="s">
        <v>4077</v>
      </c>
      <c r="J622" s="36" t="s">
        <v>4057</v>
      </c>
      <c r="K622" s="36" t="s">
        <v>26</v>
      </c>
      <c r="O622" s="76">
        <v>3</v>
      </c>
      <c r="P622" s="77">
        <v>3</v>
      </c>
      <c r="Q622" s="78">
        <v>3</v>
      </c>
      <c r="R622" s="79">
        <v>3</v>
      </c>
      <c r="T622" s="81">
        <v>6</v>
      </c>
      <c r="U622" s="76">
        <v>6</v>
      </c>
      <c r="AD622" s="36" t="s">
        <v>5184</v>
      </c>
      <c r="AF622" s="36" t="s">
        <v>6392</v>
      </c>
      <c r="AI622" s="36" t="s">
        <v>6390</v>
      </c>
      <c r="AJ622" s="36" t="s">
        <v>6391</v>
      </c>
      <c r="AK622" s="36" t="s">
        <v>4077</v>
      </c>
      <c r="AL622" s="36" t="s">
        <v>4057</v>
      </c>
      <c r="AM622" s="36" t="s">
        <v>26</v>
      </c>
      <c r="AP622" s="86"/>
      <c r="AQ622" s="88"/>
      <c r="AR622" s="89"/>
      <c r="AS622" s="90"/>
      <c r="AV622" s="88"/>
      <c r="AW622" s="96"/>
      <c r="AX622" s="97"/>
      <c r="AY622" s="93"/>
      <c r="BB622" s="94"/>
      <c r="BE622" s="36" t="s">
        <v>5184</v>
      </c>
      <c r="BG622" s="36" t="s">
        <v>6393</v>
      </c>
    </row>
    <row r="623" spans="1:59" ht="15" customHeight="1">
      <c r="A623" s="36" t="s">
        <v>6791</v>
      </c>
      <c r="B623" s="36" t="s">
        <v>6687</v>
      </c>
      <c r="C623" s="36" t="s">
        <v>6214</v>
      </c>
      <c r="D623" s="37">
        <v>7</v>
      </c>
      <c r="E623" s="36">
        <v>1</v>
      </c>
      <c r="G623" s="36" t="s">
        <v>6394</v>
      </c>
      <c r="J623" s="36" t="s">
        <v>4166</v>
      </c>
      <c r="K623" s="36" t="s">
        <v>26</v>
      </c>
      <c r="Q623" s="78">
        <v>4</v>
      </c>
      <c r="AB623" s="36" t="s">
        <v>6395</v>
      </c>
      <c r="AD623" s="36" t="s">
        <v>5668</v>
      </c>
      <c r="AF623" s="36" t="s">
        <v>6396</v>
      </c>
      <c r="AP623" s="86"/>
      <c r="AQ623" s="88"/>
      <c r="AR623" s="89"/>
      <c r="AS623" s="90"/>
      <c r="AV623" s="88"/>
      <c r="AW623" s="96"/>
      <c r="AX623" s="97"/>
      <c r="AY623" s="93"/>
      <c r="BB623" s="94"/>
    </row>
    <row r="624" spans="1:59" ht="15" customHeight="1">
      <c r="A624" s="36" t="s">
        <v>6791</v>
      </c>
      <c r="B624" s="36" t="s">
        <v>6688</v>
      </c>
      <c r="C624" s="36" t="s">
        <v>6214</v>
      </c>
      <c r="D624" s="37">
        <v>8</v>
      </c>
      <c r="E624" s="36">
        <v>1</v>
      </c>
      <c r="G624" s="36" t="s">
        <v>6397</v>
      </c>
      <c r="J624" s="36" t="s">
        <v>28</v>
      </c>
      <c r="K624" s="36" t="s">
        <v>26</v>
      </c>
      <c r="M624" s="36" t="s">
        <v>4502</v>
      </c>
      <c r="AD624" s="36" t="s">
        <v>5303</v>
      </c>
      <c r="AF624" s="36" t="s">
        <v>6398</v>
      </c>
      <c r="AP624" s="86"/>
      <c r="AQ624" s="88"/>
      <c r="AR624" s="89"/>
      <c r="AS624" s="90"/>
      <c r="AV624" s="88"/>
      <c r="AW624" s="96"/>
      <c r="AX624" s="97"/>
      <c r="AY624" s="93"/>
      <c r="BB624" s="94"/>
    </row>
    <row r="625" spans="1:59" ht="15" customHeight="1">
      <c r="A625" s="36" t="s">
        <v>6791</v>
      </c>
      <c r="B625" s="36" t="s">
        <v>6689</v>
      </c>
      <c r="C625" s="36" t="s">
        <v>6214</v>
      </c>
      <c r="D625" s="37">
        <v>9</v>
      </c>
      <c r="E625" s="36">
        <v>1</v>
      </c>
      <c r="G625" s="36" t="s">
        <v>6399</v>
      </c>
      <c r="H625" s="36" t="s">
        <v>6400</v>
      </c>
      <c r="I625" s="36" t="s">
        <v>4077</v>
      </c>
      <c r="J625" s="36" t="s">
        <v>4111</v>
      </c>
      <c r="K625" s="36" t="s">
        <v>26</v>
      </c>
      <c r="AD625" s="36" t="s">
        <v>6401</v>
      </c>
      <c r="AF625" s="36" t="s">
        <v>6402</v>
      </c>
      <c r="AI625" s="36" t="s">
        <v>6399</v>
      </c>
      <c r="AJ625" s="36" t="s">
        <v>6403</v>
      </c>
      <c r="AK625" s="36" t="s">
        <v>4077</v>
      </c>
      <c r="AL625" s="36" t="s">
        <v>4111</v>
      </c>
      <c r="AM625" s="36" t="s">
        <v>26</v>
      </c>
      <c r="AP625" s="86"/>
      <c r="AQ625" s="88"/>
      <c r="AR625" s="89"/>
      <c r="AS625" s="90"/>
      <c r="AV625" s="88"/>
      <c r="AW625" s="96"/>
      <c r="AX625" s="97"/>
      <c r="AY625" s="93"/>
      <c r="BB625" s="94"/>
      <c r="BE625" s="36" t="s">
        <v>6404</v>
      </c>
      <c r="BG625" s="36" t="s">
        <v>6405</v>
      </c>
    </row>
    <row r="626" spans="1:59" ht="15" customHeight="1">
      <c r="A626" s="36" t="s">
        <v>6791</v>
      </c>
      <c r="B626" s="36" t="s">
        <v>6690</v>
      </c>
      <c r="C626" s="36" t="s">
        <v>6214</v>
      </c>
      <c r="D626" s="37">
        <v>10</v>
      </c>
      <c r="E626" s="36">
        <v>1</v>
      </c>
      <c r="G626" s="36" t="s">
        <v>6406</v>
      </c>
      <c r="H626" s="36" t="s">
        <v>6407</v>
      </c>
      <c r="J626" s="36" t="s">
        <v>4111</v>
      </c>
      <c r="K626" s="36" t="s">
        <v>26</v>
      </c>
      <c r="N626" s="75">
        <v>3</v>
      </c>
      <c r="S626" s="126">
        <v>2</v>
      </c>
      <c r="AB626" s="36" t="s">
        <v>4936</v>
      </c>
      <c r="AD626" s="36" t="s">
        <v>4143</v>
      </c>
      <c r="AF626" s="36" t="s">
        <v>6408</v>
      </c>
      <c r="AP626" s="86"/>
      <c r="AQ626" s="88"/>
      <c r="AR626" s="89"/>
      <c r="AS626" s="90"/>
      <c r="AV626" s="88"/>
      <c r="AW626" s="96"/>
      <c r="AX626" s="97"/>
      <c r="AY626" s="93"/>
      <c r="BB626" s="94"/>
    </row>
    <row r="627" spans="1:59" ht="15" customHeight="1">
      <c r="A627" s="36" t="s">
        <v>6791</v>
      </c>
      <c r="B627" s="36" t="s">
        <v>6691</v>
      </c>
      <c r="C627" s="36" t="s">
        <v>6214</v>
      </c>
      <c r="D627" s="37">
        <v>11</v>
      </c>
      <c r="E627" s="36">
        <v>1</v>
      </c>
      <c r="G627" s="36" t="s">
        <v>6409</v>
      </c>
      <c r="H627" s="36" t="s">
        <v>6410</v>
      </c>
      <c r="J627" s="36" t="s">
        <v>4111</v>
      </c>
      <c r="K627" s="36" t="s">
        <v>26</v>
      </c>
      <c r="M627" s="36" t="s">
        <v>4502</v>
      </c>
      <c r="AC627" s="36" t="s">
        <v>4112</v>
      </c>
      <c r="AD627" s="36" t="s">
        <v>6411</v>
      </c>
      <c r="AF627" s="36" t="s">
        <v>6412</v>
      </c>
      <c r="AP627" s="86"/>
      <c r="AQ627" s="88"/>
      <c r="AR627" s="89"/>
      <c r="AS627" s="90"/>
      <c r="AV627" s="88"/>
      <c r="AW627" s="96"/>
      <c r="AX627" s="97"/>
      <c r="AY627" s="93"/>
      <c r="BB627" s="94"/>
    </row>
    <row r="628" spans="1:59" ht="15" customHeight="1">
      <c r="A628" s="36" t="s">
        <v>6791</v>
      </c>
      <c r="B628" s="36" t="s">
        <v>6692</v>
      </c>
      <c r="C628" s="36" t="s">
        <v>6214</v>
      </c>
      <c r="D628" s="37">
        <v>12</v>
      </c>
      <c r="E628" s="36">
        <v>3</v>
      </c>
      <c r="G628" s="36" t="s">
        <v>6413</v>
      </c>
      <c r="J628" s="36" t="s">
        <v>27</v>
      </c>
      <c r="K628" s="36" t="s">
        <v>26</v>
      </c>
      <c r="O628" s="76">
        <v>1</v>
      </c>
      <c r="R628" s="79">
        <v>1</v>
      </c>
      <c r="S628" s="126">
        <v>1</v>
      </c>
      <c r="AB628" s="36" t="s">
        <v>6414</v>
      </c>
      <c r="AD628" s="36" t="s">
        <v>4133</v>
      </c>
      <c r="AF628" s="36" t="s">
        <v>6415</v>
      </c>
      <c r="AP628" s="86"/>
      <c r="AQ628" s="88"/>
      <c r="AR628" s="89"/>
      <c r="AS628" s="90"/>
      <c r="AV628" s="88"/>
      <c r="AW628" s="96"/>
      <c r="AX628" s="97"/>
      <c r="AY628" s="93"/>
      <c r="BB628" s="94"/>
    </row>
    <row r="629" spans="1:59" ht="15" customHeight="1">
      <c r="A629" s="36" t="s">
        <v>6791</v>
      </c>
      <c r="B629" s="36" t="s">
        <v>6693</v>
      </c>
      <c r="C629" s="36" t="s">
        <v>6214</v>
      </c>
      <c r="D629" s="37">
        <v>13</v>
      </c>
      <c r="E629" s="36">
        <v>1</v>
      </c>
      <c r="G629" s="36" t="s">
        <v>6416</v>
      </c>
      <c r="J629" s="36" t="s">
        <v>28</v>
      </c>
      <c r="K629" s="36" t="s">
        <v>26</v>
      </c>
      <c r="M629" s="36" t="s">
        <v>4502</v>
      </c>
      <c r="AD629" s="36" t="s">
        <v>4293</v>
      </c>
      <c r="AF629" s="36" t="s">
        <v>6417</v>
      </c>
      <c r="AP629" s="86"/>
      <c r="AQ629" s="88"/>
      <c r="AR629" s="89"/>
      <c r="AS629" s="90"/>
      <c r="AV629" s="88"/>
      <c r="AW629" s="96"/>
      <c r="AX629" s="97"/>
      <c r="AY629" s="93"/>
      <c r="BB629" s="94"/>
    </row>
    <row r="630" spans="1:59" ht="15" customHeight="1">
      <c r="A630" s="36" t="s">
        <v>6791</v>
      </c>
      <c r="B630" s="36" t="s">
        <v>6694</v>
      </c>
      <c r="C630" s="36" t="s">
        <v>6214</v>
      </c>
      <c r="D630" s="37">
        <v>14</v>
      </c>
      <c r="E630" s="36">
        <v>1</v>
      </c>
      <c r="G630" s="36" t="s">
        <v>6418</v>
      </c>
      <c r="H630" s="36" t="s">
        <v>6419</v>
      </c>
      <c r="J630" s="36" t="s">
        <v>4111</v>
      </c>
      <c r="K630" s="36" t="s">
        <v>26</v>
      </c>
      <c r="N630" s="75">
        <v>2</v>
      </c>
      <c r="O630" s="76">
        <v>1</v>
      </c>
      <c r="P630" s="77">
        <v>1</v>
      </c>
      <c r="S630" s="126">
        <v>1</v>
      </c>
      <c r="AB630" s="36" t="s">
        <v>6420</v>
      </c>
      <c r="AD630" s="36" t="s">
        <v>6421</v>
      </c>
      <c r="AF630" s="36" t="s">
        <v>6422</v>
      </c>
      <c r="AP630" s="86"/>
      <c r="AQ630" s="88"/>
      <c r="AR630" s="89"/>
      <c r="AS630" s="90"/>
      <c r="AV630" s="88"/>
      <c r="AW630" s="96"/>
      <c r="AX630" s="97"/>
      <c r="AY630" s="93"/>
      <c r="BB630" s="94"/>
    </row>
    <row r="631" spans="1:59" ht="15" customHeight="1">
      <c r="A631" s="36" t="s">
        <v>6791</v>
      </c>
      <c r="B631" s="36" t="s">
        <v>6695</v>
      </c>
      <c r="C631" s="36" t="s">
        <v>6214</v>
      </c>
      <c r="D631" s="37">
        <v>15</v>
      </c>
      <c r="E631" s="36">
        <v>1</v>
      </c>
      <c r="G631" s="36" t="s">
        <v>6423</v>
      </c>
      <c r="J631" s="36" t="s">
        <v>28</v>
      </c>
      <c r="K631" s="36" t="s">
        <v>26</v>
      </c>
      <c r="M631" s="36" t="s">
        <v>4502</v>
      </c>
      <c r="AD631" s="36" t="s">
        <v>4116</v>
      </c>
      <c r="AF631" s="36" t="s">
        <v>6424</v>
      </c>
      <c r="AP631" s="86"/>
      <c r="AQ631" s="88"/>
      <c r="AR631" s="89"/>
      <c r="AS631" s="90"/>
      <c r="AV631" s="88"/>
      <c r="AW631" s="96"/>
      <c r="AX631" s="97"/>
      <c r="AY631" s="93"/>
      <c r="BB631" s="94"/>
    </row>
    <row r="632" spans="1:59" ht="15" customHeight="1">
      <c r="A632" s="36" t="s">
        <v>6791</v>
      </c>
      <c r="B632" s="36" t="s">
        <v>6696</v>
      </c>
      <c r="C632" s="36" t="s">
        <v>6214</v>
      </c>
      <c r="D632" s="37">
        <v>16</v>
      </c>
      <c r="E632" s="36">
        <v>1</v>
      </c>
      <c r="G632" s="36" t="s">
        <v>6425</v>
      </c>
      <c r="J632" s="36" t="s">
        <v>27</v>
      </c>
      <c r="K632" s="36" t="s">
        <v>26</v>
      </c>
      <c r="O632" s="76">
        <v>1</v>
      </c>
      <c r="Q632" s="78">
        <v>1</v>
      </c>
      <c r="S632" s="126">
        <v>1</v>
      </c>
      <c r="AA632" s="85">
        <v>1</v>
      </c>
      <c r="AB632" s="36" t="s">
        <v>6426</v>
      </c>
      <c r="AD632" s="36" t="s">
        <v>4116</v>
      </c>
      <c r="AF632" s="36" t="s">
        <v>6427</v>
      </c>
      <c r="AP632" s="86"/>
      <c r="AQ632" s="88"/>
      <c r="AR632" s="89"/>
      <c r="AS632" s="90"/>
      <c r="AV632" s="88"/>
      <c r="AW632" s="96"/>
      <c r="AX632" s="97"/>
      <c r="AY632" s="93"/>
      <c r="BB632" s="94"/>
    </row>
    <row r="633" spans="1:59" ht="15" customHeight="1">
      <c r="A633" s="36" t="s">
        <v>6791</v>
      </c>
      <c r="B633" s="36" t="s">
        <v>6697</v>
      </c>
      <c r="C633" s="36" t="s">
        <v>6214</v>
      </c>
      <c r="D633" s="37">
        <v>17</v>
      </c>
      <c r="E633" s="36">
        <v>1</v>
      </c>
      <c r="G633" s="36" t="s">
        <v>6428</v>
      </c>
      <c r="J633" s="36" t="s">
        <v>29</v>
      </c>
      <c r="K633" s="36" t="s">
        <v>26</v>
      </c>
      <c r="M633" s="36" t="s">
        <v>4502</v>
      </c>
      <c r="Q633" s="78">
        <v>3</v>
      </c>
      <c r="R633" s="79">
        <v>2</v>
      </c>
      <c r="T633" s="81">
        <v>3</v>
      </c>
      <c r="V633" s="82">
        <v>1</v>
      </c>
      <c r="W633" s="83">
        <v>1</v>
      </c>
      <c r="AD633" s="36" t="s">
        <v>4314</v>
      </c>
      <c r="AF633" s="36" t="s">
        <v>6429</v>
      </c>
      <c r="AP633" s="86"/>
      <c r="AQ633" s="88"/>
      <c r="AR633" s="89"/>
      <c r="AS633" s="90"/>
      <c r="AV633" s="88"/>
      <c r="AW633" s="96"/>
      <c r="AX633" s="97"/>
      <c r="AY633" s="93"/>
      <c r="BB633" s="94"/>
    </row>
    <row r="634" spans="1:59" ht="15" customHeight="1">
      <c r="A634" s="36" t="s">
        <v>6791</v>
      </c>
      <c r="B634" s="36" t="s">
        <v>6698</v>
      </c>
      <c r="C634" s="36" t="s">
        <v>6214</v>
      </c>
      <c r="D634" s="37">
        <v>18</v>
      </c>
      <c r="E634" s="36">
        <v>2</v>
      </c>
      <c r="G634" s="36" t="s">
        <v>6430</v>
      </c>
      <c r="J634" s="36" t="s">
        <v>27</v>
      </c>
      <c r="K634" s="36" t="s">
        <v>26</v>
      </c>
      <c r="N634" s="75">
        <v>0</v>
      </c>
      <c r="S634" s="126">
        <v>2</v>
      </c>
      <c r="AB634" s="36" t="s">
        <v>4936</v>
      </c>
      <c r="AD634" s="36" t="s">
        <v>4194</v>
      </c>
      <c r="AF634" s="36" t="s">
        <v>6431</v>
      </c>
      <c r="AP634" s="86"/>
      <c r="AQ634" s="88"/>
      <c r="AR634" s="89"/>
      <c r="AS634" s="90"/>
      <c r="AV634" s="88"/>
      <c r="AW634" s="96"/>
      <c r="AX634" s="97"/>
      <c r="AY634" s="93"/>
      <c r="BB634" s="94"/>
    </row>
    <row r="635" spans="1:59" ht="15" customHeight="1">
      <c r="A635" s="36" t="s">
        <v>6791</v>
      </c>
      <c r="B635" s="36" t="s">
        <v>6699</v>
      </c>
      <c r="C635" s="36" t="s">
        <v>6214</v>
      </c>
      <c r="D635" s="37">
        <v>19</v>
      </c>
      <c r="E635" s="36">
        <v>2</v>
      </c>
      <c r="G635" s="36" t="s">
        <v>6432</v>
      </c>
      <c r="J635" s="36" t="s">
        <v>28</v>
      </c>
      <c r="K635" s="36" t="s">
        <v>26</v>
      </c>
      <c r="M635" s="36" t="s">
        <v>4502</v>
      </c>
      <c r="AD635" s="36" t="s">
        <v>4138</v>
      </c>
      <c r="AF635" s="36" t="s">
        <v>6433</v>
      </c>
      <c r="AP635" s="86"/>
      <c r="AQ635" s="88"/>
      <c r="AR635" s="89"/>
      <c r="AS635" s="90"/>
      <c r="AV635" s="88"/>
      <c r="AW635" s="96"/>
      <c r="AX635" s="97"/>
      <c r="AY635" s="93"/>
      <c r="BB635" s="94"/>
    </row>
    <row r="636" spans="1:59" ht="15" customHeight="1">
      <c r="A636" s="36" t="s">
        <v>6791</v>
      </c>
      <c r="B636" s="36" t="s">
        <v>6700</v>
      </c>
      <c r="C636" s="36" t="s">
        <v>6214</v>
      </c>
      <c r="D636" s="37">
        <v>20</v>
      </c>
      <c r="E636" s="36">
        <v>2</v>
      </c>
      <c r="G636" s="36" t="s">
        <v>6434</v>
      </c>
      <c r="J636" s="36" t="s">
        <v>4111</v>
      </c>
      <c r="K636" s="36" t="s">
        <v>4052</v>
      </c>
      <c r="L636" s="36">
        <v>0</v>
      </c>
      <c r="N636" s="75">
        <v>3</v>
      </c>
      <c r="Q636" s="78">
        <v>1</v>
      </c>
      <c r="AB636" s="36" t="s">
        <v>4060</v>
      </c>
      <c r="AC636" s="36" t="s">
        <v>4112</v>
      </c>
      <c r="AD636" s="36" t="s">
        <v>4113</v>
      </c>
      <c r="AF636" s="36" t="s">
        <v>6435</v>
      </c>
      <c r="AP636" s="86"/>
      <c r="AQ636" s="88"/>
      <c r="AR636" s="89"/>
      <c r="AS636" s="90"/>
      <c r="AV636" s="88"/>
      <c r="AW636" s="96"/>
      <c r="AX636" s="97"/>
      <c r="AY636" s="93"/>
      <c r="BB636" s="94"/>
    </row>
    <row r="637" spans="1:59" ht="15" customHeight="1">
      <c r="A637" s="36" t="s">
        <v>6791</v>
      </c>
      <c r="B637" s="36" t="s">
        <v>6701</v>
      </c>
      <c r="C637" s="36" t="s">
        <v>6214</v>
      </c>
      <c r="D637" s="37">
        <v>21</v>
      </c>
      <c r="E637" s="36">
        <v>2</v>
      </c>
      <c r="G637" s="36" t="s">
        <v>6436</v>
      </c>
      <c r="J637" s="36" t="s">
        <v>4111</v>
      </c>
      <c r="K637" s="36" t="s">
        <v>4052</v>
      </c>
      <c r="L637" s="36">
        <v>0</v>
      </c>
      <c r="N637" s="75">
        <v>3</v>
      </c>
      <c r="O637" s="76">
        <v>1</v>
      </c>
      <c r="T637" s="81">
        <v>3</v>
      </c>
      <c r="AB637" s="36" t="s">
        <v>4058</v>
      </c>
      <c r="AD637" s="36" t="s">
        <v>4143</v>
      </c>
      <c r="AF637" s="36" t="s">
        <v>6437</v>
      </c>
      <c r="AP637" s="86"/>
      <c r="AQ637" s="88"/>
      <c r="AR637" s="89"/>
      <c r="AS637" s="90"/>
      <c r="AV637" s="88"/>
      <c r="AW637" s="96"/>
      <c r="AX637" s="97"/>
      <c r="AY637" s="93"/>
      <c r="BB637" s="94"/>
    </row>
    <row r="638" spans="1:59" ht="15" customHeight="1">
      <c r="A638" s="36" t="s">
        <v>6791</v>
      </c>
      <c r="B638" s="36" t="s">
        <v>6702</v>
      </c>
      <c r="C638" s="36" t="s">
        <v>6214</v>
      </c>
      <c r="D638" s="37">
        <v>22</v>
      </c>
      <c r="E638" s="36">
        <v>2</v>
      </c>
      <c r="G638" s="36" t="s">
        <v>6438</v>
      </c>
      <c r="J638" s="36" t="s">
        <v>27</v>
      </c>
      <c r="K638" s="36" t="s">
        <v>4052</v>
      </c>
      <c r="L638" s="36">
        <v>0</v>
      </c>
      <c r="N638" s="75">
        <v>0</v>
      </c>
      <c r="O638" s="76">
        <v>1</v>
      </c>
      <c r="Q638" s="78">
        <v>1</v>
      </c>
      <c r="AB638" s="36" t="s">
        <v>6033</v>
      </c>
      <c r="AD638" s="36" t="s">
        <v>5659</v>
      </c>
      <c r="AF638" s="36" t="s">
        <v>6439</v>
      </c>
      <c r="AP638" s="86"/>
      <c r="AQ638" s="88"/>
      <c r="AR638" s="89"/>
      <c r="AS638" s="90"/>
      <c r="AV638" s="88"/>
      <c r="AW638" s="96"/>
      <c r="AX638" s="97"/>
      <c r="AY638" s="93"/>
      <c r="BB638" s="94"/>
    </row>
    <row r="639" spans="1:59" ht="15" customHeight="1">
      <c r="A639" s="36" t="s">
        <v>6791</v>
      </c>
      <c r="B639" s="36" t="s">
        <v>6703</v>
      </c>
      <c r="C639" s="36" t="s">
        <v>6214</v>
      </c>
      <c r="D639" s="37">
        <v>23</v>
      </c>
      <c r="E639" s="36">
        <v>2</v>
      </c>
      <c r="G639" s="36" t="s">
        <v>6440</v>
      </c>
      <c r="J639" s="36" t="s">
        <v>27</v>
      </c>
      <c r="K639" s="36" t="s">
        <v>4052</v>
      </c>
      <c r="L639" s="36">
        <v>1</v>
      </c>
      <c r="N639" s="75">
        <v>0</v>
      </c>
      <c r="P639" s="77">
        <v>2</v>
      </c>
      <c r="AB639" s="36" t="s">
        <v>4938</v>
      </c>
      <c r="AD639" s="36" t="s">
        <v>4161</v>
      </c>
      <c r="AF639" s="36" t="s">
        <v>6441</v>
      </c>
      <c r="AP639" s="86"/>
      <c r="AQ639" s="88"/>
      <c r="AR639" s="89"/>
      <c r="AS639" s="90"/>
      <c r="AV639" s="88"/>
      <c r="AW639" s="96"/>
      <c r="AX639" s="97"/>
      <c r="AY639" s="93"/>
      <c r="BB639" s="94"/>
    </row>
    <row r="640" spans="1:59" ht="15" customHeight="1">
      <c r="A640" s="36" t="s">
        <v>6791</v>
      </c>
      <c r="B640" s="36" t="s">
        <v>6704</v>
      </c>
      <c r="C640" s="36" t="s">
        <v>6214</v>
      </c>
      <c r="D640" s="37">
        <v>24</v>
      </c>
      <c r="E640" s="36">
        <v>2</v>
      </c>
      <c r="G640" s="36" t="s">
        <v>6442</v>
      </c>
      <c r="J640" s="36" t="s">
        <v>4111</v>
      </c>
      <c r="K640" s="36" t="s">
        <v>4053</v>
      </c>
      <c r="L640" s="36">
        <v>0</v>
      </c>
      <c r="N640" s="75">
        <v>2</v>
      </c>
      <c r="R640" s="79">
        <v>1</v>
      </c>
      <c r="AB640" s="36" t="s">
        <v>4061</v>
      </c>
      <c r="AD640" s="36" t="s">
        <v>4143</v>
      </c>
      <c r="AF640" s="36" t="s">
        <v>6443</v>
      </c>
      <c r="AP640" s="86"/>
      <c r="AQ640" s="88"/>
      <c r="AR640" s="89"/>
      <c r="AS640" s="90"/>
      <c r="AV640" s="88"/>
      <c r="AW640" s="96"/>
      <c r="AX640" s="97"/>
      <c r="AY640" s="93"/>
      <c r="BB640" s="94"/>
    </row>
    <row r="641" spans="1:54" ht="15" customHeight="1">
      <c r="A641" s="36" t="s">
        <v>6791</v>
      </c>
      <c r="B641" s="36" t="s">
        <v>6705</v>
      </c>
      <c r="C641" s="36" t="s">
        <v>6214</v>
      </c>
      <c r="D641" s="37">
        <v>25</v>
      </c>
      <c r="E641" s="36">
        <v>2</v>
      </c>
      <c r="G641" s="36" t="s">
        <v>6444</v>
      </c>
      <c r="H641" s="36" t="s">
        <v>6445</v>
      </c>
      <c r="J641" s="36" t="s">
        <v>4111</v>
      </c>
      <c r="K641" s="36" t="s">
        <v>4053</v>
      </c>
      <c r="L641" s="36">
        <v>0</v>
      </c>
      <c r="N641" s="75">
        <v>0</v>
      </c>
      <c r="P641" s="77">
        <v>1</v>
      </c>
      <c r="AB641" s="36" t="s">
        <v>4059</v>
      </c>
      <c r="AC641" s="36" t="s">
        <v>4112</v>
      </c>
      <c r="AD641" s="36" t="s">
        <v>6446</v>
      </c>
      <c r="AF641" s="36" t="s">
        <v>6447</v>
      </c>
      <c r="AP641" s="86"/>
      <c r="AQ641" s="88"/>
      <c r="AR641" s="89"/>
      <c r="AS641" s="90"/>
      <c r="AV641" s="88"/>
      <c r="AW641" s="96"/>
      <c r="AX641" s="97"/>
      <c r="AY641" s="93"/>
      <c r="BB641" s="94"/>
    </row>
    <row r="642" spans="1:54" ht="15" customHeight="1">
      <c r="A642" s="36" t="s">
        <v>6791</v>
      </c>
      <c r="B642" s="36" t="s">
        <v>6706</v>
      </c>
      <c r="C642" s="36" t="s">
        <v>6214</v>
      </c>
      <c r="D642" s="37">
        <v>26</v>
      </c>
      <c r="E642" s="36">
        <v>2</v>
      </c>
      <c r="G642" s="36" t="s">
        <v>6448</v>
      </c>
      <c r="J642" s="36" t="s">
        <v>27</v>
      </c>
      <c r="K642" s="36" t="s">
        <v>4053</v>
      </c>
      <c r="L642" s="36">
        <v>0</v>
      </c>
      <c r="N642" s="75">
        <v>2</v>
      </c>
      <c r="S642" s="126">
        <v>1</v>
      </c>
      <c r="AB642" s="36" t="s">
        <v>4062</v>
      </c>
      <c r="AD642" s="36" t="s">
        <v>4194</v>
      </c>
      <c r="AF642" s="36" t="s">
        <v>6449</v>
      </c>
      <c r="AP642" s="86"/>
      <c r="AQ642" s="88"/>
      <c r="AR642" s="89"/>
      <c r="AS642" s="90"/>
      <c r="AV642" s="88"/>
      <c r="AW642" s="96"/>
      <c r="AX642" s="97"/>
      <c r="AY642" s="93"/>
      <c r="BB642" s="94"/>
    </row>
    <row r="643" spans="1:54" ht="15" customHeight="1">
      <c r="A643" s="36" t="s">
        <v>6791</v>
      </c>
      <c r="B643" s="36" t="s">
        <v>6707</v>
      </c>
      <c r="C643" s="36" t="s">
        <v>6214</v>
      </c>
      <c r="D643" s="37">
        <v>27</v>
      </c>
      <c r="E643" s="36">
        <v>2</v>
      </c>
      <c r="G643" s="36" t="s">
        <v>6450</v>
      </c>
      <c r="J643" s="36" t="s">
        <v>4111</v>
      </c>
      <c r="K643" s="36" t="s">
        <v>4053</v>
      </c>
      <c r="L643" s="36">
        <v>1</v>
      </c>
      <c r="N643" s="75">
        <v>3</v>
      </c>
      <c r="P643" s="77">
        <v>1</v>
      </c>
      <c r="AB643" s="36" t="s">
        <v>4059</v>
      </c>
      <c r="AD643" s="36" t="s">
        <v>4143</v>
      </c>
      <c r="AF643" s="36" t="s">
        <v>6451</v>
      </c>
      <c r="AP643" s="86"/>
      <c r="AQ643" s="88"/>
      <c r="AR643" s="89"/>
      <c r="AS643" s="90"/>
      <c r="AV643" s="88"/>
      <c r="AW643" s="96"/>
      <c r="AX643" s="97"/>
      <c r="AY643" s="93"/>
      <c r="BB643" s="94"/>
    </row>
    <row r="644" spans="1:54" ht="15" customHeight="1">
      <c r="A644" s="36" t="s">
        <v>6791</v>
      </c>
      <c r="B644" s="36" t="s">
        <v>6708</v>
      </c>
      <c r="C644" s="36" t="s">
        <v>6214</v>
      </c>
      <c r="D644" s="37">
        <v>28</v>
      </c>
      <c r="E644" s="36">
        <v>2</v>
      </c>
      <c r="G644" s="36" t="s">
        <v>6452</v>
      </c>
      <c r="J644" s="36" t="s">
        <v>4111</v>
      </c>
      <c r="K644" s="36" t="s">
        <v>4055</v>
      </c>
      <c r="L644" s="36">
        <v>0</v>
      </c>
      <c r="N644" s="75">
        <v>2</v>
      </c>
      <c r="R644" s="79">
        <v>1</v>
      </c>
      <c r="AB644" s="36" t="s">
        <v>4061</v>
      </c>
      <c r="AD644" s="36" t="s">
        <v>4143</v>
      </c>
      <c r="AF644" s="36" t="s">
        <v>6453</v>
      </c>
      <c r="AP644" s="86"/>
      <c r="AQ644" s="88"/>
      <c r="AR644" s="89"/>
      <c r="AS644" s="90"/>
      <c r="AV644" s="88"/>
      <c r="AW644" s="96"/>
      <c r="AX644" s="97"/>
      <c r="AY644" s="93"/>
      <c r="BB644" s="94"/>
    </row>
    <row r="645" spans="1:54" ht="15" customHeight="1">
      <c r="A645" s="36" t="s">
        <v>6791</v>
      </c>
      <c r="B645" s="36" t="s">
        <v>6709</v>
      </c>
      <c r="C645" s="36" t="s">
        <v>6214</v>
      </c>
      <c r="D645" s="37">
        <v>29</v>
      </c>
      <c r="E645" s="36">
        <v>2</v>
      </c>
      <c r="G645" s="36" t="s">
        <v>6454</v>
      </c>
      <c r="J645" s="36" t="s">
        <v>27</v>
      </c>
      <c r="K645" s="36" t="s">
        <v>4055</v>
      </c>
      <c r="L645" s="36">
        <v>0</v>
      </c>
      <c r="N645" s="75">
        <v>1</v>
      </c>
      <c r="P645" s="77">
        <v>1</v>
      </c>
      <c r="R645" s="79">
        <v>1</v>
      </c>
      <c r="AB645" s="36" t="s">
        <v>6169</v>
      </c>
      <c r="AD645" s="36" t="s">
        <v>5266</v>
      </c>
      <c r="AF645" s="36" t="s">
        <v>6455</v>
      </c>
      <c r="AP645" s="86"/>
      <c r="AQ645" s="88"/>
      <c r="AR645" s="89"/>
      <c r="AS645" s="90"/>
      <c r="AV645" s="88"/>
      <c r="AW645" s="96"/>
      <c r="AX645" s="97"/>
      <c r="AY645" s="93"/>
      <c r="BB645" s="94"/>
    </row>
    <row r="646" spans="1:54" ht="15" customHeight="1">
      <c r="A646" s="36" t="s">
        <v>6791</v>
      </c>
      <c r="B646" s="36" t="s">
        <v>6710</v>
      </c>
      <c r="C646" s="36" t="s">
        <v>6214</v>
      </c>
      <c r="D646" s="37">
        <v>30</v>
      </c>
      <c r="E646" s="36">
        <v>2</v>
      </c>
      <c r="G646" s="36" t="s">
        <v>6456</v>
      </c>
      <c r="J646" s="36" t="s">
        <v>27</v>
      </c>
      <c r="K646" s="36" t="s">
        <v>4055</v>
      </c>
      <c r="L646" s="36">
        <v>0</v>
      </c>
      <c r="N646" s="75">
        <v>0</v>
      </c>
      <c r="S646" s="126">
        <v>1</v>
      </c>
      <c r="AB646" s="36" t="s">
        <v>4062</v>
      </c>
      <c r="AD646" s="36" t="s">
        <v>6457</v>
      </c>
      <c r="AF646" s="36" t="s">
        <v>6458</v>
      </c>
      <c r="AP646" s="86"/>
      <c r="AQ646" s="88"/>
      <c r="AR646" s="89"/>
      <c r="AS646" s="90"/>
      <c r="AV646" s="88"/>
      <c r="AW646" s="96"/>
      <c r="AX646" s="97"/>
      <c r="AY646" s="93"/>
      <c r="BB646" s="94"/>
    </row>
    <row r="647" spans="1:54" ht="15" customHeight="1">
      <c r="A647" s="36" t="s">
        <v>6791</v>
      </c>
      <c r="B647" s="36" t="s">
        <v>6711</v>
      </c>
      <c r="C647" s="36" t="s">
        <v>6214</v>
      </c>
      <c r="D647" s="37">
        <v>31</v>
      </c>
      <c r="E647" s="36">
        <v>2</v>
      </c>
      <c r="G647" s="36" t="s">
        <v>6459</v>
      </c>
      <c r="J647" s="36" t="s">
        <v>4111</v>
      </c>
      <c r="K647" s="36" t="s">
        <v>4055</v>
      </c>
      <c r="L647" s="36">
        <v>1</v>
      </c>
      <c r="N647" s="75">
        <v>3</v>
      </c>
      <c r="P647" s="77">
        <v>1</v>
      </c>
      <c r="AB647" s="36" t="s">
        <v>4059</v>
      </c>
      <c r="AC647" s="36" t="s">
        <v>4112</v>
      </c>
      <c r="AD647" s="36" t="s">
        <v>6460</v>
      </c>
      <c r="AF647" s="36" t="s">
        <v>6461</v>
      </c>
      <c r="AP647" s="86"/>
      <c r="AQ647" s="88"/>
      <c r="AR647" s="89"/>
      <c r="AS647" s="90"/>
      <c r="AV647" s="88"/>
      <c r="AW647" s="96"/>
      <c r="AX647" s="97"/>
      <c r="AY647" s="93"/>
      <c r="BB647" s="94"/>
    </row>
    <row r="648" spans="1:54" ht="15" customHeight="1">
      <c r="A648" s="36" t="s">
        <v>6791</v>
      </c>
      <c r="B648" s="36" t="s">
        <v>6712</v>
      </c>
      <c r="C648" s="36" t="s">
        <v>6214</v>
      </c>
      <c r="D648" s="37">
        <v>32</v>
      </c>
      <c r="E648" s="36">
        <v>2</v>
      </c>
      <c r="G648" s="36" t="s">
        <v>6462</v>
      </c>
      <c r="J648" s="36" t="s">
        <v>4111</v>
      </c>
      <c r="K648" s="36" t="s">
        <v>4054</v>
      </c>
      <c r="L648" s="36">
        <v>0</v>
      </c>
      <c r="N648" s="75">
        <v>1</v>
      </c>
      <c r="O648" s="76">
        <v>1</v>
      </c>
      <c r="AB648" s="36" t="s">
        <v>4058</v>
      </c>
      <c r="AC648" s="36" t="s">
        <v>4232</v>
      </c>
      <c r="AD648" s="36" t="s">
        <v>4133</v>
      </c>
      <c r="AF648" s="36" t="s">
        <v>6463</v>
      </c>
      <c r="AP648" s="86"/>
      <c r="AQ648" s="88"/>
      <c r="AR648" s="89"/>
      <c r="AS648" s="90"/>
      <c r="AV648" s="88"/>
      <c r="AW648" s="96"/>
      <c r="AX648" s="97"/>
      <c r="AY648" s="93"/>
      <c r="BB648" s="94"/>
    </row>
    <row r="649" spans="1:54" ht="15" customHeight="1">
      <c r="A649" s="36" t="s">
        <v>6791</v>
      </c>
      <c r="B649" s="36" t="s">
        <v>6713</v>
      </c>
      <c r="C649" s="36" t="s">
        <v>6214</v>
      </c>
      <c r="D649" s="37">
        <v>33</v>
      </c>
      <c r="E649" s="36">
        <v>2</v>
      </c>
      <c r="G649" s="36" t="s">
        <v>6464</v>
      </c>
      <c r="J649" s="36" t="s">
        <v>27</v>
      </c>
      <c r="K649" s="36" t="s">
        <v>4054</v>
      </c>
      <c r="L649" s="36">
        <v>0</v>
      </c>
      <c r="N649" s="75">
        <v>0</v>
      </c>
      <c r="O649" s="76">
        <v>2</v>
      </c>
      <c r="AB649" s="36" t="s">
        <v>4948</v>
      </c>
      <c r="AD649" s="36" t="s">
        <v>5659</v>
      </c>
      <c r="AF649" s="36" t="s">
        <v>6465</v>
      </c>
      <c r="AP649" s="86"/>
      <c r="AQ649" s="88"/>
      <c r="AR649" s="89"/>
      <c r="AS649" s="90"/>
      <c r="AV649" s="88"/>
      <c r="AW649" s="96"/>
      <c r="AX649" s="97"/>
      <c r="AY649" s="93"/>
      <c r="BB649" s="94"/>
    </row>
    <row r="650" spans="1:54" ht="15" customHeight="1">
      <c r="A650" s="36" t="s">
        <v>6791</v>
      </c>
      <c r="B650" s="36" t="s">
        <v>6714</v>
      </c>
      <c r="C650" s="36" t="s">
        <v>6214</v>
      </c>
      <c r="D650" s="37">
        <v>34</v>
      </c>
      <c r="E650" s="36">
        <v>2</v>
      </c>
      <c r="G650" s="36" t="s">
        <v>6466</v>
      </c>
      <c r="J650" s="36" t="s">
        <v>27</v>
      </c>
      <c r="K650" s="36" t="s">
        <v>4054</v>
      </c>
      <c r="L650" s="36">
        <v>0</v>
      </c>
      <c r="N650" s="75">
        <v>3</v>
      </c>
      <c r="O650" s="76">
        <v>1</v>
      </c>
      <c r="R650" s="79">
        <v>1</v>
      </c>
      <c r="AB650" s="36" t="s">
        <v>6042</v>
      </c>
      <c r="AD650" s="36" t="s">
        <v>4133</v>
      </c>
      <c r="AF650" s="36" t="s">
        <v>6467</v>
      </c>
      <c r="AP650" s="86"/>
      <c r="AQ650" s="88"/>
      <c r="AR650" s="89"/>
      <c r="AS650" s="90"/>
      <c r="AV650" s="88"/>
      <c r="AW650" s="96"/>
      <c r="AX650" s="97"/>
      <c r="AY650" s="93"/>
      <c r="BB650" s="94"/>
    </row>
    <row r="651" spans="1:54" ht="15" customHeight="1">
      <c r="A651" s="36" t="s">
        <v>6791</v>
      </c>
      <c r="B651" s="36" t="s">
        <v>6715</v>
      </c>
      <c r="C651" s="36" t="s">
        <v>6214</v>
      </c>
      <c r="D651" s="37">
        <v>35</v>
      </c>
      <c r="E651" s="36">
        <v>2</v>
      </c>
      <c r="G651" s="36" t="s">
        <v>6468</v>
      </c>
      <c r="J651" s="36" t="s">
        <v>4111</v>
      </c>
      <c r="K651" s="36" t="s">
        <v>4054</v>
      </c>
      <c r="L651" s="36">
        <v>1</v>
      </c>
      <c r="N651" s="75">
        <v>3</v>
      </c>
      <c r="Q651" s="78">
        <v>1</v>
      </c>
      <c r="AB651" s="36" t="s">
        <v>4060</v>
      </c>
      <c r="AC651" s="36" t="s">
        <v>4112</v>
      </c>
      <c r="AD651" s="36" t="s">
        <v>6469</v>
      </c>
      <c r="AF651" s="36" t="s">
        <v>6470</v>
      </c>
      <c r="AP651" s="86"/>
      <c r="AQ651" s="88"/>
      <c r="AR651" s="89"/>
      <c r="AS651" s="90"/>
      <c r="AV651" s="88"/>
      <c r="AW651" s="96"/>
      <c r="AX651" s="97"/>
      <c r="AY651" s="93"/>
      <c r="BB651" s="94"/>
    </row>
    <row r="652" spans="1:54" ht="15" customHeight="1">
      <c r="A652" s="36" t="s">
        <v>6791</v>
      </c>
      <c r="B652" s="36" t="s">
        <v>6716</v>
      </c>
      <c r="C652" s="36" t="s">
        <v>6214</v>
      </c>
      <c r="D652" s="37">
        <v>36</v>
      </c>
      <c r="E652" s="36">
        <v>2</v>
      </c>
      <c r="G652" s="36" t="s">
        <v>6471</v>
      </c>
      <c r="J652" s="36" t="s">
        <v>4111</v>
      </c>
      <c r="K652" s="36" t="s">
        <v>4056</v>
      </c>
      <c r="L652" s="36">
        <v>0</v>
      </c>
      <c r="N652" s="75">
        <v>2</v>
      </c>
      <c r="P652" s="77">
        <v>1</v>
      </c>
      <c r="AB652" s="36" t="s">
        <v>4059</v>
      </c>
      <c r="AC652" s="36" t="s">
        <v>4112</v>
      </c>
      <c r="AD652" s="36" t="s">
        <v>4179</v>
      </c>
      <c r="AF652" s="36" t="s">
        <v>6472</v>
      </c>
      <c r="AP652" s="86"/>
      <c r="AQ652" s="88"/>
      <c r="AR652" s="89"/>
      <c r="AS652" s="90"/>
      <c r="AV652" s="88"/>
      <c r="AW652" s="96"/>
      <c r="AX652" s="97"/>
      <c r="AY652" s="93"/>
      <c r="BB652" s="94"/>
    </row>
    <row r="653" spans="1:54" ht="15" customHeight="1">
      <c r="A653" s="36" t="s">
        <v>6791</v>
      </c>
      <c r="B653" s="36" t="s">
        <v>6717</v>
      </c>
      <c r="C653" s="36" t="s">
        <v>6214</v>
      </c>
      <c r="D653" s="37">
        <v>37</v>
      </c>
      <c r="E653" s="36">
        <v>2</v>
      </c>
      <c r="G653" s="36" t="s">
        <v>6473</v>
      </c>
      <c r="J653" s="36" t="s">
        <v>4111</v>
      </c>
      <c r="K653" s="36" t="s">
        <v>4056</v>
      </c>
      <c r="L653" s="36">
        <v>0</v>
      </c>
      <c r="N653" s="75">
        <v>2</v>
      </c>
      <c r="Q653" s="78">
        <v>1</v>
      </c>
      <c r="AB653" s="36" t="s">
        <v>4060</v>
      </c>
      <c r="AC653" s="36" t="s">
        <v>4112</v>
      </c>
      <c r="AD653" s="36" t="s">
        <v>6474</v>
      </c>
      <c r="AF653" s="36" t="s">
        <v>6475</v>
      </c>
      <c r="AP653" s="86"/>
      <c r="AQ653" s="88"/>
      <c r="AR653" s="89"/>
      <c r="AS653" s="90"/>
      <c r="AV653" s="88"/>
      <c r="AW653" s="96"/>
      <c r="AX653" s="97"/>
      <c r="AY653" s="93"/>
      <c r="BB653" s="94"/>
    </row>
    <row r="654" spans="1:54" ht="15" customHeight="1">
      <c r="A654" s="36" t="s">
        <v>6791</v>
      </c>
      <c r="B654" s="36" t="s">
        <v>6718</v>
      </c>
      <c r="C654" s="36" t="s">
        <v>6214</v>
      </c>
      <c r="D654" s="37">
        <v>38</v>
      </c>
      <c r="E654" s="36">
        <v>2</v>
      </c>
      <c r="G654" s="36" t="s">
        <v>6476</v>
      </c>
      <c r="J654" s="36" t="s">
        <v>27</v>
      </c>
      <c r="K654" s="36" t="s">
        <v>4056</v>
      </c>
      <c r="L654" s="36">
        <v>0</v>
      </c>
      <c r="N654" s="75">
        <v>1</v>
      </c>
      <c r="R654" s="79">
        <v>2</v>
      </c>
      <c r="AB654" s="36" t="s">
        <v>4949</v>
      </c>
      <c r="AD654" s="36" t="s">
        <v>6477</v>
      </c>
      <c r="AF654" s="36" t="s">
        <v>6478</v>
      </c>
      <c r="AP654" s="86"/>
      <c r="AQ654" s="88"/>
      <c r="AR654" s="89"/>
      <c r="AS654" s="90"/>
      <c r="AV654" s="88"/>
      <c r="AW654" s="96"/>
      <c r="AX654" s="97"/>
      <c r="AY654" s="93"/>
      <c r="BB654" s="94"/>
    </row>
    <row r="655" spans="1:54" ht="15" customHeight="1">
      <c r="A655" s="36" t="s">
        <v>6791</v>
      </c>
      <c r="B655" s="36" t="s">
        <v>6719</v>
      </c>
      <c r="C655" s="36" t="s">
        <v>6214</v>
      </c>
      <c r="D655" s="37">
        <v>39</v>
      </c>
      <c r="E655" s="36">
        <v>2</v>
      </c>
      <c r="G655" s="36" t="s">
        <v>6479</v>
      </c>
      <c r="J655" s="36" t="s">
        <v>4166</v>
      </c>
      <c r="K655" s="36" t="s">
        <v>4056</v>
      </c>
      <c r="L655" s="36">
        <v>0</v>
      </c>
      <c r="P655" s="77">
        <v>1</v>
      </c>
      <c r="Q655" s="78">
        <v>1</v>
      </c>
      <c r="R655" s="79">
        <v>1</v>
      </c>
      <c r="AB655" s="36" t="s">
        <v>6480</v>
      </c>
      <c r="AD655" s="36" t="s">
        <v>4266</v>
      </c>
      <c r="AF655" s="36" t="s">
        <v>6481</v>
      </c>
      <c r="AP655" s="86"/>
      <c r="AQ655" s="88"/>
      <c r="AR655" s="89"/>
      <c r="AS655" s="90"/>
      <c r="AV655" s="88"/>
      <c r="AW655" s="96"/>
      <c r="AX655" s="97"/>
      <c r="AY655" s="93"/>
      <c r="BB655" s="94"/>
    </row>
    <row r="656" spans="1:54" ht="15" customHeight="1">
      <c r="A656" s="36" t="s">
        <v>6791</v>
      </c>
      <c r="B656" s="36" t="s">
        <v>6720</v>
      </c>
      <c r="C656" s="36" t="s">
        <v>6214</v>
      </c>
      <c r="D656" s="37">
        <v>40</v>
      </c>
      <c r="E656" s="36">
        <v>2</v>
      </c>
      <c r="G656" s="36" t="s">
        <v>6482</v>
      </c>
      <c r="J656" s="36" t="s">
        <v>28</v>
      </c>
      <c r="K656" s="36" t="s">
        <v>26</v>
      </c>
      <c r="M656" s="36" t="s">
        <v>4545</v>
      </c>
      <c r="AD656" s="36" t="s">
        <v>5303</v>
      </c>
      <c r="AF656" s="36" t="s">
        <v>6483</v>
      </c>
      <c r="AP656" s="86"/>
      <c r="AQ656" s="88"/>
      <c r="AR656" s="89"/>
      <c r="AS656" s="90"/>
      <c r="AV656" s="88"/>
      <c r="AW656" s="96"/>
      <c r="AX656" s="97"/>
      <c r="AY656" s="93"/>
      <c r="BB656" s="94"/>
    </row>
    <row r="657" spans="1:59" ht="15" customHeight="1">
      <c r="A657" s="36" t="s">
        <v>6791</v>
      </c>
      <c r="B657" s="36" t="s">
        <v>6721</v>
      </c>
      <c r="C657" s="36" t="s">
        <v>6214</v>
      </c>
      <c r="D657" s="37">
        <v>41</v>
      </c>
      <c r="E657" s="36">
        <v>1</v>
      </c>
      <c r="G657" s="36" t="s">
        <v>6484</v>
      </c>
      <c r="J657" s="36" t="s">
        <v>28</v>
      </c>
      <c r="K657" s="36" t="s">
        <v>26</v>
      </c>
      <c r="M657" s="36" t="s">
        <v>4545</v>
      </c>
      <c r="AD657" s="36" t="s">
        <v>6485</v>
      </c>
      <c r="AF657" s="36" t="s">
        <v>6486</v>
      </c>
      <c r="AP657" s="86"/>
      <c r="AQ657" s="88"/>
      <c r="AR657" s="89"/>
      <c r="AS657" s="90"/>
      <c r="AV657" s="88"/>
      <c r="AW657" s="96"/>
      <c r="AX657" s="97"/>
      <c r="AY657" s="93"/>
      <c r="BB657" s="94"/>
    </row>
    <row r="658" spans="1:59" ht="15" customHeight="1">
      <c r="A658" s="36" t="s">
        <v>6791</v>
      </c>
      <c r="B658" s="36" t="s">
        <v>6722</v>
      </c>
      <c r="C658" s="36" t="s">
        <v>6214</v>
      </c>
      <c r="D658" s="37">
        <v>42</v>
      </c>
      <c r="E658" s="36">
        <v>1</v>
      </c>
      <c r="G658" s="36" t="s">
        <v>6487</v>
      </c>
      <c r="I658" s="36" t="s">
        <v>4077</v>
      </c>
      <c r="J658" s="36" t="s">
        <v>29</v>
      </c>
      <c r="K658" s="36" t="s">
        <v>26</v>
      </c>
      <c r="M658" s="36" t="s">
        <v>4545</v>
      </c>
      <c r="Q658" s="78">
        <v>3</v>
      </c>
      <c r="R658" s="79">
        <v>3</v>
      </c>
      <c r="T658" s="81">
        <v>2</v>
      </c>
      <c r="V658" s="82">
        <v>1</v>
      </c>
      <c r="W658" s="83">
        <v>1</v>
      </c>
      <c r="AD658" s="36" t="s">
        <v>6488</v>
      </c>
      <c r="AF658" s="36" t="s">
        <v>6489</v>
      </c>
      <c r="AP658" s="86"/>
      <c r="AQ658" s="88"/>
      <c r="AR658" s="89"/>
      <c r="AS658" s="90"/>
      <c r="AV658" s="88"/>
      <c r="AW658" s="96"/>
      <c r="AX658" s="97"/>
      <c r="AY658" s="93"/>
      <c r="BB658" s="94"/>
    </row>
    <row r="659" spans="1:59" ht="15" customHeight="1">
      <c r="A659" s="36" t="s">
        <v>6791</v>
      </c>
      <c r="B659" s="36" t="s">
        <v>6723</v>
      </c>
      <c r="C659" s="36" t="s">
        <v>6214</v>
      </c>
      <c r="D659" s="37">
        <v>43</v>
      </c>
      <c r="E659" s="36">
        <v>1</v>
      </c>
      <c r="F659" s="36" t="s">
        <v>6490</v>
      </c>
      <c r="G659" s="36" t="s">
        <v>6490</v>
      </c>
      <c r="H659" s="46" t="s">
        <v>4563</v>
      </c>
      <c r="J659" s="36" t="s">
        <v>4472</v>
      </c>
      <c r="AF659" s="36" t="s">
        <v>6491</v>
      </c>
      <c r="AI659" s="36" t="s">
        <v>6490</v>
      </c>
      <c r="AJ659" s="36" t="s">
        <v>4564</v>
      </c>
      <c r="AL659" s="36" t="s">
        <v>4472</v>
      </c>
      <c r="AM659" s="36" t="s">
        <v>6280</v>
      </c>
      <c r="AP659" s="86"/>
      <c r="AQ659" s="88"/>
      <c r="AR659" s="89"/>
      <c r="AS659" s="90"/>
      <c r="AV659" s="88"/>
      <c r="AW659" s="96"/>
      <c r="AX659" s="97"/>
      <c r="AY659" s="93"/>
      <c r="BB659" s="94"/>
      <c r="BG659" s="36" t="s">
        <v>6492</v>
      </c>
    </row>
    <row r="660" spans="1:59" ht="15" customHeight="1">
      <c r="A660" s="36" t="s">
        <v>6791</v>
      </c>
      <c r="B660" s="36" t="s">
        <v>6724</v>
      </c>
      <c r="C660" s="36" t="s">
        <v>6214</v>
      </c>
      <c r="D660" s="37">
        <v>44</v>
      </c>
      <c r="E660" s="36">
        <v>1</v>
      </c>
      <c r="F660" s="36" t="s">
        <v>6490</v>
      </c>
      <c r="G660" s="36" t="s">
        <v>6493</v>
      </c>
      <c r="J660" s="36" t="s">
        <v>4473</v>
      </c>
      <c r="L660" s="36">
        <v>1</v>
      </c>
      <c r="Z660" s="81">
        <v>6</v>
      </c>
      <c r="AI660" s="36" t="s">
        <v>6494</v>
      </c>
      <c r="AL660" s="36" t="s">
        <v>4473</v>
      </c>
      <c r="AM660" s="36" t="s">
        <v>6280</v>
      </c>
      <c r="AN660" s="36">
        <v>1</v>
      </c>
      <c r="AP660" s="86"/>
      <c r="AQ660" s="88"/>
      <c r="AR660" s="89"/>
      <c r="AS660" s="90"/>
      <c r="AV660" s="88"/>
      <c r="AW660" s="96"/>
      <c r="AX660" s="97"/>
      <c r="AY660" s="93"/>
      <c r="BB660" s="94"/>
      <c r="BG660" s="36" t="s">
        <v>6495</v>
      </c>
    </row>
    <row r="661" spans="1:59" ht="15" customHeight="1">
      <c r="A661" s="36" t="s">
        <v>6791</v>
      </c>
      <c r="B661" s="36" t="s">
        <v>6725</v>
      </c>
      <c r="C661" s="36" t="s">
        <v>6214</v>
      </c>
      <c r="D661" s="37">
        <v>45</v>
      </c>
      <c r="E661" s="36">
        <v>1</v>
      </c>
      <c r="F661" s="36" t="s">
        <v>6490</v>
      </c>
      <c r="G661" s="36" t="s">
        <v>6496</v>
      </c>
      <c r="J661" s="36" t="s">
        <v>4473</v>
      </c>
      <c r="L661" s="36">
        <v>2</v>
      </c>
      <c r="Z661" s="81">
        <v>6</v>
      </c>
      <c r="AF661" s="36" t="s">
        <v>6497</v>
      </c>
      <c r="AI661" s="36" t="s">
        <v>6498</v>
      </c>
      <c r="AL661" s="36" t="s">
        <v>4473</v>
      </c>
      <c r="AM661" s="36" t="s">
        <v>6280</v>
      </c>
      <c r="AN661" s="36">
        <v>2</v>
      </c>
      <c r="AP661" s="86"/>
      <c r="AQ661" s="88"/>
      <c r="AR661" s="89"/>
      <c r="AS661" s="90"/>
      <c r="AV661" s="88"/>
      <c r="AW661" s="96"/>
      <c r="AX661" s="97"/>
      <c r="AY661" s="93"/>
      <c r="BB661" s="94"/>
      <c r="BG661" s="36" t="s">
        <v>6499</v>
      </c>
    </row>
    <row r="662" spans="1:59" ht="15" customHeight="1">
      <c r="A662" s="36" t="s">
        <v>6791</v>
      </c>
      <c r="B662" s="36" t="s">
        <v>6726</v>
      </c>
      <c r="C662" s="36" t="s">
        <v>6214</v>
      </c>
      <c r="D662" s="37">
        <v>46</v>
      </c>
      <c r="E662" s="36">
        <v>1</v>
      </c>
      <c r="F662" s="36" t="s">
        <v>6490</v>
      </c>
      <c r="G662" s="36" t="s">
        <v>6500</v>
      </c>
      <c r="J662" s="36" t="s">
        <v>4475</v>
      </c>
      <c r="L662" s="36">
        <v>1</v>
      </c>
      <c r="Y662" s="79" t="s">
        <v>4966</v>
      </c>
      <c r="AI662" s="36" t="s">
        <v>6501</v>
      </c>
      <c r="AL662" s="36" t="s">
        <v>4475</v>
      </c>
      <c r="AM662" s="36" t="s">
        <v>6280</v>
      </c>
      <c r="AN662" s="36">
        <v>1</v>
      </c>
      <c r="AP662" s="86"/>
      <c r="AQ662" s="88"/>
      <c r="AR662" s="89"/>
      <c r="AS662" s="90"/>
      <c r="AV662" s="88"/>
      <c r="AW662" s="96"/>
      <c r="AX662" s="97"/>
      <c r="AY662" s="93"/>
      <c r="BB662" s="94"/>
      <c r="BG662" s="36" t="s">
        <v>6502</v>
      </c>
    </row>
    <row r="663" spans="1:59" ht="15" customHeight="1">
      <c r="A663" s="36" t="s">
        <v>6791</v>
      </c>
      <c r="B663" s="36" t="s">
        <v>6727</v>
      </c>
      <c r="C663" s="36" t="s">
        <v>6214</v>
      </c>
      <c r="D663" s="37">
        <v>47</v>
      </c>
      <c r="E663" s="36">
        <v>1</v>
      </c>
      <c r="F663" s="36" t="s">
        <v>6490</v>
      </c>
      <c r="G663" s="36" t="s">
        <v>6503</v>
      </c>
      <c r="J663" s="36" t="s">
        <v>4475</v>
      </c>
      <c r="L663" s="36">
        <v>2</v>
      </c>
      <c r="Y663" s="79" t="s">
        <v>38</v>
      </c>
      <c r="AF663" s="36" t="s">
        <v>6504</v>
      </c>
      <c r="AI663" s="36" t="s">
        <v>6505</v>
      </c>
      <c r="AL663" s="36" t="s">
        <v>4475</v>
      </c>
      <c r="AM663" s="36" t="s">
        <v>6280</v>
      </c>
      <c r="AN663" s="36">
        <v>2</v>
      </c>
      <c r="AP663" s="86"/>
      <c r="AQ663" s="88"/>
      <c r="AR663" s="89"/>
      <c r="AS663" s="90"/>
      <c r="AV663" s="88"/>
      <c r="AW663" s="96"/>
      <c r="AX663" s="97"/>
      <c r="AY663" s="93"/>
      <c r="BB663" s="94"/>
      <c r="BG663" s="36" t="s">
        <v>6506</v>
      </c>
    </row>
    <row r="664" spans="1:59" ht="15" customHeight="1">
      <c r="A664" s="36" t="s">
        <v>6791</v>
      </c>
      <c r="B664" s="36" t="s">
        <v>6728</v>
      </c>
      <c r="C664" s="36" t="s">
        <v>6214</v>
      </c>
      <c r="D664" s="37">
        <v>47</v>
      </c>
      <c r="E664" s="36">
        <v>1</v>
      </c>
      <c r="F664" s="36" t="s">
        <v>6490</v>
      </c>
      <c r="G664" s="36" t="s">
        <v>6503</v>
      </c>
      <c r="J664" s="36" t="s">
        <v>4475</v>
      </c>
      <c r="L664" s="36">
        <v>2</v>
      </c>
      <c r="AF664" s="36" t="s">
        <v>6504</v>
      </c>
      <c r="AI664" s="36" t="s">
        <v>6507</v>
      </c>
      <c r="AL664" s="36" t="s">
        <v>4475</v>
      </c>
      <c r="AM664" s="36" t="s">
        <v>6280</v>
      </c>
      <c r="AN664" s="36">
        <v>2</v>
      </c>
      <c r="AP664" s="86"/>
      <c r="AQ664" s="88"/>
      <c r="AR664" s="89"/>
      <c r="AS664" s="90"/>
      <c r="AV664" s="88"/>
      <c r="AW664" s="96"/>
      <c r="AX664" s="97"/>
      <c r="AY664" s="93"/>
      <c r="BB664" s="94"/>
      <c r="BG664" s="36" t="s">
        <v>6508</v>
      </c>
    </row>
    <row r="665" spans="1:59" ht="15" customHeight="1">
      <c r="A665" s="36" t="s">
        <v>6791</v>
      </c>
      <c r="B665" s="36" t="s">
        <v>6729</v>
      </c>
      <c r="C665" s="36" t="s">
        <v>6214</v>
      </c>
      <c r="D665" s="37">
        <v>47</v>
      </c>
      <c r="E665" s="36">
        <v>1</v>
      </c>
      <c r="F665" s="36" t="s">
        <v>6490</v>
      </c>
      <c r="G665" s="36" t="s">
        <v>6503</v>
      </c>
      <c r="J665" s="36" t="s">
        <v>4475</v>
      </c>
      <c r="L665" s="36">
        <v>2</v>
      </c>
      <c r="AF665" s="36" t="s">
        <v>6504</v>
      </c>
      <c r="AI665" s="36" t="s">
        <v>6509</v>
      </c>
      <c r="AL665" s="36" t="s">
        <v>4475</v>
      </c>
      <c r="AM665" s="36" t="s">
        <v>6280</v>
      </c>
      <c r="AN665" s="36">
        <v>2</v>
      </c>
      <c r="AP665" s="86"/>
      <c r="AQ665" s="88"/>
      <c r="AR665" s="89"/>
      <c r="AS665" s="90"/>
      <c r="AV665" s="88"/>
      <c r="AW665" s="96"/>
      <c r="AX665" s="97"/>
      <c r="AY665" s="93"/>
      <c r="BB665" s="94"/>
      <c r="BG665" s="36" t="s">
        <v>6510</v>
      </c>
    </row>
    <row r="666" spans="1:59" ht="15" customHeight="1">
      <c r="A666" s="36" t="s">
        <v>6791</v>
      </c>
      <c r="B666" s="36" t="s">
        <v>6730</v>
      </c>
      <c r="C666" s="36" t="s">
        <v>6214</v>
      </c>
      <c r="D666" s="37">
        <v>48</v>
      </c>
      <c r="E666" s="36">
        <v>1</v>
      </c>
      <c r="F666" s="36" t="s">
        <v>6490</v>
      </c>
      <c r="G666" s="36" t="s">
        <v>6490</v>
      </c>
      <c r="J666" s="36" t="s">
        <v>4475</v>
      </c>
      <c r="L666" s="36">
        <v>3</v>
      </c>
      <c r="AF666" s="36" t="s">
        <v>6511</v>
      </c>
      <c r="AI666" s="36" t="s">
        <v>6512</v>
      </c>
      <c r="AL666" s="36" t="s">
        <v>4475</v>
      </c>
      <c r="AM666" s="36" t="s">
        <v>6280</v>
      </c>
      <c r="AN666" s="36">
        <v>3</v>
      </c>
      <c r="AP666" s="86"/>
      <c r="AQ666" s="88"/>
      <c r="AR666" s="89"/>
      <c r="AS666" s="90"/>
      <c r="AV666" s="88"/>
      <c r="AW666" s="96"/>
      <c r="AX666" s="97"/>
      <c r="AY666" s="93"/>
      <c r="BB666" s="94"/>
      <c r="BG666" s="36" t="s">
        <v>6513</v>
      </c>
    </row>
    <row r="667" spans="1:59" ht="15" customHeight="1">
      <c r="A667" s="36" t="s">
        <v>6791</v>
      </c>
      <c r="B667" s="36" t="s">
        <v>6731</v>
      </c>
      <c r="C667" s="36" t="s">
        <v>6214</v>
      </c>
      <c r="D667" s="37">
        <v>49</v>
      </c>
      <c r="E667" s="36">
        <v>1</v>
      </c>
      <c r="F667" s="36" t="s">
        <v>6490</v>
      </c>
      <c r="G667" s="36" t="s">
        <v>6514</v>
      </c>
      <c r="J667" s="36" t="s">
        <v>31</v>
      </c>
      <c r="AI667" s="36" t="s">
        <v>6514</v>
      </c>
      <c r="AL667" s="36" t="s">
        <v>31</v>
      </c>
      <c r="AM667" s="36" t="s">
        <v>6280</v>
      </c>
      <c r="AP667" s="86"/>
      <c r="AQ667" s="88"/>
      <c r="AR667" s="89"/>
      <c r="AS667" s="90"/>
      <c r="AV667" s="88"/>
      <c r="AW667" s="96"/>
      <c r="AX667" s="97"/>
      <c r="AY667" s="93">
        <v>2</v>
      </c>
      <c r="AZ667" s="79">
        <v>0</v>
      </c>
      <c r="BB667" s="94"/>
    </row>
    <row r="668" spans="1:59" ht="15" customHeight="1">
      <c r="A668" s="36" t="s">
        <v>6791</v>
      </c>
      <c r="B668" s="36" t="s">
        <v>6732</v>
      </c>
      <c r="C668" s="36" t="s">
        <v>6214</v>
      </c>
      <c r="D668" s="37">
        <v>50</v>
      </c>
      <c r="E668" s="36">
        <v>1</v>
      </c>
      <c r="F668" s="36" t="s">
        <v>6490</v>
      </c>
      <c r="G668" s="36" t="s">
        <v>6515</v>
      </c>
      <c r="J668" s="36" t="s">
        <v>31</v>
      </c>
      <c r="AI668" s="36" t="s">
        <v>6515</v>
      </c>
      <c r="AL668" s="36" t="s">
        <v>31</v>
      </c>
      <c r="AM668" s="36" t="s">
        <v>6280</v>
      </c>
      <c r="AP668" s="86"/>
      <c r="AQ668" s="88"/>
      <c r="AR668" s="89"/>
      <c r="AS668" s="90"/>
      <c r="AV668" s="88"/>
      <c r="AW668" s="96"/>
      <c r="AX668" s="97"/>
      <c r="AY668" s="93">
        <v>4</v>
      </c>
      <c r="AZ668" s="79">
        <v>1</v>
      </c>
      <c r="BB668" s="94"/>
      <c r="BG668" s="36" t="s">
        <v>6516</v>
      </c>
    </row>
    <row r="669" spans="1:59" ht="15" customHeight="1">
      <c r="A669" s="36" t="s">
        <v>6791</v>
      </c>
      <c r="B669" s="36" t="s">
        <v>6733</v>
      </c>
      <c r="C669" s="36" t="s">
        <v>6214</v>
      </c>
      <c r="D669" s="37">
        <v>51</v>
      </c>
      <c r="E669" s="36">
        <v>1</v>
      </c>
      <c r="F669" s="36" t="s">
        <v>6490</v>
      </c>
      <c r="G669" s="36" t="s">
        <v>6517</v>
      </c>
      <c r="J669" s="36" t="s">
        <v>31</v>
      </c>
      <c r="AI669" s="36" t="s">
        <v>6517</v>
      </c>
      <c r="AL669" s="36" t="s">
        <v>31</v>
      </c>
      <c r="AM669" s="36" t="s">
        <v>6280</v>
      </c>
      <c r="AP669" s="86"/>
      <c r="AQ669" s="88"/>
      <c r="AR669" s="89"/>
      <c r="AS669" s="90"/>
      <c r="AV669" s="88"/>
      <c r="AW669" s="96"/>
      <c r="AX669" s="97"/>
      <c r="AY669" s="93">
        <v>2</v>
      </c>
      <c r="AZ669" s="79" t="s">
        <v>4925</v>
      </c>
      <c r="BB669" s="94">
        <v>1</v>
      </c>
      <c r="BG669" s="36" t="s">
        <v>6518</v>
      </c>
    </row>
    <row r="670" spans="1:59" ht="15" customHeight="1">
      <c r="A670" s="36" t="s">
        <v>6791</v>
      </c>
      <c r="B670" s="36" t="s">
        <v>6734</v>
      </c>
      <c r="C670" s="36" t="s">
        <v>6214</v>
      </c>
      <c r="D670" s="37">
        <v>52</v>
      </c>
      <c r="E670" s="36">
        <v>1</v>
      </c>
      <c r="F670" s="36" t="s">
        <v>6490</v>
      </c>
      <c r="G670" s="36" t="s">
        <v>6519</v>
      </c>
      <c r="J670" s="36" t="s">
        <v>31</v>
      </c>
      <c r="AI670" s="36" t="s">
        <v>6519</v>
      </c>
      <c r="AL670" s="36" t="s">
        <v>31</v>
      </c>
      <c r="AM670" s="36" t="s">
        <v>6280</v>
      </c>
      <c r="AP670" s="86"/>
      <c r="AQ670" s="88"/>
      <c r="AR670" s="89"/>
      <c r="AS670" s="90"/>
      <c r="AV670" s="88"/>
      <c r="AW670" s="96"/>
      <c r="AX670" s="97"/>
      <c r="AY670" s="93">
        <v>3</v>
      </c>
      <c r="AZ670" s="79">
        <v>1</v>
      </c>
      <c r="BB670" s="94"/>
      <c r="BG670" s="36" t="s">
        <v>6520</v>
      </c>
    </row>
    <row r="671" spans="1:59" ht="15" customHeight="1">
      <c r="A671" s="36" t="s">
        <v>6791</v>
      </c>
      <c r="B671" s="36" t="s">
        <v>6735</v>
      </c>
      <c r="C671" s="36" t="s">
        <v>6214</v>
      </c>
      <c r="D671" s="37">
        <v>53</v>
      </c>
      <c r="E671" s="36">
        <v>1</v>
      </c>
      <c r="F671" s="36" t="s">
        <v>6490</v>
      </c>
      <c r="G671" s="36" t="s">
        <v>6521</v>
      </c>
      <c r="J671" s="36" t="s">
        <v>31</v>
      </c>
      <c r="AD671" s="36" t="s">
        <v>6522</v>
      </c>
      <c r="AI671" s="36" t="s">
        <v>6523</v>
      </c>
      <c r="AL671" s="36" t="s">
        <v>31</v>
      </c>
      <c r="AM671" s="36" t="s">
        <v>6280</v>
      </c>
      <c r="AP671" s="86"/>
      <c r="AQ671" s="88"/>
      <c r="AR671" s="89"/>
      <c r="AS671" s="90"/>
      <c r="AV671" s="88"/>
      <c r="AW671" s="96"/>
      <c r="AX671" s="97"/>
      <c r="AY671" s="93">
        <v>4</v>
      </c>
      <c r="AZ671" s="79" t="s">
        <v>4927</v>
      </c>
      <c r="BB671" s="94">
        <v>1</v>
      </c>
      <c r="BE671" s="36" t="s">
        <v>6522</v>
      </c>
      <c r="BG671" s="36" t="s">
        <v>6524</v>
      </c>
    </row>
    <row r="672" spans="1:59" ht="15" customHeight="1">
      <c r="A672" s="36" t="s">
        <v>6791</v>
      </c>
      <c r="B672" s="36" t="s">
        <v>6736</v>
      </c>
      <c r="C672" s="36" t="s">
        <v>6214</v>
      </c>
      <c r="D672" s="37">
        <v>54</v>
      </c>
      <c r="E672" s="36">
        <v>1</v>
      </c>
      <c r="F672" s="36" t="s">
        <v>6490</v>
      </c>
      <c r="G672" s="36" t="s">
        <v>6521</v>
      </c>
      <c r="J672" s="36" t="s">
        <v>31</v>
      </c>
      <c r="AD672" s="36" t="s">
        <v>6522</v>
      </c>
      <c r="AI672" s="36" t="s">
        <v>6525</v>
      </c>
      <c r="AL672" s="36" t="s">
        <v>31</v>
      </c>
      <c r="AM672" s="36" t="s">
        <v>6280</v>
      </c>
      <c r="AP672" s="86"/>
      <c r="AQ672" s="88"/>
      <c r="AR672" s="89"/>
      <c r="AS672" s="90"/>
      <c r="AV672" s="88"/>
      <c r="AW672" s="96"/>
      <c r="AX672" s="97"/>
      <c r="AY672" s="93">
        <v>2</v>
      </c>
      <c r="AZ672" s="79">
        <v>0</v>
      </c>
      <c r="BB672" s="94"/>
      <c r="BE672" s="36" t="s">
        <v>6522</v>
      </c>
      <c r="BG672" s="36" t="s">
        <v>6526</v>
      </c>
    </row>
    <row r="673" spans="1:59" ht="15" customHeight="1">
      <c r="A673" s="36" t="s">
        <v>6791</v>
      </c>
      <c r="B673" s="36" t="s">
        <v>6737</v>
      </c>
      <c r="C673" s="36" t="s">
        <v>6214</v>
      </c>
      <c r="D673" s="37">
        <v>55</v>
      </c>
      <c r="E673" s="36">
        <v>1</v>
      </c>
      <c r="F673" s="36" t="s">
        <v>6490</v>
      </c>
      <c r="G673" s="36" t="s">
        <v>6521</v>
      </c>
      <c r="J673" s="36" t="s">
        <v>31</v>
      </c>
      <c r="AD673" s="36" t="s">
        <v>6522</v>
      </c>
      <c r="AI673" s="36" t="s">
        <v>6527</v>
      </c>
      <c r="AL673" s="36" t="s">
        <v>31</v>
      </c>
      <c r="AM673" s="36" t="s">
        <v>6280</v>
      </c>
      <c r="AP673" s="86"/>
      <c r="AQ673" s="88"/>
      <c r="AR673" s="89"/>
      <c r="AS673" s="90"/>
      <c r="AV673" s="88"/>
      <c r="AW673" s="96"/>
      <c r="AX673" s="97"/>
      <c r="AY673" s="93">
        <v>5</v>
      </c>
      <c r="AZ673" s="79" t="s">
        <v>4927</v>
      </c>
      <c r="BB673" s="94">
        <v>1</v>
      </c>
      <c r="BE673" s="36" t="s">
        <v>6522</v>
      </c>
      <c r="BG673" s="36" t="s">
        <v>6528</v>
      </c>
    </row>
    <row r="674" spans="1:59" ht="15" customHeight="1">
      <c r="A674" s="36" t="s">
        <v>6791</v>
      </c>
      <c r="B674" s="36" t="s">
        <v>6738</v>
      </c>
      <c r="C674" s="36" t="s">
        <v>6214</v>
      </c>
      <c r="D674" s="37">
        <v>56</v>
      </c>
      <c r="E674" s="36">
        <v>1</v>
      </c>
      <c r="F674" s="36" t="s">
        <v>6490</v>
      </c>
      <c r="G674" s="36" t="s">
        <v>6529</v>
      </c>
      <c r="J674" s="36" t="s">
        <v>31</v>
      </c>
      <c r="AD674" s="36" t="s">
        <v>6522</v>
      </c>
      <c r="AI674" s="36" t="s">
        <v>6530</v>
      </c>
      <c r="AL674" s="36" t="s">
        <v>31</v>
      </c>
      <c r="AM674" s="36" t="s">
        <v>6280</v>
      </c>
      <c r="AP674" s="86"/>
      <c r="AQ674" s="88"/>
      <c r="AR674" s="89"/>
      <c r="AS674" s="90"/>
      <c r="AV674" s="88"/>
      <c r="AW674" s="96"/>
      <c r="AX674" s="97"/>
      <c r="AY674" s="93">
        <v>4</v>
      </c>
      <c r="AZ674" s="79">
        <v>0</v>
      </c>
      <c r="BB674" s="94"/>
      <c r="BE674" s="36" t="s">
        <v>6522</v>
      </c>
      <c r="BG674" s="36" t="s">
        <v>6531</v>
      </c>
    </row>
    <row r="675" spans="1:59" ht="15" customHeight="1">
      <c r="A675" s="36" t="s">
        <v>6791</v>
      </c>
      <c r="B675" s="36" t="s">
        <v>6739</v>
      </c>
      <c r="C675" s="36" t="s">
        <v>6214</v>
      </c>
      <c r="D675" s="37">
        <v>57</v>
      </c>
      <c r="E675" s="36">
        <v>1</v>
      </c>
      <c r="F675" s="36" t="s">
        <v>6490</v>
      </c>
      <c r="G675" s="36" t="s">
        <v>6529</v>
      </c>
      <c r="J675" s="36" t="s">
        <v>31</v>
      </c>
      <c r="AD675" s="36" t="s">
        <v>6522</v>
      </c>
      <c r="AI675" s="36" t="s">
        <v>6532</v>
      </c>
      <c r="AL675" s="36" t="s">
        <v>31</v>
      </c>
      <c r="AM675" s="36" t="s">
        <v>6280</v>
      </c>
      <c r="AP675" s="86"/>
      <c r="AQ675" s="88"/>
      <c r="AR675" s="89"/>
      <c r="AS675" s="90"/>
      <c r="AV675" s="88"/>
      <c r="AW675" s="96"/>
      <c r="AX675" s="97"/>
      <c r="AY675" s="93">
        <v>1</v>
      </c>
      <c r="AZ675" s="79" t="s">
        <v>4927</v>
      </c>
      <c r="BB675" s="94">
        <v>1</v>
      </c>
      <c r="BE675" s="36" t="s">
        <v>6522</v>
      </c>
      <c r="BG675" s="36" t="s">
        <v>6533</v>
      </c>
    </row>
    <row r="676" spans="1:59" ht="15" customHeight="1">
      <c r="A676" s="36" t="s">
        <v>6791</v>
      </c>
      <c r="B676" s="36" t="s">
        <v>6740</v>
      </c>
      <c r="C676" s="36" t="s">
        <v>6214</v>
      </c>
      <c r="D676" s="37">
        <v>58</v>
      </c>
      <c r="E676" s="36">
        <v>1</v>
      </c>
      <c r="F676" s="36" t="s">
        <v>6490</v>
      </c>
      <c r="G676" s="36" t="s">
        <v>6529</v>
      </c>
      <c r="J676" s="36" t="s">
        <v>31</v>
      </c>
      <c r="AD676" s="36" t="s">
        <v>6522</v>
      </c>
      <c r="AI676" s="36" t="s">
        <v>6534</v>
      </c>
      <c r="AL676" s="36" t="s">
        <v>31</v>
      </c>
      <c r="AM676" s="36" t="s">
        <v>6280</v>
      </c>
      <c r="AP676" s="86"/>
      <c r="AQ676" s="88"/>
      <c r="AR676" s="89"/>
      <c r="AS676" s="90"/>
      <c r="AV676" s="88"/>
      <c r="AW676" s="96"/>
      <c r="AX676" s="97"/>
      <c r="AY676" s="93">
        <v>3</v>
      </c>
      <c r="AZ676" s="79" t="s">
        <v>4927</v>
      </c>
      <c r="BB676" s="94">
        <v>1</v>
      </c>
      <c r="BE676" s="36" t="s">
        <v>6522</v>
      </c>
      <c r="BG676" s="36" t="s">
        <v>6535</v>
      </c>
    </row>
    <row r="677" spans="1:59" ht="15" customHeight="1">
      <c r="A677" s="36" t="s">
        <v>6791</v>
      </c>
      <c r="B677" s="36" t="s">
        <v>6741</v>
      </c>
      <c r="C677" s="36" t="s">
        <v>6214</v>
      </c>
      <c r="D677" s="37">
        <v>59</v>
      </c>
      <c r="E677" s="36">
        <v>1</v>
      </c>
      <c r="F677" s="36" t="s">
        <v>6490</v>
      </c>
      <c r="G677" s="36" t="s">
        <v>6536</v>
      </c>
      <c r="I677" s="36" t="s">
        <v>4077</v>
      </c>
      <c r="J677" s="36" t="s">
        <v>29</v>
      </c>
      <c r="Q677" s="78">
        <v>4</v>
      </c>
      <c r="R677" s="79">
        <v>4</v>
      </c>
      <c r="T677" s="81">
        <v>3</v>
      </c>
      <c r="W677" s="83">
        <v>1</v>
      </c>
      <c r="AD677" s="36" t="s">
        <v>6537</v>
      </c>
      <c r="AF677" s="36" t="s">
        <v>6538</v>
      </c>
      <c r="AP677" s="86"/>
      <c r="AQ677" s="88"/>
      <c r="AR677" s="89"/>
      <c r="AS677" s="90"/>
      <c r="AV677" s="88"/>
      <c r="AW677" s="96"/>
      <c r="AX677" s="97"/>
      <c r="AY677" s="93"/>
      <c r="BB677" s="94"/>
    </row>
    <row r="678" spans="1:59" ht="15" customHeight="1">
      <c r="A678" s="36" t="s">
        <v>6791</v>
      </c>
      <c r="B678" s="36" t="s">
        <v>6742</v>
      </c>
      <c r="C678" s="36" t="s">
        <v>6214</v>
      </c>
      <c r="D678" s="37">
        <v>60</v>
      </c>
      <c r="E678" s="36">
        <v>1</v>
      </c>
      <c r="F678" s="36" t="s">
        <v>6490</v>
      </c>
      <c r="G678" s="36" t="s">
        <v>6539</v>
      </c>
      <c r="H678" s="36" t="s">
        <v>6540</v>
      </c>
      <c r="I678" s="36" t="s">
        <v>4077</v>
      </c>
      <c r="J678" s="36" t="s">
        <v>29</v>
      </c>
      <c r="Q678" s="78">
        <v>4</v>
      </c>
      <c r="R678" s="79">
        <v>2</v>
      </c>
      <c r="T678" s="81">
        <v>4</v>
      </c>
      <c r="V678" s="82">
        <v>2</v>
      </c>
      <c r="AA678" s="85">
        <v>2</v>
      </c>
      <c r="AD678" s="36" t="s">
        <v>5648</v>
      </c>
      <c r="AF678" s="36" t="s">
        <v>6541</v>
      </c>
      <c r="AP678" s="86"/>
      <c r="AQ678" s="88"/>
      <c r="AR678" s="89"/>
      <c r="AS678" s="90"/>
      <c r="AV678" s="88"/>
      <c r="AW678" s="96"/>
      <c r="AX678" s="97"/>
      <c r="AY678" s="93"/>
      <c r="BB678" s="94"/>
    </row>
    <row r="679" spans="1:59" ht="15" customHeight="1">
      <c r="A679" s="36" t="s">
        <v>6791</v>
      </c>
      <c r="B679" s="36" t="s">
        <v>6743</v>
      </c>
      <c r="C679" s="36" t="s">
        <v>6214</v>
      </c>
      <c r="D679" s="37">
        <v>61</v>
      </c>
      <c r="E679" s="36">
        <v>1</v>
      </c>
      <c r="F679" s="36" t="s">
        <v>6542</v>
      </c>
      <c r="G679" s="36" t="s">
        <v>6542</v>
      </c>
      <c r="H679" s="46" t="s">
        <v>4563</v>
      </c>
      <c r="J679" s="36" t="s">
        <v>4472</v>
      </c>
      <c r="AF679" s="36" t="s">
        <v>6543</v>
      </c>
      <c r="AI679" s="36" t="s">
        <v>6542</v>
      </c>
      <c r="AJ679" s="36" t="s">
        <v>4564</v>
      </c>
      <c r="AL679" s="36" t="s">
        <v>4472</v>
      </c>
      <c r="AM679" s="36" t="s">
        <v>6280</v>
      </c>
      <c r="AP679" s="86"/>
      <c r="AQ679" s="88"/>
      <c r="AR679" s="89"/>
      <c r="AS679" s="90"/>
      <c r="AV679" s="88"/>
      <c r="AW679" s="96"/>
      <c r="AX679" s="97"/>
      <c r="AY679" s="93"/>
      <c r="BB679" s="94"/>
      <c r="BG679" s="36" t="s">
        <v>6544</v>
      </c>
    </row>
    <row r="680" spans="1:59" ht="15" customHeight="1">
      <c r="A680" s="36" t="s">
        <v>6791</v>
      </c>
      <c r="B680" s="36" t="s">
        <v>6744</v>
      </c>
      <c r="C680" s="36" t="s">
        <v>6214</v>
      </c>
      <c r="D680" s="37">
        <v>62</v>
      </c>
      <c r="E680" s="36">
        <v>1</v>
      </c>
      <c r="F680" s="36" t="s">
        <v>6542</v>
      </c>
      <c r="G680" s="36" t="s">
        <v>6545</v>
      </c>
      <c r="J680" s="36" t="s">
        <v>4473</v>
      </c>
      <c r="L680" s="36">
        <v>1</v>
      </c>
      <c r="Z680" s="81">
        <v>3</v>
      </c>
      <c r="AI680" s="36" t="s">
        <v>6546</v>
      </c>
      <c r="AL680" s="36" t="s">
        <v>4473</v>
      </c>
      <c r="AM680" s="36" t="s">
        <v>6280</v>
      </c>
      <c r="AN680" s="36">
        <v>1</v>
      </c>
      <c r="AP680" s="86"/>
      <c r="AQ680" s="88"/>
      <c r="AR680" s="89"/>
      <c r="AS680" s="90"/>
      <c r="AV680" s="88"/>
      <c r="AW680" s="96"/>
      <c r="AX680" s="97"/>
      <c r="AY680" s="93"/>
      <c r="BB680" s="94"/>
      <c r="BG680" s="36" t="s">
        <v>6547</v>
      </c>
    </row>
    <row r="681" spans="1:59" ht="15" customHeight="1">
      <c r="A681" s="36" t="s">
        <v>6791</v>
      </c>
      <c r="B681" s="36" t="s">
        <v>6745</v>
      </c>
      <c r="C681" s="36" t="s">
        <v>6214</v>
      </c>
      <c r="D681" s="37">
        <v>63</v>
      </c>
      <c r="E681" s="36">
        <v>1</v>
      </c>
      <c r="F681" s="36" t="s">
        <v>6542</v>
      </c>
      <c r="G681" s="36" t="s">
        <v>6548</v>
      </c>
      <c r="J681" s="36" t="s">
        <v>4473</v>
      </c>
      <c r="L681" s="36">
        <v>2</v>
      </c>
      <c r="Z681" s="81">
        <v>3</v>
      </c>
      <c r="AF681" s="36" t="s">
        <v>6549</v>
      </c>
      <c r="AI681" s="36" t="s">
        <v>6550</v>
      </c>
      <c r="AL681" s="36" t="s">
        <v>4473</v>
      </c>
      <c r="AM681" s="36" t="s">
        <v>6280</v>
      </c>
      <c r="AN681" s="36">
        <v>2</v>
      </c>
      <c r="AP681" s="86"/>
      <c r="AQ681" s="88"/>
      <c r="AR681" s="89"/>
      <c r="AS681" s="90"/>
      <c r="AV681" s="88"/>
      <c r="AW681" s="96"/>
      <c r="AX681" s="97"/>
      <c r="AY681" s="93"/>
      <c r="BB681" s="94"/>
      <c r="BG681" s="36" t="s">
        <v>5341</v>
      </c>
    </row>
    <row r="682" spans="1:59" ht="15" customHeight="1">
      <c r="A682" s="36" t="s">
        <v>6791</v>
      </c>
      <c r="B682" s="36" t="s">
        <v>6746</v>
      </c>
      <c r="C682" s="36" t="s">
        <v>6214</v>
      </c>
      <c r="D682" s="37">
        <v>64</v>
      </c>
      <c r="E682" s="36">
        <v>1</v>
      </c>
      <c r="F682" s="36" t="s">
        <v>6542</v>
      </c>
      <c r="G682" s="36" t="s">
        <v>6551</v>
      </c>
      <c r="J682" s="36" t="s">
        <v>4475</v>
      </c>
      <c r="L682" s="36">
        <v>1</v>
      </c>
      <c r="Y682" s="79" t="s">
        <v>38</v>
      </c>
      <c r="AF682" s="36" t="s">
        <v>6552</v>
      </c>
      <c r="AI682" s="36" t="s">
        <v>6553</v>
      </c>
      <c r="AL682" s="36" t="s">
        <v>4475</v>
      </c>
      <c r="AM682" s="36" t="s">
        <v>6280</v>
      </c>
      <c r="AN682" s="36">
        <v>1</v>
      </c>
      <c r="AP682" s="86"/>
      <c r="AQ682" s="88"/>
      <c r="AR682" s="89"/>
      <c r="AS682" s="90"/>
      <c r="AV682" s="88"/>
      <c r="AW682" s="96"/>
      <c r="AX682" s="97"/>
      <c r="AY682" s="93"/>
      <c r="BB682" s="94"/>
      <c r="BG682" s="36" t="s">
        <v>6554</v>
      </c>
    </row>
    <row r="683" spans="1:59" ht="15" customHeight="1">
      <c r="A683" s="36" t="s">
        <v>6791</v>
      </c>
      <c r="B683" s="36" t="s">
        <v>6747</v>
      </c>
      <c r="C683" s="36" t="s">
        <v>6214</v>
      </c>
      <c r="D683" s="37">
        <v>65</v>
      </c>
      <c r="E683" s="36">
        <v>1</v>
      </c>
      <c r="F683" s="36" t="s">
        <v>6542</v>
      </c>
      <c r="G683" s="36" t="s">
        <v>6555</v>
      </c>
      <c r="J683" s="36" t="s">
        <v>6556</v>
      </c>
      <c r="AF683" s="36" t="s">
        <v>6557</v>
      </c>
      <c r="AI683" s="36" t="s">
        <v>6558</v>
      </c>
      <c r="AJ683" s="36" t="s">
        <v>6559</v>
      </c>
      <c r="AK683" s="36" t="s">
        <v>4077</v>
      </c>
      <c r="AL683" s="36" t="s">
        <v>29</v>
      </c>
      <c r="AM683" s="36" t="s">
        <v>6280</v>
      </c>
      <c r="AP683" s="86"/>
      <c r="AQ683" s="88"/>
      <c r="AR683" s="89"/>
      <c r="AS683" s="90">
        <v>4</v>
      </c>
      <c r="AT683" s="79">
        <v>1</v>
      </c>
      <c r="AU683" s="81">
        <v>6</v>
      </c>
      <c r="AV683" s="88"/>
      <c r="AW683" s="96">
        <v>2</v>
      </c>
      <c r="AX683" s="97"/>
      <c r="AY683" s="93"/>
      <c r="BB683" s="94">
        <v>0</v>
      </c>
      <c r="BE683" s="36" t="s">
        <v>6560</v>
      </c>
      <c r="BG683" s="36" t="s">
        <v>6561</v>
      </c>
    </row>
    <row r="684" spans="1:59" ht="15" customHeight="1">
      <c r="A684" s="36" t="s">
        <v>6791</v>
      </c>
      <c r="B684" s="36" t="s">
        <v>6748</v>
      </c>
      <c r="C684" s="36" t="s">
        <v>6214</v>
      </c>
      <c r="D684" s="37">
        <v>66</v>
      </c>
      <c r="E684" s="36">
        <v>1</v>
      </c>
      <c r="F684" s="36" t="s">
        <v>6542</v>
      </c>
      <c r="G684" s="36" t="s">
        <v>6555</v>
      </c>
      <c r="J684" s="36" t="s">
        <v>6556</v>
      </c>
      <c r="AF684" s="36" t="s">
        <v>6562</v>
      </c>
      <c r="AI684" s="36" t="s">
        <v>6563</v>
      </c>
      <c r="AJ684" s="36" t="s">
        <v>6564</v>
      </c>
      <c r="AK684" s="36" t="s">
        <v>4077</v>
      </c>
      <c r="AL684" s="36" t="s">
        <v>29</v>
      </c>
      <c r="AM684" s="36" t="s">
        <v>6280</v>
      </c>
      <c r="AP684" s="86"/>
      <c r="AQ684" s="88"/>
      <c r="AR684" s="89"/>
      <c r="AS684" s="90">
        <v>2</v>
      </c>
      <c r="AT684" s="79">
        <v>2</v>
      </c>
      <c r="AU684" s="81">
        <v>8</v>
      </c>
      <c r="AV684" s="88"/>
      <c r="AW684" s="96">
        <v>1</v>
      </c>
      <c r="AX684" s="97">
        <v>1</v>
      </c>
      <c r="AY684" s="93"/>
      <c r="BB684" s="94">
        <v>0</v>
      </c>
      <c r="BE684" s="36" t="s">
        <v>6560</v>
      </c>
      <c r="BG684" s="36" t="s">
        <v>6565</v>
      </c>
    </row>
    <row r="685" spans="1:59" ht="15" customHeight="1">
      <c r="A685" s="36" t="s">
        <v>6791</v>
      </c>
      <c r="B685" s="36" t="s">
        <v>6749</v>
      </c>
      <c r="C685" s="36" t="s">
        <v>6214</v>
      </c>
      <c r="D685" s="37">
        <v>67</v>
      </c>
      <c r="E685" s="36">
        <v>1</v>
      </c>
      <c r="F685" s="36" t="s">
        <v>6542</v>
      </c>
      <c r="G685" s="36" t="s">
        <v>6555</v>
      </c>
      <c r="J685" s="36" t="s">
        <v>6556</v>
      </c>
      <c r="AF685" s="36" t="s">
        <v>6566</v>
      </c>
      <c r="AI685" s="36" t="s">
        <v>6567</v>
      </c>
      <c r="AJ685" s="36" t="s">
        <v>6568</v>
      </c>
      <c r="AK685" s="36" t="s">
        <v>4077</v>
      </c>
      <c r="AL685" s="36" t="s">
        <v>29</v>
      </c>
      <c r="AM685" s="36" t="s">
        <v>6280</v>
      </c>
      <c r="AP685" s="86"/>
      <c r="AQ685" s="88"/>
      <c r="AR685" s="89"/>
      <c r="AS685" s="90">
        <v>6</v>
      </c>
      <c r="AT685" s="79">
        <v>3</v>
      </c>
      <c r="AU685" s="81">
        <v>4</v>
      </c>
      <c r="AV685" s="88"/>
      <c r="AW685" s="96">
        <v>1</v>
      </c>
      <c r="AX685" s="97">
        <v>1</v>
      </c>
      <c r="AY685" s="93"/>
      <c r="BB685" s="94">
        <v>0</v>
      </c>
      <c r="BE685" s="36" t="s">
        <v>6560</v>
      </c>
      <c r="BG685" s="36" t="s">
        <v>6569</v>
      </c>
    </row>
    <row r="686" spans="1:59" ht="15" customHeight="1">
      <c r="A686" s="36" t="s">
        <v>6791</v>
      </c>
      <c r="B686" s="36" t="s">
        <v>6750</v>
      </c>
      <c r="C686" s="36" t="s">
        <v>6214</v>
      </c>
      <c r="D686" s="37">
        <v>68</v>
      </c>
      <c r="E686" s="36">
        <v>1</v>
      </c>
      <c r="F686" s="36" t="s">
        <v>6542</v>
      </c>
      <c r="G686" s="36" t="s">
        <v>6555</v>
      </c>
      <c r="J686" s="36" t="s">
        <v>6556</v>
      </c>
      <c r="AF686" s="36" t="s">
        <v>6570</v>
      </c>
      <c r="AI686" s="36" t="s">
        <v>6571</v>
      </c>
      <c r="AJ686" s="36" t="s">
        <v>6572</v>
      </c>
      <c r="AK686" s="36" t="s">
        <v>4077</v>
      </c>
      <c r="AL686" s="36" t="s">
        <v>29</v>
      </c>
      <c r="AM686" s="36" t="s">
        <v>6280</v>
      </c>
      <c r="AP686" s="86"/>
      <c r="AQ686" s="88"/>
      <c r="AR686" s="89"/>
      <c r="AS686" s="90">
        <v>3</v>
      </c>
      <c r="AT686" s="79">
        <v>3</v>
      </c>
      <c r="AU686" s="81">
        <v>5</v>
      </c>
      <c r="AV686" s="88"/>
      <c r="AW686" s="96">
        <v>2</v>
      </c>
      <c r="AX686" s="97">
        <v>2</v>
      </c>
      <c r="AY686" s="93"/>
      <c r="BB686" s="94">
        <v>0</v>
      </c>
      <c r="BE686" s="36" t="s">
        <v>6560</v>
      </c>
      <c r="BG686" s="36" t="s">
        <v>6573</v>
      </c>
    </row>
    <row r="687" spans="1:59" ht="15" customHeight="1">
      <c r="A687" s="36" t="s">
        <v>6791</v>
      </c>
      <c r="B687" s="36" t="s">
        <v>6751</v>
      </c>
      <c r="C687" s="36" t="s">
        <v>6214</v>
      </c>
      <c r="D687" s="37">
        <v>69</v>
      </c>
      <c r="E687" s="36">
        <v>1</v>
      </c>
      <c r="F687" s="36" t="s">
        <v>6542</v>
      </c>
      <c r="G687" s="36" t="s">
        <v>6555</v>
      </c>
      <c r="J687" s="36" t="s">
        <v>6556</v>
      </c>
      <c r="AF687" s="36" t="s">
        <v>6574</v>
      </c>
      <c r="AI687" s="36" t="s">
        <v>6575</v>
      </c>
      <c r="AJ687" s="36" t="s">
        <v>6576</v>
      </c>
      <c r="AK687" s="36" t="s">
        <v>4077</v>
      </c>
      <c r="AL687" s="36" t="s">
        <v>29</v>
      </c>
      <c r="AM687" s="36" t="s">
        <v>6280</v>
      </c>
      <c r="AP687" s="86"/>
      <c r="AQ687" s="88"/>
      <c r="AR687" s="89"/>
      <c r="AS687" s="90">
        <v>2</v>
      </c>
      <c r="AT687" s="79">
        <v>4</v>
      </c>
      <c r="AU687" s="81">
        <v>5</v>
      </c>
      <c r="AV687" s="88"/>
      <c r="AW687" s="96"/>
      <c r="AX687" s="97">
        <v>2</v>
      </c>
      <c r="AY687" s="93"/>
      <c r="BB687" s="94">
        <v>0</v>
      </c>
      <c r="BE687" s="36" t="s">
        <v>6560</v>
      </c>
      <c r="BG687" s="36" t="s">
        <v>6577</v>
      </c>
    </row>
    <row r="688" spans="1:59" ht="15" customHeight="1">
      <c r="A688" s="36" t="s">
        <v>6791</v>
      </c>
      <c r="B688" s="36" t="s">
        <v>6752</v>
      </c>
      <c r="C688" s="36" t="s">
        <v>6214</v>
      </c>
      <c r="D688" s="37">
        <v>70</v>
      </c>
      <c r="E688" s="36">
        <v>1</v>
      </c>
      <c r="F688" s="36" t="s">
        <v>6542</v>
      </c>
      <c r="G688" s="36" t="s">
        <v>6578</v>
      </c>
      <c r="J688" s="36" t="s">
        <v>31</v>
      </c>
      <c r="AI688" s="36" t="s">
        <v>6578</v>
      </c>
      <c r="AL688" s="36" t="s">
        <v>31</v>
      </c>
      <c r="AM688" s="36" t="s">
        <v>6280</v>
      </c>
      <c r="AP688" s="86"/>
      <c r="AQ688" s="88"/>
      <c r="AR688" s="89"/>
      <c r="AS688" s="90"/>
      <c r="AV688" s="88"/>
      <c r="AW688" s="96"/>
      <c r="AX688" s="97"/>
      <c r="AY688" s="93">
        <v>2</v>
      </c>
      <c r="AZ688" s="79" t="s">
        <v>4927</v>
      </c>
      <c r="BB688" s="94"/>
      <c r="BG688" s="36" t="s">
        <v>6579</v>
      </c>
    </row>
    <row r="689" spans="1:59" ht="15" customHeight="1">
      <c r="A689" s="36" t="s">
        <v>6791</v>
      </c>
      <c r="B689" s="36" t="s">
        <v>6753</v>
      </c>
      <c r="C689" s="36" t="s">
        <v>6214</v>
      </c>
      <c r="D689" s="37">
        <v>71</v>
      </c>
      <c r="E689" s="36">
        <v>1</v>
      </c>
      <c r="F689" s="36" t="s">
        <v>6542</v>
      </c>
      <c r="G689" s="36" t="s">
        <v>6580</v>
      </c>
      <c r="J689" s="36" t="s">
        <v>31</v>
      </c>
      <c r="AI689" s="36" t="s">
        <v>6580</v>
      </c>
      <c r="AL689" s="36" t="s">
        <v>31</v>
      </c>
      <c r="AM689" s="36" t="s">
        <v>6280</v>
      </c>
      <c r="AP689" s="86"/>
      <c r="AQ689" s="88"/>
      <c r="AR689" s="89"/>
      <c r="AS689" s="90"/>
      <c r="AV689" s="88"/>
      <c r="AW689" s="96"/>
      <c r="AX689" s="97"/>
      <c r="AY689" s="93">
        <v>4</v>
      </c>
      <c r="AZ689" s="79">
        <v>0</v>
      </c>
      <c r="BB689" s="94"/>
      <c r="BG689" s="36" t="s">
        <v>6581</v>
      </c>
    </row>
    <row r="690" spans="1:59" ht="15" customHeight="1">
      <c r="A690" s="36" t="s">
        <v>6791</v>
      </c>
      <c r="B690" s="36" t="s">
        <v>6754</v>
      </c>
      <c r="C690" s="36" t="s">
        <v>6214</v>
      </c>
      <c r="D690" s="37">
        <v>72</v>
      </c>
      <c r="E690" s="36">
        <v>1</v>
      </c>
      <c r="F690" s="36" t="s">
        <v>6542</v>
      </c>
      <c r="G690" s="36" t="s">
        <v>6582</v>
      </c>
      <c r="J690" s="36" t="s">
        <v>31</v>
      </c>
      <c r="AI690" s="36" t="s">
        <v>6582</v>
      </c>
      <c r="AL690" s="36" t="s">
        <v>31</v>
      </c>
      <c r="AM690" s="36" t="s">
        <v>6280</v>
      </c>
      <c r="AP690" s="86"/>
      <c r="AQ690" s="88"/>
      <c r="AR690" s="89"/>
      <c r="AS690" s="90"/>
      <c r="AV690" s="88"/>
      <c r="AW690" s="96"/>
      <c r="AX690" s="97"/>
      <c r="AY690" s="93">
        <v>3</v>
      </c>
      <c r="AZ690" s="79">
        <v>0</v>
      </c>
      <c r="BB690" s="94"/>
      <c r="BG690" s="36" t="s">
        <v>6583</v>
      </c>
    </row>
    <row r="691" spans="1:59" ht="15" customHeight="1">
      <c r="A691" s="36" t="s">
        <v>6791</v>
      </c>
      <c r="B691" s="36" t="s">
        <v>6755</v>
      </c>
      <c r="C691" s="36" t="s">
        <v>6214</v>
      </c>
      <c r="D691" s="37">
        <v>73</v>
      </c>
      <c r="E691" s="36">
        <v>1</v>
      </c>
      <c r="F691" s="36" t="s">
        <v>6542</v>
      </c>
      <c r="G691" s="36" t="s">
        <v>6584</v>
      </c>
      <c r="J691" s="36" t="s">
        <v>31</v>
      </c>
      <c r="AI691" s="36" t="s">
        <v>6584</v>
      </c>
      <c r="AL691" s="36" t="s">
        <v>31</v>
      </c>
      <c r="AM691" s="36" t="s">
        <v>6280</v>
      </c>
      <c r="AP691" s="86"/>
      <c r="AQ691" s="88"/>
      <c r="AR691" s="89"/>
      <c r="AS691" s="90"/>
      <c r="AV691" s="88"/>
      <c r="AW691" s="96"/>
      <c r="AX691" s="97"/>
      <c r="AY691" s="93">
        <v>1</v>
      </c>
      <c r="AZ691" s="79">
        <v>0</v>
      </c>
      <c r="BB691" s="94"/>
      <c r="BG691" s="36" t="s">
        <v>6585</v>
      </c>
    </row>
    <row r="692" spans="1:59" ht="15" customHeight="1">
      <c r="A692" s="36" t="s">
        <v>6791</v>
      </c>
      <c r="B692" s="36" t="s">
        <v>6756</v>
      </c>
      <c r="C692" s="36" t="s">
        <v>6214</v>
      </c>
      <c r="D692" s="37">
        <v>74</v>
      </c>
      <c r="E692" s="36">
        <v>1</v>
      </c>
      <c r="F692" s="36" t="s">
        <v>6542</v>
      </c>
      <c r="G692" s="36" t="s">
        <v>6586</v>
      </c>
      <c r="J692" s="36" t="s">
        <v>31</v>
      </c>
      <c r="AI692" s="36" t="s">
        <v>6586</v>
      </c>
      <c r="AL692" s="36" t="s">
        <v>31</v>
      </c>
      <c r="AM692" s="36" t="s">
        <v>6280</v>
      </c>
      <c r="AP692" s="86"/>
      <c r="AQ692" s="88"/>
      <c r="AR692" s="89"/>
      <c r="AS692" s="90"/>
      <c r="AV692" s="88"/>
      <c r="AW692" s="96"/>
      <c r="AX692" s="97"/>
      <c r="AY692" s="93">
        <v>5</v>
      </c>
      <c r="AZ692" s="79">
        <v>0</v>
      </c>
      <c r="BB692" s="94"/>
      <c r="BG692" s="36" t="s">
        <v>6587</v>
      </c>
    </row>
    <row r="693" spans="1:59" ht="15" customHeight="1">
      <c r="A693" s="36" t="s">
        <v>6791</v>
      </c>
      <c r="B693" s="36" t="s">
        <v>6757</v>
      </c>
      <c r="C693" s="36" t="s">
        <v>6214</v>
      </c>
      <c r="D693" s="37">
        <v>75</v>
      </c>
      <c r="E693" s="36">
        <v>1</v>
      </c>
      <c r="F693" s="36" t="s">
        <v>6542</v>
      </c>
      <c r="G693" s="36" t="s">
        <v>6588</v>
      </c>
      <c r="J693" s="36" t="s">
        <v>31</v>
      </c>
      <c r="AI693" s="36" t="s">
        <v>6588</v>
      </c>
      <c r="AL693" s="36" t="s">
        <v>31</v>
      </c>
      <c r="AM693" s="36" t="s">
        <v>6280</v>
      </c>
      <c r="AP693" s="86"/>
      <c r="AQ693" s="88"/>
      <c r="AR693" s="89"/>
      <c r="AS693" s="90"/>
      <c r="AV693" s="88"/>
      <c r="AW693" s="96"/>
      <c r="AX693" s="97"/>
      <c r="AY693" s="93">
        <v>2</v>
      </c>
      <c r="AZ693" s="79">
        <v>0</v>
      </c>
      <c r="BB693" s="94"/>
      <c r="BG693" s="36" t="s">
        <v>6589</v>
      </c>
    </row>
    <row r="694" spans="1:59" ht="15" customHeight="1">
      <c r="A694" s="36" t="s">
        <v>6791</v>
      </c>
      <c r="B694" s="36" t="s">
        <v>6758</v>
      </c>
      <c r="C694" s="36" t="s">
        <v>6214</v>
      </c>
      <c r="D694" s="37">
        <v>76</v>
      </c>
      <c r="E694" s="36">
        <v>1</v>
      </c>
      <c r="F694" s="36" t="s">
        <v>6542</v>
      </c>
      <c r="G694" s="36" t="s">
        <v>6558</v>
      </c>
      <c r="H694" s="36" t="s">
        <v>6590</v>
      </c>
      <c r="I694" s="36" t="s">
        <v>4077</v>
      </c>
      <c r="J694" s="36" t="s">
        <v>4111</v>
      </c>
      <c r="K694" s="36" t="s">
        <v>26</v>
      </c>
      <c r="AD694" s="36" t="s">
        <v>6591</v>
      </c>
      <c r="AF694" s="36" t="s">
        <v>6592</v>
      </c>
      <c r="AI694" s="36" t="s">
        <v>6593</v>
      </c>
      <c r="AL694" s="36" t="s">
        <v>6556</v>
      </c>
      <c r="AM694" s="36" t="s">
        <v>6280</v>
      </c>
      <c r="AP694" s="86"/>
      <c r="AQ694" s="88"/>
      <c r="AR694" s="89"/>
      <c r="AS694" s="90"/>
      <c r="AV694" s="88"/>
      <c r="AW694" s="96"/>
      <c r="AX694" s="97"/>
      <c r="AY694" s="93"/>
      <c r="BB694" s="94"/>
      <c r="BG694" s="36" t="s">
        <v>6594</v>
      </c>
    </row>
    <row r="695" spans="1:59" ht="15" customHeight="1">
      <c r="A695" s="36" t="s">
        <v>6791</v>
      </c>
      <c r="B695" s="36" t="s">
        <v>6759</v>
      </c>
      <c r="C695" s="36" t="s">
        <v>6214</v>
      </c>
      <c r="D695" s="37">
        <v>77</v>
      </c>
      <c r="E695" s="36">
        <v>1</v>
      </c>
      <c r="F695" s="36" t="s">
        <v>6542</v>
      </c>
      <c r="G695" s="36" t="s">
        <v>6563</v>
      </c>
      <c r="H695" s="36" t="s">
        <v>6595</v>
      </c>
      <c r="I695" s="36" t="s">
        <v>4077</v>
      </c>
      <c r="J695" s="36" t="s">
        <v>4111</v>
      </c>
      <c r="K695" s="36" t="s">
        <v>26</v>
      </c>
      <c r="AD695" s="36" t="s">
        <v>6591</v>
      </c>
      <c r="AF695" s="36" t="s">
        <v>6596</v>
      </c>
      <c r="AI695" s="36" t="s">
        <v>6597</v>
      </c>
      <c r="AL695" s="36" t="s">
        <v>6556</v>
      </c>
      <c r="AM695" s="36" t="s">
        <v>6280</v>
      </c>
      <c r="AP695" s="86"/>
      <c r="AQ695" s="88"/>
      <c r="AR695" s="89"/>
      <c r="AS695" s="90"/>
      <c r="AV695" s="88"/>
      <c r="AW695" s="96"/>
      <c r="AX695" s="97"/>
      <c r="AY695" s="93"/>
      <c r="BB695" s="94"/>
      <c r="BG695" s="36" t="s">
        <v>6598</v>
      </c>
    </row>
    <row r="696" spans="1:59" ht="15" customHeight="1">
      <c r="A696" s="36" t="s">
        <v>6791</v>
      </c>
      <c r="B696" s="36" t="s">
        <v>6760</v>
      </c>
      <c r="C696" s="36" t="s">
        <v>6214</v>
      </c>
      <c r="D696" s="37">
        <v>78</v>
      </c>
      <c r="E696" s="36">
        <v>1</v>
      </c>
      <c r="F696" s="36" t="s">
        <v>6542</v>
      </c>
      <c r="G696" s="36" t="s">
        <v>6567</v>
      </c>
      <c r="H696" s="36" t="s">
        <v>6599</v>
      </c>
      <c r="I696" s="36" t="s">
        <v>4077</v>
      </c>
      <c r="J696" s="36" t="s">
        <v>4111</v>
      </c>
      <c r="K696" s="36" t="s">
        <v>26</v>
      </c>
      <c r="AD696" s="36" t="s">
        <v>6591</v>
      </c>
      <c r="AF696" s="36" t="s">
        <v>6600</v>
      </c>
      <c r="AI696" s="36" t="s">
        <v>6601</v>
      </c>
      <c r="AL696" s="36" t="s">
        <v>6556</v>
      </c>
      <c r="AM696" s="36" t="s">
        <v>6280</v>
      </c>
      <c r="AP696" s="86"/>
      <c r="AQ696" s="88"/>
      <c r="AR696" s="89"/>
      <c r="AS696" s="90"/>
      <c r="AV696" s="88"/>
      <c r="AW696" s="96"/>
      <c r="AX696" s="97"/>
      <c r="AY696" s="93"/>
      <c r="BB696" s="94"/>
      <c r="BG696" s="36" t="s">
        <v>6602</v>
      </c>
    </row>
    <row r="697" spans="1:59" ht="15" customHeight="1">
      <c r="A697" s="36" t="s">
        <v>6791</v>
      </c>
      <c r="B697" s="36" t="s">
        <v>6761</v>
      </c>
      <c r="C697" s="36" t="s">
        <v>6214</v>
      </c>
      <c r="D697" s="37">
        <v>79</v>
      </c>
      <c r="E697" s="36">
        <v>1</v>
      </c>
      <c r="F697" s="36" t="s">
        <v>6542</v>
      </c>
      <c r="G697" s="36" t="s">
        <v>6571</v>
      </c>
      <c r="H697" s="36" t="s">
        <v>6603</v>
      </c>
      <c r="I697" s="36" t="s">
        <v>4077</v>
      </c>
      <c r="J697" s="36" t="s">
        <v>4111</v>
      </c>
      <c r="K697" s="36" t="s">
        <v>26</v>
      </c>
      <c r="AD697" s="36" t="s">
        <v>6591</v>
      </c>
      <c r="AF697" s="36" t="s">
        <v>6604</v>
      </c>
      <c r="AI697" s="36" t="s">
        <v>6605</v>
      </c>
      <c r="AL697" s="36" t="s">
        <v>6556</v>
      </c>
      <c r="AM697" s="36" t="s">
        <v>6280</v>
      </c>
      <c r="AP697" s="86"/>
      <c r="AQ697" s="88"/>
      <c r="AR697" s="89"/>
      <c r="AS697" s="90"/>
      <c r="AV697" s="88"/>
      <c r="AW697" s="96"/>
      <c r="AX697" s="97"/>
      <c r="AY697" s="93"/>
      <c r="BB697" s="94"/>
      <c r="BG697" s="36" t="s">
        <v>6606</v>
      </c>
    </row>
    <row r="698" spans="1:59" ht="15" customHeight="1">
      <c r="A698" s="36" t="s">
        <v>6791</v>
      </c>
      <c r="B698" s="36" t="s">
        <v>6762</v>
      </c>
      <c r="C698" s="36" t="s">
        <v>6214</v>
      </c>
      <c r="D698" s="37">
        <v>80</v>
      </c>
      <c r="E698" s="36">
        <v>1</v>
      </c>
      <c r="F698" s="36" t="s">
        <v>6542</v>
      </c>
      <c r="G698" s="36" t="s">
        <v>6575</v>
      </c>
      <c r="H698" s="36" t="s">
        <v>6607</v>
      </c>
      <c r="I698" s="36" t="s">
        <v>4077</v>
      </c>
      <c r="J698" s="36" t="s">
        <v>4111</v>
      </c>
      <c r="K698" s="36" t="s">
        <v>26</v>
      </c>
      <c r="AD698" s="36" t="s">
        <v>6591</v>
      </c>
      <c r="AF698" s="36" t="s">
        <v>6608</v>
      </c>
      <c r="AI698" s="36" t="s">
        <v>6609</v>
      </c>
      <c r="AL698" s="36" t="s">
        <v>6556</v>
      </c>
      <c r="AM698" s="36" t="s">
        <v>6280</v>
      </c>
      <c r="AP698" s="86"/>
      <c r="AQ698" s="88"/>
      <c r="AR698" s="89"/>
      <c r="AS698" s="90"/>
      <c r="AV698" s="88"/>
      <c r="AW698" s="96"/>
      <c r="AX698" s="97"/>
      <c r="AY698" s="93"/>
      <c r="BB698" s="94"/>
      <c r="BG698" s="36" t="s">
        <v>6610</v>
      </c>
    </row>
    <row r="699" spans="1:59" ht="15" customHeight="1">
      <c r="A699" s="36" t="s">
        <v>6791</v>
      </c>
      <c r="B699" s="36" t="s">
        <v>6763</v>
      </c>
      <c r="C699" s="36" t="s">
        <v>6214</v>
      </c>
      <c r="D699" s="37">
        <v>81</v>
      </c>
      <c r="E699" s="36">
        <v>1</v>
      </c>
      <c r="F699" s="36" t="s">
        <v>6542</v>
      </c>
      <c r="G699" s="36" t="s">
        <v>6611</v>
      </c>
      <c r="H699" s="36" t="s">
        <v>6612</v>
      </c>
      <c r="I699" s="36" t="s">
        <v>4077</v>
      </c>
      <c r="J699" s="36" t="s">
        <v>29</v>
      </c>
      <c r="Q699" s="78">
        <v>2</v>
      </c>
      <c r="R699" s="79">
        <v>2</v>
      </c>
      <c r="T699" s="81">
        <v>3</v>
      </c>
      <c r="AD699" s="36" t="s">
        <v>4989</v>
      </c>
      <c r="AF699" s="36" t="s">
        <v>6613</v>
      </c>
      <c r="AP699" s="86"/>
      <c r="AQ699" s="88"/>
      <c r="AR699" s="89"/>
      <c r="AS699" s="90"/>
      <c r="AV699" s="88"/>
      <c r="AW699" s="96"/>
      <c r="AX699" s="97"/>
      <c r="AY699" s="93"/>
      <c r="BB699" s="94"/>
    </row>
    <row r="700" spans="1:59" ht="15" customHeight="1">
      <c r="A700" s="36" t="s">
        <v>6791</v>
      </c>
      <c r="B700" s="36" t="s">
        <v>6764</v>
      </c>
      <c r="C700" s="36" t="s">
        <v>6214</v>
      </c>
      <c r="D700" s="37">
        <v>82</v>
      </c>
      <c r="E700" s="36">
        <v>2</v>
      </c>
      <c r="F700" s="36" t="s">
        <v>6542</v>
      </c>
      <c r="G700" s="36" t="s">
        <v>6614</v>
      </c>
      <c r="J700" s="36" t="s">
        <v>28</v>
      </c>
      <c r="AD700" s="36" t="s">
        <v>4335</v>
      </c>
      <c r="AF700" s="36" t="s">
        <v>6615</v>
      </c>
      <c r="AP700" s="86"/>
      <c r="AQ700" s="88"/>
      <c r="AR700" s="89"/>
      <c r="AS700" s="90"/>
      <c r="AV700" s="88"/>
      <c r="AW700" s="96"/>
      <c r="AX700" s="97"/>
      <c r="AY700" s="93"/>
      <c r="BB700" s="94"/>
    </row>
    <row r="701" spans="1:59" ht="15" customHeight="1">
      <c r="A701" s="36" t="s">
        <v>6791</v>
      </c>
      <c r="B701" s="36" t="s">
        <v>6765</v>
      </c>
      <c r="C701" s="36" t="s">
        <v>6214</v>
      </c>
      <c r="D701" s="37">
        <v>83</v>
      </c>
      <c r="E701" s="36">
        <v>2</v>
      </c>
      <c r="F701" s="36" t="s">
        <v>6542</v>
      </c>
      <c r="G701" s="36" t="s">
        <v>6616</v>
      </c>
      <c r="J701" s="36" t="s">
        <v>28</v>
      </c>
      <c r="AD701" s="36" t="s">
        <v>4333</v>
      </c>
      <c r="AF701" s="36" t="s">
        <v>6617</v>
      </c>
      <c r="AP701" s="86"/>
      <c r="AQ701" s="88"/>
      <c r="AR701" s="89"/>
      <c r="AS701" s="90"/>
      <c r="AV701" s="88"/>
      <c r="AW701" s="96"/>
      <c r="AX701" s="97"/>
      <c r="AY701" s="93"/>
      <c r="BB701" s="94"/>
    </row>
    <row r="702" spans="1:59" ht="15" customHeight="1">
      <c r="A702" s="36" t="s">
        <v>6791</v>
      </c>
      <c r="B702" s="36" t="s">
        <v>6766</v>
      </c>
      <c r="C702" s="36" t="s">
        <v>6214</v>
      </c>
      <c r="D702" s="37">
        <v>84</v>
      </c>
      <c r="E702" s="36">
        <v>1</v>
      </c>
      <c r="F702" s="36" t="s">
        <v>6618</v>
      </c>
      <c r="G702" s="36" t="s">
        <v>6619</v>
      </c>
      <c r="J702" s="36" t="s">
        <v>28</v>
      </c>
      <c r="AD702" s="36" t="s">
        <v>4335</v>
      </c>
      <c r="AF702" s="36" t="s">
        <v>6620</v>
      </c>
      <c r="AP702" s="86"/>
      <c r="AQ702" s="88"/>
      <c r="AR702" s="89"/>
      <c r="AS702" s="90"/>
      <c r="AV702" s="88"/>
      <c r="AW702" s="96"/>
      <c r="AX702" s="97"/>
      <c r="AY702" s="93"/>
      <c r="BB702" s="94"/>
    </row>
    <row r="703" spans="1:59" ht="15" customHeight="1">
      <c r="A703" s="36" t="s">
        <v>6791</v>
      </c>
      <c r="B703" s="36" t="s">
        <v>6767</v>
      </c>
      <c r="C703" s="36" t="s">
        <v>6214</v>
      </c>
      <c r="D703" s="37">
        <v>84</v>
      </c>
      <c r="E703" s="36">
        <v>1</v>
      </c>
      <c r="F703" s="36" t="s">
        <v>6618</v>
      </c>
      <c r="G703" s="36" t="s">
        <v>6621</v>
      </c>
      <c r="J703" s="36" t="s">
        <v>28</v>
      </c>
      <c r="AD703" s="36" t="s">
        <v>4335</v>
      </c>
      <c r="AF703" s="36" t="s">
        <v>6622</v>
      </c>
      <c r="AP703" s="86"/>
      <c r="AQ703" s="88"/>
      <c r="AR703" s="89"/>
      <c r="AS703" s="90"/>
      <c r="AV703" s="88"/>
      <c r="AW703" s="96"/>
      <c r="AX703" s="97"/>
      <c r="AY703" s="93"/>
      <c r="BB703" s="94"/>
    </row>
    <row r="704" spans="1:59" ht="15" customHeight="1">
      <c r="A704" s="36" t="s">
        <v>6791</v>
      </c>
      <c r="B704" s="36" t="s">
        <v>6768</v>
      </c>
      <c r="C704" s="36" t="s">
        <v>6214</v>
      </c>
      <c r="D704" s="37">
        <v>84</v>
      </c>
      <c r="E704" s="36">
        <v>1</v>
      </c>
      <c r="F704" s="36" t="s">
        <v>6618</v>
      </c>
      <c r="G704" s="36" t="s">
        <v>6623</v>
      </c>
      <c r="J704" s="36" t="s">
        <v>28</v>
      </c>
      <c r="AD704" s="36" t="s">
        <v>4335</v>
      </c>
      <c r="AF704" s="36" t="s">
        <v>6624</v>
      </c>
      <c r="AP704" s="86"/>
      <c r="AQ704" s="88"/>
      <c r="AR704" s="89"/>
      <c r="AS704" s="90"/>
      <c r="AV704" s="88"/>
      <c r="AW704" s="96"/>
      <c r="AX704" s="97"/>
      <c r="AY704" s="93"/>
      <c r="BB704" s="94"/>
    </row>
    <row r="705" spans="1:54" ht="15" customHeight="1">
      <c r="A705" s="36" t="s">
        <v>6791</v>
      </c>
      <c r="B705" s="36" t="s">
        <v>6769</v>
      </c>
      <c r="C705" s="36" t="s">
        <v>6214</v>
      </c>
      <c r="D705" s="37">
        <v>84</v>
      </c>
      <c r="E705" s="36">
        <v>1</v>
      </c>
      <c r="F705" s="36" t="s">
        <v>6618</v>
      </c>
      <c r="G705" s="36" t="s">
        <v>6625</v>
      </c>
      <c r="J705" s="36" t="s">
        <v>28</v>
      </c>
      <c r="AD705" s="36" t="s">
        <v>4335</v>
      </c>
      <c r="AF705" s="36" t="s">
        <v>6626</v>
      </c>
      <c r="AP705" s="86"/>
      <c r="AQ705" s="88"/>
      <c r="AR705" s="89"/>
      <c r="AS705" s="90"/>
      <c r="AV705" s="88"/>
      <c r="AW705" s="96"/>
      <c r="AX705" s="97"/>
      <c r="AY705" s="93"/>
      <c r="BB705" s="94"/>
    </row>
    <row r="706" spans="1:54" ht="15" customHeight="1">
      <c r="A706" s="36" t="s">
        <v>6791</v>
      </c>
      <c r="B706" s="36" t="s">
        <v>6770</v>
      </c>
      <c r="C706" s="36" t="s">
        <v>6214</v>
      </c>
      <c r="D706" s="37">
        <v>85</v>
      </c>
      <c r="E706" s="36">
        <v>2</v>
      </c>
      <c r="F706" s="36" t="s">
        <v>6618</v>
      </c>
      <c r="G706" s="36" t="s">
        <v>6627</v>
      </c>
      <c r="J706" s="36" t="s">
        <v>28</v>
      </c>
      <c r="AD706" s="36" t="s">
        <v>4335</v>
      </c>
      <c r="AF706" s="36" t="s">
        <v>6628</v>
      </c>
      <c r="AP706" s="86"/>
      <c r="AQ706" s="88"/>
      <c r="AR706" s="89"/>
      <c r="AS706" s="90"/>
      <c r="AV706" s="88"/>
      <c r="AW706" s="96"/>
      <c r="AX706" s="97"/>
      <c r="AY706" s="93"/>
      <c r="BB706" s="94"/>
    </row>
    <row r="707" spans="1:54" ht="15" customHeight="1">
      <c r="A707" s="36" t="s">
        <v>6791</v>
      </c>
      <c r="B707" s="36" t="s">
        <v>6771</v>
      </c>
      <c r="C707" s="36" t="s">
        <v>6214</v>
      </c>
      <c r="D707" s="37">
        <v>86</v>
      </c>
      <c r="E707" s="36">
        <v>2</v>
      </c>
      <c r="F707" s="36" t="s">
        <v>6629</v>
      </c>
      <c r="G707" s="36" t="s">
        <v>6630</v>
      </c>
      <c r="J707" s="36" t="s">
        <v>29</v>
      </c>
      <c r="Q707" s="78">
        <v>2</v>
      </c>
      <c r="R707" s="79">
        <v>2</v>
      </c>
      <c r="T707" s="81">
        <v>3</v>
      </c>
      <c r="V707" s="82">
        <v>1</v>
      </c>
      <c r="W707" s="83">
        <v>1</v>
      </c>
      <c r="AD707" s="36" t="s">
        <v>4690</v>
      </c>
      <c r="AF707" s="36" t="s">
        <v>6631</v>
      </c>
      <c r="AP707" s="86"/>
      <c r="AQ707" s="88"/>
      <c r="AR707" s="89"/>
      <c r="AS707" s="90"/>
      <c r="AV707" s="88"/>
      <c r="AW707" s="96"/>
      <c r="AX707" s="97"/>
      <c r="AY707" s="93"/>
      <c r="BB707" s="94"/>
    </row>
    <row r="708" spans="1:54" ht="15" customHeight="1">
      <c r="A708" s="36" t="s">
        <v>6791</v>
      </c>
      <c r="B708" s="36" t="s">
        <v>6772</v>
      </c>
      <c r="C708" s="36" t="s">
        <v>6214</v>
      </c>
      <c r="D708" s="37">
        <v>87</v>
      </c>
      <c r="E708" s="36">
        <v>2</v>
      </c>
      <c r="F708" s="36" t="s">
        <v>6629</v>
      </c>
      <c r="G708" s="36" t="s">
        <v>6632</v>
      </c>
      <c r="J708" s="36" t="s">
        <v>28</v>
      </c>
      <c r="AD708" s="36" t="s">
        <v>4699</v>
      </c>
      <c r="AF708" s="36" t="s">
        <v>6633</v>
      </c>
      <c r="AP708" s="86"/>
      <c r="AQ708" s="88"/>
      <c r="AR708" s="89"/>
      <c r="AS708" s="90"/>
      <c r="AV708" s="88"/>
      <c r="AW708" s="96"/>
      <c r="AX708" s="97"/>
      <c r="AY708" s="93"/>
      <c r="BB708" s="94"/>
    </row>
    <row r="709" spans="1:54" ht="15" customHeight="1">
      <c r="A709" s="36" t="s">
        <v>6791</v>
      </c>
      <c r="B709" s="36" t="s">
        <v>6773</v>
      </c>
      <c r="C709" s="36" t="s">
        <v>6214</v>
      </c>
      <c r="D709" s="37">
        <v>88</v>
      </c>
      <c r="E709" s="36">
        <v>1</v>
      </c>
      <c r="F709" s="36" t="s">
        <v>6634</v>
      </c>
      <c r="G709" s="36" t="s">
        <v>6635</v>
      </c>
      <c r="J709" s="36" t="s">
        <v>29</v>
      </c>
      <c r="Q709" s="78">
        <v>3</v>
      </c>
      <c r="R709" s="79">
        <v>5</v>
      </c>
      <c r="T709" s="81">
        <v>7</v>
      </c>
      <c r="V709" s="82">
        <v>2</v>
      </c>
      <c r="W709" s="83">
        <v>1</v>
      </c>
      <c r="AA709" s="85">
        <v>1</v>
      </c>
      <c r="AD709" s="36" t="s">
        <v>5648</v>
      </c>
      <c r="AF709" s="36" t="s">
        <v>6636</v>
      </c>
      <c r="AP709" s="86"/>
      <c r="AQ709" s="88"/>
      <c r="AR709" s="89"/>
      <c r="AS709" s="90"/>
      <c r="AV709" s="88"/>
      <c r="AW709" s="96"/>
      <c r="AX709" s="97"/>
      <c r="AY709" s="93"/>
      <c r="BB709" s="94"/>
    </row>
    <row r="710" spans="1:54" ht="15" customHeight="1">
      <c r="A710" s="36" t="s">
        <v>6791</v>
      </c>
      <c r="B710" s="36" t="s">
        <v>6774</v>
      </c>
      <c r="C710" s="36" t="s">
        <v>6214</v>
      </c>
      <c r="D710" s="37">
        <v>89</v>
      </c>
      <c r="E710" s="36">
        <v>2</v>
      </c>
      <c r="F710" s="36" t="s">
        <v>6634</v>
      </c>
      <c r="G710" s="36" t="s">
        <v>6637</v>
      </c>
      <c r="J710" s="36" t="s">
        <v>29</v>
      </c>
      <c r="Q710" s="78">
        <v>4</v>
      </c>
      <c r="R710" s="79">
        <v>2</v>
      </c>
      <c r="T710" s="81">
        <v>4</v>
      </c>
      <c r="V710" s="82">
        <v>1</v>
      </c>
      <c r="W710" s="83">
        <v>2</v>
      </c>
      <c r="AD710" s="36" t="s">
        <v>6638</v>
      </c>
      <c r="AF710" s="36" t="s">
        <v>6639</v>
      </c>
      <c r="AP710" s="86"/>
      <c r="AQ710" s="88"/>
      <c r="AR710" s="89"/>
      <c r="AS710" s="90"/>
      <c r="AV710" s="88"/>
      <c r="AW710" s="96"/>
      <c r="AX710" s="97"/>
      <c r="AY710" s="93"/>
      <c r="BB710" s="94"/>
    </row>
    <row r="711" spans="1:54" ht="15" customHeight="1">
      <c r="A711" s="36" t="s">
        <v>6791</v>
      </c>
      <c r="B711" s="36" t="s">
        <v>6775</v>
      </c>
      <c r="C711" s="36" t="s">
        <v>6214</v>
      </c>
      <c r="D711" s="37">
        <v>90</v>
      </c>
      <c r="E711" s="36">
        <v>2</v>
      </c>
      <c r="F711" s="36" t="s">
        <v>6640</v>
      </c>
      <c r="G711" s="36" t="s">
        <v>6641</v>
      </c>
      <c r="J711" s="36" t="s">
        <v>28</v>
      </c>
      <c r="AD711" s="36" t="s">
        <v>4346</v>
      </c>
      <c r="AF711" s="36" t="s">
        <v>6642</v>
      </c>
      <c r="AP711" s="86"/>
      <c r="AQ711" s="88"/>
      <c r="AR711" s="89"/>
      <c r="AS711" s="90"/>
      <c r="AV711" s="88"/>
      <c r="AW711" s="96"/>
      <c r="AX711" s="97"/>
      <c r="AY711" s="93"/>
      <c r="BB711" s="94"/>
    </row>
    <row r="712" spans="1:54" ht="15" customHeight="1">
      <c r="A712" s="36" t="s">
        <v>6791</v>
      </c>
      <c r="B712" s="36" t="s">
        <v>6776</v>
      </c>
      <c r="C712" s="36" t="s">
        <v>6214</v>
      </c>
      <c r="D712" s="37">
        <v>91</v>
      </c>
      <c r="E712" s="36">
        <v>2</v>
      </c>
      <c r="F712" s="36" t="s">
        <v>6640</v>
      </c>
      <c r="G712" s="36" t="s">
        <v>6643</v>
      </c>
      <c r="J712" s="36" t="s">
        <v>28</v>
      </c>
      <c r="AD712" s="36" t="s">
        <v>4346</v>
      </c>
      <c r="AF712" s="36" t="s">
        <v>6644</v>
      </c>
      <c r="AP712" s="86"/>
      <c r="AQ712" s="88"/>
      <c r="AR712" s="89"/>
      <c r="AS712" s="90"/>
      <c r="AV712" s="88"/>
      <c r="AW712" s="96"/>
      <c r="AX712" s="97"/>
      <c r="AY712" s="93"/>
      <c r="BB712" s="94"/>
    </row>
    <row r="713" spans="1:54" ht="15" customHeight="1">
      <c r="A713" s="36" t="s">
        <v>6791</v>
      </c>
      <c r="B713" s="36" t="s">
        <v>6777</v>
      </c>
      <c r="C713" s="36" t="s">
        <v>6214</v>
      </c>
      <c r="D713" s="37">
        <v>92</v>
      </c>
      <c r="E713" s="36">
        <v>2</v>
      </c>
      <c r="F713" s="36" t="s">
        <v>6640</v>
      </c>
      <c r="G713" s="36" t="s">
        <v>6645</v>
      </c>
      <c r="J713" s="36" t="s">
        <v>28</v>
      </c>
      <c r="AD713" s="36" t="s">
        <v>4699</v>
      </c>
      <c r="AF713" s="36" t="s">
        <v>6646</v>
      </c>
      <c r="AP713" s="86"/>
      <c r="AQ713" s="88"/>
      <c r="AR713" s="89"/>
      <c r="AS713" s="90"/>
      <c r="AV713" s="88"/>
      <c r="AW713" s="96"/>
      <c r="AX713" s="97"/>
      <c r="AY713" s="93"/>
      <c r="BB713" s="94"/>
    </row>
    <row r="714" spans="1:54" ht="15" customHeight="1">
      <c r="A714" s="36" t="s">
        <v>6791</v>
      </c>
      <c r="B714" s="36" t="s">
        <v>6778</v>
      </c>
      <c r="C714" s="36" t="s">
        <v>6214</v>
      </c>
      <c r="D714" s="37">
        <v>93</v>
      </c>
      <c r="E714" s="36">
        <v>2</v>
      </c>
      <c r="F714" s="36" t="s">
        <v>6647</v>
      </c>
      <c r="G714" s="36" t="s">
        <v>6648</v>
      </c>
      <c r="J714" s="36" t="s">
        <v>29</v>
      </c>
      <c r="Q714" s="78">
        <v>3</v>
      </c>
      <c r="R714" s="79">
        <v>4</v>
      </c>
      <c r="T714" s="81">
        <v>2</v>
      </c>
      <c r="W714" s="83">
        <v>2</v>
      </c>
      <c r="AD714" s="36" t="s">
        <v>6649</v>
      </c>
      <c r="AF714" s="36" t="s">
        <v>6650</v>
      </c>
      <c r="AP714" s="86"/>
      <c r="AQ714" s="88"/>
      <c r="AR714" s="89"/>
      <c r="AS714" s="90"/>
      <c r="AV714" s="88"/>
      <c r="AW714" s="96"/>
      <c r="AX714" s="97"/>
      <c r="AY714" s="93"/>
      <c r="BB714" s="94"/>
    </row>
    <row r="715" spans="1:54" ht="15" customHeight="1">
      <c r="A715" s="36" t="s">
        <v>6791</v>
      </c>
      <c r="B715" s="36" t="s">
        <v>6779</v>
      </c>
      <c r="C715" s="36" t="s">
        <v>6214</v>
      </c>
      <c r="D715" s="37">
        <v>94</v>
      </c>
      <c r="E715" s="36">
        <v>2</v>
      </c>
      <c r="F715" s="36" t="s">
        <v>6647</v>
      </c>
      <c r="G715" s="36" t="s">
        <v>6651</v>
      </c>
      <c r="J715" s="36" t="s">
        <v>28</v>
      </c>
      <c r="AD715" s="36" t="s">
        <v>6652</v>
      </c>
      <c r="AF715" s="36" t="s">
        <v>6653</v>
      </c>
      <c r="AP715" s="86"/>
      <c r="AQ715" s="88"/>
      <c r="AR715" s="89"/>
      <c r="AS715" s="90"/>
      <c r="AV715" s="88"/>
      <c r="AW715" s="96"/>
      <c r="AX715" s="97"/>
      <c r="AY715" s="93"/>
      <c r="BB715" s="94"/>
    </row>
    <row r="716" spans="1:54" ht="15" customHeight="1">
      <c r="A716" s="36" t="s">
        <v>6791</v>
      </c>
      <c r="B716" s="36" t="s">
        <v>6780</v>
      </c>
      <c r="C716" s="36" t="s">
        <v>6214</v>
      </c>
      <c r="D716" s="37">
        <v>95</v>
      </c>
      <c r="E716" s="36">
        <v>2</v>
      </c>
      <c r="F716" s="36" t="s">
        <v>6654</v>
      </c>
      <c r="G716" s="36" t="s">
        <v>6655</v>
      </c>
      <c r="J716" s="36" t="s">
        <v>29</v>
      </c>
      <c r="Q716" s="78">
        <v>3</v>
      </c>
      <c r="R716" s="79">
        <v>1</v>
      </c>
      <c r="T716" s="81">
        <v>4</v>
      </c>
      <c r="V716" s="82">
        <v>1</v>
      </c>
      <c r="AD716" s="36" t="s">
        <v>6656</v>
      </c>
      <c r="AF716" s="36" t="s">
        <v>6657</v>
      </c>
      <c r="AP716" s="86"/>
      <c r="AQ716" s="88"/>
      <c r="AR716" s="89"/>
      <c r="AS716" s="90"/>
      <c r="AV716" s="88"/>
      <c r="AW716" s="96"/>
      <c r="AX716" s="97"/>
      <c r="AY716" s="93"/>
      <c r="BB716" s="94"/>
    </row>
    <row r="717" spans="1:54" ht="15" customHeight="1">
      <c r="A717" s="36" t="s">
        <v>6791</v>
      </c>
      <c r="B717" s="36" t="s">
        <v>6781</v>
      </c>
      <c r="C717" s="36" t="s">
        <v>6214</v>
      </c>
      <c r="D717" s="37">
        <v>96</v>
      </c>
      <c r="E717" s="36">
        <v>2</v>
      </c>
      <c r="F717" s="36" t="s">
        <v>6654</v>
      </c>
      <c r="G717" s="36" t="s">
        <v>6658</v>
      </c>
      <c r="J717" s="36" t="s">
        <v>29</v>
      </c>
      <c r="Q717" s="78">
        <v>2</v>
      </c>
      <c r="R717" s="79">
        <v>3</v>
      </c>
      <c r="T717" s="81">
        <v>2</v>
      </c>
      <c r="V717" s="82">
        <v>1</v>
      </c>
      <c r="W717" s="83">
        <v>1</v>
      </c>
      <c r="AD717" s="36" t="s">
        <v>6656</v>
      </c>
      <c r="AF717" s="36" t="s">
        <v>6659</v>
      </c>
      <c r="AP717" s="86"/>
      <c r="AQ717" s="88"/>
      <c r="AR717" s="89"/>
      <c r="AS717" s="90"/>
      <c r="AV717" s="88"/>
      <c r="AW717" s="96"/>
      <c r="AX717" s="97"/>
      <c r="AY717" s="93"/>
      <c r="BB717" s="94"/>
    </row>
    <row r="718" spans="1:54" ht="15" customHeight="1">
      <c r="A718" s="36" t="s">
        <v>6791</v>
      </c>
      <c r="B718" s="36" t="s">
        <v>6782</v>
      </c>
      <c r="C718" s="36" t="s">
        <v>6214</v>
      </c>
      <c r="D718" s="37">
        <v>97</v>
      </c>
      <c r="E718" s="36">
        <v>2</v>
      </c>
      <c r="F718" s="36" t="s">
        <v>6654</v>
      </c>
      <c r="G718" s="36" t="s">
        <v>6660</v>
      </c>
      <c r="J718" s="36" t="s">
        <v>28</v>
      </c>
      <c r="AD718" s="36" t="s">
        <v>4699</v>
      </c>
      <c r="AF718" s="36" t="s">
        <v>6661</v>
      </c>
      <c r="AP718" s="86"/>
      <c r="AQ718" s="88"/>
      <c r="AR718" s="89"/>
      <c r="AS718" s="90"/>
      <c r="AV718" s="88"/>
      <c r="AW718" s="96"/>
      <c r="AX718" s="97"/>
      <c r="AY718" s="93"/>
      <c r="BB718" s="94"/>
    </row>
    <row r="719" spans="1:54" ht="15" customHeight="1">
      <c r="A719" s="36" t="s">
        <v>6791</v>
      </c>
      <c r="B719" s="36" t="s">
        <v>6783</v>
      </c>
      <c r="C719" s="36" t="s">
        <v>6214</v>
      </c>
      <c r="D719" s="37">
        <v>98</v>
      </c>
      <c r="E719" s="36">
        <v>3</v>
      </c>
      <c r="F719" s="36" t="s">
        <v>6662</v>
      </c>
      <c r="G719" s="36" t="s">
        <v>6663</v>
      </c>
      <c r="J719" s="36" t="s">
        <v>29</v>
      </c>
      <c r="Q719" s="78">
        <v>3</v>
      </c>
      <c r="R719" s="79">
        <v>3</v>
      </c>
      <c r="T719" s="81">
        <v>2</v>
      </c>
      <c r="V719" s="82">
        <v>1</v>
      </c>
      <c r="AD719" s="36" t="s">
        <v>4321</v>
      </c>
      <c r="AF719" s="36" t="s">
        <v>6664</v>
      </c>
      <c r="AP719" s="86"/>
      <c r="AQ719" s="88"/>
      <c r="AR719" s="89"/>
      <c r="AS719" s="90"/>
      <c r="AV719" s="88"/>
      <c r="AW719" s="96"/>
      <c r="AX719" s="97"/>
      <c r="AY719" s="93"/>
      <c r="BB719" s="94"/>
    </row>
    <row r="720" spans="1:54" ht="15" customHeight="1">
      <c r="A720" s="36" t="s">
        <v>6791</v>
      </c>
      <c r="B720" s="36" t="s">
        <v>6784</v>
      </c>
      <c r="C720" s="36" t="s">
        <v>6214</v>
      </c>
      <c r="D720" s="37">
        <v>99</v>
      </c>
      <c r="E720" s="36">
        <v>1</v>
      </c>
      <c r="F720" s="36" t="s">
        <v>6662</v>
      </c>
      <c r="G720" s="36" t="s">
        <v>6665</v>
      </c>
      <c r="J720" s="36" t="s">
        <v>29</v>
      </c>
      <c r="Q720" s="78">
        <v>4</v>
      </c>
      <c r="R720" s="79">
        <v>2</v>
      </c>
      <c r="T720" s="81">
        <v>4</v>
      </c>
      <c r="V720" s="82">
        <v>1</v>
      </c>
      <c r="W720" s="83">
        <v>2</v>
      </c>
      <c r="AA720" s="85">
        <v>1</v>
      </c>
      <c r="AD720" s="36" t="s">
        <v>4321</v>
      </c>
      <c r="AF720" s="36" t="s">
        <v>6666</v>
      </c>
      <c r="AP720" s="86"/>
      <c r="AQ720" s="88"/>
      <c r="AR720" s="89"/>
      <c r="AS720" s="90"/>
      <c r="AV720" s="88"/>
      <c r="AW720" s="96"/>
      <c r="AX720" s="97"/>
      <c r="AY720" s="93"/>
      <c r="BB720" s="94"/>
    </row>
    <row r="721" spans="1:73" ht="15" customHeight="1">
      <c r="A721" s="36" t="s">
        <v>6791</v>
      </c>
      <c r="B721" s="36" t="s">
        <v>6785</v>
      </c>
      <c r="C721" s="36" t="s">
        <v>6214</v>
      </c>
      <c r="D721" s="37">
        <v>100</v>
      </c>
      <c r="E721" s="36">
        <v>2</v>
      </c>
      <c r="F721" s="36" t="s">
        <v>6662</v>
      </c>
      <c r="G721" s="36" t="s">
        <v>6667</v>
      </c>
      <c r="J721" s="36" t="s">
        <v>28</v>
      </c>
      <c r="AD721" s="36" t="s">
        <v>4699</v>
      </c>
      <c r="AF721" s="36" t="s">
        <v>6668</v>
      </c>
      <c r="AP721" s="86"/>
      <c r="AQ721" s="88"/>
      <c r="AR721" s="89"/>
      <c r="AS721" s="90"/>
      <c r="AV721" s="88"/>
      <c r="AW721" s="96"/>
      <c r="AX721" s="97"/>
      <c r="AY721" s="93"/>
      <c r="BB721" s="94"/>
    </row>
    <row r="722" spans="1:73" ht="15" customHeight="1">
      <c r="A722" s="36" t="s">
        <v>6791</v>
      </c>
      <c r="B722" s="36" t="s">
        <v>6786</v>
      </c>
      <c r="C722" s="36" t="s">
        <v>6214</v>
      </c>
      <c r="D722" s="37">
        <v>101</v>
      </c>
      <c r="E722" s="36">
        <v>2</v>
      </c>
      <c r="F722" s="36" t="s">
        <v>6669</v>
      </c>
      <c r="G722" s="36" t="s">
        <v>6670</v>
      </c>
      <c r="J722" s="36" t="s">
        <v>28</v>
      </c>
      <c r="AD722" s="36" t="s">
        <v>4333</v>
      </c>
      <c r="AF722" s="36" t="s">
        <v>6671</v>
      </c>
      <c r="AP722" s="86"/>
      <c r="AQ722" s="88"/>
      <c r="AR722" s="89"/>
      <c r="AS722" s="90"/>
      <c r="AV722" s="88"/>
      <c r="AW722" s="96"/>
      <c r="AX722" s="97"/>
      <c r="AY722" s="93"/>
      <c r="BB722" s="94"/>
    </row>
    <row r="723" spans="1:73" ht="15" customHeight="1">
      <c r="A723" s="37" t="s">
        <v>6791</v>
      </c>
      <c r="B723" s="36" t="s">
        <v>6787</v>
      </c>
      <c r="C723" s="36" t="s">
        <v>6214</v>
      </c>
      <c r="D723" s="37">
        <v>102</v>
      </c>
      <c r="E723" s="36">
        <v>2</v>
      </c>
      <c r="F723" s="36" t="s">
        <v>6669</v>
      </c>
      <c r="G723" s="36" t="s">
        <v>6672</v>
      </c>
      <c r="J723" s="36" t="s">
        <v>28</v>
      </c>
      <c r="AD723" s="36" t="s">
        <v>4333</v>
      </c>
      <c r="AF723" s="36" t="s">
        <v>6673</v>
      </c>
      <c r="AP723" s="86"/>
      <c r="AQ723" s="88"/>
      <c r="AR723" s="89"/>
      <c r="AS723" s="90"/>
      <c r="AV723" s="88"/>
      <c r="AW723" s="96"/>
      <c r="AX723" s="97"/>
      <c r="AY723" s="93"/>
      <c r="BB723" s="94"/>
    </row>
    <row r="724" spans="1:73" ht="15" customHeight="1">
      <c r="A724" s="37" t="s">
        <v>6791</v>
      </c>
      <c r="B724" s="36" t="s">
        <v>6788</v>
      </c>
      <c r="C724" s="36" t="s">
        <v>6214</v>
      </c>
      <c r="D724" s="37">
        <v>103</v>
      </c>
      <c r="E724" s="36">
        <v>2</v>
      </c>
      <c r="F724" s="36" t="s">
        <v>6669</v>
      </c>
      <c r="G724" s="36" t="s">
        <v>6674</v>
      </c>
      <c r="J724" s="36" t="s">
        <v>29</v>
      </c>
      <c r="Q724" s="78" t="s">
        <v>32</v>
      </c>
      <c r="R724" s="79">
        <v>3</v>
      </c>
      <c r="T724" s="81">
        <v>2</v>
      </c>
      <c r="V724" s="82">
        <v>1</v>
      </c>
      <c r="AD724" s="36" t="s">
        <v>30</v>
      </c>
      <c r="AF724" s="36" t="s">
        <v>6675</v>
      </c>
      <c r="AP724" s="86"/>
      <c r="AQ724" s="88"/>
      <c r="AR724" s="89"/>
      <c r="AS724" s="90"/>
      <c r="AV724" s="88"/>
      <c r="AW724" s="96"/>
      <c r="AX724" s="97"/>
      <c r="AY724" s="93"/>
      <c r="BB724" s="94"/>
    </row>
    <row r="725" spans="1:73" ht="15" customHeight="1">
      <c r="A725" s="37" t="s">
        <v>6791</v>
      </c>
      <c r="B725" s="36" t="s">
        <v>6789</v>
      </c>
      <c r="C725" s="36" t="s">
        <v>6214</v>
      </c>
      <c r="D725" s="37">
        <v>104</v>
      </c>
      <c r="E725" s="36">
        <v>2</v>
      </c>
      <c r="F725" s="36" t="s">
        <v>6503</v>
      </c>
      <c r="G725" s="36" t="s">
        <v>6676</v>
      </c>
      <c r="J725" s="36" t="s">
        <v>28</v>
      </c>
      <c r="AD725" s="36" t="s">
        <v>4699</v>
      </c>
      <c r="AF725" s="36" t="s">
        <v>6677</v>
      </c>
      <c r="AP725" s="86"/>
      <c r="AQ725" s="88"/>
      <c r="AR725" s="89"/>
      <c r="AS725" s="90"/>
      <c r="AV725" s="88"/>
      <c r="AW725" s="96"/>
      <c r="AX725" s="97"/>
      <c r="AY725" s="93"/>
      <c r="BB725" s="94"/>
    </row>
    <row r="726" spans="1:73" ht="15" customHeight="1">
      <c r="A726" s="37" t="s">
        <v>6791</v>
      </c>
      <c r="B726" s="36" t="s">
        <v>6790</v>
      </c>
      <c r="C726" s="36" t="s">
        <v>6214</v>
      </c>
      <c r="D726" s="37">
        <v>105</v>
      </c>
      <c r="E726" s="36">
        <v>1</v>
      </c>
      <c r="F726" s="36" t="s">
        <v>6503</v>
      </c>
      <c r="G726" s="36" t="s">
        <v>6678</v>
      </c>
      <c r="J726" s="36" t="s">
        <v>28</v>
      </c>
      <c r="AD726" s="36" t="s">
        <v>6679</v>
      </c>
      <c r="AF726" s="36" t="s">
        <v>6680</v>
      </c>
      <c r="AP726" s="86"/>
      <c r="AQ726" s="88"/>
      <c r="AR726" s="89"/>
      <c r="AS726" s="90"/>
      <c r="AV726" s="88"/>
      <c r="AW726" s="96"/>
      <c r="AX726" s="97"/>
      <c r="AY726" s="93"/>
      <c r="BB726" s="94"/>
    </row>
    <row r="727" spans="1:73" ht="15" customHeight="1">
      <c r="A727" s="37" t="s">
        <v>6791</v>
      </c>
      <c r="B727" s="41" t="s">
        <v>6932</v>
      </c>
      <c r="C727" s="36" t="s">
        <v>6214</v>
      </c>
      <c r="D727" s="44">
        <v>994</v>
      </c>
      <c r="E727" s="41">
        <v>1</v>
      </c>
      <c r="F727" s="41"/>
      <c r="G727" s="41" t="s">
        <v>6366</v>
      </c>
      <c r="J727" s="36" t="s">
        <v>4715</v>
      </c>
      <c r="K727" s="36" t="s">
        <v>4052</v>
      </c>
      <c r="N727" s="86"/>
      <c r="O727" s="88"/>
      <c r="P727" s="89"/>
      <c r="Q727" s="90"/>
      <c r="U727" s="88"/>
      <c r="V727" s="96"/>
      <c r="W727" s="97"/>
      <c r="X727" s="93"/>
      <c r="AA727" s="94"/>
      <c r="AB727" s="55"/>
      <c r="AE727" s="36"/>
      <c r="AI727" s="41" t="s">
        <v>6366</v>
      </c>
      <c r="AL727" s="36" t="s">
        <v>4715</v>
      </c>
      <c r="AP727" s="86"/>
      <c r="AQ727" s="88"/>
      <c r="AR727" s="89"/>
      <c r="AS727" s="90"/>
      <c r="AV727" s="88"/>
      <c r="AW727" s="96"/>
      <c r="AX727" s="97"/>
      <c r="AY727" s="93"/>
      <c r="BB727" s="94"/>
    </row>
    <row r="728" spans="1:73" ht="15" customHeight="1">
      <c r="A728" s="37" t="s">
        <v>6791</v>
      </c>
      <c r="B728" s="36" t="s">
        <v>6933</v>
      </c>
      <c r="C728" s="36" t="s">
        <v>6214</v>
      </c>
      <c r="D728" s="37">
        <v>995</v>
      </c>
      <c r="E728" s="36">
        <v>1</v>
      </c>
      <c r="G728" s="36" t="s">
        <v>6371</v>
      </c>
      <c r="J728" s="36" t="s">
        <v>4715</v>
      </c>
      <c r="K728" s="36" t="s">
        <v>4053</v>
      </c>
      <c r="N728" s="86"/>
      <c r="O728" s="88"/>
      <c r="P728" s="89"/>
      <c r="Q728" s="90"/>
      <c r="U728" s="88"/>
      <c r="V728" s="96"/>
      <c r="W728" s="97"/>
      <c r="X728" s="93"/>
      <c r="AA728" s="94"/>
      <c r="AB728" s="55"/>
      <c r="AE728" s="36"/>
      <c r="AI728" s="36" t="s">
        <v>6371</v>
      </c>
      <c r="AL728" s="36" t="s">
        <v>4715</v>
      </c>
      <c r="AP728" s="86"/>
      <c r="AQ728" s="88"/>
      <c r="AR728" s="89"/>
      <c r="AS728" s="90"/>
      <c r="AV728" s="88"/>
      <c r="AW728" s="96"/>
      <c r="AX728" s="97"/>
      <c r="AY728" s="93"/>
      <c r="BB728" s="94"/>
    </row>
    <row r="729" spans="1:73" ht="15" customHeight="1">
      <c r="A729" s="37" t="s">
        <v>6791</v>
      </c>
      <c r="B729" s="36" t="s">
        <v>6934</v>
      </c>
      <c r="C729" s="36" t="s">
        <v>6214</v>
      </c>
      <c r="D729" s="44">
        <v>996</v>
      </c>
      <c r="E729" s="36">
        <v>1</v>
      </c>
      <c r="G729" s="36" t="s">
        <v>6376</v>
      </c>
      <c r="J729" s="36" t="s">
        <v>4715</v>
      </c>
      <c r="K729" s="36" t="s">
        <v>4055</v>
      </c>
      <c r="N729" s="86"/>
      <c r="O729" s="88"/>
      <c r="P729" s="89"/>
      <c r="Q729" s="90"/>
      <c r="U729" s="88"/>
      <c r="V729" s="96"/>
      <c r="W729" s="97"/>
      <c r="X729" s="93"/>
      <c r="AA729" s="94"/>
      <c r="AB729" s="55"/>
      <c r="AE729" s="36"/>
      <c r="AI729" s="36" t="s">
        <v>6376</v>
      </c>
      <c r="AL729" s="36" t="s">
        <v>4715</v>
      </c>
      <c r="AP729" s="86"/>
      <c r="AQ729" s="88"/>
      <c r="AR729" s="89"/>
      <c r="AS729" s="90"/>
      <c r="AV729" s="88"/>
      <c r="AW729" s="96"/>
      <c r="AX729" s="97"/>
      <c r="AY729" s="93"/>
      <c r="BB729" s="94"/>
    </row>
    <row r="730" spans="1:73" ht="15" customHeight="1">
      <c r="A730" s="37" t="s">
        <v>6791</v>
      </c>
      <c r="B730" s="36" t="s">
        <v>6935</v>
      </c>
      <c r="C730" s="36" t="s">
        <v>6214</v>
      </c>
      <c r="D730" s="37">
        <v>997</v>
      </c>
      <c r="E730" s="36">
        <v>1</v>
      </c>
      <c r="G730" s="36" t="s">
        <v>6381</v>
      </c>
      <c r="J730" s="36" t="s">
        <v>4715</v>
      </c>
      <c r="K730" s="36" t="s">
        <v>4054</v>
      </c>
      <c r="N730" s="86"/>
      <c r="O730" s="88"/>
      <c r="P730" s="89"/>
      <c r="Q730" s="90"/>
      <c r="U730" s="88"/>
      <c r="V730" s="96"/>
      <c r="W730" s="97"/>
      <c r="X730" s="93"/>
      <c r="AA730" s="94"/>
      <c r="AB730" s="55"/>
      <c r="AE730" s="36"/>
      <c r="AI730" s="36" t="s">
        <v>6381</v>
      </c>
      <c r="AL730" s="36" t="s">
        <v>4715</v>
      </c>
      <c r="AP730" s="86"/>
      <c r="AQ730" s="88"/>
      <c r="AR730" s="89"/>
      <c r="AS730" s="90"/>
      <c r="AV730" s="88"/>
      <c r="AW730" s="96"/>
      <c r="AX730" s="97"/>
      <c r="AY730" s="93"/>
      <c r="BB730" s="94"/>
    </row>
    <row r="731" spans="1:73" s="45" customFormat="1" ht="15" customHeight="1">
      <c r="A731" s="37" t="s">
        <v>6791</v>
      </c>
      <c r="B731" s="152" t="s">
        <v>6936</v>
      </c>
      <c r="C731" s="36" t="s">
        <v>6214</v>
      </c>
      <c r="D731" s="44">
        <v>998</v>
      </c>
      <c r="E731" s="152">
        <v>1</v>
      </c>
      <c r="F731" s="152"/>
      <c r="G731" s="152" t="s">
        <v>6385</v>
      </c>
      <c r="H731" s="152"/>
      <c r="I731" s="152"/>
      <c r="J731" s="152" t="s">
        <v>4715</v>
      </c>
      <c r="K731" s="152" t="s">
        <v>4056</v>
      </c>
      <c r="L731" s="152"/>
      <c r="M731" s="152"/>
      <c r="N731" s="153"/>
      <c r="O731" s="88"/>
      <c r="P731" s="89"/>
      <c r="Q731" s="90"/>
      <c r="R731" s="79"/>
      <c r="S731" s="126"/>
      <c r="T731" s="81"/>
      <c r="U731" s="88"/>
      <c r="V731" s="96"/>
      <c r="W731" s="97"/>
      <c r="X731" s="93"/>
      <c r="Y731" s="79"/>
      <c r="Z731" s="81"/>
      <c r="AA731" s="94"/>
      <c r="AB731" s="155"/>
      <c r="AC731" s="152"/>
      <c r="AD731" s="152"/>
      <c r="AE731" s="152"/>
      <c r="AF731" s="152"/>
      <c r="AG731" s="152"/>
      <c r="AH731" s="152"/>
      <c r="AI731" s="152" t="s">
        <v>6385</v>
      </c>
      <c r="AJ731" s="152"/>
      <c r="AK731" s="152"/>
      <c r="AL731" s="152" t="s">
        <v>4715</v>
      </c>
      <c r="AM731" s="152"/>
      <c r="AN731" s="152"/>
      <c r="AO731" s="152"/>
      <c r="AP731" s="156"/>
      <c r="AQ731" s="99"/>
      <c r="AR731" s="100"/>
      <c r="AS731" s="101"/>
      <c r="AT731" s="102"/>
      <c r="AU731" s="103"/>
      <c r="AV731" s="99"/>
      <c r="AW731" s="104"/>
      <c r="AX731" s="105"/>
      <c r="AY731" s="106"/>
      <c r="AZ731" s="102"/>
      <c r="BA731" s="103"/>
      <c r="BB731" s="107"/>
      <c r="BC731" s="155"/>
      <c r="BD731" s="152"/>
      <c r="BE731" s="152"/>
      <c r="BF731" s="154"/>
      <c r="BG731" s="152"/>
      <c r="BH731" s="152"/>
      <c r="BI731" s="152"/>
      <c r="BJ731" s="152"/>
      <c r="BK731" s="152"/>
      <c r="BL731" s="152"/>
      <c r="BM731" s="152"/>
      <c r="BN731" s="152"/>
      <c r="BO731" s="152"/>
      <c r="BP731" s="152"/>
      <c r="BQ731" s="152"/>
      <c r="BR731" s="152"/>
      <c r="BS731" s="152"/>
      <c r="BT731" s="152"/>
      <c r="BU731" s="152"/>
    </row>
    <row r="732" spans="1:73" s="45" customFormat="1" ht="15" customHeight="1">
      <c r="A732" s="37" t="s">
        <v>6791</v>
      </c>
      <c r="B732" s="45" t="s">
        <v>6937</v>
      </c>
      <c r="C732" s="36" t="s">
        <v>6214</v>
      </c>
      <c r="D732" s="37">
        <v>999</v>
      </c>
      <c r="E732" s="45">
        <v>1</v>
      </c>
      <c r="G732" s="45" t="s">
        <v>6390</v>
      </c>
      <c r="J732" s="45" t="s">
        <v>4715</v>
      </c>
      <c r="K732" s="45" t="s">
        <v>26</v>
      </c>
      <c r="N732" s="98"/>
      <c r="O732" s="99"/>
      <c r="P732" s="100"/>
      <c r="Q732" s="101"/>
      <c r="R732" s="102"/>
      <c r="S732" s="126"/>
      <c r="T732" s="103"/>
      <c r="U732" s="99"/>
      <c r="V732" s="104"/>
      <c r="W732" s="105"/>
      <c r="X732" s="106"/>
      <c r="Y732" s="102"/>
      <c r="Z732" s="103"/>
      <c r="AA732" s="107"/>
      <c r="AI732" s="45" t="s">
        <v>6390</v>
      </c>
      <c r="AL732" s="45" t="s">
        <v>4715</v>
      </c>
      <c r="AP732" s="98"/>
      <c r="AQ732" s="99"/>
      <c r="AR732" s="100"/>
      <c r="AS732" s="101"/>
      <c r="AT732" s="102"/>
      <c r="AU732" s="103"/>
      <c r="AV732" s="99"/>
      <c r="AW732" s="104"/>
      <c r="AX732" s="105"/>
      <c r="AY732" s="106"/>
      <c r="AZ732" s="102"/>
      <c r="BA732" s="103"/>
      <c r="BB732" s="107"/>
      <c r="BF732" s="38"/>
    </row>
    <row r="733" spans="1:73" ht="15" customHeight="1">
      <c r="A733" s="54" t="s">
        <v>6794</v>
      </c>
      <c r="B733" s="54" t="s">
        <v>6797</v>
      </c>
      <c r="C733" s="54" t="s">
        <v>6215</v>
      </c>
      <c r="D733" s="129">
        <v>106</v>
      </c>
      <c r="E733" s="54">
        <v>2</v>
      </c>
      <c r="F733" s="54"/>
      <c r="G733" s="54" t="s">
        <v>6798</v>
      </c>
      <c r="H733" s="41"/>
      <c r="J733" s="36" t="s">
        <v>27</v>
      </c>
      <c r="K733" s="36" t="s">
        <v>4052</v>
      </c>
      <c r="L733" s="36">
        <v>0</v>
      </c>
      <c r="N733" s="37">
        <v>1</v>
      </c>
      <c r="O733" s="131">
        <v>1</v>
      </c>
      <c r="P733" s="132"/>
      <c r="Q733" s="133">
        <v>1</v>
      </c>
      <c r="R733" s="42"/>
      <c r="S733" s="134"/>
      <c r="T733" s="135"/>
      <c r="U733" s="131"/>
      <c r="V733" s="136"/>
      <c r="W733" s="137"/>
      <c r="X733" s="138"/>
      <c r="Y733" s="42"/>
      <c r="Z733" s="135"/>
      <c r="AA733" s="139"/>
      <c r="AB733" s="28" t="s">
        <v>4937</v>
      </c>
      <c r="AD733" s="36" t="s">
        <v>6799</v>
      </c>
      <c r="AF733" s="36" t="s">
        <v>6800</v>
      </c>
      <c r="AI733" s="41"/>
      <c r="AJ733" s="41"/>
      <c r="AO733" s="37"/>
      <c r="AP733" s="37"/>
      <c r="AQ733" s="131"/>
      <c r="AR733" s="132"/>
      <c r="AS733" s="133"/>
      <c r="AT733" s="42"/>
      <c r="AU733" s="135"/>
      <c r="AV733" s="131"/>
      <c r="AW733" s="136"/>
      <c r="AX733" s="137"/>
      <c r="AY733" s="138"/>
      <c r="AZ733" s="42"/>
      <c r="BA733" s="135"/>
      <c r="BB733" s="139"/>
      <c r="BE733" s="37"/>
      <c r="BF733" s="36"/>
    </row>
    <row r="734" spans="1:73" ht="15" customHeight="1">
      <c r="A734" s="41" t="s">
        <v>6794</v>
      </c>
      <c r="B734" s="36" t="s">
        <v>6801</v>
      </c>
      <c r="C734" s="36" t="s">
        <v>6215</v>
      </c>
      <c r="D734" s="37">
        <v>107</v>
      </c>
      <c r="E734" s="36">
        <v>2</v>
      </c>
      <c r="G734" s="36" t="s">
        <v>6802</v>
      </c>
      <c r="J734" s="36" t="s">
        <v>4111</v>
      </c>
      <c r="K734" s="36" t="s">
        <v>4052</v>
      </c>
      <c r="L734" s="36">
        <v>1</v>
      </c>
      <c r="N734" s="37">
        <v>1</v>
      </c>
      <c r="O734" s="131"/>
      <c r="P734" s="132"/>
      <c r="Q734" s="133">
        <v>1</v>
      </c>
      <c r="R734" s="42">
        <v>1</v>
      </c>
      <c r="S734" s="134"/>
      <c r="T734" s="135"/>
      <c r="U734" s="131">
        <v>1</v>
      </c>
      <c r="V734" s="136"/>
      <c r="W734" s="137"/>
      <c r="X734" s="138"/>
      <c r="Y734" s="42"/>
      <c r="Z734" s="135"/>
      <c r="AA734" s="139"/>
      <c r="AB734" s="28" t="s">
        <v>4941</v>
      </c>
      <c r="AD734" s="36" t="s">
        <v>6803</v>
      </c>
      <c r="AF734" s="36" t="s">
        <v>6804</v>
      </c>
      <c r="AO734" s="37"/>
      <c r="AP734" s="37"/>
      <c r="AQ734" s="131"/>
      <c r="AR734" s="132"/>
      <c r="AS734" s="133"/>
      <c r="AT734" s="42"/>
      <c r="AU734" s="135"/>
      <c r="AV734" s="131"/>
      <c r="AW734" s="136"/>
      <c r="AX734" s="137"/>
      <c r="AY734" s="138"/>
      <c r="AZ734" s="42"/>
      <c r="BA734" s="135"/>
      <c r="BB734" s="139"/>
      <c r="BE734" s="37"/>
      <c r="BF734" s="36"/>
    </row>
    <row r="735" spans="1:73" ht="15" customHeight="1">
      <c r="A735" s="41" t="s">
        <v>6794</v>
      </c>
      <c r="B735" s="36" t="s">
        <v>6805</v>
      </c>
      <c r="C735" s="36" t="s">
        <v>6215</v>
      </c>
      <c r="D735" s="37">
        <v>108</v>
      </c>
      <c r="E735" s="36">
        <v>2</v>
      </c>
      <c r="G735" s="36" t="s">
        <v>6806</v>
      </c>
      <c r="J735" s="36" t="s">
        <v>27</v>
      </c>
      <c r="K735" s="36" t="s">
        <v>4053</v>
      </c>
      <c r="L735" s="36">
        <v>0</v>
      </c>
      <c r="N735" s="37">
        <v>1</v>
      </c>
      <c r="O735" s="131">
        <v>1</v>
      </c>
      <c r="P735" s="132"/>
      <c r="Q735" s="133">
        <v>1</v>
      </c>
      <c r="R735" s="42"/>
      <c r="S735" s="134"/>
      <c r="T735" s="135"/>
      <c r="U735" s="131"/>
      <c r="V735" s="136"/>
      <c r="W735" s="137"/>
      <c r="X735" s="138"/>
      <c r="Y735" s="42"/>
      <c r="Z735" s="135"/>
      <c r="AA735" s="139"/>
      <c r="AB735" s="28" t="s">
        <v>4937</v>
      </c>
      <c r="AD735" s="36" t="s">
        <v>4194</v>
      </c>
      <c r="AF735" s="36" t="s">
        <v>6807</v>
      </c>
      <c r="AO735" s="37"/>
      <c r="AP735" s="37"/>
      <c r="AQ735" s="131"/>
      <c r="AR735" s="132"/>
      <c r="AS735" s="133"/>
      <c r="AT735" s="42"/>
      <c r="AU735" s="135"/>
      <c r="AV735" s="131"/>
      <c r="AW735" s="136"/>
      <c r="AX735" s="137"/>
      <c r="AY735" s="138"/>
      <c r="AZ735" s="42"/>
      <c r="BA735" s="135"/>
      <c r="BB735" s="139"/>
      <c r="BE735" s="37"/>
      <c r="BF735" s="36"/>
    </row>
    <row r="736" spans="1:73" ht="15" customHeight="1">
      <c r="A736" s="41" t="s">
        <v>6794</v>
      </c>
      <c r="B736" s="36" t="s">
        <v>6808</v>
      </c>
      <c r="C736" s="36" t="s">
        <v>6215</v>
      </c>
      <c r="D736" s="37">
        <v>109</v>
      </c>
      <c r="E736" s="36">
        <v>2</v>
      </c>
      <c r="G736" s="36" t="s">
        <v>6809</v>
      </c>
      <c r="J736" s="36" t="s">
        <v>4111</v>
      </c>
      <c r="K736" s="36" t="s">
        <v>4053</v>
      </c>
      <c r="L736" s="36">
        <v>1</v>
      </c>
      <c r="N736" s="37">
        <v>1</v>
      </c>
      <c r="O736" s="131"/>
      <c r="P736" s="132">
        <v>1</v>
      </c>
      <c r="Q736" s="133">
        <v>1</v>
      </c>
      <c r="R736" s="42"/>
      <c r="S736" s="134"/>
      <c r="T736" s="135"/>
      <c r="U736" s="131">
        <v>1</v>
      </c>
      <c r="V736" s="136"/>
      <c r="W736" s="137"/>
      <c r="X736" s="138"/>
      <c r="Y736" s="42"/>
      <c r="Z736" s="135"/>
      <c r="AA736" s="139"/>
      <c r="AB736" s="28" t="s">
        <v>4945</v>
      </c>
      <c r="AD736" s="36" t="s">
        <v>6803</v>
      </c>
      <c r="AF736" s="36" t="s">
        <v>6810</v>
      </c>
      <c r="AO736" s="37"/>
      <c r="AP736" s="37"/>
      <c r="AQ736" s="131"/>
      <c r="AR736" s="132"/>
      <c r="AS736" s="133"/>
      <c r="AT736" s="42"/>
      <c r="AU736" s="135"/>
      <c r="AV736" s="131"/>
      <c r="AW736" s="136"/>
      <c r="AX736" s="137"/>
      <c r="AY736" s="138"/>
      <c r="AZ736" s="42"/>
      <c r="BA736" s="135"/>
      <c r="BB736" s="139"/>
      <c r="BE736" s="37"/>
      <c r="BF736" s="36"/>
    </row>
    <row r="737" spans="1:59" ht="15" customHeight="1">
      <c r="A737" s="41" t="s">
        <v>6794</v>
      </c>
      <c r="B737" s="36" t="s">
        <v>6811</v>
      </c>
      <c r="C737" s="36" t="s">
        <v>6215</v>
      </c>
      <c r="D737" s="36">
        <v>110</v>
      </c>
      <c r="E737" s="36">
        <v>2</v>
      </c>
      <c r="G737" s="36" t="s">
        <v>6812</v>
      </c>
      <c r="J737" s="36" t="s">
        <v>4111</v>
      </c>
      <c r="K737" s="36" t="s">
        <v>4055</v>
      </c>
      <c r="L737" s="36">
        <v>0</v>
      </c>
      <c r="N737" s="36">
        <v>2</v>
      </c>
      <c r="O737" s="131"/>
      <c r="P737" s="132"/>
      <c r="Q737" s="133">
        <v>1</v>
      </c>
      <c r="R737" s="42"/>
      <c r="S737" s="134"/>
      <c r="T737" s="135"/>
      <c r="U737" s="131"/>
      <c r="V737" s="136"/>
      <c r="W737" s="137"/>
      <c r="X737" s="138"/>
      <c r="Y737" s="42"/>
      <c r="Z737" s="135"/>
      <c r="AA737" s="139"/>
      <c r="AB737" s="28" t="s">
        <v>4060</v>
      </c>
      <c r="AC737" s="36" t="s">
        <v>4112</v>
      </c>
      <c r="AD737" s="36" t="s">
        <v>4206</v>
      </c>
      <c r="AE737" s="36"/>
      <c r="AF737" s="36" t="s">
        <v>6813</v>
      </c>
      <c r="AO737" s="37"/>
      <c r="AP737" s="36"/>
      <c r="AQ737" s="131"/>
      <c r="AR737" s="132"/>
      <c r="AS737" s="133"/>
      <c r="AT737" s="42"/>
      <c r="AU737" s="135"/>
      <c r="AV737" s="131"/>
      <c r="AW737" s="136"/>
      <c r="AX737" s="137"/>
      <c r="AY737" s="138"/>
      <c r="AZ737" s="42"/>
      <c r="BA737" s="135"/>
      <c r="BB737" s="139"/>
      <c r="BE737" s="37"/>
      <c r="BF737" s="36"/>
    </row>
    <row r="738" spans="1:59" ht="15" customHeight="1">
      <c r="A738" s="41" t="s">
        <v>6794</v>
      </c>
      <c r="B738" s="36" t="s">
        <v>6814</v>
      </c>
      <c r="C738" s="36" t="s">
        <v>6215</v>
      </c>
      <c r="D738" s="36">
        <v>111</v>
      </c>
      <c r="E738" s="36">
        <v>2</v>
      </c>
      <c r="G738" s="36" t="s">
        <v>6815</v>
      </c>
      <c r="J738" s="36" t="s">
        <v>4111</v>
      </c>
      <c r="K738" s="36" t="s">
        <v>4055</v>
      </c>
      <c r="L738" s="36">
        <v>1</v>
      </c>
      <c r="N738" s="36">
        <v>1</v>
      </c>
      <c r="O738" s="131">
        <v>1</v>
      </c>
      <c r="P738" s="132"/>
      <c r="Q738" s="133"/>
      <c r="R738" s="42">
        <v>1</v>
      </c>
      <c r="S738" s="134"/>
      <c r="T738" s="135"/>
      <c r="U738" s="131">
        <v>1</v>
      </c>
      <c r="V738" s="136"/>
      <c r="W738" s="137"/>
      <c r="X738" s="138"/>
      <c r="Y738" s="42"/>
      <c r="Z738" s="135"/>
      <c r="AA738" s="139"/>
      <c r="AB738" s="140" t="s">
        <v>4939</v>
      </c>
      <c r="AD738" s="36" t="s">
        <v>6803</v>
      </c>
      <c r="AE738" s="36"/>
      <c r="AF738" s="36" t="s">
        <v>6816</v>
      </c>
      <c r="AO738" s="37"/>
      <c r="AP738" s="36"/>
      <c r="AQ738" s="131"/>
      <c r="AR738" s="132"/>
      <c r="AS738" s="133"/>
      <c r="AT738" s="42"/>
      <c r="AU738" s="135"/>
      <c r="AV738" s="131"/>
      <c r="AW738" s="136"/>
      <c r="AX738" s="137"/>
      <c r="AY738" s="138"/>
      <c r="AZ738" s="42"/>
      <c r="BA738" s="135"/>
      <c r="BB738" s="139"/>
      <c r="BE738" s="37"/>
      <c r="BF738" s="36"/>
    </row>
    <row r="739" spans="1:59" ht="15" customHeight="1">
      <c r="A739" s="41" t="s">
        <v>6794</v>
      </c>
      <c r="B739" s="36" t="s">
        <v>6817</v>
      </c>
      <c r="C739" s="36" t="s">
        <v>6215</v>
      </c>
      <c r="D739" s="36">
        <v>112</v>
      </c>
      <c r="E739" s="36">
        <v>2</v>
      </c>
      <c r="G739" s="36" t="s">
        <v>6818</v>
      </c>
      <c r="H739" s="36" t="s">
        <v>6819</v>
      </c>
      <c r="I739" s="36" t="s">
        <v>4077</v>
      </c>
      <c r="J739" s="36" t="s">
        <v>4111</v>
      </c>
      <c r="K739" s="36" t="s">
        <v>4054</v>
      </c>
      <c r="L739" s="36">
        <v>0</v>
      </c>
      <c r="N739" s="36">
        <v>2</v>
      </c>
      <c r="O739" s="131"/>
      <c r="P739" s="132">
        <v>1</v>
      </c>
      <c r="Q739" s="133"/>
      <c r="R739" s="42"/>
      <c r="S739" s="134"/>
      <c r="T739" s="135">
        <v>2</v>
      </c>
      <c r="U739" s="131">
        <v>1</v>
      </c>
      <c r="V739" s="136"/>
      <c r="W739" s="137"/>
      <c r="X739" s="138"/>
      <c r="Y739" s="42"/>
      <c r="Z739" s="135"/>
      <c r="AA739" s="139"/>
      <c r="AB739" s="28" t="s">
        <v>4059</v>
      </c>
      <c r="AC739" s="36" t="s">
        <v>25</v>
      </c>
      <c r="AD739" s="36" t="s">
        <v>6820</v>
      </c>
      <c r="AE739" s="36"/>
      <c r="AF739" s="36" t="s">
        <v>6821</v>
      </c>
      <c r="AO739" s="37"/>
      <c r="AP739" s="36"/>
      <c r="AQ739" s="131"/>
      <c r="AR739" s="132"/>
      <c r="AS739" s="133"/>
      <c r="AT739" s="42"/>
      <c r="AU739" s="135"/>
      <c r="AV739" s="131"/>
      <c r="AW739" s="136"/>
      <c r="AX739" s="137"/>
      <c r="AY739" s="138"/>
      <c r="AZ739" s="42"/>
      <c r="BA739" s="135"/>
      <c r="BB739" s="139"/>
      <c r="BE739" s="37"/>
      <c r="BF739" s="36"/>
    </row>
    <row r="740" spans="1:59" ht="15" customHeight="1">
      <c r="A740" s="41" t="s">
        <v>6794</v>
      </c>
      <c r="B740" s="36" t="s">
        <v>6822</v>
      </c>
      <c r="C740" s="36" t="s">
        <v>6215</v>
      </c>
      <c r="D740" s="36">
        <v>113</v>
      </c>
      <c r="E740" s="36">
        <v>2</v>
      </c>
      <c r="G740" s="36" t="s">
        <v>6823</v>
      </c>
      <c r="J740" s="36" t="s">
        <v>4111</v>
      </c>
      <c r="K740" s="36" t="s">
        <v>4054</v>
      </c>
      <c r="L740" s="36">
        <v>1</v>
      </c>
      <c r="N740" s="36">
        <v>1</v>
      </c>
      <c r="O740" s="131">
        <v>1</v>
      </c>
      <c r="P740" s="132"/>
      <c r="Q740" s="133"/>
      <c r="R740" s="42"/>
      <c r="S740" s="134"/>
      <c r="T740" s="135"/>
      <c r="U740" s="131">
        <v>1</v>
      </c>
      <c r="V740" s="136"/>
      <c r="W740" s="137"/>
      <c r="X740" s="138"/>
      <c r="Y740" s="42"/>
      <c r="Z740" s="135"/>
      <c r="AA740" s="139"/>
      <c r="AB740" s="140" t="s">
        <v>4058</v>
      </c>
      <c r="AD740" s="36" t="s">
        <v>6803</v>
      </c>
      <c r="AE740" s="36"/>
      <c r="AF740" s="36" t="s">
        <v>6824</v>
      </c>
      <c r="AO740" s="37"/>
      <c r="AP740" s="36"/>
      <c r="AQ740" s="131"/>
      <c r="AR740" s="132"/>
      <c r="AS740" s="133"/>
      <c r="AT740" s="42"/>
      <c r="AU740" s="135"/>
      <c r="AV740" s="131"/>
      <c r="AW740" s="136"/>
      <c r="AX740" s="137"/>
      <c r="AY740" s="138"/>
      <c r="AZ740" s="42"/>
      <c r="BA740" s="135"/>
      <c r="BB740" s="139"/>
      <c r="BE740" s="37"/>
      <c r="BF740" s="36"/>
    </row>
    <row r="741" spans="1:59" ht="15" customHeight="1">
      <c r="A741" s="41" t="s">
        <v>6794</v>
      </c>
      <c r="B741" s="36" t="s">
        <v>6825</v>
      </c>
      <c r="C741" s="36" t="s">
        <v>6215</v>
      </c>
      <c r="D741" s="36">
        <v>114</v>
      </c>
      <c r="E741" s="36">
        <v>2</v>
      </c>
      <c r="G741" s="36" t="s">
        <v>6826</v>
      </c>
      <c r="J741" s="36" t="s">
        <v>4111</v>
      </c>
      <c r="K741" s="36" t="s">
        <v>4056</v>
      </c>
      <c r="L741" s="36">
        <v>0</v>
      </c>
      <c r="N741" s="141">
        <v>0</v>
      </c>
      <c r="O741" s="131">
        <v>1</v>
      </c>
      <c r="P741" s="132"/>
      <c r="Q741" s="133"/>
      <c r="R741" s="42"/>
      <c r="S741" s="134"/>
      <c r="T741" s="135"/>
      <c r="U741" s="131">
        <v>2</v>
      </c>
      <c r="V741" s="136"/>
      <c r="W741" s="137"/>
      <c r="X741" s="138"/>
      <c r="Y741" s="42"/>
      <c r="Z741" s="135"/>
      <c r="AA741" s="139"/>
      <c r="AB741" s="28" t="s">
        <v>4058</v>
      </c>
      <c r="AC741" s="36" t="s">
        <v>4129</v>
      </c>
      <c r="AD741" s="36" t="s">
        <v>4229</v>
      </c>
      <c r="AE741" s="36"/>
      <c r="AO741" s="37"/>
      <c r="AP741" s="36"/>
      <c r="AQ741" s="131"/>
      <c r="AR741" s="132"/>
      <c r="AS741" s="133"/>
      <c r="AT741" s="42"/>
      <c r="AU741" s="135"/>
      <c r="AV741" s="131"/>
      <c r="AW741" s="136"/>
      <c r="AX741" s="137"/>
      <c r="AY741" s="138"/>
      <c r="AZ741" s="42"/>
      <c r="BA741" s="135"/>
      <c r="BB741" s="139"/>
      <c r="BE741" s="37"/>
      <c r="BF741" s="36"/>
    </row>
    <row r="742" spans="1:59" ht="15" customHeight="1">
      <c r="A742" s="41" t="s">
        <v>6794</v>
      </c>
      <c r="B742" s="36" t="s">
        <v>6827</v>
      </c>
      <c r="C742" s="36" t="s">
        <v>6215</v>
      </c>
      <c r="D742" s="36">
        <v>115</v>
      </c>
      <c r="E742" s="36">
        <v>2</v>
      </c>
      <c r="G742" s="36" t="s">
        <v>6828</v>
      </c>
      <c r="J742" s="36" t="s">
        <v>4111</v>
      </c>
      <c r="K742" s="36" t="s">
        <v>4056</v>
      </c>
      <c r="L742" s="36">
        <v>1</v>
      </c>
      <c r="N742" s="36">
        <v>1</v>
      </c>
      <c r="O742" s="131">
        <v>1</v>
      </c>
      <c r="P742" s="132">
        <v>1</v>
      </c>
      <c r="Q742" s="133"/>
      <c r="R742" s="42"/>
      <c r="S742" s="134"/>
      <c r="T742" s="135"/>
      <c r="U742" s="131">
        <v>1</v>
      </c>
      <c r="V742" s="136"/>
      <c r="W742" s="137"/>
      <c r="X742" s="138"/>
      <c r="Y742" s="42"/>
      <c r="Z742" s="135"/>
      <c r="AA742" s="139"/>
      <c r="AB742" s="140" t="s">
        <v>4946</v>
      </c>
      <c r="AD742" s="36" t="s">
        <v>6803</v>
      </c>
      <c r="AE742" s="36"/>
      <c r="AF742" s="36" t="s">
        <v>6829</v>
      </c>
      <c r="AO742" s="37"/>
      <c r="AP742" s="36"/>
      <c r="AQ742" s="131"/>
      <c r="AR742" s="132"/>
      <c r="AS742" s="133"/>
      <c r="AT742" s="42"/>
      <c r="AU742" s="135"/>
      <c r="AV742" s="131"/>
      <c r="AW742" s="136"/>
      <c r="AX742" s="137"/>
      <c r="AY742" s="138"/>
      <c r="AZ742" s="42"/>
      <c r="BA742" s="135"/>
      <c r="BB742" s="139"/>
      <c r="BE742" s="37"/>
      <c r="BF742" s="36"/>
    </row>
    <row r="743" spans="1:59" ht="15" customHeight="1">
      <c r="A743" s="41" t="s">
        <v>6794</v>
      </c>
      <c r="B743" s="36" t="s">
        <v>6830</v>
      </c>
      <c r="C743" s="36" t="s">
        <v>6215</v>
      </c>
      <c r="D743" s="36">
        <v>116</v>
      </c>
      <c r="E743" s="36">
        <v>2</v>
      </c>
      <c r="G743" s="36" t="s">
        <v>6831</v>
      </c>
      <c r="J743" s="36" t="s">
        <v>4166</v>
      </c>
      <c r="K743" s="36" t="s">
        <v>26</v>
      </c>
      <c r="L743" s="36">
        <v>0</v>
      </c>
      <c r="N743" s="36"/>
      <c r="O743" s="131">
        <v>4</v>
      </c>
      <c r="P743" s="132"/>
      <c r="Q743" s="133"/>
      <c r="R743" s="42"/>
      <c r="S743" s="134"/>
      <c r="T743" s="135"/>
      <c r="U743" s="131"/>
      <c r="V743" s="136"/>
      <c r="W743" s="137"/>
      <c r="X743" s="138"/>
      <c r="Y743" s="42"/>
      <c r="Z743" s="135"/>
      <c r="AA743" s="139"/>
      <c r="AB743" s="28" t="s">
        <v>6832</v>
      </c>
      <c r="AD743" s="36" t="s">
        <v>6833</v>
      </c>
      <c r="AE743" s="36"/>
      <c r="AF743" s="36" t="s">
        <v>6834</v>
      </c>
      <c r="AO743" s="37"/>
      <c r="AP743" s="36"/>
      <c r="AQ743" s="131"/>
      <c r="AR743" s="132"/>
      <c r="AS743" s="133"/>
      <c r="AT743" s="42"/>
      <c r="AU743" s="135"/>
      <c r="AV743" s="131"/>
      <c r="AW743" s="136"/>
      <c r="AX743" s="137"/>
      <c r="AY743" s="138"/>
      <c r="AZ743" s="42"/>
      <c r="BA743" s="135"/>
      <c r="BB743" s="139"/>
      <c r="BE743" s="37"/>
      <c r="BF743" s="36"/>
    </row>
    <row r="744" spans="1:59" ht="15" customHeight="1">
      <c r="A744" s="41" t="s">
        <v>6794</v>
      </c>
      <c r="B744" s="36" t="s">
        <v>6835</v>
      </c>
      <c r="C744" s="36" t="s">
        <v>6215</v>
      </c>
      <c r="D744" s="36">
        <v>117</v>
      </c>
      <c r="E744" s="36">
        <v>2</v>
      </c>
      <c r="G744" s="36" t="s">
        <v>6836</v>
      </c>
      <c r="J744" s="36" t="s">
        <v>4166</v>
      </c>
      <c r="K744" s="36" t="s">
        <v>26</v>
      </c>
      <c r="L744" s="36">
        <v>0</v>
      </c>
      <c r="N744" s="36"/>
      <c r="O744" s="131"/>
      <c r="P744" s="132">
        <v>4</v>
      </c>
      <c r="Q744" s="133"/>
      <c r="R744" s="42"/>
      <c r="S744" s="134"/>
      <c r="T744" s="135"/>
      <c r="U744" s="131"/>
      <c r="V744" s="136"/>
      <c r="W744" s="137"/>
      <c r="X744" s="138"/>
      <c r="Y744" s="42"/>
      <c r="Z744" s="135"/>
      <c r="AA744" s="139"/>
      <c r="AB744" s="140" t="s">
        <v>6837</v>
      </c>
      <c r="AD744" s="36" t="s">
        <v>6833</v>
      </c>
      <c r="AE744" s="36"/>
      <c r="AF744" s="36" t="s">
        <v>6834</v>
      </c>
      <c r="AO744" s="37"/>
      <c r="AP744" s="36"/>
      <c r="AQ744" s="131"/>
      <c r="AR744" s="132"/>
      <c r="AS744" s="133"/>
      <c r="AT744" s="42"/>
      <c r="AU744" s="135"/>
      <c r="AV744" s="131"/>
      <c r="AW744" s="136"/>
      <c r="AX744" s="137"/>
      <c r="AY744" s="138"/>
      <c r="AZ744" s="42"/>
      <c r="BA744" s="135"/>
      <c r="BB744" s="139"/>
      <c r="BE744" s="37"/>
      <c r="BF744" s="36"/>
    </row>
    <row r="745" spans="1:59" ht="15" customHeight="1">
      <c r="A745" s="41" t="s">
        <v>6794</v>
      </c>
      <c r="B745" s="36" t="s">
        <v>6838</v>
      </c>
      <c r="C745" s="36" t="s">
        <v>6215</v>
      </c>
      <c r="D745" s="36">
        <v>118</v>
      </c>
      <c r="E745" s="36">
        <v>2</v>
      </c>
      <c r="G745" s="36" t="s">
        <v>6839</v>
      </c>
      <c r="J745" s="36" t="s">
        <v>4166</v>
      </c>
      <c r="K745" s="36" t="s">
        <v>26</v>
      </c>
      <c r="L745" s="36">
        <v>0</v>
      </c>
      <c r="N745" s="36"/>
      <c r="O745" s="131"/>
      <c r="P745" s="132"/>
      <c r="Q745" s="133">
        <v>4</v>
      </c>
      <c r="R745" s="42"/>
      <c r="S745" s="134"/>
      <c r="T745" s="135"/>
      <c r="U745" s="131"/>
      <c r="V745" s="136"/>
      <c r="W745" s="137"/>
      <c r="X745" s="138"/>
      <c r="Y745" s="42"/>
      <c r="Z745" s="135"/>
      <c r="AA745" s="139"/>
      <c r="AB745" s="28" t="s">
        <v>6395</v>
      </c>
      <c r="AD745" s="36" t="s">
        <v>6833</v>
      </c>
      <c r="AE745" s="36"/>
      <c r="AF745" s="36" t="s">
        <v>6834</v>
      </c>
      <c r="AO745" s="37"/>
      <c r="AP745" s="36"/>
      <c r="AQ745" s="131"/>
      <c r="AR745" s="132"/>
      <c r="AS745" s="133"/>
      <c r="AT745" s="42"/>
      <c r="AU745" s="135"/>
      <c r="AV745" s="131"/>
      <c r="AW745" s="136"/>
      <c r="AX745" s="137"/>
      <c r="AY745" s="138"/>
      <c r="AZ745" s="42"/>
      <c r="BA745" s="135"/>
      <c r="BB745" s="139"/>
      <c r="BE745" s="37"/>
      <c r="BF745" s="36"/>
    </row>
    <row r="746" spans="1:59" ht="15" customHeight="1">
      <c r="A746" s="41" t="s">
        <v>6794</v>
      </c>
      <c r="B746" s="36" t="s">
        <v>6840</v>
      </c>
      <c r="C746" s="36" t="s">
        <v>6215</v>
      </c>
      <c r="D746" s="36">
        <v>119</v>
      </c>
      <c r="E746" s="36">
        <v>2</v>
      </c>
      <c r="G746" s="36" t="s">
        <v>6841</v>
      </c>
      <c r="J746" s="36" t="s">
        <v>4166</v>
      </c>
      <c r="K746" s="36" t="s">
        <v>26</v>
      </c>
      <c r="L746" s="36">
        <v>0</v>
      </c>
      <c r="N746" s="36"/>
      <c r="O746" s="131"/>
      <c r="P746" s="132"/>
      <c r="Q746" s="133"/>
      <c r="R746" s="42">
        <v>4</v>
      </c>
      <c r="S746" s="134"/>
      <c r="T746" s="135"/>
      <c r="U746" s="131"/>
      <c r="V746" s="136"/>
      <c r="W746" s="137"/>
      <c r="X746" s="138"/>
      <c r="Y746" s="42"/>
      <c r="Z746" s="135"/>
      <c r="AA746" s="139"/>
      <c r="AB746" s="140" t="s">
        <v>6842</v>
      </c>
      <c r="AD746" s="36" t="s">
        <v>6833</v>
      </c>
      <c r="AE746" s="36"/>
      <c r="AF746" s="36" t="s">
        <v>6834</v>
      </c>
      <c r="AO746" s="37"/>
      <c r="AP746" s="36"/>
      <c r="AQ746" s="131"/>
      <c r="AR746" s="132"/>
      <c r="AS746" s="133"/>
      <c r="AT746" s="42"/>
      <c r="AU746" s="135"/>
      <c r="AV746" s="131"/>
      <c r="AW746" s="136"/>
      <c r="AX746" s="137"/>
      <c r="AY746" s="138"/>
      <c r="AZ746" s="42"/>
      <c r="BA746" s="135"/>
      <c r="BB746" s="139"/>
      <c r="BE746" s="37"/>
      <c r="BF746" s="36"/>
    </row>
    <row r="747" spans="1:59" ht="15" customHeight="1">
      <c r="A747" s="41" t="s">
        <v>6794</v>
      </c>
      <c r="B747" s="36" t="s">
        <v>6843</v>
      </c>
      <c r="C747" s="36" t="s">
        <v>6215</v>
      </c>
      <c r="D747" s="36">
        <v>120</v>
      </c>
      <c r="E747" s="36">
        <v>1</v>
      </c>
      <c r="F747" s="36" t="s">
        <v>6795</v>
      </c>
      <c r="G747" s="36" t="s">
        <v>6795</v>
      </c>
      <c r="J747" s="36" t="s">
        <v>4472</v>
      </c>
      <c r="N747" s="36"/>
      <c r="O747" s="131"/>
      <c r="P747" s="132"/>
      <c r="Q747" s="133"/>
      <c r="R747" s="42"/>
      <c r="S747" s="134"/>
      <c r="T747" s="135"/>
      <c r="U747" s="131"/>
      <c r="V747" s="136"/>
      <c r="W747" s="137"/>
      <c r="X747" s="138"/>
      <c r="Y747" s="42"/>
      <c r="Z747" s="135"/>
      <c r="AA747" s="139"/>
      <c r="AB747" s="28"/>
      <c r="AE747" s="36"/>
      <c r="AF747" s="36" t="s">
        <v>6844</v>
      </c>
      <c r="AI747" s="36" t="s">
        <v>6795</v>
      </c>
      <c r="AL747" s="36" t="s">
        <v>4472</v>
      </c>
      <c r="AO747" s="37"/>
      <c r="AP747" s="36"/>
      <c r="AQ747" s="131"/>
      <c r="AR747" s="132"/>
      <c r="AS747" s="133"/>
      <c r="AT747" s="42"/>
      <c r="AU747" s="135"/>
      <c r="AV747" s="131"/>
      <c r="AW747" s="136"/>
      <c r="AX747" s="137"/>
      <c r="AY747" s="138"/>
      <c r="AZ747" s="42"/>
      <c r="BA747" s="135"/>
      <c r="BB747" s="139"/>
      <c r="BE747" s="37"/>
      <c r="BF747" s="36"/>
      <c r="BG747" s="36" t="s">
        <v>6845</v>
      </c>
    </row>
    <row r="748" spans="1:59" ht="15" customHeight="1">
      <c r="A748" s="41" t="s">
        <v>6794</v>
      </c>
      <c r="B748" s="36" t="s">
        <v>6846</v>
      </c>
      <c r="C748" s="36" t="s">
        <v>6215</v>
      </c>
      <c r="D748" s="36">
        <v>121</v>
      </c>
      <c r="E748" s="36">
        <v>1</v>
      </c>
      <c r="F748" s="36" t="s">
        <v>6795</v>
      </c>
      <c r="G748" s="36" t="s">
        <v>6847</v>
      </c>
      <c r="J748" s="36" t="s">
        <v>4473</v>
      </c>
      <c r="L748" s="36">
        <v>1</v>
      </c>
      <c r="N748" s="36"/>
      <c r="O748" s="131"/>
      <c r="P748" s="132"/>
      <c r="Q748" s="133"/>
      <c r="R748" s="42"/>
      <c r="S748" s="134"/>
      <c r="T748" s="135"/>
      <c r="U748" s="131"/>
      <c r="V748" s="136"/>
      <c r="W748" s="137"/>
      <c r="X748" s="138"/>
      <c r="Y748" s="42"/>
      <c r="Z748" s="135">
        <v>2</v>
      </c>
      <c r="AA748" s="139"/>
      <c r="AB748" s="140"/>
      <c r="AE748" s="36"/>
      <c r="AF748" s="36" t="s">
        <v>6848</v>
      </c>
      <c r="AI748" s="36" t="s">
        <v>6938</v>
      </c>
      <c r="AL748" s="36" t="s">
        <v>4473</v>
      </c>
      <c r="AN748" s="36">
        <v>1</v>
      </c>
      <c r="AO748" s="37"/>
      <c r="AP748" s="36"/>
      <c r="AQ748" s="131"/>
      <c r="AR748" s="132"/>
      <c r="AS748" s="133"/>
      <c r="AT748" s="42"/>
      <c r="AU748" s="135"/>
      <c r="AV748" s="131"/>
      <c r="AW748" s="136"/>
      <c r="AX748" s="137"/>
      <c r="AY748" s="138"/>
      <c r="AZ748" s="42"/>
      <c r="BA748" s="135"/>
      <c r="BB748" s="139"/>
      <c r="BE748" s="37"/>
      <c r="BF748" s="36"/>
      <c r="BG748" s="36" t="s">
        <v>6182</v>
      </c>
    </row>
    <row r="749" spans="1:59" ht="15" customHeight="1">
      <c r="A749" s="41" t="s">
        <v>6794</v>
      </c>
      <c r="B749" s="36" t="s">
        <v>6849</v>
      </c>
      <c r="C749" s="36" t="s">
        <v>6215</v>
      </c>
      <c r="D749" s="36">
        <v>122</v>
      </c>
      <c r="E749" s="36">
        <v>1</v>
      </c>
      <c r="F749" s="36" t="s">
        <v>6795</v>
      </c>
      <c r="G749" s="36" t="s">
        <v>6850</v>
      </c>
      <c r="J749" s="36" t="s">
        <v>4473</v>
      </c>
      <c r="L749" s="36">
        <v>2</v>
      </c>
      <c r="N749" s="36"/>
      <c r="O749" s="131"/>
      <c r="P749" s="132"/>
      <c r="Q749" s="133"/>
      <c r="R749" s="42"/>
      <c r="S749" s="134"/>
      <c r="T749" s="135"/>
      <c r="U749" s="131"/>
      <c r="V749" s="136"/>
      <c r="W749" s="137"/>
      <c r="X749" s="138"/>
      <c r="Y749" s="42"/>
      <c r="Z749" s="135">
        <v>2</v>
      </c>
      <c r="AA749" s="139"/>
      <c r="AB749" s="140"/>
      <c r="AE749" s="36"/>
      <c r="AF749" s="36" t="s">
        <v>6848</v>
      </c>
      <c r="AI749" s="36" t="s">
        <v>6939</v>
      </c>
      <c r="AL749" s="36" t="s">
        <v>4473</v>
      </c>
      <c r="AN749" s="36">
        <v>2</v>
      </c>
      <c r="AO749" s="37"/>
      <c r="AP749" s="36"/>
      <c r="AQ749" s="131"/>
      <c r="AR749" s="132"/>
      <c r="AS749" s="133"/>
      <c r="AT749" s="42"/>
      <c r="AU749" s="135"/>
      <c r="AV749" s="131"/>
      <c r="AW749" s="136"/>
      <c r="AX749" s="137"/>
      <c r="AY749" s="138"/>
      <c r="AZ749" s="42"/>
      <c r="BA749" s="135"/>
      <c r="BB749" s="139"/>
      <c r="BE749" s="37"/>
      <c r="BF749" s="36"/>
      <c r="BG749" s="36" t="s">
        <v>6851</v>
      </c>
    </row>
    <row r="750" spans="1:59" ht="15" customHeight="1">
      <c r="A750" s="41" t="s">
        <v>6794</v>
      </c>
      <c r="B750" s="36" t="s">
        <v>6852</v>
      </c>
      <c r="C750" s="36" t="s">
        <v>6215</v>
      </c>
      <c r="D750" s="36">
        <v>123</v>
      </c>
      <c r="E750" s="36">
        <v>1</v>
      </c>
      <c r="F750" s="36" t="s">
        <v>6795</v>
      </c>
      <c r="G750" s="36" t="s">
        <v>6853</v>
      </c>
      <c r="J750" s="36" t="s">
        <v>4473</v>
      </c>
      <c r="L750" s="36">
        <v>3</v>
      </c>
      <c r="N750" s="36"/>
      <c r="O750" s="131"/>
      <c r="P750" s="132"/>
      <c r="Q750" s="133"/>
      <c r="R750" s="42"/>
      <c r="S750" s="134"/>
      <c r="T750" s="135"/>
      <c r="U750" s="131"/>
      <c r="V750" s="136"/>
      <c r="W750" s="137"/>
      <c r="X750" s="138"/>
      <c r="Y750" s="42"/>
      <c r="Z750" s="135">
        <v>3</v>
      </c>
      <c r="AA750" s="139"/>
      <c r="AB750" s="140"/>
      <c r="AE750" s="36"/>
      <c r="AF750" s="36" t="s">
        <v>6848</v>
      </c>
      <c r="AI750" s="36" t="s">
        <v>6940</v>
      </c>
      <c r="AL750" s="36" t="s">
        <v>4473</v>
      </c>
      <c r="AN750" s="36">
        <v>3</v>
      </c>
      <c r="AO750" s="37"/>
      <c r="AP750" s="36"/>
      <c r="AQ750" s="131"/>
      <c r="AR750" s="132"/>
      <c r="AS750" s="133"/>
      <c r="AT750" s="42"/>
      <c r="AU750" s="135"/>
      <c r="AV750" s="131"/>
      <c r="AW750" s="136"/>
      <c r="AX750" s="137"/>
      <c r="AY750" s="138"/>
      <c r="AZ750" s="42"/>
      <c r="BA750" s="135"/>
      <c r="BB750" s="139"/>
      <c r="BE750" s="37"/>
      <c r="BF750" s="36"/>
      <c r="BG750" s="36" t="s">
        <v>6854</v>
      </c>
    </row>
    <row r="751" spans="1:59" ht="15" customHeight="1">
      <c r="A751" s="41" t="s">
        <v>6794</v>
      </c>
      <c r="B751" s="36" t="s">
        <v>6855</v>
      </c>
      <c r="C751" s="36" t="s">
        <v>6215</v>
      </c>
      <c r="D751" s="36">
        <v>124</v>
      </c>
      <c r="E751" s="36">
        <v>1</v>
      </c>
      <c r="F751" s="36" t="s">
        <v>6795</v>
      </c>
      <c r="G751" s="36" t="s">
        <v>6856</v>
      </c>
      <c r="J751" s="36" t="s">
        <v>4475</v>
      </c>
      <c r="L751" s="36">
        <v>1</v>
      </c>
      <c r="N751" s="36"/>
      <c r="O751" s="131"/>
      <c r="P751" s="132"/>
      <c r="Q751" s="133"/>
      <c r="R751" s="42"/>
      <c r="S751" s="134"/>
      <c r="T751" s="135"/>
      <c r="U751" s="131"/>
      <c r="V751" s="136"/>
      <c r="W751" s="137"/>
      <c r="X751" s="138"/>
      <c r="Y751" s="42">
        <v>2</v>
      </c>
      <c r="Z751" s="135"/>
      <c r="AA751" s="139"/>
      <c r="AB751" s="140"/>
      <c r="AE751" s="36"/>
      <c r="AI751" s="36" t="s">
        <v>6941</v>
      </c>
      <c r="AL751" s="36" t="s">
        <v>4475</v>
      </c>
      <c r="AN751" s="36">
        <v>1</v>
      </c>
      <c r="AO751" s="37"/>
      <c r="AP751" s="36"/>
      <c r="AQ751" s="131"/>
      <c r="AR751" s="132"/>
      <c r="AS751" s="133"/>
      <c r="AT751" s="42"/>
      <c r="AU751" s="135"/>
      <c r="AV751" s="131"/>
      <c r="AW751" s="136"/>
      <c r="AX751" s="137"/>
      <c r="AY751" s="138"/>
      <c r="AZ751" s="42"/>
      <c r="BA751" s="135"/>
      <c r="BB751" s="139"/>
      <c r="BE751" s="37"/>
      <c r="BF751" s="36"/>
      <c r="BG751" s="36" t="s">
        <v>6857</v>
      </c>
    </row>
    <row r="752" spans="1:59" ht="15" customHeight="1">
      <c r="A752" s="41" t="s">
        <v>6794</v>
      </c>
      <c r="B752" s="36" t="s">
        <v>6858</v>
      </c>
      <c r="C752" s="36" t="s">
        <v>6215</v>
      </c>
      <c r="D752" s="36">
        <v>125</v>
      </c>
      <c r="E752" s="36">
        <v>1</v>
      </c>
      <c r="F752" s="36" t="s">
        <v>6795</v>
      </c>
      <c r="G752" s="36" t="s">
        <v>6859</v>
      </c>
      <c r="J752" s="36" t="s">
        <v>4475</v>
      </c>
      <c r="L752" s="36">
        <v>2</v>
      </c>
      <c r="N752" s="36"/>
      <c r="O752" s="131"/>
      <c r="P752" s="132"/>
      <c r="Q752" s="133"/>
      <c r="R752" s="42"/>
      <c r="S752" s="134"/>
      <c r="T752" s="135"/>
      <c r="U752" s="131"/>
      <c r="V752" s="136"/>
      <c r="W752" s="137"/>
      <c r="X752" s="138"/>
      <c r="Y752" s="42">
        <v>2</v>
      </c>
      <c r="Z752" s="135"/>
      <c r="AA752" s="139"/>
      <c r="AB752" s="140"/>
      <c r="AE752" s="36"/>
      <c r="AI752" s="36" t="s">
        <v>6942</v>
      </c>
      <c r="AL752" s="36" t="s">
        <v>4475</v>
      </c>
      <c r="AN752" s="36">
        <v>2</v>
      </c>
      <c r="AO752" s="37"/>
      <c r="AP752" s="36"/>
      <c r="AQ752" s="131"/>
      <c r="AR752" s="132"/>
      <c r="AS752" s="133"/>
      <c r="AT752" s="42"/>
      <c r="AU752" s="135"/>
      <c r="AV752" s="131"/>
      <c r="AW752" s="136"/>
      <c r="AX752" s="137"/>
      <c r="AY752" s="138"/>
      <c r="AZ752" s="42"/>
      <c r="BA752" s="135"/>
      <c r="BB752" s="139"/>
      <c r="BE752" s="37"/>
      <c r="BF752" s="36"/>
      <c r="BG752" s="36" t="s">
        <v>6860</v>
      </c>
    </row>
    <row r="753" spans="1:59" ht="15" customHeight="1">
      <c r="A753" s="41" t="s">
        <v>6794</v>
      </c>
      <c r="B753" s="36" t="s">
        <v>6861</v>
      </c>
      <c r="C753" s="36" t="s">
        <v>6215</v>
      </c>
      <c r="D753" s="36">
        <v>126</v>
      </c>
      <c r="E753" s="36">
        <v>1</v>
      </c>
      <c r="F753" s="36" t="s">
        <v>6795</v>
      </c>
      <c r="G753" s="36" t="s">
        <v>6862</v>
      </c>
      <c r="J753" s="36" t="s">
        <v>4475</v>
      </c>
      <c r="L753" s="36">
        <v>3</v>
      </c>
      <c r="N753" s="36"/>
      <c r="O753" s="131"/>
      <c r="P753" s="132"/>
      <c r="Q753" s="133"/>
      <c r="R753" s="42"/>
      <c r="S753" s="134"/>
      <c r="T753" s="135"/>
      <c r="U753" s="131"/>
      <c r="V753" s="136"/>
      <c r="W753" s="137"/>
      <c r="X753" s="138"/>
      <c r="Y753" s="42">
        <v>3</v>
      </c>
      <c r="Z753" s="135"/>
      <c r="AA753" s="139"/>
      <c r="AB753" s="140"/>
      <c r="AE753" s="36"/>
      <c r="AF753" s="36" t="s">
        <v>6863</v>
      </c>
      <c r="AI753" s="36" t="s">
        <v>6943</v>
      </c>
      <c r="AL753" s="36" t="s">
        <v>4475</v>
      </c>
      <c r="AN753" s="36">
        <v>3</v>
      </c>
      <c r="AO753" s="37"/>
      <c r="AP753" s="36"/>
      <c r="AQ753" s="131"/>
      <c r="AR753" s="132"/>
      <c r="AS753" s="133"/>
      <c r="AT753" s="42"/>
      <c r="AU753" s="135"/>
      <c r="AV753" s="131"/>
      <c r="AW753" s="136"/>
      <c r="AX753" s="137"/>
      <c r="AY753" s="138"/>
      <c r="AZ753" s="42"/>
      <c r="BA753" s="135"/>
      <c r="BB753" s="139"/>
      <c r="BE753" s="37"/>
      <c r="BF753" s="36"/>
      <c r="BG753" s="36" t="s">
        <v>6864</v>
      </c>
    </row>
    <row r="754" spans="1:59" ht="15" customHeight="1">
      <c r="A754" s="41" t="s">
        <v>6794</v>
      </c>
      <c r="B754" s="36" t="s">
        <v>6865</v>
      </c>
      <c r="C754" s="36" t="s">
        <v>6215</v>
      </c>
      <c r="D754" s="36">
        <v>127</v>
      </c>
      <c r="E754" s="36">
        <v>1</v>
      </c>
      <c r="F754" s="36" t="s">
        <v>6795</v>
      </c>
      <c r="G754" s="36" t="s">
        <v>6866</v>
      </c>
      <c r="J754" s="36" t="s">
        <v>31</v>
      </c>
      <c r="N754" s="36"/>
      <c r="O754" s="131"/>
      <c r="P754" s="132"/>
      <c r="Q754" s="133"/>
      <c r="R754" s="42"/>
      <c r="S754" s="134"/>
      <c r="T754" s="135"/>
      <c r="U754" s="131"/>
      <c r="V754" s="136"/>
      <c r="W754" s="137"/>
      <c r="X754" s="138"/>
      <c r="Y754" s="42"/>
      <c r="Z754" s="135"/>
      <c r="AA754" s="139"/>
      <c r="AB754" s="140"/>
      <c r="AD754" s="36" t="s">
        <v>6867</v>
      </c>
      <c r="AE754" s="36"/>
      <c r="AF754" s="36" t="s">
        <v>6868</v>
      </c>
      <c r="AI754" s="36" t="s">
        <v>6866</v>
      </c>
      <c r="AL754" s="36" t="s">
        <v>31</v>
      </c>
      <c r="AO754" s="37"/>
      <c r="AP754" s="36"/>
      <c r="AQ754" s="131"/>
      <c r="AR754" s="132"/>
      <c r="AS754" s="133"/>
      <c r="AT754" s="42"/>
      <c r="AU754" s="135"/>
      <c r="AV754" s="131"/>
      <c r="AW754" s="136"/>
      <c r="AX754" s="137"/>
      <c r="AY754" s="138">
        <v>2</v>
      </c>
      <c r="AZ754" s="42">
        <v>0</v>
      </c>
      <c r="BA754" s="135"/>
      <c r="BB754" s="139"/>
      <c r="BE754" s="37" t="s">
        <v>6867</v>
      </c>
      <c r="BF754" s="36"/>
      <c r="BG754" s="36" t="s">
        <v>6869</v>
      </c>
    </row>
    <row r="755" spans="1:59" ht="15" customHeight="1">
      <c r="A755" s="41" t="s">
        <v>6794</v>
      </c>
      <c r="B755" s="36" t="s">
        <v>6870</v>
      </c>
      <c r="C755" s="36" t="s">
        <v>6215</v>
      </c>
      <c r="D755" s="36">
        <v>128</v>
      </c>
      <c r="E755" s="36">
        <v>1</v>
      </c>
      <c r="F755" s="36" t="s">
        <v>6795</v>
      </c>
      <c r="G755" s="36" t="s">
        <v>4598</v>
      </c>
      <c r="J755" s="36" t="s">
        <v>31</v>
      </c>
      <c r="N755" s="36"/>
      <c r="O755" s="131"/>
      <c r="P755" s="132"/>
      <c r="Q755" s="133"/>
      <c r="R755" s="42"/>
      <c r="S755" s="134"/>
      <c r="T755" s="135"/>
      <c r="U755" s="131"/>
      <c r="V755" s="136"/>
      <c r="W755" s="137"/>
      <c r="X755" s="138"/>
      <c r="Y755" s="42"/>
      <c r="Z755" s="135"/>
      <c r="AA755" s="139"/>
      <c r="AB755" s="140"/>
      <c r="AD755" s="36" t="s">
        <v>6867</v>
      </c>
      <c r="AE755" s="36"/>
      <c r="AF755" s="36" t="s">
        <v>6871</v>
      </c>
      <c r="AI755" s="36" t="s">
        <v>4598</v>
      </c>
      <c r="AJ755" s="36" t="s">
        <v>6872</v>
      </c>
      <c r="AL755" s="36" t="s">
        <v>31</v>
      </c>
      <c r="AO755" s="37"/>
      <c r="AP755" s="36"/>
      <c r="AQ755" s="131"/>
      <c r="AR755" s="132"/>
      <c r="AS755" s="133"/>
      <c r="AT755" s="42"/>
      <c r="AU755" s="135"/>
      <c r="AV755" s="131"/>
      <c r="AW755" s="136"/>
      <c r="AX755" s="137"/>
      <c r="AY755" s="138">
        <v>4</v>
      </c>
      <c r="AZ755" s="42">
        <v>1</v>
      </c>
      <c r="BA755" s="135"/>
      <c r="BB755" s="139"/>
      <c r="BE755" s="37" t="s">
        <v>6867</v>
      </c>
      <c r="BF755" s="36"/>
      <c r="BG755" s="36" t="s">
        <v>6873</v>
      </c>
    </row>
    <row r="756" spans="1:59" ht="15" customHeight="1">
      <c r="A756" s="41" t="s">
        <v>6794</v>
      </c>
      <c r="B756" s="36" t="s">
        <v>6874</v>
      </c>
      <c r="C756" s="36" t="s">
        <v>6215</v>
      </c>
      <c r="D756" s="36">
        <v>129</v>
      </c>
      <c r="E756" s="36">
        <v>1</v>
      </c>
      <c r="F756" s="36" t="s">
        <v>6795</v>
      </c>
      <c r="G756" s="36" t="s">
        <v>4598</v>
      </c>
      <c r="J756" s="36" t="s">
        <v>31</v>
      </c>
      <c r="N756" s="36"/>
      <c r="O756" s="131"/>
      <c r="P756" s="132"/>
      <c r="Q756" s="133"/>
      <c r="R756" s="42"/>
      <c r="S756" s="134"/>
      <c r="T756" s="135"/>
      <c r="U756" s="131"/>
      <c r="V756" s="136"/>
      <c r="W756" s="137"/>
      <c r="X756" s="138"/>
      <c r="Y756" s="42"/>
      <c r="Z756" s="135"/>
      <c r="AA756" s="139"/>
      <c r="AB756" s="140"/>
      <c r="AD756" s="36" t="s">
        <v>6867</v>
      </c>
      <c r="AE756" s="36"/>
      <c r="AF756" s="36" t="s">
        <v>6871</v>
      </c>
      <c r="AI756" s="36" t="s">
        <v>4598</v>
      </c>
      <c r="AJ756" s="36" t="s">
        <v>6875</v>
      </c>
      <c r="AL756" s="36" t="s">
        <v>31</v>
      </c>
      <c r="AO756" s="37"/>
      <c r="AP756" s="36"/>
      <c r="AQ756" s="131"/>
      <c r="AR756" s="132"/>
      <c r="AS756" s="133"/>
      <c r="AT756" s="42"/>
      <c r="AU756" s="135"/>
      <c r="AV756" s="131"/>
      <c r="AW756" s="136"/>
      <c r="AX756" s="137"/>
      <c r="AY756" s="138">
        <v>2</v>
      </c>
      <c r="AZ756" s="42">
        <v>1</v>
      </c>
      <c r="BA756" s="135"/>
      <c r="BB756" s="139"/>
      <c r="BE756" s="37" t="s">
        <v>6867</v>
      </c>
      <c r="BF756" s="36"/>
      <c r="BG756" s="36" t="s">
        <v>6876</v>
      </c>
    </row>
    <row r="757" spans="1:59" ht="15" customHeight="1">
      <c r="A757" s="41" t="s">
        <v>6794</v>
      </c>
      <c r="B757" s="36" t="s">
        <v>6877</v>
      </c>
      <c r="C757" s="36" t="s">
        <v>6215</v>
      </c>
      <c r="D757" s="36">
        <v>130</v>
      </c>
      <c r="E757" s="36">
        <v>1</v>
      </c>
      <c r="F757" s="36" t="s">
        <v>6795</v>
      </c>
      <c r="G757" s="36" t="s">
        <v>4598</v>
      </c>
      <c r="J757" s="36" t="s">
        <v>31</v>
      </c>
      <c r="N757" s="36"/>
      <c r="O757" s="131"/>
      <c r="P757" s="132"/>
      <c r="Q757" s="133"/>
      <c r="R757" s="42"/>
      <c r="S757" s="134"/>
      <c r="T757" s="135"/>
      <c r="U757" s="131"/>
      <c r="V757" s="136"/>
      <c r="W757" s="137"/>
      <c r="X757" s="138"/>
      <c r="Y757" s="42"/>
      <c r="Z757" s="135"/>
      <c r="AA757" s="139"/>
      <c r="AB757" s="140"/>
      <c r="AD757" s="36" t="s">
        <v>6867</v>
      </c>
      <c r="AE757" s="36"/>
      <c r="AF757" s="36" t="s">
        <v>6871</v>
      </c>
      <c r="AI757" s="36" t="s">
        <v>4598</v>
      </c>
      <c r="AJ757" s="36" t="s">
        <v>6878</v>
      </c>
      <c r="AL757" s="36" t="s">
        <v>31</v>
      </c>
      <c r="AO757" s="37"/>
      <c r="AP757" s="36"/>
      <c r="AQ757" s="131"/>
      <c r="AR757" s="132"/>
      <c r="AS757" s="133"/>
      <c r="AT757" s="42"/>
      <c r="AU757" s="135"/>
      <c r="AV757" s="131"/>
      <c r="AW757" s="136"/>
      <c r="AX757" s="137"/>
      <c r="AY757" s="138">
        <v>2</v>
      </c>
      <c r="AZ757" s="42">
        <v>1</v>
      </c>
      <c r="BA757" s="135"/>
      <c r="BB757" s="139"/>
      <c r="BE757" s="37" t="s">
        <v>6867</v>
      </c>
      <c r="BF757" s="36"/>
      <c r="BG757" s="36" t="s">
        <v>6879</v>
      </c>
    </row>
    <row r="758" spans="1:59" ht="15" customHeight="1">
      <c r="A758" s="41" t="s">
        <v>6794</v>
      </c>
      <c r="B758" s="36" t="s">
        <v>6880</v>
      </c>
      <c r="C758" s="36" t="s">
        <v>6215</v>
      </c>
      <c r="D758" s="36">
        <v>131</v>
      </c>
      <c r="E758" s="36">
        <v>1</v>
      </c>
      <c r="F758" s="36" t="s">
        <v>6795</v>
      </c>
      <c r="G758" s="36" t="s">
        <v>5321</v>
      </c>
      <c r="J758" s="36" t="s">
        <v>31</v>
      </c>
      <c r="N758" s="36"/>
      <c r="O758" s="131"/>
      <c r="P758" s="132"/>
      <c r="Q758" s="133"/>
      <c r="R758" s="42"/>
      <c r="S758" s="134"/>
      <c r="T758" s="135"/>
      <c r="U758" s="131"/>
      <c r="V758" s="136"/>
      <c r="W758" s="137"/>
      <c r="X758" s="138"/>
      <c r="Y758" s="42"/>
      <c r="Z758" s="135"/>
      <c r="AA758" s="139"/>
      <c r="AB758" s="140"/>
      <c r="AD758" s="36" t="s">
        <v>6881</v>
      </c>
      <c r="AE758" s="36"/>
      <c r="AF758" s="36" t="s">
        <v>6882</v>
      </c>
      <c r="AI758" s="36" t="s">
        <v>5321</v>
      </c>
      <c r="AL758" s="36" t="s">
        <v>31</v>
      </c>
      <c r="AO758" s="37"/>
      <c r="AP758" s="36"/>
      <c r="AQ758" s="131"/>
      <c r="AR758" s="132"/>
      <c r="AS758" s="133"/>
      <c r="AT758" s="42"/>
      <c r="AU758" s="135"/>
      <c r="AV758" s="131"/>
      <c r="AW758" s="136"/>
      <c r="AX758" s="137"/>
      <c r="AY758" s="138">
        <v>3</v>
      </c>
      <c r="AZ758" s="42">
        <v>0</v>
      </c>
      <c r="BA758" s="135"/>
      <c r="BB758" s="139"/>
      <c r="BE758" s="37" t="s">
        <v>6881</v>
      </c>
      <c r="BF758" s="36"/>
      <c r="BG758" s="36" t="s">
        <v>6883</v>
      </c>
    </row>
    <row r="759" spans="1:59" ht="15" customHeight="1">
      <c r="A759" s="41" t="s">
        <v>6794</v>
      </c>
      <c r="B759" s="36" t="s">
        <v>6884</v>
      </c>
      <c r="C759" s="36" t="s">
        <v>6215</v>
      </c>
      <c r="D759" s="36">
        <v>132</v>
      </c>
      <c r="E759" s="36">
        <v>1</v>
      </c>
      <c r="F759" s="36" t="s">
        <v>6795</v>
      </c>
      <c r="G759" s="36" t="s">
        <v>4598</v>
      </c>
      <c r="J759" s="36" t="s">
        <v>31</v>
      </c>
      <c r="N759" s="36"/>
      <c r="O759" s="131"/>
      <c r="P759" s="132"/>
      <c r="Q759" s="133"/>
      <c r="R759" s="42"/>
      <c r="S759" s="134"/>
      <c r="T759" s="135"/>
      <c r="U759" s="131"/>
      <c r="V759" s="136"/>
      <c r="W759" s="137"/>
      <c r="X759" s="138"/>
      <c r="Y759" s="42"/>
      <c r="Z759" s="135"/>
      <c r="AA759" s="139"/>
      <c r="AB759" s="140"/>
      <c r="AD759" s="36" t="s">
        <v>6881</v>
      </c>
      <c r="AE759" s="36"/>
      <c r="AF759" s="36" t="s">
        <v>6871</v>
      </c>
      <c r="AI759" s="36" t="s">
        <v>4598</v>
      </c>
      <c r="AJ759" s="36" t="s">
        <v>6878</v>
      </c>
      <c r="AL759" s="36" t="s">
        <v>31</v>
      </c>
      <c r="AO759" s="37"/>
      <c r="AP759" s="36"/>
      <c r="AQ759" s="131"/>
      <c r="AR759" s="132"/>
      <c r="AS759" s="133"/>
      <c r="AT759" s="42"/>
      <c r="AU759" s="135"/>
      <c r="AV759" s="131"/>
      <c r="AW759" s="136"/>
      <c r="AX759" s="137"/>
      <c r="AY759" s="138">
        <v>2</v>
      </c>
      <c r="AZ759" s="42">
        <v>1</v>
      </c>
      <c r="BA759" s="135"/>
      <c r="BB759" s="139"/>
      <c r="BE759" s="37" t="s">
        <v>6881</v>
      </c>
      <c r="BF759" s="36"/>
      <c r="BG759" s="36" t="s">
        <v>6879</v>
      </c>
    </row>
    <row r="760" spans="1:59" ht="15" customHeight="1">
      <c r="A760" s="41" t="s">
        <v>6794</v>
      </c>
      <c r="B760" s="36" t="s">
        <v>6885</v>
      </c>
      <c r="C760" s="36" t="s">
        <v>6215</v>
      </c>
      <c r="D760" s="36">
        <v>133</v>
      </c>
      <c r="E760" s="36">
        <v>1</v>
      </c>
      <c r="F760" s="36" t="s">
        <v>6795</v>
      </c>
      <c r="G760" s="36" t="s">
        <v>4598</v>
      </c>
      <c r="J760" s="36" t="s">
        <v>31</v>
      </c>
      <c r="N760" s="36"/>
      <c r="O760" s="131"/>
      <c r="P760" s="132"/>
      <c r="Q760" s="133"/>
      <c r="R760" s="42"/>
      <c r="S760" s="134"/>
      <c r="T760" s="135"/>
      <c r="U760" s="131"/>
      <c r="V760" s="136"/>
      <c r="W760" s="137"/>
      <c r="X760" s="138"/>
      <c r="Y760" s="42"/>
      <c r="Z760" s="135"/>
      <c r="AA760" s="139"/>
      <c r="AB760" s="140"/>
      <c r="AD760" s="36" t="s">
        <v>6886</v>
      </c>
      <c r="AE760" s="36"/>
      <c r="AF760" s="36" t="s">
        <v>6871</v>
      </c>
      <c r="AI760" s="36" t="s">
        <v>4598</v>
      </c>
      <c r="AJ760" s="36" t="s">
        <v>6887</v>
      </c>
      <c r="AL760" s="36" t="s">
        <v>31</v>
      </c>
      <c r="AO760" s="37"/>
      <c r="AP760" s="36"/>
      <c r="AQ760" s="131"/>
      <c r="AR760" s="132"/>
      <c r="AS760" s="133"/>
      <c r="AT760" s="42"/>
      <c r="AU760" s="135"/>
      <c r="AV760" s="131"/>
      <c r="AW760" s="136"/>
      <c r="AX760" s="137"/>
      <c r="AY760" s="138">
        <v>3</v>
      </c>
      <c r="AZ760" s="42">
        <v>2</v>
      </c>
      <c r="BA760" s="135"/>
      <c r="BB760" s="139"/>
      <c r="BE760" s="37" t="s">
        <v>6886</v>
      </c>
      <c r="BF760" s="36"/>
      <c r="BG760" s="36" t="s">
        <v>6888</v>
      </c>
    </row>
    <row r="761" spans="1:59" ht="15" customHeight="1">
      <c r="A761" s="41" t="s">
        <v>6794</v>
      </c>
      <c r="B761" s="36" t="s">
        <v>6889</v>
      </c>
      <c r="C761" s="36" t="s">
        <v>6215</v>
      </c>
      <c r="D761" s="36">
        <v>134</v>
      </c>
      <c r="E761" s="36">
        <v>1</v>
      </c>
      <c r="F761" s="36" t="s">
        <v>6795</v>
      </c>
      <c r="G761" s="36" t="s">
        <v>4598</v>
      </c>
      <c r="J761" s="36" t="s">
        <v>31</v>
      </c>
      <c r="N761" s="36"/>
      <c r="O761" s="131"/>
      <c r="P761" s="132"/>
      <c r="Q761" s="133"/>
      <c r="R761" s="42"/>
      <c r="S761" s="134"/>
      <c r="T761" s="135"/>
      <c r="U761" s="131"/>
      <c r="V761" s="136"/>
      <c r="W761" s="137"/>
      <c r="X761" s="138"/>
      <c r="Y761" s="42"/>
      <c r="Z761" s="135"/>
      <c r="AA761" s="139"/>
      <c r="AB761" s="140"/>
      <c r="AD761" s="36" t="s">
        <v>6881</v>
      </c>
      <c r="AE761" s="36"/>
      <c r="AF761" s="36" t="s">
        <v>6871</v>
      </c>
      <c r="AI761" s="36" t="s">
        <v>4598</v>
      </c>
      <c r="AJ761" s="36" t="s">
        <v>6890</v>
      </c>
      <c r="AL761" s="36" t="s">
        <v>31</v>
      </c>
      <c r="AO761" s="37"/>
      <c r="AP761" s="36"/>
      <c r="AQ761" s="131"/>
      <c r="AR761" s="132"/>
      <c r="AS761" s="133"/>
      <c r="AT761" s="42"/>
      <c r="AU761" s="135"/>
      <c r="AV761" s="131"/>
      <c r="AW761" s="136"/>
      <c r="AX761" s="137"/>
      <c r="AY761" s="138">
        <v>5</v>
      </c>
      <c r="AZ761" s="42">
        <v>1</v>
      </c>
      <c r="BA761" s="135"/>
      <c r="BB761" s="139"/>
      <c r="BE761" s="37" t="s">
        <v>6881</v>
      </c>
      <c r="BF761" s="36"/>
      <c r="BG761" s="36" t="s">
        <v>6891</v>
      </c>
    </row>
    <row r="762" spans="1:59" ht="15" customHeight="1">
      <c r="A762" s="41" t="s">
        <v>6794</v>
      </c>
      <c r="B762" s="36" t="s">
        <v>6892</v>
      </c>
      <c r="C762" s="36" t="s">
        <v>6215</v>
      </c>
      <c r="D762" s="36">
        <v>135</v>
      </c>
      <c r="E762" s="36">
        <v>1</v>
      </c>
      <c r="F762" s="36" t="s">
        <v>6795</v>
      </c>
      <c r="G762" s="36" t="s">
        <v>5321</v>
      </c>
      <c r="J762" s="36" t="s">
        <v>31</v>
      </c>
      <c r="N762" s="36"/>
      <c r="O762" s="131"/>
      <c r="P762" s="132"/>
      <c r="Q762" s="133"/>
      <c r="R762" s="42"/>
      <c r="S762" s="134"/>
      <c r="T762" s="135"/>
      <c r="U762" s="131"/>
      <c r="V762" s="136"/>
      <c r="W762" s="137"/>
      <c r="X762" s="138"/>
      <c r="Y762" s="42"/>
      <c r="Z762" s="135"/>
      <c r="AA762" s="139"/>
      <c r="AB762" s="140"/>
      <c r="AD762" s="36" t="s">
        <v>6893</v>
      </c>
      <c r="AE762" s="36"/>
      <c r="AF762" s="36" t="s">
        <v>6894</v>
      </c>
      <c r="AI762" s="36" t="s">
        <v>5321</v>
      </c>
      <c r="AL762" s="36" t="s">
        <v>31</v>
      </c>
      <c r="AO762" s="37"/>
      <c r="AP762" s="36"/>
      <c r="AQ762" s="131"/>
      <c r="AR762" s="132"/>
      <c r="AS762" s="133"/>
      <c r="AT762" s="42"/>
      <c r="AU762" s="135"/>
      <c r="AV762" s="131"/>
      <c r="AW762" s="136"/>
      <c r="AX762" s="137"/>
      <c r="AY762" s="138">
        <v>3</v>
      </c>
      <c r="AZ762" s="42">
        <v>0</v>
      </c>
      <c r="BA762" s="135"/>
      <c r="BB762" s="139"/>
      <c r="BE762" s="37" t="s">
        <v>6893</v>
      </c>
      <c r="BF762" s="36"/>
      <c r="BG762" s="36" t="s">
        <v>6895</v>
      </c>
    </row>
    <row r="763" spans="1:59" ht="15" customHeight="1">
      <c r="A763" s="41" t="s">
        <v>6794</v>
      </c>
      <c r="B763" s="36" t="s">
        <v>6896</v>
      </c>
      <c r="C763" s="36" t="s">
        <v>6215</v>
      </c>
      <c r="D763" s="36">
        <v>136</v>
      </c>
      <c r="E763" s="36">
        <v>1</v>
      </c>
      <c r="F763" s="36" t="s">
        <v>6795</v>
      </c>
      <c r="G763" s="36" t="s">
        <v>4598</v>
      </c>
      <c r="J763" s="36" t="s">
        <v>31</v>
      </c>
      <c r="N763" s="36"/>
      <c r="O763" s="131"/>
      <c r="P763" s="132"/>
      <c r="Q763" s="133"/>
      <c r="R763" s="42"/>
      <c r="S763" s="134"/>
      <c r="T763" s="135"/>
      <c r="U763" s="131"/>
      <c r="V763" s="136"/>
      <c r="W763" s="137"/>
      <c r="X763" s="138"/>
      <c r="Y763" s="42"/>
      <c r="Z763" s="135"/>
      <c r="AA763" s="139"/>
      <c r="AB763" s="140"/>
      <c r="AD763" s="36" t="s">
        <v>6897</v>
      </c>
      <c r="AE763" s="36"/>
      <c r="AF763" s="36" t="s">
        <v>6871</v>
      </c>
      <c r="AI763" s="36" t="s">
        <v>4598</v>
      </c>
      <c r="AJ763" s="36" t="s">
        <v>6887</v>
      </c>
      <c r="AL763" s="36" t="s">
        <v>31</v>
      </c>
      <c r="AO763" s="37"/>
      <c r="AP763" s="36"/>
      <c r="AQ763" s="131"/>
      <c r="AR763" s="132"/>
      <c r="AS763" s="133"/>
      <c r="AT763" s="42"/>
      <c r="AU763" s="135"/>
      <c r="AV763" s="131"/>
      <c r="AW763" s="136"/>
      <c r="AX763" s="137"/>
      <c r="AY763" s="138">
        <v>3</v>
      </c>
      <c r="AZ763" s="42">
        <v>2</v>
      </c>
      <c r="BA763" s="135"/>
      <c r="BB763" s="139"/>
      <c r="BE763" s="37" t="s">
        <v>6897</v>
      </c>
      <c r="BF763" s="36"/>
      <c r="BG763" s="36" t="s">
        <v>6888</v>
      </c>
    </row>
    <row r="764" spans="1:59" ht="15" customHeight="1">
      <c r="A764" s="41" t="s">
        <v>6794</v>
      </c>
      <c r="B764" s="36" t="s">
        <v>6898</v>
      </c>
      <c r="C764" s="36" t="s">
        <v>6215</v>
      </c>
      <c r="D764" s="36">
        <v>137</v>
      </c>
      <c r="E764" s="36">
        <v>1</v>
      </c>
      <c r="F764" s="36" t="s">
        <v>6795</v>
      </c>
      <c r="G764" s="36" t="s">
        <v>4598</v>
      </c>
      <c r="J764" s="36" t="s">
        <v>31</v>
      </c>
      <c r="N764" s="36"/>
      <c r="O764" s="131"/>
      <c r="P764" s="132"/>
      <c r="Q764" s="133"/>
      <c r="R764" s="42"/>
      <c r="S764" s="134"/>
      <c r="T764" s="135"/>
      <c r="U764" s="131"/>
      <c r="V764" s="136"/>
      <c r="W764" s="137"/>
      <c r="X764" s="138"/>
      <c r="Y764" s="42"/>
      <c r="Z764" s="135"/>
      <c r="AA764" s="139"/>
      <c r="AB764" s="140"/>
      <c r="AD764" s="36" t="s">
        <v>6897</v>
      </c>
      <c r="AE764" s="36"/>
      <c r="AF764" s="36" t="s">
        <v>6871</v>
      </c>
      <c r="AI764" s="36" t="s">
        <v>4598</v>
      </c>
      <c r="AJ764" s="36" t="s">
        <v>6899</v>
      </c>
      <c r="AL764" s="36" t="s">
        <v>31</v>
      </c>
      <c r="AO764" s="37"/>
      <c r="AP764" s="36"/>
      <c r="AQ764" s="131"/>
      <c r="AR764" s="132"/>
      <c r="AS764" s="133"/>
      <c r="AT764" s="42"/>
      <c r="AU764" s="135"/>
      <c r="AV764" s="131"/>
      <c r="AW764" s="136"/>
      <c r="AX764" s="137"/>
      <c r="AY764" s="138">
        <v>4</v>
      </c>
      <c r="AZ764" s="42">
        <v>2</v>
      </c>
      <c r="BA764" s="135"/>
      <c r="BB764" s="139"/>
      <c r="BE764" s="37" t="s">
        <v>6897</v>
      </c>
      <c r="BF764" s="36"/>
      <c r="BG764" s="36" t="s">
        <v>6900</v>
      </c>
    </row>
    <row r="765" spans="1:59" ht="15" customHeight="1">
      <c r="A765" s="41" t="s">
        <v>6794</v>
      </c>
      <c r="B765" s="36" t="s">
        <v>6901</v>
      </c>
      <c r="C765" s="36" t="s">
        <v>6215</v>
      </c>
      <c r="D765" s="36">
        <v>138</v>
      </c>
      <c r="E765" s="36">
        <v>1</v>
      </c>
      <c r="F765" s="36" t="s">
        <v>6795</v>
      </c>
      <c r="G765" s="36" t="s">
        <v>4598</v>
      </c>
      <c r="J765" s="36" t="s">
        <v>31</v>
      </c>
      <c r="N765" s="36"/>
      <c r="O765" s="131"/>
      <c r="P765" s="132"/>
      <c r="Q765" s="133"/>
      <c r="R765" s="42"/>
      <c r="S765" s="134"/>
      <c r="T765" s="135"/>
      <c r="U765" s="131"/>
      <c r="V765" s="136"/>
      <c r="W765" s="137"/>
      <c r="X765" s="138"/>
      <c r="Y765" s="42"/>
      <c r="Z765" s="135"/>
      <c r="AA765" s="139"/>
      <c r="AB765" s="140"/>
      <c r="AD765" s="36" t="s">
        <v>6893</v>
      </c>
      <c r="AE765" s="36"/>
      <c r="AF765" s="36" t="s">
        <v>6871</v>
      </c>
      <c r="AI765" s="36" t="s">
        <v>4598</v>
      </c>
      <c r="AJ765" s="36" t="s">
        <v>6875</v>
      </c>
      <c r="AL765" s="36" t="s">
        <v>31</v>
      </c>
      <c r="AO765" s="37"/>
      <c r="AP765" s="36"/>
      <c r="AQ765" s="131"/>
      <c r="AR765" s="132"/>
      <c r="AS765" s="133"/>
      <c r="AT765" s="42"/>
      <c r="AU765" s="135"/>
      <c r="AV765" s="131"/>
      <c r="AW765" s="136"/>
      <c r="AX765" s="137"/>
      <c r="AY765" s="138">
        <v>2</v>
      </c>
      <c r="AZ765" s="42">
        <v>1</v>
      </c>
      <c r="BA765" s="135"/>
      <c r="BB765" s="139"/>
      <c r="BE765" s="37" t="s">
        <v>6893</v>
      </c>
      <c r="BF765" s="36"/>
      <c r="BG765" s="36" t="s">
        <v>6876</v>
      </c>
    </row>
    <row r="766" spans="1:59" ht="15" customHeight="1">
      <c r="A766" s="41" t="s">
        <v>6794</v>
      </c>
      <c r="B766" s="36" t="s">
        <v>6902</v>
      </c>
      <c r="C766" s="36" t="s">
        <v>6215</v>
      </c>
      <c r="D766" s="36">
        <v>139</v>
      </c>
      <c r="E766" s="36">
        <v>1</v>
      </c>
      <c r="F766" s="36" t="s">
        <v>6795</v>
      </c>
      <c r="G766" s="36" t="s">
        <v>6903</v>
      </c>
      <c r="J766" s="36" t="s">
        <v>31</v>
      </c>
      <c r="N766" s="36"/>
      <c r="O766" s="131"/>
      <c r="P766" s="132"/>
      <c r="Q766" s="133"/>
      <c r="R766" s="42"/>
      <c r="S766" s="134"/>
      <c r="T766" s="135"/>
      <c r="U766" s="131"/>
      <c r="V766" s="136"/>
      <c r="W766" s="137"/>
      <c r="X766" s="138"/>
      <c r="Y766" s="42"/>
      <c r="Z766" s="135"/>
      <c r="AA766" s="139"/>
      <c r="AB766" s="140"/>
      <c r="AE766" s="36"/>
      <c r="AF766" s="36" t="s">
        <v>6904</v>
      </c>
      <c r="AI766" s="36" t="s">
        <v>6903</v>
      </c>
      <c r="AL766" s="36" t="s">
        <v>31</v>
      </c>
      <c r="AO766" s="37"/>
      <c r="AP766" s="36"/>
      <c r="AQ766" s="131"/>
      <c r="AR766" s="132"/>
      <c r="AS766" s="133"/>
      <c r="AT766" s="42"/>
      <c r="AU766" s="135"/>
      <c r="AV766" s="131"/>
      <c r="AW766" s="136"/>
      <c r="AX766" s="137"/>
      <c r="AY766" s="138">
        <v>4</v>
      </c>
      <c r="AZ766" s="42">
        <v>3</v>
      </c>
      <c r="BA766" s="135"/>
      <c r="BB766" s="139">
        <v>2</v>
      </c>
      <c r="BE766" s="37"/>
      <c r="BF766" s="36"/>
      <c r="BG766" s="36" t="s">
        <v>6904</v>
      </c>
    </row>
    <row r="767" spans="1:59" ht="15" customHeight="1">
      <c r="A767" s="41" t="s">
        <v>6794</v>
      </c>
      <c r="B767" s="36" t="s">
        <v>6905</v>
      </c>
      <c r="C767" s="36" t="s">
        <v>6215</v>
      </c>
      <c r="D767" s="36">
        <v>140</v>
      </c>
      <c r="E767" s="36">
        <v>1</v>
      </c>
      <c r="F767" s="36" t="s">
        <v>6795</v>
      </c>
      <c r="G767" s="36" t="s">
        <v>6906</v>
      </c>
      <c r="H767" s="36" t="s">
        <v>6907</v>
      </c>
      <c r="J767" s="36" t="s">
        <v>29</v>
      </c>
      <c r="N767" s="36"/>
      <c r="O767" s="131"/>
      <c r="P767" s="132"/>
      <c r="Q767" s="133">
        <v>4</v>
      </c>
      <c r="R767" s="42">
        <v>3</v>
      </c>
      <c r="S767" s="134"/>
      <c r="T767" s="135">
        <v>5</v>
      </c>
      <c r="U767" s="131"/>
      <c r="V767" s="136">
        <v>2</v>
      </c>
      <c r="W767" s="137">
        <v>2</v>
      </c>
      <c r="X767" s="138"/>
      <c r="Y767" s="42"/>
      <c r="Z767" s="135"/>
      <c r="AA767" s="139">
        <v>2</v>
      </c>
      <c r="AB767" s="140"/>
      <c r="AD767" s="36" t="s">
        <v>6908</v>
      </c>
      <c r="AE767" s="36"/>
      <c r="AF767" s="36" t="s">
        <v>6909</v>
      </c>
      <c r="AO767" s="37"/>
      <c r="AP767" s="36"/>
      <c r="AQ767" s="131"/>
      <c r="AR767" s="132"/>
      <c r="AS767" s="133"/>
      <c r="AT767" s="42"/>
      <c r="AU767" s="135"/>
      <c r="AV767" s="131"/>
      <c r="AW767" s="136"/>
      <c r="AX767" s="137"/>
      <c r="AY767" s="138"/>
      <c r="AZ767" s="42"/>
      <c r="BA767" s="135"/>
      <c r="BB767" s="139"/>
      <c r="BE767" s="37"/>
      <c r="BF767" s="36"/>
    </row>
    <row r="768" spans="1:59" ht="15" customHeight="1">
      <c r="A768" s="41" t="s">
        <v>6794</v>
      </c>
      <c r="B768" s="43" t="s">
        <v>6910</v>
      </c>
      <c r="C768" s="36" t="s">
        <v>6215</v>
      </c>
      <c r="D768" s="36">
        <v>141</v>
      </c>
      <c r="E768" s="36">
        <v>1</v>
      </c>
      <c r="F768" s="36" t="s">
        <v>6795</v>
      </c>
      <c r="G768" s="36" t="s">
        <v>6911</v>
      </c>
      <c r="H768" s="36" t="s">
        <v>6912</v>
      </c>
      <c r="I768" s="36" t="s">
        <v>4077</v>
      </c>
      <c r="J768" s="36" t="s">
        <v>4111</v>
      </c>
      <c r="K768" s="36" t="s">
        <v>26</v>
      </c>
      <c r="N768" s="36"/>
      <c r="O768" s="131"/>
      <c r="P768" s="132"/>
      <c r="Q768" s="133"/>
      <c r="R768" s="42"/>
      <c r="S768" s="134"/>
      <c r="T768" s="135">
        <v>2</v>
      </c>
      <c r="U768" s="131">
        <v>2</v>
      </c>
      <c r="V768" s="136"/>
      <c r="W768" s="137"/>
      <c r="X768" s="138"/>
      <c r="Y768" s="42"/>
      <c r="Z768" s="135"/>
      <c r="AA768" s="139"/>
      <c r="AB768" s="140"/>
      <c r="AC768" s="36" t="s">
        <v>25</v>
      </c>
      <c r="AD768" s="36" t="s">
        <v>6913</v>
      </c>
      <c r="AE768" s="36"/>
      <c r="AF768" s="36" t="s">
        <v>6914</v>
      </c>
      <c r="AO768" s="37"/>
      <c r="AP768" s="36"/>
      <c r="AQ768" s="131"/>
      <c r="AR768" s="132"/>
      <c r="AS768" s="133"/>
      <c r="AT768" s="42"/>
      <c r="AU768" s="135"/>
      <c r="AV768" s="131"/>
      <c r="AW768" s="136"/>
      <c r="AX768" s="137"/>
      <c r="AY768" s="138"/>
      <c r="AZ768" s="42"/>
      <c r="BA768" s="135"/>
      <c r="BB768" s="139"/>
      <c r="BE768" s="37"/>
      <c r="BF768" s="36"/>
    </row>
    <row r="769" spans="1:58" ht="15" customHeight="1">
      <c r="A769" s="41" t="s">
        <v>6794</v>
      </c>
      <c r="B769" s="36" t="s">
        <v>6915</v>
      </c>
      <c r="C769" s="36" t="s">
        <v>6215</v>
      </c>
      <c r="D769" s="36">
        <v>142</v>
      </c>
      <c r="E769" s="36">
        <v>1</v>
      </c>
      <c r="F769" s="36" t="s">
        <v>6795</v>
      </c>
      <c r="G769" s="36" t="s">
        <v>6916</v>
      </c>
      <c r="H769" s="36" t="s">
        <v>6917</v>
      </c>
      <c r="J769" s="36" t="s">
        <v>4111</v>
      </c>
      <c r="K769" s="36" t="s">
        <v>26</v>
      </c>
      <c r="M769" s="36" t="s">
        <v>4502</v>
      </c>
      <c r="N769" s="36">
        <v>1</v>
      </c>
      <c r="O769" s="142"/>
      <c r="P769" s="143"/>
      <c r="Q769" s="144"/>
      <c r="R769" s="42"/>
      <c r="S769" s="134"/>
      <c r="T769" s="135"/>
      <c r="U769" s="142"/>
      <c r="V769" s="145"/>
      <c r="W769" s="146"/>
      <c r="X769" s="147"/>
      <c r="Y769" s="42"/>
      <c r="Z769" s="135"/>
      <c r="AA769" s="148"/>
      <c r="AB769" s="140"/>
      <c r="AD769" s="36" t="s">
        <v>4130</v>
      </c>
      <c r="AE769" s="36"/>
      <c r="AF769" s="36" t="s">
        <v>6918</v>
      </c>
      <c r="AO769" s="37"/>
      <c r="AP769" s="36"/>
      <c r="AQ769" s="142"/>
      <c r="AR769" s="143"/>
      <c r="AS769" s="144"/>
      <c r="AT769" s="42"/>
      <c r="AU769" s="135"/>
      <c r="AV769" s="142"/>
      <c r="AW769" s="149"/>
      <c r="AX769" s="150"/>
      <c r="AY769" s="147"/>
      <c r="AZ769" s="42"/>
      <c r="BA769" s="135"/>
      <c r="BB769" s="148"/>
      <c r="BE769" s="37"/>
      <c r="BF769" s="36"/>
    </row>
    <row r="770" spans="1:58" ht="15" customHeight="1">
      <c r="A770" s="41" t="s">
        <v>6794</v>
      </c>
      <c r="B770" s="36" t="s">
        <v>6919</v>
      </c>
      <c r="C770" s="36" t="s">
        <v>6215</v>
      </c>
      <c r="D770" s="36">
        <v>143</v>
      </c>
      <c r="E770" s="36">
        <v>1</v>
      </c>
      <c r="F770" s="36" t="s">
        <v>6795</v>
      </c>
      <c r="G770" s="36" t="s">
        <v>6920</v>
      </c>
      <c r="H770" s="36" t="s">
        <v>6921</v>
      </c>
      <c r="J770" s="36" t="s">
        <v>4111</v>
      </c>
      <c r="K770" s="36" t="s">
        <v>26</v>
      </c>
      <c r="N770" s="36">
        <v>2</v>
      </c>
      <c r="O770" s="142">
        <v>1</v>
      </c>
      <c r="P770" s="143"/>
      <c r="Q770" s="144">
        <v>1</v>
      </c>
      <c r="R770" s="42">
        <v>1</v>
      </c>
      <c r="S770" s="134"/>
      <c r="T770" s="135">
        <v>1</v>
      </c>
      <c r="U770" s="142"/>
      <c r="V770" s="145"/>
      <c r="W770" s="146"/>
      <c r="X770" s="147"/>
      <c r="Y770" s="42"/>
      <c r="Z770" s="135"/>
      <c r="AA770" s="148"/>
      <c r="AB770" s="140" t="s">
        <v>5243</v>
      </c>
      <c r="AC770" s="36" t="s">
        <v>4247</v>
      </c>
      <c r="AD770" s="36" t="s">
        <v>6179</v>
      </c>
      <c r="AE770" s="36"/>
      <c r="AF770" s="36" t="s">
        <v>6922</v>
      </c>
      <c r="AO770" s="37"/>
      <c r="AP770" s="36"/>
      <c r="AQ770" s="142"/>
      <c r="AR770" s="143"/>
      <c r="AS770" s="144"/>
      <c r="AT770" s="42"/>
      <c r="AU770" s="135"/>
      <c r="AV770" s="142"/>
      <c r="AW770" s="149"/>
      <c r="AX770" s="150"/>
      <c r="AY770" s="147"/>
      <c r="AZ770" s="42"/>
      <c r="BA770" s="135"/>
      <c r="BB770" s="148"/>
      <c r="BE770" s="37"/>
      <c r="BF770" s="36"/>
    </row>
    <row r="771" spans="1:58" ht="15" customHeight="1">
      <c r="A771" s="41" t="s">
        <v>6794</v>
      </c>
      <c r="B771" s="36" t="s">
        <v>6923</v>
      </c>
      <c r="C771" s="36" t="s">
        <v>6215</v>
      </c>
      <c r="D771" s="36">
        <v>144</v>
      </c>
      <c r="E771" s="36">
        <v>3</v>
      </c>
      <c r="F771" s="36" t="s">
        <v>6795</v>
      </c>
      <c r="G771" s="36" t="s">
        <v>6924</v>
      </c>
      <c r="J771" s="36" t="s">
        <v>29</v>
      </c>
      <c r="N771" s="36"/>
      <c r="O771" s="142"/>
      <c r="P771" s="143"/>
      <c r="Q771" s="144">
        <v>2</v>
      </c>
      <c r="R771" s="42">
        <v>2</v>
      </c>
      <c r="S771" s="134"/>
      <c r="T771" s="135">
        <v>3</v>
      </c>
      <c r="U771" s="142"/>
      <c r="V771" s="145"/>
      <c r="W771" s="146">
        <v>1</v>
      </c>
      <c r="X771" s="147"/>
      <c r="Y771" s="42"/>
      <c r="Z771" s="135"/>
      <c r="AA771" s="148"/>
      <c r="AB771" s="140"/>
      <c r="AD771" s="36" t="s">
        <v>4321</v>
      </c>
      <c r="AE771" s="36"/>
      <c r="AF771" s="36" t="s">
        <v>6925</v>
      </c>
      <c r="AO771" s="37"/>
      <c r="AP771" s="36"/>
      <c r="AQ771" s="142"/>
      <c r="AR771" s="143"/>
      <c r="AS771" s="144"/>
      <c r="AT771" s="42"/>
      <c r="AU771" s="135"/>
      <c r="AV771" s="142"/>
      <c r="AW771" s="149"/>
      <c r="AX771" s="150"/>
      <c r="AY771" s="147"/>
      <c r="AZ771" s="42"/>
      <c r="BA771" s="135"/>
      <c r="BB771" s="148"/>
      <c r="BE771" s="37"/>
      <c r="BF771" s="36"/>
    </row>
    <row r="772" spans="1:58" ht="15" customHeight="1">
      <c r="A772" s="41" t="s">
        <v>6794</v>
      </c>
      <c r="B772" s="36" t="s">
        <v>6926</v>
      </c>
      <c r="C772" s="36" t="s">
        <v>6215</v>
      </c>
      <c r="D772" s="36">
        <v>145</v>
      </c>
      <c r="E772" s="36">
        <v>3</v>
      </c>
      <c r="F772" s="36" t="s">
        <v>6795</v>
      </c>
      <c r="G772" s="36" t="s">
        <v>6927</v>
      </c>
      <c r="J772" s="36" t="s">
        <v>28</v>
      </c>
      <c r="N772" s="36"/>
      <c r="O772" s="142"/>
      <c r="P772" s="143"/>
      <c r="Q772" s="144"/>
      <c r="R772" s="42"/>
      <c r="S772" s="134"/>
      <c r="T772" s="135"/>
      <c r="U772" s="142"/>
      <c r="V772" s="145"/>
      <c r="W772" s="146"/>
      <c r="X772" s="147"/>
      <c r="Y772" s="42"/>
      <c r="Z772" s="135"/>
      <c r="AA772" s="148"/>
      <c r="AB772" s="140"/>
      <c r="AD772" s="36" t="s">
        <v>5050</v>
      </c>
      <c r="AE772" s="36"/>
      <c r="AF772" s="36" t="s">
        <v>6928</v>
      </c>
      <c r="AO772" s="37"/>
      <c r="AP772" s="36"/>
      <c r="AQ772" s="142"/>
      <c r="AR772" s="143"/>
      <c r="AS772" s="144"/>
      <c r="AT772" s="42"/>
      <c r="AU772" s="135"/>
      <c r="AV772" s="142"/>
      <c r="AW772" s="149"/>
      <c r="AX772" s="150"/>
      <c r="AY772" s="147"/>
      <c r="AZ772" s="42"/>
      <c r="BA772" s="135"/>
      <c r="BB772" s="148"/>
      <c r="BE772" s="37"/>
      <c r="BF772" s="36"/>
    </row>
    <row r="773" spans="1:58" ht="15" customHeight="1">
      <c r="A773" s="41" t="s">
        <v>6794</v>
      </c>
      <c r="B773" s="36" t="s">
        <v>6929</v>
      </c>
      <c r="C773" s="36" t="s">
        <v>6215</v>
      </c>
      <c r="D773" s="36">
        <v>146</v>
      </c>
      <c r="E773" s="36">
        <v>2</v>
      </c>
      <c r="F773" s="36" t="s">
        <v>6795</v>
      </c>
      <c r="G773" s="36" t="s">
        <v>6930</v>
      </c>
      <c r="J773" s="36" t="s">
        <v>28</v>
      </c>
      <c r="N773" s="36"/>
      <c r="O773" s="142"/>
      <c r="P773" s="143"/>
      <c r="Q773" s="144"/>
      <c r="R773" s="42"/>
      <c r="S773" s="134"/>
      <c r="T773" s="135"/>
      <c r="U773" s="142"/>
      <c r="V773" s="145"/>
      <c r="W773" s="146"/>
      <c r="X773" s="147"/>
      <c r="Y773" s="42"/>
      <c r="Z773" s="135"/>
      <c r="AA773" s="148"/>
      <c r="AB773" s="140"/>
      <c r="AD773" s="36" t="s">
        <v>5050</v>
      </c>
      <c r="AE773" s="36"/>
      <c r="AF773" s="36" t="s">
        <v>6931</v>
      </c>
      <c r="AO773" s="37"/>
      <c r="AP773" s="36"/>
      <c r="AQ773" s="142"/>
      <c r="AR773" s="143"/>
      <c r="AS773" s="144"/>
      <c r="AT773" s="42"/>
      <c r="AU773" s="135"/>
      <c r="AV773" s="142"/>
      <c r="AW773" s="149"/>
      <c r="AX773" s="150"/>
      <c r="AY773" s="147"/>
      <c r="AZ773" s="42"/>
      <c r="BA773" s="135"/>
      <c r="BB773" s="148"/>
      <c r="BE773" s="37"/>
      <c r="BF773" s="36"/>
    </row>
    <row r="774" spans="1:58" ht="15" customHeight="1">
      <c r="A774" s="36" t="s">
        <v>7051</v>
      </c>
      <c r="B774" s="36" t="s">
        <v>7052</v>
      </c>
      <c r="C774" s="36" t="s">
        <v>7095</v>
      </c>
      <c r="D774" s="37">
        <v>147</v>
      </c>
      <c r="E774" s="36">
        <v>2</v>
      </c>
      <c r="G774" s="36" t="s">
        <v>6944</v>
      </c>
      <c r="J774" s="36" t="s">
        <v>4111</v>
      </c>
      <c r="K774" s="36" t="s">
        <v>4052</v>
      </c>
      <c r="L774" s="36">
        <v>0</v>
      </c>
      <c r="N774" s="75">
        <v>1</v>
      </c>
      <c r="Q774" s="78">
        <v>1</v>
      </c>
      <c r="AB774" s="36" t="s">
        <v>4060</v>
      </c>
      <c r="AC774" s="36" t="s">
        <v>4112</v>
      </c>
      <c r="AD774" s="36" t="s">
        <v>4152</v>
      </c>
      <c r="AF774" s="36" t="s">
        <v>6945</v>
      </c>
      <c r="AP774" s="86"/>
      <c r="AQ774" s="88"/>
      <c r="AR774" s="89"/>
      <c r="AS774" s="90"/>
      <c r="AV774" s="88"/>
      <c r="AW774" s="96"/>
      <c r="AX774" s="97"/>
      <c r="AY774" s="93"/>
      <c r="BB774" s="94"/>
    </row>
    <row r="775" spans="1:58" ht="15" customHeight="1">
      <c r="A775" s="36" t="s">
        <v>7051</v>
      </c>
      <c r="B775" s="36" t="s">
        <v>7053</v>
      </c>
      <c r="C775" s="36" t="s">
        <v>7095</v>
      </c>
      <c r="D775" s="37">
        <v>148</v>
      </c>
      <c r="E775" s="36">
        <v>2</v>
      </c>
      <c r="G775" s="36" t="s">
        <v>6946</v>
      </c>
      <c r="J775" s="36" t="s">
        <v>27</v>
      </c>
      <c r="K775" s="36" t="s">
        <v>4052</v>
      </c>
      <c r="L775" s="36">
        <v>1</v>
      </c>
      <c r="N775" s="75">
        <v>2</v>
      </c>
      <c r="P775" s="77">
        <v>1</v>
      </c>
      <c r="Q775" s="78">
        <v>1</v>
      </c>
      <c r="AB775" s="36" t="s">
        <v>4945</v>
      </c>
      <c r="AD775" s="36" t="s">
        <v>4161</v>
      </c>
      <c r="AF775" s="36" t="s">
        <v>6947</v>
      </c>
      <c r="AP775" s="86"/>
      <c r="AQ775" s="88"/>
      <c r="AR775" s="89"/>
      <c r="AS775" s="90"/>
      <c r="AV775" s="88"/>
      <c r="AW775" s="96"/>
      <c r="AX775" s="97"/>
      <c r="AY775" s="93"/>
      <c r="BB775" s="94"/>
    </row>
    <row r="776" spans="1:58" ht="15" customHeight="1">
      <c r="A776" s="36" t="s">
        <v>7051</v>
      </c>
      <c r="B776" s="36" t="s">
        <v>7054</v>
      </c>
      <c r="C776" s="36" t="s">
        <v>7095</v>
      </c>
      <c r="D776" s="37">
        <v>149</v>
      </c>
      <c r="E776" s="36">
        <v>2</v>
      </c>
      <c r="G776" s="36" t="s">
        <v>6948</v>
      </c>
      <c r="H776" s="36" t="s">
        <v>6949</v>
      </c>
      <c r="I776" s="36" t="s">
        <v>4077</v>
      </c>
      <c r="J776" s="36" t="s">
        <v>4111</v>
      </c>
      <c r="K776" s="36" t="s">
        <v>4053</v>
      </c>
      <c r="L776" s="36">
        <v>0</v>
      </c>
      <c r="N776" s="75">
        <v>2</v>
      </c>
      <c r="P776" s="77">
        <v>1</v>
      </c>
      <c r="T776" s="81">
        <v>1</v>
      </c>
      <c r="U776" s="76">
        <v>2</v>
      </c>
      <c r="AB776" s="36" t="s">
        <v>4059</v>
      </c>
      <c r="AC776" s="36" t="s">
        <v>25</v>
      </c>
      <c r="AD776" s="36" t="s">
        <v>6820</v>
      </c>
      <c r="AF776" s="36" t="s">
        <v>6950</v>
      </c>
      <c r="AP776" s="86"/>
      <c r="AQ776" s="88"/>
      <c r="AR776" s="89"/>
      <c r="AS776" s="90"/>
      <c r="AV776" s="88"/>
      <c r="AW776" s="96"/>
      <c r="AX776" s="97"/>
      <c r="AY776" s="93"/>
      <c r="BB776" s="94"/>
    </row>
    <row r="777" spans="1:58" ht="15" customHeight="1">
      <c r="A777" s="36" t="s">
        <v>7051</v>
      </c>
      <c r="B777" s="36" t="s">
        <v>7055</v>
      </c>
      <c r="C777" s="36" t="s">
        <v>7095</v>
      </c>
      <c r="D777" s="37">
        <v>150</v>
      </c>
      <c r="E777" s="36">
        <v>2</v>
      </c>
      <c r="G777" s="36" t="s">
        <v>6951</v>
      </c>
      <c r="J777" s="36" t="s">
        <v>27</v>
      </c>
      <c r="K777" s="36" t="s">
        <v>4053</v>
      </c>
      <c r="L777" s="36">
        <v>1</v>
      </c>
      <c r="N777" s="75">
        <v>0</v>
      </c>
      <c r="O777" s="76">
        <v>1</v>
      </c>
      <c r="AB777" s="36" t="s">
        <v>4058</v>
      </c>
      <c r="AD777" s="36" t="s">
        <v>4194</v>
      </c>
      <c r="AF777" s="36" t="s">
        <v>6952</v>
      </c>
      <c r="AP777" s="86"/>
      <c r="AQ777" s="88"/>
      <c r="AR777" s="89"/>
      <c r="AS777" s="90"/>
      <c r="AV777" s="88"/>
      <c r="AW777" s="96"/>
      <c r="AX777" s="97"/>
      <c r="AY777" s="93"/>
      <c r="BB777" s="94"/>
    </row>
    <row r="778" spans="1:58" ht="15" customHeight="1">
      <c r="A778" s="36" t="s">
        <v>7051</v>
      </c>
      <c r="B778" s="36" t="s">
        <v>7056</v>
      </c>
      <c r="C778" s="36" t="s">
        <v>7095</v>
      </c>
      <c r="D778" s="37">
        <v>151</v>
      </c>
      <c r="E778" s="36">
        <v>2</v>
      </c>
      <c r="G778" s="36" t="s">
        <v>6953</v>
      </c>
      <c r="H778" s="36" t="s">
        <v>6954</v>
      </c>
      <c r="I778" s="36" t="s">
        <v>4077</v>
      </c>
      <c r="J778" s="36" t="s">
        <v>4111</v>
      </c>
      <c r="K778" s="36" t="s">
        <v>4055</v>
      </c>
      <c r="L778" s="36">
        <v>0</v>
      </c>
      <c r="N778" s="75">
        <v>4</v>
      </c>
      <c r="P778" s="77">
        <v>1</v>
      </c>
      <c r="T778" s="81">
        <v>2</v>
      </c>
      <c r="U778" s="76">
        <v>2</v>
      </c>
      <c r="AB778" s="36" t="s">
        <v>4059</v>
      </c>
      <c r="AC778" s="36" t="s">
        <v>25</v>
      </c>
      <c r="AD778" s="36" t="s">
        <v>6820</v>
      </c>
      <c r="AF778" s="36" t="s">
        <v>6955</v>
      </c>
      <c r="AP778" s="86"/>
      <c r="AQ778" s="88"/>
      <c r="AR778" s="89"/>
      <c r="AS778" s="90"/>
      <c r="AV778" s="88"/>
      <c r="AW778" s="96"/>
      <c r="AX778" s="97"/>
      <c r="AY778" s="93"/>
      <c r="BB778" s="94"/>
    </row>
    <row r="779" spans="1:58" ht="15" customHeight="1">
      <c r="A779" s="36" t="s">
        <v>7051</v>
      </c>
      <c r="B779" s="36" t="s">
        <v>7057</v>
      </c>
      <c r="C779" s="36" t="s">
        <v>7095</v>
      </c>
      <c r="D779" s="37">
        <v>152</v>
      </c>
      <c r="E779" s="36">
        <v>2</v>
      </c>
      <c r="G779" s="36" t="s">
        <v>4223</v>
      </c>
      <c r="J779" s="36" t="s">
        <v>27</v>
      </c>
      <c r="K779" s="36" t="s">
        <v>4055</v>
      </c>
      <c r="L779" s="36">
        <v>2</v>
      </c>
      <c r="N779" s="75">
        <v>2</v>
      </c>
      <c r="P779" s="77">
        <v>1</v>
      </c>
      <c r="Q779" s="78">
        <v>2</v>
      </c>
      <c r="AB779" s="36" t="s">
        <v>6039</v>
      </c>
      <c r="AD779" s="36" t="s">
        <v>4161</v>
      </c>
      <c r="AF779" s="36" t="s">
        <v>6956</v>
      </c>
      <c r="AP779" s="86"/>
      <c r="AQ779" s="88"/>
      <c r="AR779" s="89"/>
      <c r="AS779" s="90"/>
      <c r="AV779" s="88"/>
      <c r="AW779" s="96"/>
      <c r="AX779" s="97"/>
      <c r="AY779" s="93"/>
      <c r="BB779" s="94"/>
    </row>
    <row r="780" spans="1:58" ht="15" customHeight="1">
      <c r="A780" s="36" t="s">
        <v>7051</v>
      </c>
      <c r="B780" s="36" t="s">
        <v>7058</v>
      </c>
      <c r="C780" s="36" t="s">
        <v>7095</v>
      </c>
      <c r="D780" s="37">
        <v>153</v>
      </c>
      <c r="E780" s="36">
        <v>2</v>
      </c>
      <c r="G780" s="36" t="s">
        <v>6957</v>
      </c>
      <c r="J780" s="36" t="s">
        <v>27</v>
      </c>
      <c r="K780" s="36" t="s">
        <v>4054</v>
      </c>
      <c r="L780" s="36">
        <v>0</v>
      </c>
      <c r="N780" s="75">
        <v>3</v>
      </c>
      <c r="O780" s="76">
        <v>1</v>
      </c>
      <c r="Q780" s="78">
        <v>1</v>
      </c>
      <c r="AB780" s="36" t="s">
        <v>6033</v>
      </c>
      <c r="AD780" s="36" t="s">
        <v>4133</v>
      </c>
      <c r="AF780" s="36" t="s">
        <v>6958</v>
      </c>
      <c r="AP780" s="86"/>
      <c r="AQ780" s="88"/>
      <c r="AR780" s="89"/>
      <c r="AS780" s="90"/>
      <c r="AV780" s="88"/>
      <c r="AW780" s="96"/>
      <c r="AX780" s="97"/>
      <c r="AY780" s="93"/>
      <c r="BB780" s="94"/>
    </row>
    <row r="781" spans="1:58" ht="15" customHeight="1">
      <c r="A781" s="36" t="s">
        <v>7051</v>
      </c>
      <c r="B781" s="36" t="s">
        <v>7059</v>
      </c>
      <c r="C781" s="36" t="s">
        <v>7095</v>
      </c>
      <c r="D781" s="37">
        <v>154</v>
      </c>
      <c r="E781" s="36">
        <v>2</v>
      </c>
      <c r="G781" s="36" t="s">
        <v>4538</v>
      </c>
      <c r="J781" s="36" t="s">
        <v>4111</v>
      </c>
      <c r="K781" s="36" t="s">
        <v>4054</v>
      </c>
      <c r="L781" s="36">
        <v>1</v>
      </c>
      <c r="N781" s="75">
        <v>3</v>
      </c>
      <c r="P781" s="77">
        <v>1</v>
      </c>
      <c r="AB781" s="36" t="s">
        <v>4059</v>
      </c>
      <c r="AC781" s="36" t="s">
        <v>4112</v>
      </c>
      <c r="AD781" s="36" t="s">
        <v>4123</v>
      </c>
      <c r="AF781" s="36" t="s">
        <v>6959</v>
      </c>
      <c r="AP781" s="86"/>
      <c r="AQ781" s="88"/>
      <c r="AR781" s="89"/>
      <c r="AS781" s="90"/>
      <c r="AV781" s="88"/>
      <c r="AW781" s="96"/>
      <c r="AX781" s="97"/>
      <c r="AY781" s="93"/>
      <c r="BB781" s="94"/>
    </row>
    <row r="782" spans="1:58" ht="15" customHeight="1">
      <c r="A782" s="36" t="s">
        <v>7051</v>
      </c>
      <c r="B782" s="36" t="s">
        <v>7060</v>
      </c>
      <c r="C782" s="36" t="s">
        <v>7095</v>
      </c>
      <c r="D782" s="37">
        <v>155</v>
      </c>
      <c r="E782" s="36">
        <v>2</v>
      </c>
      <c r="G782" s="36" t="s">
        <v>6960</v>
      </c>
      <c r="J782" s="36" t="s">
        <v>27</v>
      </c>
      <c r="K782" s="36" t="s">
        <v>4056</v>
      </c>
      <c r="L782" s="36">
        <v>0</v>
      </c>
      <c r="N782" s="75">
        <v>1</v>
      </c>
      <c r="AD782" s="36" t="s">
        <v>5659</v>
      </c>
      <c r="AF782" s="36" t="s">
        <v>6961</v>
      </c>
      <c r="AP782" s="86"/>
      <c r="AQ782" s="88"/>
      <c r="AR782" s="89"/>
      <c r="AS782" s="90"/>
      <c r="AV782" s="88"/>
      <c r="AW782" s="96"/>
      <c r="AX782" s="97"/>
      <c r="AY782" s="93"/>
      <c r="BB782" s="94"/>
    </row>
    <row r="783" spans="1:58" ht="15" customHeight="1">
      <c r="A783" s="36" t="s">
        <v>7051</v>
      </c>
      <c r="B783" s="36" t="s">
        <v>7061</v>
      </c>
      <c r="C783" s="36" t="s">
        <v>7095</v>
      </c>
      <c r="D783" s="37">
        <v>156</v>
      </c>
      <c r="E783" s="36">
        <v>2</v>
      </c>
      <c r="G783" s="36" t="s">
        <v>6962</v>
      </c>
      <c r="J783" s="36" t="s">
        <v>27</v>
      </c>
      <c r="K783" s="36" t="s">
        <v>4056</v>
      </c>
      <c r="L783" s="36">
        <v>1</v>
      </c>
      <c r="N783" s="75">
        <v>1</v>
      </c>
      <c r="O783" s="76">
        <v>1</v>
      </c>
      <c r="AB783" s="36" t="s">
        <v>4058</v>
      </c>
      <c r="AD783" s="36" t="s">
        <v>5659</v>
      </c>
      <c r="AF783" s="36" t="s">
        <v>6963</v>
      </c>
      <c r="AP783" s="86"/>
      <c r="AQ783" s="88"/>
      <c r="AR783" s="89"/>
      <c r="AS783" s="90"/>
      <c r="AV783" s="88"/>
      <c r="AW783" s="96"/>
      <c r="AX783" s="97"/>
      <c r="AY783" s="93"/>
      <c r="BB783" s="94"/>
    </row>
    <row r="784" spans="1:58" ht="15" customHeight="1">
      <c r="A784" s="36" t="s">
        <v>7051</v>
      </c>
      <c r="B784" s="36" t="s">
        <v>7062</v>
      </c>
      <c r="C784" s="36" t="s">
        <v>7095</v>
      </c>
      <c r="D784" s="37">
        <v>157</v>
      </c>
      <c r="E784" s="36">
        <v>2</v>
      </c>
      <c r="G784" s="36" t="s">
        <v>6964</v>
      </c>
      <c r="J784" s="36" t="s">
        <v>27</v>
      </c>
      <c r="K784" s="36" t="s">
        <v>4056</v>
      </c>
      <c r="L784" s="36">
        <v>1</v>
      </c>
      <c r="N784" s="75">
        <v>1</v>
      </c>
      <c r="R784" s="79">
        <v>1</v>
      </c>
      <c r="AB784" s="36" t="s">
        <v>4061</v>
      </c>
      <c r="AD784" s="36" t="s">
        <v>4226</v>
      </c>
      <c r="AF784" s="36" t="s">
        <v>6965</v>
      </c>
      <c r="AP784" s="86"/>
      <c r="AQ784" s="88"/>
      <c r="AR784" s="89"/>
      <c r="AS784" s="90"/>
      <c r="AV784" s="88"/>
      <c r="AW784" s="96"/>
      <c r="AX784" s="97"/>
      <c r="AY784" s="93"/>
      <c r="BB784" s="94"/>
    </row>
    <row r="785" spans="1:59" ht="15" customHeight="1">
      <c r="A785" s="36" t="s">
        <v>7051</v>
      </c>
      <c r="B785" s="36" t="s">
        <v>7063</v>
      </c>
      <c r="C785" s="36" t="s">
        <v>7095</v>
      </c>
      <c r="D785" s="37">
        <v>158</v>
      </c>
      <c r="E785" s="36">
        <v>2</v>
      </c>
      <c r="G785" s="36" t="s">
        <v>6966</v>
      </c>
      <c r="J785" s="36" t="s">
        <v>27</v>
      </c>
      <c r="K785" s="36" t="s">
        <v>26</v>
      </c>
      <c r="L785" s="36">
        <v>0</v>
      </c>
      <c r="N785" s="75">
        <v>1</v>
      </c>
      <c r="P785" s="77">
        <v>1</v>
      </c>
      <c r="R785" s="79">
        <v>1</v>
      </c>
      <c r="AB785" s="36" t="s">
        <v>6169</v>
      </c>
      <c r="AD785" s="36" t="s">
        <v>6967</v>
      </c>
      <c r="AF785" s="36" t="s">
        <v>6968</v>
      </c>
      <c r="AP785" s="86"/>
      <c r="AQ785" s="88"/>
      <c r="AR785" s="89"/>
      <c r="AS785" s="90"/>
      <c r="AV785" s="88"/>
      <c r="AW785" s="96"/>
      <c r="AX785" s="97"/>
      <c r="AY785" s="93"/>
      <c r="BB785" s="94"/>
    </row>
    <row r="786" spans="1:59" ht="15" customHeight="1">
      <c r="A786" s="36" t="s">
        <v>7051</v>
      </c>
      <c r="B786" s="36" t="s">
        <v>7064</v>
      </c>
      <c r="C786" s="36" t="s">
        <v>7095</v>
      </c>
      <c r="D786" s="37">
        <v>159</v>
      </c>
      <c r="E786" s="36">
        <v>1</v>
      </c>
      <c r="F786" s="36" t="s">
        <v>6969</v>
      </c>
      <c r="G786" s="36" t="s">
        <v>6969</v>
      </c>
      <c r="J786" s="36" t="s">
        <v>4472</v>
      </c>
      <c r="AF786" s="36" t="s">
        <v>6970</v>
      </c>
      <c r="AI786" s="36" t="s">
        <v>6969</v>
      </c>
      <c r="AL786" s="36" t="s">
        <v>4472</v>
      </c>
      <c r="AP786" s="86"/>
      <c r="AQ786" s="88"/>
      <c r="AR786" s="89"/>
      <c r="AS786" s="90"/>
      <c r="AV786" s="88"/>
      <c r="AW786" s="96"/>
      <c r="AX786" s="97"/>
      <c r="AY786" s="93"/>
      <c r="BB786" s="94"/>
      <c r="BG786" s="36" t="s">
        <v>6971</v>
      </c>
    </row>
    <row r="787" spans="1:59" ht="15" customHeight="1">
      <c r="A787" s="36" t="s">
        <v>7051</v>
      </c>
      <c r="B787" s="36" t="s">
        <v>7065</v>
      </c>
      <c r="C787" s="36" t="s">
        <v>7095</v>
      </c>
      <c r="D787" s="37">
        <v>160</v>
      </c>
      <c r="E787" s="36">
        <v>1</v>
      </c>
      <c r="F787" s="36" t="s">
        <v>6969</v>
      </c>
      <c r="G787" s="36" t="s">
        <v>6972</v>
      </c>
      <c r="J787" s="36" t="s">
        <v>4473</v>
      </c>
      <c r="L787" s="36">
        <v>1</v>
      </c>
      <c r="Z787" s="81">
        <v>2</v>
      </c>
      <c r="AI787" s="36" t="s">
        <v>6973</v>
      </c>
      <c r="AL787" s="36" t="s">
        <v>4473</v>
      </c>
      <c r="AN787" s="36">
        <v>1</v>
      </c>
      <c r="AP787" s="86"/>
      <c r="AQ787" s="88"/>
      <c r="AR787" s="89"/>
      <c r="AS787" s="90"/>
      <c r="AV787" s="88"/>
      <c r="AW787" s="96"/>
      <c r="AX787" s="97"/>
      <c r="AY787" s="93"/>
      <c r="BB787" s="94"/>
      <c r="BG787" s="36" t="s">
        <v>6974</v>
      </c>
    </row>
    <row r="788" spans="1:59" ht="15" customHeight="1">
      <c r="A788" s="36" t="s">
        <v>7051</v>
      </c>
      <c r="B788" s="36" t="s">
        <v>7066</v>
      </c>
      <c r="C788" s="36" t="s">
        <v>7095</v>
      </c>
      <c r="D788" s="37">
        <v>161</v>
      </c>
      <c r="E788" s="36">
        <v>1</v>
      </c>
      <c r="F788" s="36" t="s">
        <v>6969</v>
      </c>
      <c r="G788" s="36" t="s">
        <v>6975</v>
      </c>
      <c r="J788" s="36" t="s">
        <v>4473</v>
      </c>
      <c r="L788" s="36">
        <v>2</v>
      </c>
      <c r="Z788" s="81">
        <v>7</v>
      </c>
      <c r="AI788" s="36" t="s">
        <v>4694</v>
      </c>
      <c r="AL788" s="36" t="s">
        <v>4473</v>
      </c>
      <c r="AN788" s="36">
        <v>2</v>
      </c>
      <c r="AP788" s="86"/>
      <c r="AQ788" s="88"/>
      <c r="AR788" s="89"/>
      <c r="AS788" s="90"/>
      <c r="AV788" s="88"/>
      <c r="AW788" s="96"/>
      <c r="AX788" s="97"/>
      <c r="AY788" s="93"/>
      <c r="BB788" s="94"/>
      <c r="BG788" s="36" t="s">
        <v>6976</v>
      </c>
    </row>
    <row r="789" spans="1:59" ht="15" customHeight="1">
      <c r="A789" s="36" t="s">
        <v>7051</v>
      </c>
      <c r="B789" s="36" t="s">
        <v>7067</v>
      </c>
      <c r="C789" s="36" t="s">
        <v>7095</v>
      </c>
      <c r="D789" s="37">
        <v>162</v>
      </c>
      <c r="E789" s="36">
        <v>1</v>
      </c>
      <c r="F789" s="36" t="s">
        <v>6969</v>
      </c>
      <c r="G789" s="36" t="s">
        <v>6977</v>
      </c>
      <c r="J789" s="36" t="s">
        <v>4473</v>
      </c>
      <c r="L789" s="36">
        <v>3</v>
      </c>
      <c r="Z789" s="81">
        <v>8</v>
      </c>
      <c r="AF789" s="36" t="s">
        <v>6978</v>
      </c>
      <c r="AI789" s="36" t="s">
        <v>6979</v>
      </c>
      <c r="AL789" s="36" t="s">
        <v>4473</v>
      </c>
      <c r="AN789" s="36">
        <v>3</v>
      </c>
      <c r="AP789" s="86"/>
      <c r="AQ789" s="88"/>
      <c r="AR789" s="89"/>
      <c r="AS789" s="90"/>
      <c r="AV789" s="88"/>
      <c r="AW789" s="96"/>
      <c r="AX789" s="97"/>
      <c r="AY789" s="93"/>
      <c r="BB789" s="94"/>
      <c r="BG789" s="36" t="s">
        <v>6980</v>
      </c>
    </row>
    <row r="790" spans="1:59" ht="15" customHeight="1">
      <c r="A790" s="36" t="s">
        <v>7051</v>
      </c>
      <c r="B790" s="36" t="s">
        <v>7068</v>
      </c>
      <c r="C790" s="36" t="s">
        <v>7095</v>
      </c>
      <c r="D790" s="37">
        <v>163</v>
      </c>
      <c r="E790" s="36">
        <v>1</v>
      </c>
      <c r="F790" s="36" t="s">
        <v>6969</v>
      </c>
      <c r="G790" s="36" t="s">
        <v>4606</v>
      </c>
      <c r="J790" s="36" t="s">
        <v>4475</v>
      </c>
      <c r="L790" s="36">
        <v>1</v>
      </c>
      <c r="Y790" s="79" t="s">
        <v>5550</v>
      </c>
      <c r="AI790" s="36" t="s">
        <v>6981</v>
      </c>
      <c r="AL790" s="36" t="s">
        <v>4475</v>
      </c>
      <c r="AN790" s="36">
        <v>1</v>
      </c>
      <c r="AP790" s="86"/>
      <c r="AQ790" s="88"/>
      <c r="AR790" s="89"/>
      <c r="AS790" s="90"/>
      <c r="AV790" s="88"/>
      <c r="AW790" s="96"/>
      <c r="AX790" s="97"/>
      <c r="AY790" s="93"/>
      <c r="BB790" s="94"/>
      <c r="BG790" s="36" t="s">
        <v>6982</v>
      </c>
    </row>
    <row r="791" spans="1:59" ht="15" customHeight="1">
      <c r="A791" s="36" t="s">
        <v>7051</v>
      </c>
      <c r="B791" s="36" t="s">
        <v>7069</v>
      </c>
      <c r="C791" s="36" t="s">
        <v>7095</v>
      </c>
      <c r="D791" s="37">
        <v>164</v>
      </c>
      <c r="E791" s="36">
        <v>1</v>
      </c>
      <c r="F791" s="36" t="s">
        <v>6969</v>
      </c>
      <c r="G791" s="36" t="s">
        <v>6983</v>
      </c>
      <c r="J791" s="36" t="s">
        <v>4475</v>
      </c>
      <c r="L791" s="36">
        <v>2</v>
      </c>
      <c r="Y791" s="79" t="s">
        <v>38</v>
      </c>
      <c r="AF791" s="36" t="s">
        <v>6984</v>
      </c>
      <c r="AI791" s="36" t="s">
        <v>6985</v>
      </c>
      <c r="AL791" s="36" t="s">
        <v>4475</v>
      </c>
      <c r="AN791" s="36">
        <v>2</v>
      </c>
      <c r="AP791" s="86"/>
      <c r="AQ791" s="88"/>
      <c r="AR791" s="89"/>
      <c r="AS791" s="90"/>
      <c r="AV791" s="88"/>
      <c r="AW791" s="96"/>
      <c r="AX791" s="97"/>
      <c r="AY791" s="93"/>
      <c r="BB791" s="94"/>
      <c r="BG791" s="36" t="s">
        <v>6986</v>
      </c>
    </row>
    <row r="792" spans="1:59" ht="15" customHeight="1">
      <c r="A792" s="36" t="s">
        <v>7051</v>
      </c>
      <c r="B792" s="36" t="s">
        <v>7070</v>
      </c>
      <c r="C792" s="36" t="s">
        <v>7095</v>
      </c>
      <c r="D792" s="37">
        <v>165</v>
      </c>
      <c r="E792" s="36">
        <v>1</v>
      </c>
      <c r="F792" s="36" t="s">
        <v>6969</v>
      </c>
      <c r="G792" s="36" t="s">
        <v>6987</v>
      </c>
      <c r="J792" s="36" t="s">
        <v>4475</v>
      </c>
      <c r="L792" s="36">
        <v>2</v>
      </c>
      <c r="Y792" s="79" t="s">
        <v>38</v>
      </c>
      <c r="AF792" s="36" t="s">
        <v>6984</v>
      </c>
      <c r="AI792" s="36" t="s">
        <v>6988</v>
      </c>
      <c r="AL792" s="36" t="s">
        <v>4475</v>
      </c>
      <c r="AN792" s="36">
        <v>2</v>
      </c>
      <c r="AP792" s="86"/>
      <c r="AQ792" s="88"/>
      <c r="AR792" s="89"/>
      <c r="AS792" s="90"/>
      <c r="AV792" s="88"/>
      <c r="AW792" s="96"/>
      <c r="AX792" s="97"/>
      <c r="AY792" s="93"/>
      <c r="BB792" s="94"/>
      <c r="BG792" s="36" t="s">
        <v>6989</v>
      </c>
    </row>
    <row r="793" spans="1:59" ht="15" customHeight="1">
      <c r="A793" s="36" t="s">
        <v>7051</v>
      </c>
      <c r="B793" s="36" t="s">
        <v>7071</v>
      </c>
      <c r="C793" s="36" t="s">
        <v>7095</v>
      </c>
      <c r="D793" s="37">
        <v>166</v>
      </c>
      <c r="E793" s="36">
        <v>1</v>
      </c>
      <c r="F793" s="36" t="s">
        <v>6969</v>
      </c>
      <c r="G793" s="36" t="s">
        <v>6990</v>
      </c>
      <c r="J793" s="36" t="s">
        <v>4475</v>
      </c>
      <c r="L793" s="36">
        <v>3</v>
      </c>
      <c r="Y793" s="79" t="s">
        <v>38</v>
      </c>
      <c r="AF793" s="36" t="s">
        <v>6991</v>
      </c>
      <c r="AI793" s="36" t="s">
        <v>6992</v>
      </c>
      <c r="AL793" s="36" t="s">
        <v>4475</v>
      </c>
      <c r="AN793" s="36">
        <v>3</v>
      </c>
      <c r="AP793" s="86"/>
      <c r="AQ793" s="88"/>
      <c r="AR793" s="89"/>
      <c r="AS793" s="90"/>
      <c r="AV793" s="88"/>
      <c r="AW793" s="96"/>
      <c r="AX793" s="97"/>
      <c r="AY793" s="93"/>
      <c r="BB793" s="94"/>
      <c r="BG793" s="36" t="s">
        <v>6993</v>
      </c>
    </row>
    <row r="794" spans="1:59" ht="15" customHeight="1">
      <c r="A794" s="36" t="s">
        <v>7051</v>
      </c>
      <c r="B794" s="36" t="s">
        <v>7072</v>
      </c>
      <c r="C794" s="36" t="s">
        <v>7095</v>
      </c>
      <c r="D794" s="37">
        <v>167</v>
      </c>
      <c r="E794" s="36">
        <v>1</v>
      </c>
      <c r="F794" s="36" t="s">
        <v>6969</v>
      </c>
      <c r="G794" s="36" t="s">
        <v>6994</v>
      </c>
      <c r="J794" s="36" t="s">
        <v>4475</v>
      </c>
      <c r="L794" s="36">
        <v>4</v>
      </c>
      <c r="Y794" s="79" t="s">
        <v>38</v>
      </c>
      <c r="AF794" s="36" t="s">
        <v>6995</v>
      </c>
      <c r="AI794" s="36" t="s">
        <v>6996</v>
      </c>
      <c r="AL794" s="36" t="s">
        <v>4475</v>
      </c>
      <c r="AN794" s="36">
        <v>4</v>
      </c>
      <c r="AP794" s="86"/>
      <c r="AQ794" s="88"/>
      <c r="AR794" s="89"/>
      <c r="AS794" s="90"/>
      <c r="AV794" s="88"/>
      <c r="AW794" s="96"/>
      <c r="AX794" s="97"/>
      <c r="AY794" s="93"/>
      <c r="BB794" s="94"/>
      <c r="BG794" s="36" t="s">
        <v>6997</v>
      </c>
    </row>
    <row r="795" spans="1:59" ht="15" customHeight="1">
      <c r="A795" s="36" t="s">
        <v>7051</v>
      </c>
      <c r="B795" s="36" t="s">
        <v>7073</v>
      </c>
      <c r="C795" s="36" t="s">
        <v>7095</v>
      </c>
      <c r="D795" s="37">
        <v>168</v>
      </c>
      <c r="E795" s="36">
        <v>1</v>
      </c>
      <c r="F795" s="36" t="s">
        <v>6969</v>
      </c>
      <c r="G795" s="36" t="s">
        <v>6998</v>
      </c>
      <c r="H795" s="36" t="s">
        <v>6999</v>
      </c>
      <c r="J795" s="36" t="s">
        <v>31</v>
      </c>
      <c r="AD795" s="36" t="s">
        <v>7000</v>
      </c>
      <c r="AI795" s="36" t="s">
        <v>6998</v>
      </c>
      <c r="AJ795" s="36" t="s">
        <v>6999</v>
      </c>
      <c r="AL795" s="36" t="s">
        <v>31</v>
      </c>
      <c r="AP795" s="86"/>
      <c r="AQ795" s="88"/>
      <c r="AR795" s="89"/>
      <c r="AS795" s="90"/>
      <c r="AV795" s="88"/>
      <c r="AW795" s="96"/>
      <c r="AX795" s="97"/>
      <c r="AY795" s="93">
        <v>2</v>
      </c>
      <c r="AZ795" s="79">
        <v>0</v>
      </c>
      <c r="BB795" s="94"/>
      <c r="BE795" s="36" t="s">
        <v>7000</v>
      </c>
      <c r="BG795" s="36" t="s">
        <v>7001</v>
      </c>
    </row>
    <row r="796" spans="1:59" ht="15" customHeight="1">
      <c r="A796" s="36" t="s">
        <v>7051</v>
      </c>
      <c r="B796" s="36" t="s">
        <v>7074</v>
      </c>
      <c r="C796" s="36" t="s">
        <v>7095</v>
      </c>
      <c r="D796" s="37">
        <v>169</v>
      </c>
      <c r="E796" s="36">
        <v>1</v>
      </c>
      <c r="F796" s="36" t="s">
        <v>6969</v>
      </c>
      <c r="G796" s="36" t="s">
        <v>6998</v>
      </c>
      <c r="H796" s="36" t="s">
        <v>6999</v>
      </c>
      <c r="J796" s="36" t="s">
        <v>31</v>
      </c>
      <c r="AD796" s="36" t="s">
        <v>7000</v>
      </c>
      <c r="AI796" s="36" t="s">
        <v>6998</v>
      </c>
      <c r="AJ796" s="36" t="s">
        <v>6999</v>
      </c>
      <c r="AL796" s="36" t="s">
        <v>31</v>
      </c>
      <c r="AP796" s="86"/>
      <c r="AQ796" s="88"/>
      <c r="AR796" s="89"/>
      <c r="AS796" s="90"/>
      <c r="AV796" s="88"/>
      <c r="AW796" s="96"/>
      <c r="AX796" s="97"/>
      <c r="AY796" s="93">
        <v>3</v>
      </c>
      <c r="AZ796" s="79" t="s">
        <v>4925</v>
      </c>
      <c r="BB796" s="94"/>
      <c r="BE796" s="36" t="s">
        <v>7000</v>
      </c>
      <c r="BG796" s="36" t="s">
        <v>7002</v>
      </c>
    </row>
    <row r="797" spans="1:59" ht="15" customHeight="1">
      <c r="A797" s="36" t="s">
        <v>7051</v>
      </c>
      <c r="B797" s="36" t="s">
        <v>7075</v>
      </c>
      <c r="C797" s="36" t="s">
        <v>7095</v>
      </c>
      <c r="D797" s="37">
        <v>170</v>
      </c>
      <c r="E797" s="36">
        <v>1</v>
      </c>
      <c r="F797" s="36" t="s">
        <v>6969</v>
      </c>
      <c r="G797" s="36" t="s">
        <v>6998</v>
      </c>
      <c r="H797" s="36" t="s">
        <v>7003</v>
      </c>
      <c r="J797" s="36" t="s">
        <v>31</v>
      </c>
      <c r="AD797" s="36" t="s">
        <v>7000</v>
      </c>
      <c r="AI797" s="36" t="s">
        <v>6998</v>
      </c>
      <c r="AJ797" s="36" t="s">
        <v>7003</v>
      </c>
      <c r="AL797" s="36" t="s">
        <v>31</v>
      </c>
      <c r="AP797" s="86"/>
      <c r="AQ797" s="88"/>
      <c r="AR797" s="89"/>
      <c r="AS797" s="90"/>
      <c r="AV797" s="88"/>
      <c r="AW797" s="96"/>
      <c r="AX797" s="97"/>
      <c r="AY797" s="93">
        <v>3</v>
      </c>
      <c r="AZ797" s="79">
        <v>0</v>
      </c>
      <c r="BB797" s="94"/>
      <c r="BE797" s="36" t="s">
        <v>7000</v>
      </c>
      <c r="BG797" s="36" t="s">
        <v>7004</v>
      </c>
    </row>
    <row r="798" spans="1:59" ht="15" customHeight="1">
      <c r="A798" s="36" t="s">
        <v>7051</v>
      </c>
      <c r="B798" s="36" t="s">
        <v>7076</v>
      </c>
      <c r="C798" s="36" t="s">
        <v>7095</v>
      </c>
      <c r="D798" s="37">
        <v>171</v>
      </c>
      <c r="E798" s="36">
        <v>1</v>
      </c>
      <c r="F798" s="36" t="s">
        <v>6969</v>
      </c>
      <c r="G798" s="36" t="s">
        <v>6998</v>
      </c>
      <c r="H798" s="36" t="s">
        <v>7003</v>
      </c>
      <c r="J798" s="36" t="s">
        <v>31</v>
      </c>
      <c r="AD798" s="36" t="s">
        <v>7000</v>
      </c>
      <c r="AI798" s="36" t="s">
        <v>6998</v>
      </c>
      <c r="AJ798" s="36" t="s">
        <v>7003</v>
      </c>
      <c r="AL798" s="36" t="s">
        <v>31</v>
      </c>
      <c r="AP798" s="86"/>
      <c r="AQ798" s="88"/>
      <c r="AR798" s="89"/>
      <c r="AS798" s="90"/>
      <c r="AV798" s="88"/>
      <c r="AW798" s="96"/>
      <c r="AX798" s="97"/>
      <c r="AY798" s="93">
        <v>2</v>
      </c>
      <c r="AZ798" s="79" t="s">
        <v>4925</v>
      </c>
      <c r="BB798" s="94"/>
      <c r="BE798" s="36" t="s">
        <v>7000</v>
      </c>
      <c r="BG798" s="36" t="s">
        <v>7005</v>
      </c>
    </row>
    <row r="799" spans="1:59" ht="15" customHeight="1">
      <c r="A799" s="36" t="s">
        <v>7051</v>
      </c>
      <c r="B799" s="36" t="s">
        <v>7077</v>
      </c>
      <c r="C799" s="36" t="s">
        <v>7095</v>
      </c>
      <c r="D799" s="37">
        <v>172</v>
      </c>
      <c r="E799" s="36">
        <v>1</v>
      </c>
      <c r="F799" s="36" t="s">
        <v>6969</v>
      </c>
      <c r="G799" s="36" t="s">
        <v>7006</v>
      </c>
      <c r="J799" s="36" t="s">
        <v>31</v>
      </c>
      <c r="AD799" s="36" t="s">
        <v>7000</v>
      </c>
      <c r="AF799" s="36" t="s">
        <v>7007</v>
      </c>
      <c r="AI799" s="36" t="s">
        <v>7006</v>
      </c>
      <c r="AL799" s="36" t="s">
        <v>31</v>
      </c>
      <c r="AP799" s="86"/>
      <c r="AQ799" s="88"/>
      <c r="AR799" s="89"/>
      <c r="AS799" s="90"/>
      <c r="AV799" s="88"/>
      <c r="AW799" s="96"/>
      <c r="AX799" s="97"/>
      <c r="AY799" s="93">
        <v>2</v>
      </c>
      <c r="AZ799" s="79" t="s">
        <v>4925</v>
      </c>
      <c r="BB799" s="94"/>
      <c r="BE799" s="36" t="s">
        <v>7000</v>
      </c>
      <c r="BG799" s="36" t="s">
        <v>7008</v>
      </c>
    </row>
    <row r="800" spans="1:59" ht="15" customHeight="1">
      <c r="A800" s="36" t="s">
        <v>7051</v>
      </c>
      <c r="B800" s="36" t="s">
        <v>7078</v>
      </c>
      <c r="C800" s="36" t="s">
        <v>7095</v>
      </c>
      <c r="D800" s="37">
        <v>173</v>
      </c>
      <c r="E800" s="36">
        <v>1</v>
      </c>
      <c r="F800" s="36" t="s">
        <v>6969</v>
      </c>
      <c r="G800" s="36" t="s">
        <v>7009</v>
      </c>
      <c r="J800" s="36" t="s">
        <v>31</v>
      </c>
      <c r="AD800" s="36" t="s">
        <v>7000</v>
      </c>
      <c r="AI800" s="36" t="s">
        <v>7009</v>
      </c>
      <c r="AL800" s="36" t="s">
        <v>31</v>
      </c>
      <c r="AP800" s="86"/>
      <c r="AQ800" s="88"/>
      <c r="AR800" s="89"/>
      <c r="AS800" s="90"/>
      <c r="AV800" s="88"/>
      <c r="AW800" s="96"/>
      <c r="AX800" s="97"/>
      <c r="AY800" s="93">
        <v>2</v>
      </c>
      <c r="AZ800" s="79" t="s">
        <v>5551</v>
      </c>
      <c r="BB800" s="94">
        <v>1</v>
      </c>
      <c r="BE800" s="36" t="s">
        <v>7000</v>
      </c>
      <c r="BG800" s="36" t="s">
        <v>7010</v>
      </c>
    </row>
    <row r="801" spans="1:59" ht="15" customHeight="1">
      <c r="A801" s="36" t="s">
        <v>7051</v>
      </c>
      <c r="B801" s="36" t="s">
        <v>7079</v>
      </c>
      <c r="C801" s="36" t="s">
        <v>7095</v>
      </c>
      <c r="D801" s="37">
        <v>174</v>
      </c>
      <c r="E801" s="36">
        <v>1</v>
      </c>
      <c r="F801" s="36" t="s">
        <v>6969</v>
      </c>
      <c r="G801" s="36" t="s">
        <v>7011</v>
      </c>
      <c r="J801" s="36" t="s">
        <v>31</v>
      </c>
      <c r="AD801" s="36" t="s">
        <v>7000</v>
      </c>
      <c r="AI801" s="36" t="s">
        <v>7011</v>
      </c>
      <c r="AL801" s="36" t="s">
        <v>31</v>
      </c>
      <c r="AP801" s="86"/>
      <c r="AQ801" s="88"/>
      <c r="AR801" s="89"/>
      <c r="AS801" s="90"/>
      <c r="AV801" s="88"/>
      <c r="AW801" s="96"/>
      <c r="AX801" s="97"/>
      <c r="AY801" s="93">
        <v>3</v>
      </c>
      <c r="AZ801" s="79" t="s">
        <v>4925</v>
      </c>
      <c r="BB801" s="94">
        <v>1</v>
      </c>
      <c r="BE801" s="36" t="s">
        <v>7000</v>
      </c>
      <c r="BG801" s="36" t="s">
        <v>7012</v>
      </c>
    </row>
    <row r="802" spans="1:59" ht="15" customHeight="1">
      <c r="A802" s="36" t="s">
        <v>7051</v>
      </c>
      <c r="B802" s="36" t="s">
        <v>7080</v>
      </c>
      <c r="C802" s="36" t="s">
        <v>7095</v>
      </c>
      <c r="D802" s="37">
        <v>175</v>
      </c>
      <c r="E802" s="36">
        <v>1</v>
      </c>
      <c r="F802" s="36" t="s">
        <v>6969</v>
      </c>
      <c r="G802" s="36" t="s">
        <v>7013</v>
      </c>
      <c r="J802" s="36" t="s">
        <v>31</v>
      </c>
      <c r="AD802" s="36" t="s">
        <v>7000</v>
      </c>
      <c r="AI802" s="36" t="s">
        <v>7013</v>
      </c>
      <c r="AL802" s="36" t="s">
        <v>31</v>
      </c>
      <c r="AP802" s="86"/>
      <c r="AQ802" s="88"/>
      <c r="AR802" s="89"/>
      <c r="AS802" s="90"/>
      <c r="AV802" s="88"/>
      <c r="AW802" s="96"/>
      <c r="AX802" s="97"/>
      <c r="AY802" s="93">
        <v>1</v>
      </c>
      <c r="AZ802" s="79" t="s">
        <v>4925</v>
      </c>
      <c r="BB802" s="94"/>
      <c r="BE802" s="36" t="s">
        <v>7000</v>
      </c>
      <c r="BG802" s="36" t="s">
        <v>7014</v>
      </c>
    </row>
    <row r="803" spans="1:59" ht="15" customHeight="1">
      <c r="A803" s="36" t="s">
        <v>7051</v>
      </c>
      <c r="B803" s="36" t="s">
        <v>7081</v>
      </c>
      <c r="C803" s="36" t="s">
        <v>7095</v>
      </c>
      <c r="D803" s="37">
        <v>176</v>
      </c>
      <c r="E803" s="36">
        <v>1</v>
      </c>
      <c r="F803" s="36" t="s">
        <v>6969</v>
      </c>
      <c r="G803" s="36" t="s">
        <v>7015</v>
      </c>
      <c r="J803" s="36" t="s">
        <v>31</v>
      </c>
      <c r="AD803" s="36" t="s">
        <v>7000</v>
      </c>
      <c r="AF803" s="36" t="s">
        <v>7016</v>
      </c>
      <c r="AI803" s="36" t="s">
        <v>7015</v>
      </c>
      <c r="AL803" s="36" t="s">
        <v>31</v>
      </c>
      <c r="AP803" s="86"/>
      <c r="AQ803" s="88"/>
      <c r="AR803" s="89"/>
      <c r="AS803" s="90"/>
      <c r="AV803" s="88"/>
      <c r="AW803" s="96"/>
      <c r="AX803" s="97"/>
      <c r="AY803" s="93">
        <v>3</v>
      </c>
      <c r="AZ803" s="79" t="s">
        <v>4925</v>
      </c>
      <c r="BB803" s="94"/>
      <c r="BE803" s="36" t="s">
        <v>7000</v>
      </c>
      <c r="BG803" s="36" t="s">
        <v>7017</v>
      </c>
    </row>
    <row r="804" spans="1:59" ht="15" customHeight="1">
      <c r="A804" s="36" t="s">
        <v>7051</v>
      </c>
      <c r="B804" s="36" t="s">
        <v>7082</v>
      </c>
      <c r="C804" s="36" t="s">
        <v>7095</v>
      </c>
      <c r="D804" s="37">
        <v>177</v>
      </c>
      <c r="E804" s="36">
        <v>1</v>
      </c>
      <c r="F804" s="36" t="s">
        <v>6969</v>
      </c>
      <c r="G804" s="36" t="s">
        <v>7018</v>
      </c>
      <c r="J804" s="36" t="s">
        <v>31</v>
      </c>
      <c r="AD804" s="36" t="s">
        <v>7000</v>
      </c>
      <c r="AF804" s="36" t="s">
        <v>7019</v>
      </c>
      <c r="AI804" s="36" t="s">
        <v>7018</v>
      </c>
      <c r="AL804" s="36" t="s">
        <v>31</v>
      </c>
      <c r="AP804" s="86"/>
      <c r="AQ804" s="88"/>
      <c r="AR804" s="89"/>
      <c r="AS804" s="90"/>
      <c r="AV804" s="88"/>
      <c r="AW804" s="96"/>
      <c r="AX804" s="97"/>
      <c r="AY804" s="93">
        <v>4</v>
      </c>
      <c r="AZ804" s="79" t="s">
        <v>4925</v>
      </c>
      <c r="BB804" s="94">
        <v>1</v>
      </c>
      <c r="BE804" s="36" t="s">
        <v>7000</v>
      </c>
      <c r="BG804" s="36" t="s">
        <v>7020</v>
      </c>
    </row>
    <row r="805" spans="1:59" ht="15" customHeight="1">
      <c r="A805" s="36" t="s">
        <v>7051</v>
      </c>
      <c r="B805" s="36" t="s">
        <v>7083</v>
      </c>
      <c r="C805" s="36" t="s">
        <v>7095</v>
      </c>
      <c r="D805" s="37">
        <v>178</v>
      </c>
      <c r="E805" s="36">
        <v>1</v>
      </c>
      <c r="F805" s="36" t="s">
        <v>6969</v>
      </c>
      <c r="G805" s="36" t="s">
        <v>7021</v>
      </c>
      <c r="J805" s="36" t="s">
        <v>31</v>
      </c>
      <c r="AD805" s="36" t="s">
        <v>7000</v>
      </c>
      <c r="AF805" s="36" t="s">
        <v>7022</v>
      </c>
      <c r="AI805" s="36" t="s">
        <v>7021</v>
      </c>
      <c r="AJ805" s="36" t="s">
        <v>7023</v>
      </c>
      <c r="AL805" s="36" t="s">
        <v>31</v>
      </c>
      <c r="AP805" s="86"/>
      <c r="AQ805" s="88"/>
      <c r="AR805" s="89"/>
      <c r="AS805" s="90"/>
      <c r="AV805" s="88"/>
      <c r="AW805" s="96"/>
      <c r="AX805" s="97"/>
      <c r="AY805" s="93">
        <v>2</v>
      </c>
      <c r="AZ805" s="79">
        <v>1</v>
      </c>
      <c r="BB805" s="94"/>
      <c r="BE805" s="36" t="s">
        <v>7000</v>
      </c>
      <c r="BG805" s="36" t="s">
        <v>7024</v>
      </c>
    </row>
    <row r="806" spans="1:59" ht="15" customHeight="1">
      <c r="A806" s="36" t="s">
        <v>7051</v>
      </c>
      <c r="B806" s="36" t="s">
        <v>7084</v>
      </c>
      <c r="C806" s="36" t="s">
        <v>7095</v>
      </c>
      <c r="D806" s="37">
        <v>179</v>
      </c>
      <c r="E806" s="36">
        <v>1</v>
      </c>
      <c r="F806" s="36" t="s">
        <v>6969</v>
      </c>
      <c r="G806" s="36" t="s">
        <v>7021</v>
      </c>
      <c r="J806" s="36" t="s">
        <v>31</v>
      </c>
      <c r="AD806" s="36" t="s">
        <v>7000</v>
      </c>
      <c r="AF806" s="36" t="s">
        <v>7022</v>
      </c>
      <c r="AI806" s="36" t="s">
        <v>7021</v>
      </c>
      <c r="AJ806" s="36" t="s">
        <v>7025</v>
      </c>
      <c r="AL806" s="36" t="s">
        <v>31</v>
      </c>
      <c r="AP806" s="86"/>
      <c r="AQ806" s="88"/>
      <c r="AR806" s="89"/>
      <c r="AS806" s="90"/>
      <c r="AV806" s="88"/>
      <c r="AW806" s="96"/>
      <c r="AX806" s="97"/>
      <c r="AY806" s="93">
        <v>5</v>
      </c>
      <c r="AZ806" s="79">
        <v>1</v>
      </c>
      <c r="BB806" s="94"/>
      <c r="BE806" s="36" t="s">
        <v>7000</v>
      </c>
      <c r="BG806" s="36" t="s">
        <v>7026</v>
      </c>
    </row>
    <row r="807" spans="1:59" ht="15" customHeight="1">
      <c r="A807" s="36" t="s">
        <v>7051</v>
      </c>
      <c r="B807" s="36" t="s">
        <v>7085</v>
      </c>
      <c r="C807" s="36" t="s">
        <v>7095</v>
      </c>
      <c r="D807" s="37">
        <v>180</v>
      </c>
      <c r="E807" s="36">
        <v>1</v>
      </c>
      <c r="F807" s="36" t="s">
        <v>6969</v>
      </c>
      <c r="G807" s="36" t="s">
        <v>7021</v>
      </c>
      <c r="J807" s="36" t="s">
        <v>31</v>
      </c>
      <c r="AD807" s="36" t="s">
        <v>7000</v>
      </c>
      <c r="AF807" s="36" t="s">
        <v>7022</v>
      </c>
      <c r="AI807" s="36" t="s">
        <v>7021</v>
      </c>
      <c r="AJ807" s="36" t="s">
        <v>7027</v>
      </c>
      <c r="AL807" s="36" t="s">
        <v>31</v>
      </c>
      <c r="AP807" s="86"/>
      <c r="AQ807" s="88"/>
      <c r="AR807" s="89"/>
      <c r="AS807" s="90"/>
      <c r="AV807" s="88"/>
      <c r="AW807" s="96"/>
      <c r="AX807" s="97"/>
      <c r="AY807" s="93">
        <v>3</v>
      </c>
      <c r="AZ807" s="79">
        <v>1</v>
      </c>
      <c r="BB807" s="94"/>
      <c r="BE807" s="36" t="s">
        <v>7000</v>
      </c>
      <c r="BG807" s="36" t="s">
        <v>7028</v>
      </c>
    </row>
    <row r="808" spans="1:59" ht="15" customHeight="1">
      <c r="A808" s="36" t="s">
        <v>7051</v>
      </c>
      <c r="B808" s="36" t="s">
        <v>7086</v>
      </c>
      <c r="C808" s="36" t="s">
        <v>7095</v>
      </c>
      <c r="D808" s="37">
        <v>181</v>
      </c>
      <c r="E808" s="36">
        <v>1</v>
      </c>
      <c r="F808" s="36" t="s">
        <v>6969</v>
      </c>
      <c r="G808" s="36" t="s">
        <v>7021</v>
      </c>
      <c r="J808" s="36" t="s">
        <v>31</v>
      </c>
      <c r="AD808" s="36" t="s">
        <v>7000</v>
      </c>
      <c r="AF808" s="36" t="s">
        <v>7022</v>
      </c>
      <c r="AI808" s="36" t="s">
        <v>7021</v>
      </c>
      <c r="AJ808" s="36" t="s">
        <v>7029</v>
      </c>
      <c r="AL808" s="36" t="s">
        <v>31</v>
      </c>
      <c r="AP808" s="86"/>
      <c r="AQ808" s="88"/>
      <c r="AR808" s="89"/>
      <c r="AS808" s="90"/>
      <c r="AV808" s="88"/>
      <c r="AW808" s="96"/>
      <c r="AX808" s="97"/>
      <c r="AY808" s="93">
        <v>2</v>
      </c>
      <c r="AZ808" s="79">
        <v>1</v>
      </c>
      <c r="BB808" s="94"/>
      <c r="BE808" s="36" t="s">
        <v>7000</v>
      </c>
      <c r="BG808" s="36" t="s">
        <v>7030</v>
      </c>
    </row>
    <row r="809" spans="1:59" ht="15" customHeight="1">
      <c r="A809" s="36" t="s">
        <v>7051</v>
      </c>
      <c r="B809" s="36" t="s">
        <v>7087</v>
      </c>
      <c r="C809" s="36" t="s">
        <v>7095</v>
      </c>
      <c r="D809" s="37">
        <v>182</v>
      </c>
      <c r="E809" s="36">
        <v>1</v>
      </c>
      <c r="F809" s="36" t="s">
        <v>6969</v>
      </c>
      <c r="G809" s="36" t="s">
        <v>7031</v>
      </c>
      <c r="H809" s="36" t="s">
        <v>7032</v>
      </c>
      <c r="I809" s="36" t="s">
        <v>4077</v>
      </c>
      <c r="J809" s="36" t="s">
        <v>29</v>
      </c>
      <c r="Q809" s="78">
        <v>3</v>
      </c>
      <c r="R809" s="79">
        <v>3</v>
      </c>
      <c r="T809" s="81">
        <v>4</v>
      </c>
      <c r="V809" s="82">
        <v>1</v>
      </c>
      <c r="W809" s="83">
        <v>1</v>
      </c>
      <c r="AA809" s="85">
        <v>1</v>
      </c>
      <c r="AD809" s="36" t="s">
        <v>7033</v>
      </c>
      <c r="AF809" s="36" t="s">
        <v>7034</v>
      </c>
      <c r="AI809" s="36" t="s">
        <v>7031</v>
      </c>
      <c r="AJ809" s="36" t="s">
        <v>7035</v>
      </c>
      <c r="AK809" s="36" t="s">
        <v>7036</v>
      </c>
      <c r="AL809" s="36" t="s">
        <v>4111</v>
      </c>
      <c r="AP809" s="86" t="s">
        <v>38</v>
      </c>
      <c r="AQ809" s="88"/>
      <c r="AR809" s="89"/>
      <c r="AS809" s="90"/>
      <c r="AU809" s="81">
        <v>1</v>
      </c>
      <c r="AV809" s="88">
        <v>3</v>
      </c>
      <c r="AW809" s="96"/>
      <c r="AX809" s="97"/>
      <c r="AY809" s="93"/>
      <c r="BB809" s="94"/>
      <c r="BE809" s="36" t="s">
        <v>7037</v>
      </c>
      <c r="BG809" s="36" t="s">
        <v>7038</v>
      </c>
    </row>
    <row r="810" spans="1:59" ht="15" customHeight="1">
      <c r="A810" s="36" t="s">
        <v>7051</v>
      </c>
      <c r="B810" s="36" t="s">
        <v>7088</v>
      </c>
      <c r="C810" s="36" t="s">
        <v>7095</v>
      </c>
      <c r="D810" s="37">
        <v>183</v>
      </c>
      <c r="E810" s="36">
        <v>2</v>
      </c>
      <c r="F810" s="36" t="s">
        <v>6969</v>
      </c>
      <c r="G810" s="36" t="s">
        <v>7039</v>
      </c>
      <c r="J810" s="36" t="s">
        <v>29</v>
      </c>
      <c r="Q810" s="78">
        <v>4</v>
      </c>
      <c r="R810" s="79">
        <v>4</v>
      </c>
      <c r="T810" s="81">
        <v>5</v>
      </c>
      <c r="V810" s="82">
        <v>3</v>
      </c>
      <c r="W810" s="83">
        <v>3</v>
      </c>
      <c r="AD810" s="36" t="s">
        <v>5545</v>
      </c>
      <c r="AF810" s="36" t="s">
        <v>7040</v>
      </c>
      <c r="AP810" s="86"/>
      <c r="AQ810" s="88"/>
      <c r="AR810" s="89"/>
      <c r="AS810" s="90"/>
      <c r="AV810" s="88"/>
      <c r="AW810" s="96"/>
      <c r="AX810" s="97"/>
      <c r="AY810" s="93"/>
      <c r="BB810" s="94"/>
    </row>
    <row r="811" spans="1:59" ht="15" customHeight="1">
      <c r="A811" s="36" t="s">
        <v>7051</v>
      </c>
      <c r="B811" s="36" t="s">
        <v>7089</v>
      </c>
      <c r="C811" s="36" t="s">
        <v>7095</v>
      </c>
      <c r="D811" s="37">
        <v>184</v>
      </c>
      <c r="E811" s="36">
        <v>3</v>
      </c>
      <c r="F811" s="36" t="s">
        <v>6969</v>
      </c>
      <c r="G811" s="36" t="s">
        <v>7041</v>
      </c>
      <c r="J811" s="36" t="s">
        <v>29</v>
      </c>
      <c r="Q811" s="78">
        <v>2</v>
      </c>
      <c r="R811" s="79">
        <v>3</v>
      </c>
      <c r="T811" s="81">
        <v>2</v>
      </c>
      <c r="V811" s="82">
        <v>1</v>
      </c>
      <c r="AD811" s="36" t="s">
        <v>6656</v>
      </c>
      <c r="AF811" s="36" t="s">
        <v>7042</v>
      </c>
      <c r="AP811" s="86"/>
      <c r="AQ811" s="88"/>
      <c r="AR811" s="89"/>
      <c r="AS811" s="90"/>
      <c r="AV811" s="88"/>
      <c r="AW811" s="96"/>
      <c r="AX811" s="97"/>
      <c r="AY811" s="93"/>
      <c r="BB811" s="94"/>
    </row>
    <row r="812" spans="1:59" ht="15" customHeight="1">
      <c r="A812" s="36" t="s">
        <v>7051</v>
      </c>
      <c r="B812" s="36" t="s">
        <v>7090</v>
      </c>
      <c r="C812" s="36" t="s">
        <v>7095</v>
      </c>
      <c r="D812" s="37">
        <v>185</v>
      </c>
      <c r="E812" s="36">
        <v>2</v>
      </c>
      <c r="F812" s="36" t="s">
        <v>6969</v>
      </c>
      <c r="G812" s="36" t="s">
        <v>7043</v>
      </c>
      <c r="J812" s="36" t="s">
        <v>28</v>
      </c>
      <c r="AD812" s="36" t="s">
        <v>6179</v>
      </c>
      <c r="AF812" s="36" t="s">
        <v>7044</v>
      </c>
      <c r="AP812" s="86"/>
      <c r="AQ812" s="88"/>
      <c r="AR812" s="89"/>
      <c r="AS812" s="90"/>
      <c r="AV812" s="88"/>
      <c r="AW812" s="96"/>
      <c r="AX812" s="97"/>
      <c r="AY812" s="93"/>
      <c r="BB812" s="94"/>
    </row>
    <row r="813" spans="1:59" ht="15" customHeight="1">
      <c r="A813" s="36" t="s">
        <v>7051</v>
      </c>
      <c r="B813" s="36" t="s">
        <v>7091</v>
      </c>
      <c r="C813" s="36" t="s">
        <v>7095</v>
      </c>
      <c r="D813" s="37">
        <v>186</v>
      </c>
      <c r="E813" s="36">
        <v>1</v>
      </c>
      <c r="F813" s="36" t="s">
        <v>6969</v>
      </c>
      <c r="G813" s="36" t="s">
        <v>7045</v>
      </c>
      <c r="J813" s="36" t="s">
        <v>28</v>
      </c>
      <c r="AD813" s="36" t="s">
        <v>4335</v>
      </c>
      <c r="AF813" s="36" t="s">
        <v>7046</v>
      </c>
      <c r="AP813" s="86"/>
      <c r="AQ813" s="88"/>
      <c r="AR813" s="89"/>
      <c r="AS813" s="90"/>
      <c r="AV813" s="88"/>
      <c r="AW813" s="96"/>
      <c r="AX813" s="97"/>
      <c r="AY813" s="93"/>
      <c r="BB813" s="94"/>
    </row>
    <row r="814" spans="1:59" ht="15" customHeight="1">
      <c r="A814" s="36" t="s">
        <v>7051</v>
      </c>
      <c r="B814" s="36" t="s">
        <v>7092</v>
      </c>
      <c r="C814" s="36" t="s">
        <v>7095</v>
      </c>
      <c r="D814" s="37">
        <v>187</v>
      </c>
      <c r="E814" s="36">
        <v>1</v>
      </c>
      <c r="F814" s="36" t="s">
        <v>6969</v>
      </c>
      <c r="G814" s="36" t="s">
        <v>7047</v>
      </c>
      <c r="J814" s="36" t="s">
        <v>28</v>
      </c>
      <c r="AD814" s="36" t="s">
        <v>4335</v>
      </c>
      <c r="AF814" s="36" t="s">
        <v>7048</v>
      </c>
      <c r="AP814" s="86"/>
      <c r="AQ814" s="88"/>
      <c r="AR814" s="89"/>
      <c r="AS814" s="90"/>
      <c r="AV814" s="88"/>
      <c r="AW814" s="96"/>
      <c r="AX814" s="97"/>
      <c r="AY814" s="93"/>
      <c r="BB814" s="94"/>
    </row>
    <row r="815" spans="1:59" ht="15" customHeight="1">
      <c r="A815" s="36" t="s">
        <v>7051</v>
      </c>
      <c r="B815" s="36" t="s">
        <v>7093</v>
      </c>
      <c r="C815" s="36" t="s">
        <v>7095</v>
      </c>
      <c r="D815" s="37">
        <v>188</v>
      </c>
      <c r="E815" s="36">
        <v>3</v>
      </c>
      <c r="F815" s="36" t="s">
        <v>6969</v>
      </c>
      <c r="G815" s="36" t="s">
        <v>7049</v>
      </c>
      <c r="J815" s="36" t="s">
        <v>28</v>
      </c>
      <c r="AD815" s="36" t="s">
        <v>4335</v>
      </c>
      <c r="AF815" s="36" t="s">
        <v>7050</v>
      </c>
      <c r="AP815" s="86"/>
      <c r="AQ815" s="88"/>
      <c r="AR815" s="89"/>
      <c r="AS815" s="90"/>
      <c r="AV815" s="88"/>
      <c r="AW815" s="96"/>
      <c r="AX815" s="97"/>
      <c r="AY815" s="93"/>
      <c r="BB815" s="94"/>
    </row>
    <row r="816" spans="1:59" ht="15" customHeight="1">
      <c r="A816" s="39" t="s">
        <v>7096</v>
      </c>
      <c r="B816" s="39" t="s">
        <v>7099</v>
      </c>
      <c r="C816" s="39" t="s">
        <v>7220</v>
      </c>
      <c r="D816" s="40">
        <v>189</v>
      </c>
      <c r="E816" s="39">
        <v>2</v>
      </c>
      <c r="F816" s="39"/>
      <c r="G816" s="39" t="s">
        <v>7100</v>
      </c>
      <c r="H816" s="41"/>
      <c r="J816" s="36" t="s">
        <v>27</v>
      </c>
      <c r="K816" s="36" t="s">
        <v>4052</v>
      </c>
      <c r="L816" s="36">
        <v>0</v>
      </c>
      <c r="N816" s="37">
        <v>0</v>
      </c>
      <c r="O816" s="131"/>
      <c r="P816" s="132"/>
      <c r="Q816" s="133">
        <v>2</v>
      </c>
      <c r="R816" s="42"/>
      <c r="S816" s="134"/>
      <c r="T816" s="135"/>
      <c r="U816" s="131"/>
      <c r="V816" s="136"/>
      <c r="W816" s="137"/>
      <c r="X816" s="138"/>
      <c r="Y816" s="42"/>
      <c r="Z816" s="135"/>
      <c r="AA816" s="139"/>
      <c r="AB816" s="28" t="s">
        <v>4942</v>
      </c>
      <c r="AD816" s="36" t="s">
        <v>5659</v>
      </c>
      <c r="AF816" s="36" t="s">
        <v>7101</v>
      </c>
      <c r="AI816" s="41"/>
      <c r="AJ816" s="41"/>
      <c r="AO816" s="37"/>
      <c r="AP816" s="37"/>
      <c r="AQ816" s="131"/>
      <c r="AR816" s="132"/>
      <c r="AS816" s="133"/>
      <c r="AT816" s="42"/>
      <c r="AU816" s="135"/>
      <c r="AV816" s="131"/>
      <c r="AW816" s="136"/>
      <c r="AX816" s="137"/>
      <c r="AY816" s="138"/>
      <c r="AZ816" s="42"/>
      <c r="BA816" s="135"/>
      <c r="BB816" s="139"/>
      <c r="BE816" s="37"/>
      <c r="BF816" s="36"/>
    </row>
    <row r="817" spans="1:59" ht="15" customHeight="1">
      <c r="A817" s="41" t="s">
        <v>7096</v>
      </c>
      <c r="B817" s="36" t="s">
        <v>7102</v>
      </c>
      <c r="C817" s="36" t="s">
        <v>7220</v>
      </c>
      <c r="D817" s="37">
        <v>190</v>
      </c>
      <c r="E817" s="36">
        <v>2</v>
      </c>
      <c r="G817" s="36" t="s">
        <v>4140</v>
      </c>
      <c r="J817" s="36" t="s">
        <v>4111</v>
      </c>
      <c r="K817" s="36" t="s">
        <v>4052</v>
      </c>
      <c r="L817" s="36">
        <v>2</v>
      </c>
      <c r="N817" s="37">
        <v>4</v>
      </c>
      <c r="O817" s="131"/>
      <c r="P817" s="132"/>
      <c r="Q817" s="133">
        <v>1</v>
      </c>
      <c r="R817" s="42">
        <v>1</v>
      </c>
      <c r="S817" s="134"/>
      <c r="T817" s="135"/>
      <c r="U817" s="131"/>
      <c r="V817" s="136"/>
      <c r="W817" s="137"/>
      <c r="X817" s="138"/>
      <c r="Y817" s="42"/>
      <c r="Z817" s="135"/>
      <c r="AA817" s="139"/>
      <c r="AB817" s="28" t="s">
        <v>4941</v>
      </c>
      <c r="AC817" s="36" t="s">
        <v>4112</v>
      </c>
      <c r="AD817" s="36" t="s">
        <v>4113</v>
      </c>
      <c r="AF817" s="36" t="s">
        <v>7103</v>
      </c>
      <c r="AO817" s="37"/>
      <c r="AP817" s="37"/>
      <c r="AQ817" s="131"/>
      <c r="AR817" s="132"/>
      <c r="AS817" s="133"/>
      <c r="AT817" s="42"/>
      <c r="AU817" s="135"/>
      <c r="AV817" s="131"/>
      <c r="AW817" s="136"/>
      <c r="AX817" s="137"/>
      <c r="AY817" s="138"/>
      <c r="AZ817" s="42"/>
      <c r="BA817" s="135"/>
      <c r="BB817" s="139"/>
      <c r="BE817" s="37"/>
      <c r="BF817" s="36"/>
    </row>
    <row r="818" spans="1:59" ht="15" customHeight="1">
      <c r="A818" s="41" t="s">
        <v>7096</v>
      </c>
      <c r="B818" s="36" t="s">
        <v>7104</v>
      </c>
      <c r="C818" s="36" t="s">
        <v>7220</v>
      </c>
      <c r="D818" s="37">
        <v>191</v>
      </c>
      <c r="E818" s="36">
        <v>2</v>
      </c>
      <c r="G818" s="36" t="s">
        <v>7105</v>
      </c>
      <c r="J818" s="36" t="s">
        <v>27</v>
      </c>
      <c r="K818" s="36" t="s">
        <v>4053</v>
      </c>
      <c r="L818" s="36">
        <v>0</v>
      </c>
      <c r="N818" s="37">
        <v>2</v>
      </c>
      <c r="O818" s="131">
        <v>2</v>
      </c>
      <c r="P818" s="132"/>
      <c r="Q818" s="133"/>
      <c r="R818" s="42"/>
      <c r="S818" s="134"/>
      <c r="T818" s="135"/>
      <c r="U818" s="131"/>
      <c r="V818" s="136"/>
      <c r="W818" s="137"/>
      <c r="X818" s="138"/>
      <c r="Y818" s="42"/>
      <c r="Z818" s="135"/>
      <c r="AA818" s="139"/>
      <c r="AB818" s="28" t="s">
        <v>4948</v>
      </c>
      <c r="AD818" s="36" t="s">
        <v>4194</v>
      </c>
      <c r="AF818" s="36" t="s">
        <v>7106</v>
      </c>
      <c r="AO818" s="37"/>
      <c r="AP818" s="37"/>
      <c r="AQ818" s="131"/>
      <c r="AR818" s="132"/>
      <c r="AS818" s="133"/>
      <c r="AT818" s="42"/>
      <c r="AU818" s="135"/>
      <c r="AV818" s="131"/>
      <c r="AW818" s="136"/>
      <c r="AX818" s="137"/>
      <c r="AY818" s="138"/>
      <c r="AZ818" s="42"/>
      <c r="BA818" s="135"/>
      <c r="BB818" s="139"/>
      <c r="BE818" s="37"/>
      <c r="BF818" s="36"/>
    </row>
    <row r="819" spans="1:59" ht="15" customHeight="1">
      <c r="A819" s="41" t="s">
        <v>7096</v>
      </c>
      <c r="B819" s="36" t="s">
        <v>7107</v>
      </c>
      <c r="C819" s="36" t="s">
        <v>7220</v>
      </c>
      <c r="D819" s="37">
        <v>192</v>
      </c>
      <c r="E819" s="36">
        <v>2</v>
      </c>
      <c r="G819" s="36" t="s">
        <v>6444</v>
      </c>
      <c r="H819" s="36" t="s">
        <v>7108</v>
      </c>
      <c r="J819" s="36" t="s">
        <v>4111</v>
      </c>
      <c r="K819" s="36" t="s">
        <v>4053</v>
      </c>
      <c r="L819" s="36">
        <v>3</v>
      </c>
      <c r="N819" s="37">
        <v>2</v>
      </c>
      <c r="O819" s="131">
        <v>1</v>
      </c>
      <c r="P819" s="132">
        <v>1</v>
      </c>
      <c r="Q819" s="133"/>
      <c r="R819" s="42"/>
      <c r="S819" s="134"/>
      <c r="T819" s="135"/>
      <c r="U819" s="131"/>
      <c r="V819" s="136"/>
      <c r="W819" s="137"/>
      <c r="X819" s="138"/>
      <c r="Y819" s="42"/>
      <c r="Z819" s="135"/>
      <c r="AA819" s="139"/>
      <c r="AB819" s="28" t="s">
        <v>4946</v>
      </c>
      <c r="AC819" s="36" t="s">
        <v>4232</v>
      </c>
      <c r="AD819" s="36" t="s">
        <v>4133</v>
      </c>
      <c r="AF819" s="36" t="s">
        <v>7109</v>
      </c>
      <c r="AO819" s="37"/>
      <c r="AP819" s="37"/>
      <c r="AQ819" s="131"/>
      <c r="AR819" s="132"/>
      <c r="AS819" s="133"/>
      <c r="AT819" s="42"/>
      <c r="AU819" s="135"/>
      <c r="AV819" s="131"/>
      <c r="AW819" s="136"/>
      <c r="AX819" s="137"/>
      <c r="AY819" s="138"/>
      <c r="AZ819" s="42"/>
      <c r="BA819" s="135"/>
      <c r="BB819" s="139"/>
      <c r="BE819" s="37"/>
      <c r="BF819" s="36"/>
    </row>
    <row r="820" spans="1:59" ht="15" customHeight="1">
      <c r="A820" s="41" t="s">
        <v>7096</v>
      </c>
      <c r="B820" s="36" t="s">
        <v>7110</v>
      </c>
      <c r="C820" s="36" t="s">
        <v>7220</v>
      </c>
      <c r="D820" s="36">
        <v>193</v>
      </c>
      <c r="E820" s="36">
        <v>2</v>
      </c>
      <c r="G820" s="36" t="s">
        <v>6444</v>
      </c>
      <c r="H820" s="36" t="s">
        <v>7111</v>
      </c>
      <c r="J820" s="36" t="s">
        <v>4111</v>
      </c>
      <c r="K820" s="36" t="s">
        <v>4053</v>
      </c>
      <c r="L820" s="36">
        <v>3</v>
      </c>
      <c r="N820" s="36">
        <v>2</v>
      </c>
      <c r="O820" s="131"/>
      <c r="P820" s="132">
        <v>1</v>
      </c>
      <c r="Q820" s="133"/>
      <c r="R820" s="42">
        <v>1</v>
      </c>
      <c r="S820" s="134"/>
      <c r="T820" s="135"/>
      <c r="U820" s="131"/>
      <c r="V820" s="136"/>
      <c r="W820" s="137"/>
      <c r="X820" s="138"/>
      <c r="Y820" s="42"/>
      <c r="Z820" s="135"/>
      <c r="AA820" s="139"/>
      <c r="AB820" s="28" t="s">
        <v>4943</v>
      </c>
      <c r="AC820" s="36" t="s">
        <v>4232</v>
      </c>
      <c r="AD820" s="36" t="s">
        <v>4133</v>
      </c>
      <c r="AE820" s="36"/>
      <c r="AF820" s="36" t="s">
        <v>7112</v>
      </c>
      <c r="AO820" s="37"/>
      <c r="AP820" s="36"/>
      <c r="AQ820" s="131"/>
      <c r="AR820" s="132"/>
      <c r="AS820" s="133"/>
      <c r="AT820" s="42"/>
      <c r="AU820" s="135"/>
      <c r="AV820" s="131"/>
      <c r="AW820" s="136"/>
      <c r="AX820" s="137"/>
      <c r="AY820" s="138"/>
      <c r="AZ820" s="42"/>
      <c r="BA820" s="135"/>
      <c r="BB820" s="139"/>
      <c r="BE820" s="37"/>
      <c r="BF820" s="36"/>
    </row>
    <row r="821" spans="1:59" ht="15" customHeight="1">
      <c r="A821" s="41" t="s">
        <v>7096</v>
      </c>
      <c r="B821" s="36" t="s">
        <v>7113</v>
      </c>
      <c r="C821" s="36" t="s">
        <v>7220</v>
      </c>
      <c r="D821" s="36">
        <v>194</v>
      </c>
      <c r="E821" s="36">
        <v>2</v>
      </c>
      <c r="G821" s="36" t="s">
        <v>7114</v>
      </c>
      <c r="J821" s="36" t="s">
        <v>27</v>
      </c>
      <c r="K821" s="36" t="s">
        <v>4055</v>
      </c>
      <c r="L821" s="36">
        <v>0</v>
      </c>
      <c r="N821" s="36">
        <v>2</v>
      </c>
      <c r="O821" s="131"/>
      <c r="P821" s="132"/>
      <c r="Q821" s="133">
        <v>1</v>
      </c>
      <c r="R821" s="42">
        <v>1</v>
      </c>
      <c r="S821" s="134"/>
      <c r="T821" s="135"/>
      <c r="U821" s="131"/>
      <c r="V821" s="136"/>
      <c r="W821" s="137"/>
      <c r="X821" s="138"/>
      <c r="Y821" s="42"/>
      <c r="Z821" s="135"/>
      <c r="AA821" s="139"/>
      <c r="AB821" s="140" t="s">
        <v>4941</v>
      </c>
      <c r="AD821" s="36" t="s">
        <v>5266</v>
      </c>
      <c r="AE821" s="36"/>
      <c r="AF821" s="36" t="s">
        <v>7115</v>
      </c>
      <c r="AO821" s="37"/>
      <c r="AP821" s="36"/>
      <c r="AQ821" s="131"/>
      <c r="AR821" s="132"/>
      <c r="AS821" s="133"/>
      <c r="AT821" s="42"/>
      <c r="AU821" s="135"/>
      <c r="AV821" s="131"/>
      <c r="AW821" s="136"/>
      <c r="AX821" s="137"/>
      <c r="AY821" s="138"/>
      <c r="AZ821" s="42"/>
      <c r="BA821" s="135"/>
      <c r="BB821" s="139"/>
      <c r="BE821" s="37"/>
      <c r="BF821" s="36"/>
    </row>
    <row r="822" spans="1:59" ht="15" customHeight="1">
      <c r="A822" s="41" t="s">
        <v>7096</v>
      </c>
      <c r="B822" s="36" t="s">
        <v>7116</v>
      </c>
      <c r="C822" s="36" t="s">
        <v>7220</v>
      </c>
      <c r="D822" s="36">
        <v>195</v>
      </c>
      <c r="E822" s="36">
        <v>2</v>
      </c>
      <c r="G822" s="36" t="s">
        <v>4211</v>
      </c>
      <c r="J822" s="36" t="s">
        <v>4111</v>
      </c>
      <c r="K822" s="36" t="s">
        <v>4055</v>
      </c>
      <c r="L822" s="36">
        <v>2</v>
      </c>
      <c r="N822" s="36">
        <v>2</v>
      </c>
      <c r="O822" s="131"/>
      <c r="P822" s="132"/>
      <c r="Q822" s="133"/>
      <c r="R822" s="42">
        <v>2</v>
      </c>
      <c r="S822" s="134"/>
      <c r="T822" s="135"/>
      <c r="U822" s="131"/>
      <c r="V822" s="136"/>
      <c r="W822" s="137"/>
      <c r="X822" s="138"/>
      <c r="Y822" s="42"/>
      <c r="Z822" s="135"/>
      <c r="AA822" s="139"/>
      <c r="AB822" s="28" t="s">
        <v>4949</v>
      </c>
      <c r="AD822" s="36" t="s">
        <v>4209</v>
      </c>
      <c r="AE822" s="36"/>
      <c r="AF822" s="36" t="s">
        <v>7117</v>
      </c>
      <c r="AO822" s="37"/>
      <c r="AP822" s="36"/>
      <c r="AQ822" s="131"/>
      <c r="AR822" s="132"/>
      <c r="AS822" s="133"/>
      <c r="AT822" s="42"/>
      <c r="AU822" s="135"/>
      <c r="AV822" s="131"/>
      <c r="AW822" s="136"/>
      <c r="AX822" s="137"/>
      <c r="AY822" s="138"/>
      <c r="AZ822" s="42"/>
      <c r="BA822" s="135"/>
      <c r="BB822" s="139"/>
      <c r="BE822" s="37"/>
      <c r="BF822" s="36"/>
    </row>
    <row r="823" spans="1:59" ht="15" customHeight="1">
      <c r="A823" s="41" t="s">
        <v>7096</v>
      </c>
      <c r="B823" s="36" t="s">
        <v>7118</v>
      </c>
      <c r="C823" s="36" t="s">
        <v>7220</v>
      </c>
      <c r="D823" s="36">
        <v>196</v>
      </c>
      <c r="E823" s="36">
        <v>2</v>
      </c>
      <c r="G823" s="36" t="s">
        <v>7119</v>
      </c>
      <c r="J823" s="36" t="s">
        <v>27</v>
      </c>
      <c r="K823" s="36" t="s">
        <v>4054</v>
      </c>
      <c r="L823" s="36">
        <v>0</v>
      </c>
      <c r="N823" s="36">
        <v>1</v>
      </c>
      <c r="O823" s="131"/>
      <c r="P823" s="132"/>
      <c r="Q823" s="133"/>
      <c r="R823" s="42"/>
      <c r="S823" s="134">
        <v>1</v>
      </c>
      <c r="T823" s="135"/>
      <c r="U823" s="131"/>
      <c r="V823" s="136"/>
      <c r="W823" s="137"/>
      <c r="X823" s="138"/>
      <c r="Y823" s="42"/>
      <c r="Z823" s="135"/>
      <c r="AA823" s="139"/>
      <c r="AB823" s="140" t="s">
        <v>4062</v>
      </c>
      <c r="AD823" s="36" t="s">
        <v>4194</v>
      </c>
      <c r="AE823" s="36"/>
      <c r="AF823" s="36" t="s">
        <v>7120</v>
      </c>
      <c r="AO823" s="37"/>
      <c r="AP823" s="36"/>
      <c r="AQ823" s="131"/>
      <c r="AR823" s="132"/>
      <c r="AS823" s="133"/>
      <c r="AT823" s="42"/>
      <c r="AU823" s="135"/>
      <c r="AV823" s="131"/>
      <c r="AW823" s="136"/>
      <c r="AX823" s="137"/>
      <c r="AY823" s="138"/>
      <c r="AZ823" s="42"/>
      <c r="BA823" s="135"/>
      <c r="BB823" s="139"/>
      <c r="BE823" s="37"/>
      <c r="BF823" s="36"/>
    </row>
    <row r="824" spans="1:59" ht="15" customHeight="1">
      <c r="A824" s="41" t="s">
        <v>7096</v>
      </c>
      <c r="B824" s="36" t="s">
        <v>7121</v>
      </c>
      <c r="C824" s="36" t="s">
        <v>7220</v>
      </c>
      <c r="D824" s="36">
        <v>197</v>
      </c>
      <c r="E824" s="36">
        <v>2</v>
      </c>
      <c r="G824" s="36" t="s">
        <v>7122</v>
      </c>
      <c r="J824" s="36" t="s">
        <v>27</v>
      </c>
      <c r="K824" s="36" t="s">
        <v>4054</v>
      </c>
      <c r="L824" s="36">
        <v>2</v>
      </c>
      <c r="N824" s="141">
        <v>0</v>
      </c>
      <c r="O824" s="131">
        <v>2</v>
      </c>
      <c r="P824" s="132"/>
      <c r="Q824" s="133"/>
      <c r="R824" s="42"/>
      <c r="S824" s="134"/>
      <c r="T824" s="135"/>
      <c r="U824" s="131"/>
      <c r="V824" s="136"/>
      <c r="W824" s="137"/>
      <c r="X824" s="138"/>
      <c r="Y824" s="42"/>
      <c r="Z824" s="135"/>
      <c r="AA824" s="139"/>
      <c r="AB824" s="28" t="s">
        <v>4948</v>
      </c>
      <c r="AD824" s="36" t="s">
        <v>4133</v>
      </c>
      <c r="AE824" s="36"/>
      <c r="AF824" s="36" t="s">
        <v>7123</v>
      </c>
      <c r="AO824" s="37"/>
      <c r="AP824" s="36"/>
      <c r="AQ824" s="131"/>
      <c r="AR824" s="132"/>
      <c r="AS824" s="133"/>
      <c r="AT824" s="42"/>
      <c r="AU824" s="135"/>
      <c r="AV824" s="131"/>
      <c r="AW824" s="136"/>
      <c r="AX824" s="137"/>
      <c r="AY824" s="138"/>
      <c r="AZ824" s="42"/>
      <c r="BA824" s="135"/>
      <c r="BB824" s="139"/>
      <c r="BE824" s="37"/>
      <c r="BF824" s="36"/>
    </row>
    <row r="825" spans="1:59" ht="15" customHeight="1">
      <c r="A825" s="41" t="s">
        <v>7096</v>
      </c>
      <c r="B825" s="36" t="s">
        <v>7124</v>
      </c>
      <c r="C825" s="36" t="s">
        <v>7220</v>
      </c>
      <c r="D825" s="36">
        <v>198</v>
      </c>
      <c r="E825" s="36">
        <v>2</v>
      </c>
      <c r="G825" s="36" t="s">
        <v>7125</v>
      </c>
      <c r="H825" s="36" t="s">
        <v>7126</v>
      </c>
      <c r="I825" s="36" t="s">
        <v>4077</v>
      </c>
      <c r="J825" s="36" t="s">
        <v>4111</v>
      </c>
      <c r="K825" s="36" t="s">
        <v>4056</v>
      </c>
      <c r="L825" s="36">
        <v>0</v>
      </c>
      <c r="N825" s="36">
        <v>2</v>
      </c>
      <c r="O825" s="131"/>
      <c r="P825" s="132">
        <v>1</v>
      </c>
      <c r="Q825" s="133"/>
      <c r="R825" s="42"/>
      <c r="S825" s="134"/>
      <c r="T825" s="135">
        <v>2</v>
      </c>
      <c r="U825" s="131">
        <v>2</v>
      </c>
      <c r="V825" s="136"/>
      <c r="W825" s="137"/>
      <c r="X825" s="138"/>
      <c r="Y825" s="42"/>
      <c r="Z825" s="135"/>
      <c r="AA825" s="139"/>
      <c r="AB825" s="140" t="s">
        <v>4059</v>
      </c>
      <c r="AC825" s="36" t="s">
        <v>25</v>
      </c>
      <c r="AD825" s="36" t="s">
        <v>6820</v>
      </c>
      <c r="AE825" s="36"/>
      <c r="AF825" s="36" t="s">
        <v>7127</v>
      </c>
      <c r="AO825" s="37"/>
      <c r="AP825" s="36"/>
      <c r="AQ825" s="131"/>
      <c r="AR825" s="132"/>
      <c r="AS825" s="133"/>
      <c r="AT825" s="42"/>
      <c r="AU825" s="135"/>
      <c r="AV825" s="131"/>
      <c r="AW825" s="136"/>
      <c r="AX825" s="137"/>
      <c r="AY825" s="138"/>
      <c r="AZ825" s="42"/>
      <c r="BA825" s="135"/>
      <c r="BB825" s="139"/>
      <c r="BE825" s="37"/>
      <c r="BF825" s="36"/>
    </row>
    <row r="826" spans="1:59" ht="15" customHeight="1">
      <c r="A826" s="41" t="s">
        <v>7096</v>
      </c>
      <c r="B826" s="36" t="s">
        <v>7128</v>
      </c>
      <c r="C826" s="36" t="s">
        <v>7220</v>
      </c>
      <c r="D826" s="36">
        <v>199</v>
      </c>
      <c r="E826" s="36">
        <v>2</v>
      </c>
      <c r="G826" s="36" t="s">
        <v>7129</v>
      </c>
      <c r="J826" s="36" t="s">
        <v>27</v>
      </c>
      <c r="K826" s="36" t="s">
        <v>4056</v>
      </c>
      <c r="L826" s="36">
        <v>2</v>
      </c>
      <c r="N826" s="36">
        <v>2</v>
      </c>
      <c r="O826" s="131">
        <v>1</v>
      </c>
      <c r="P826" s="132"/>
      <c r="Q826" s="133"/>
      <c r="R826" s="42">
        <v>1</v>
      </c>
      <c r="S826" s="134"/>
      <c r="T826" s="135"/>
      <c r="U826" s="131"/>
      <c r="V826" s="136"/>
      <c r="W826" s="137"/>
      <c r="X826" s="138"/>
      <c r="Y826" s="42"/>
      <c r="Z826" s="135"/>
      <c r="AA826" s="139"/>
      <c r="AB826" s="28" t="s">
        <v>4939</v>
      </c>
      <c r="AD826" s="36" t="s">
        <v>7130</v>
      </c>
      <c r="AE826" s="36"/>
      <c r="AF826" s="36" t="s">
        <v>7131</v>
      </c>
      <c r="AO826" s="37"/>
      <c r="AP826" s="36"/>
      <c r="AQ826" s="131"/>
      <c r="AR826" s="132"/>
      <c r="AS826" s="133"/>
      <c r="AT826" s="42"/>
      <c r="AU826" s="135"/>
      <c r="AV826" s="131"/>
      <c r="AW826" s="136"/>
      <c r="AX826" s="137"/>
      <c r="AY826" s="138"/>
      <c r="AZ826" s="42"/>
      <c r="BA826" s="135"/>
      <c r="BB826" s="139"/>
      <c r="BE826" s="37"/>
      <c r="BF826" s="36"/>
    </row>
    <row r="827" spans="1:59" ht="15" customHeight="1">
      <c r="A827" s="41" t="s">
        <v>7096</v>
      </c>
      <c r="B827" s="36" t="s">
        <v>7132</v>
      </c>
      <c r="C827" s="36" t="s">
        <v>7220</v>
      </c>
      <c r="D827" s="36">
        <v>200</v>
      </c>
      <c r="E827" s="36">
        <v>1</v>
      </c>
      <c r="F827" s="36" t="s">
        <v>7097</v>
      </c>
      <c r="G827" s="36" t="s">
        <v>7097</v>
      </c>
      <c r="J827" s="36" t="s">
        <v>4472</v>
      </c>
      <c r="N827" s="36"/>
      <c r="O827" s="131"/>
      <c r="P827" s="132"/>
      <c r="Q827" s="133"/>
      <c r="R827" s="42"/>
      <c r="S827" s="134"/>
      <c r="T827" s="135"/>
      <c r="U827" s="131"/>
      <c r="V827" s="136"/>
      <c r="W827" s="137"/>
      <c r="X827" s="138"/>
      <c r="Y827" s="42"/>
      <c r="Z827" s="135"/>
      <c r="AA827" s="139"/>
      <c r="AB827" s="140"/>
      <c r="AE827" s="36"/>
      <c r="AF827" s="36" t="s">
        <v>7133</v>
      </c>
      <c r="AI827" s="36" t="s">
        <v>7097</v>
      </c>
      <c r="AL827" s="36" t="s">
        <v>4472</v>
      </c>
      <c r="AO827" s="37"/>
      <c r="AP827" s="36"/>
      <c r="AQ827" s="131"/>
      <c r="AR827" s="132"/>
      <c r="AS827" s="133"/>
      <c r="AT827" s="42"/>
      <c r="AU827" s="135"/>
      <c r="AV827" s="131"/>
      <c r="AW827" s="136"/>
      <c r="AX827" s="137"/>
      <c r="AY827" s="138"/>
      <c r="AZ827" s="42"/>
      <c r="BA827" s="135"/>
      <c r="BB827" s="139"/>
      <c r="BE827" s="37"/>
      <c r="BF827" s="36"/>
      <c r="BG827" s="36" t="s">
        <v>7134</v>
      </c>
    </row>
    <row r="828" spans="1:59" ht="15" customHeight="1">
      <c r="A828" s="41" t="s">
        <v>7096</v>
      </c>
      <c r="B828" s="36" t="s">
        <v>7135</v>
      </c>
      <c r="C828" s="36" t="s">
        <v>7220</v>
      </c>
      <c r="D828" s="36">
        <v>201</v>
      </c>
      <c r="E828" s="36">
        <v>1</v>
      </c>
      <c r="F828" s="36" t="s">
        <v>7097</v>
      </c>
      <c r="G828" s="36" t="s">
        <v>7136</v>
      </c>
      <c r="J828" s="36" t="s">
        <v>4473</v>
      </c>
      <c r="L828" s="36">
        <v>1</v>
      </c>
      <c r="N828" s="36"/>
      <c r="O828" s="131"/>
      <c r="P828" s="132"/>
      <c r="Q828" s="133"/>
      <c r="R828" s="42"/>
      <c r="S828" s="134"/>
      <c r="T828" s="135"/>
      <c r="U828" s="131"/>
      <c r="V828" s="136"/>
      <c r="W828" s="137"/>
      <c r="X828" s="138"/>
      <c r="Y828" s="42"/>
      <c r="Z828" s="135">
        <v>6</v>
      </c>
      <c r="AA828" s="139"/>
      <c r="AB828" s="28"/>
      <c r="AE828" s="36"/>
      <c r="AF828" s="36" t="s">
        <v>7137</v>
      </c>
      <c r="AI828" s="36" t="s">
        <v>7136</v>
      </c>
      <c r="AL828" s="36" t="s">
        <v>4473</v>
      </c>
      <c r="AN828" s="36">
        <v>1</v>
      </c>
      <c r="AO828" s="37"/>
      <c r="AP828" s="36"/>
      <c r="AQ828" s="131"/>
      <c r="AR828" s="132"/>
      <c r="AS828" s="133"/>
      <c r="AT828" s="42"/>
      <c r="AU828" s="135"/>
      <c r="AV828" s="131"/>
      <c r="AW828" s="136"/>
      <c r="AX828" s="137"/>
      <c r="AY828" s="138"/>
      <c r="AZ828" s="42"/>
      <c r="BA828" s="135"/>
      <c r="BB828" s="139"/>
      <c r="BE828" s="37"/>
      <c r="BF828" s="36"/>
      <c r="BG828" s="36" t="s">
        <v>7138</v>
      </c>
    </row>
    <row r="829" spans="1:59" ht="15" customHeight="1">
      <c r="A829" s="41" t="s">
        <v>7096</v>
      </c>
      <c r="B829" s="36" t="s">
        <v>7139</v>
      </c>
      <c r="C829" s="36" t="s">
        <v>7220</v>
      </c>
      <c r="D829" s="36">
        <v>202</v>
      </c>
      <c r="E829" s="36">
        <v>1</v>
      </c>
      <c r="F829" s="36" t="s">
        <v>7097</v>
      </c>
      <c r="G829" s="36" t="s">
        <v>7140</v>
      </c>
      <c r="J829" s="36" t="s">
        <v>4473</v>
      </c>
      <c r="L829" s="36">
        <v>2</v>
      </c>
      <c r="N829" s="36"/>
      <c r="O829" s="131"/>
      <c r="P829" s="132"/>
      <c r="Q829" s="133"/>
      <c r="R829" s="42"/>
      <c r="S829" s="134"/>
      <c r="T829" s="135"/>
      <c r="U829" s="131"/>
      <c r="V829" s="136"/>
      <c r="W829" s="137"/>
      <c r="X829" s="138"/>
      <c r="Y829" s="42"/>
      <c r="Z829" s="135">
        <v>5</v>
      </c>
      <c r="AA829" s="139"/>
      <c r="AB829" s="140"/>
      <c r="AE829" s="36"/>
      <c r="AF829" s="36" t="s">
        <v>7137</v>
      </c>
      <c r="AI829" s="36" t="s">
        <v>7140</v>
      </c>
      <c r="AL829" s="36" t="s">
        <v>4473</v>
      </c>
      <c r="AN829" s="36">
        <v>2</v>
      </c>
      <c r="AO829" s="37"/>
      <c r="AP829" s="36"/>
      <c r="AQ829" s="131"/>
      <c r="AR829" s="132"/>
      <c r="AS829" s="133"/>
      <c r="AT829" s="42"/>
      <c r="AU829" s="135"/>
      <c r="AV829" s="131"/>
      <c r="AW829" s="136"/>
      <c r="AX829" s="137"/>
      <c r="AY829" s="138"/>
      <c r="AZ829" s="42"/>
      <c r="BA829" s="135"/>
      <c r="BB829" s="139"/>
      <c r="BE829" s="37"/>
      <c r="BF829" s="36"/>
      <c r="BG829" s="36" t="s">
        <v>7141</v>
      </c>
    </row>
    <row r="830" spans="1:59" ht="15" customHeight="1">
      <c r="A830" s="41" t="s">
        <v>7096</v>
      </c>
      <c r="B830" s="36" t="s">
        <v>7142</v>
      </c>
      <c r="C830" s="36" t="s">
        <v>7220</v>
      </c>
      <c r="D830" s="36">
        <v>203</v>
      </c>
      <c r="E830" s="36">
        <v>1</v>
      </c>
      <c r="F830" s="36" t="s">
        <v>7097</v>
      </c>
      <c r="G830" s="36" t="s">
        <v>7143</v>
      </c>
      <c r="J830" s="36" t="s">
        <v>4473</v>
      </c>
      <c r="L830" s="36">
        <v>3</v>
      </c>
      <c r="N830" s="36"/>
      <c r="O830" s="131"/>
      <c r="P830" s="132"/>
      <c r="Q830" s="133"/>
      <c r="R830" s="42"/>
      <c r="S830" s="134"/>
      <c r="T830" s="135"/>
      <c r="U830" s="131"/>
      <c r="V830" s="136"/>
      <c r="W830" s="137"/>
      <c r="X830" s="138"/>
      <c r="Y830" s="42"/>
      <c r="Z830" s="135">
        <v>6</v>
      </c>
      <c r="AA830" s="139"/>
      <c r="AB830" s="28"/>
      <c r="AE830" s="36"/>
      <c r="AF830" s="36" t="s">
        <v>7137</v>
      </c>
      <c r="AI830" s="36" t="s">
        <v>7143</v>
      </c>
      <c r="AL830" s="36" t="s">
        <v>4473</v>
      </c>
      <c r="AN830" s="36">
        <v>3</v>
      </c>
      <c r="AO830" s="37"/>
      <c r="AP830" s="36"/>
      <c r="AQ830" s="131"/>
      <c r="AR830" s="132"/>
      <c r="AS830" s="133"/>
      <c r="AT830" s="42"/>
      <c r="AU830" s="135"/>
      <c r="AV830" s="131"/>
      <c r="AW830" s="136"/>
      <c r="AX830" s="137"/>
      <c r="AY830" s="138"/>
      <c r="AZ830" s="42"/>
      <c r="BA830" s="135"/>
      <c r="BB830" s="139"/>
      <c r="BE830" s="37"/>
      <c r="BF830" s="36"/>
      <c r="BG830" s="36" t="s">
        <v>7144</v>
      </c>
    </row>
    <row r="831" spans="1:59" ht="15" customHeight="1">
      <c r="A831" s="41" t="s">
        <v>7096</v>
      </c>
      <c r="B831" s="36" t="s">
        <v>7145</v>
      </c>
      <c r="C831" s="36" t="s">
        <v>7220</v>
      </c>
      <c r="D831" s="36">
        <v>204</v>
      </c>
      <c r="E831" s="36">
        <v>1</v>
      </c>
      <c r="F831" s="36" t="s">
        <v>7097</v>
      </c>
      <c r="G831" s="36" t="s">
        <v>7146</v>
      </c>
      <c r="J831" s="36" t="s">
        <v>4475</v>
      </c>
      <c r="L831" s="36">
        <v>1</v>
      </c>
      <c r="N831" s="36"/>
      <c r="O831" s="131"/>
      <c r="P831" s="132"/>
      <c r="Q831" s="133"/>
      <c r="R831" s="42"/>
      <c r="S831" s="134"/>
      <c r="T831" s="135"/>
      <c r="U831" s="131"/>
      <c r="V831" s="136"/>
      <c r="W831" s="137"/>
      <c r="X831" s="138"/>
      <c r="Y831" s="42">
        <v>2</v>
      </c>
      <c r="Z831" s="135"/>
      <c r="AA831" s="139"/>
      <c r="AB831" s="140"/>
      <c r="AE831" s="36"/>
      <c r="AF831" s="36" t="s">
        <v>7147</v>
      </c>
      <c r="AI831" s="36" t="s">
        <v>7146</v>
      </c>
      <c r="AL831" s="36" t="s">
        <v>4475</v>
      </c>
      <c r="AN831" s="36">
        <v>1</v>
      </c>
      <c r="AO831" s="37"/>
      <c r="AP831" s="36"/>
      <c r="AQ831" s="131"/>
      <c r="AR831" s="132"/>
      <c r="AS831" s="133"/>
      <c r="AT831" s="42"/>
      <c r="AU831" s="135"/>
      <c r="AV831" s="131"/>
      <c r="AW831" s="136"/>
      <c r="AX831" s="137"/>
      <c r="AY831" s="138"/>
      <c r="AZ831" s="42"/>
      <c r="BA831" s="135"/>
      <c r="BB831" s="139"/>
      <c r="BE831" s="37"/>
      <c r="BF831" s="36"/>
      <c r="BG831" s="36" t="s">
        <v>7148</v>
      </c>
    </row>
    <row r="832" spans="1:59" ht="15" customHeight="1">
      <c r="A832" s="41" t="s">
        <v>7096</v>
      </c>
      <c r="B832" s="36" t="s">
        <v>7149</v>
      </c>
      <c r="C832" s="36" t="s">
        <v>7220</v>
      </c>
      <c r="D832" s="36">
        <v>205</v>
      </c>
      <c r="E832" s="36">
        <v>1</v>
      </c>
      <c r="F832" s="36" t="s">
        <v>7097</v>
      </c>
      <c r="G832" s="36" t="s">
        <v>7150</v>
      </c>
      <c r="J832" s="36" t="s">
        <v>4475</v>
      </c>
      <c r="L832" s="36">
        <v>1</v>
      </c>
      <c r="N832" s="36"/>
      <c r="O832" s="131"/>
      <c r="P832" s="132"/>
      <c r="Q832" s="133"/>
      <c r="R832" s="42"/>
      <c r="S832" s="134"/>
      <c r="T832" s="135"/>
      <c r="U832" s="131"/>
      <c r="V832" s="136"/>
      <c r="W832" s="137"/>
      <c r="X832" s="138"/>
      <c r="Y832" s="42">
        <v>2</v>
      </c>
      <c r="Z832" s="135"/>
      <c r="AA832" s="139"/>
      <c r="AB832" s="140"/>
      <c r="AE832" s="36"/>
      <c r="AF832" s="36" t="s">
        <v>7147</v>
      </c>
      <c r="AI832" s="36" t="s">
        <v>7150</v>
      </c>
      <c r="AL832" s="36" t="s">
        <v>4475</v>
      </c>
      <c r="AN832" s="36">
        <v>1</v>
      </c>
      <c r="AO832" s="37"/>
      <c r="AP832" s="36"/>
      <c r="AQ832" s="131"/>
      <c r="AR832" s="132"/>
      <c r="AS832" s="133"/>
      <c r="AT832" s="42"/>
      <c r="AU832" s="135"/>
      <c r="AV832" s="131"/>
      <c r="AW832" s="136"/>
      <c r="AX832" s="137"/>
      <c r="AY832" s="138"/>
      <c r="AZ832" s="42"/>
      <c r="BA832" s="135"/>
      <c r="BB832" s="139"/>
      <c r="BE832" s="37"/>
      <c r="BF832" s="36"/>
      <c r="BG832" s="36" t="s">
        <v>7151</v>
      </c>
    </row>
    <row r="833" spans="1:59" ht="15" customHeight="1">
      <c r="A833" s="41" t="s">
        <v>7096</v>
      </c>
      <c r="B833" s="36" t="s">
        <v>7152</v>
      </c>
      <c r="C833" s="36" t="s">
        <v>7220</v>
      </c>
      <c r="D833" s="36">
        <v>206</v>
      </c>
      <c r="E833" s="36">
        <v>1</v>
      </c>
      <c r="F833" s="36" t="s">
        <v>7097</v>
      </c>
      <c r="G833" s="36" t="s">
        <v>7153</v>
      </c>
      <c r="J833" s="36" t="s">
        <v>4475</v>
      </c>
      <c r="L833" s="36">
        <v>2</v>
      </c>
      <c r="N833" s="36"/>
      <c r="O833" s="131"/>
      <c r="P833" s="132"/>
      <c r="Q833" s="133"/>
      <c r="R833" s="42"/>
      <c r="S833" s="134"/>
      <c r="T833" s="135"/>
      <c r="U833" s="131"/>
      <c r="V833" s="136"/>
      <c r="W833" s="137"/>
      <c r="X833" s="138"/>
      <c r="Y833" s="42"/>
      <c r="Z833" s="135"/>
      <c r="AA833" s="139"/>
      <c r="AB833" s="140"/>
      <c r="AE833" s="36"/>
      <c r="AF833" s="36" t="s">
        <v>7154</v>
      </c>
      <c r="AI833" s="36" t="s">
        <v>7153</v>
      </c>
      <c r="AL833" s="36" t="s">
        <v>4475</v>
      </c>
      <c r="AN833" s="36">
        <v>2</v>
      </c>
      <c r="AO833" s="37"/>
      <c r="AP833" s="36"/>
      <c r="AQ833" s="131"/>
      <c r="AR833" s="132"/>
      <c r="AS833" s="133"/>
      <c r="AT833" s="42"/>
      <c r="AU833" s="135"/>
      <c r="AV833" s="131"/>
      <c r="AW833" s="136"/>
      <c r="AX833" s="137"/>
      <c r="AY833" s="138"/>
      <c r="AZ833" s="42"/>
      <c r="BA833" s="135"/>
      <c r="BB833" s="139"/>
      <c r="BE833" s="37"/>
      <c r="BF833" s="36"/>
      <c r="BG833" s="36" t="s">
        <v>7155</v>
      </c>
    </row>
    <row r="834" spans="1:59" ht="15" customHeight="1">
      <c r="A834" s="41" t="s">
        <v>7096</v>
      </c>
      <c r="B834" s="36" t="s">
        <v>7156</v>
      </c>
      <c r="C834" s="36" t="s">
        <v>7220</v>
      </c>
      <c r="D834" s="36">
        <v>207</v>
      </c>
      <c r="E834" s="36">
        <v>1</v>
      </c>
      <c r="F834" s="36" t="s">
        <v>7097</v>
      </c>
      <c r="G834" s="36" t="s">
        <v>7157</v>
      </c>
      <c r="J834" s="36" t="s">
        <v>4475</v>
      </c>
      <c r="L834" s="36">
        <v>2</v>
      </c>
      <c r="N834" s="36"/>
      <c r="O834" s="131"/>
      <c r="P834" s="132"/>
      <c r="Q834" s="133"/>
      <c r="R834" s="42"/>
      <c r="S834" s="134"/>
      <c r="T834" s="135"/>
      <c r="U834" s="131"/>
      <c r="V834" s="136"/>
      <c r="W834" s="137"/>
      <c r="X834" s="138"/>
      <c r="Y834" s="42"/>
      <c r="Z834" s="135"/>
      <c r="AA834" s="139"/>
      <c r="AB834" s="140"/>
      <c r="AE834" s="36"/>
      <c r="AF834" s="36" t="s">
        <v>7158</v>
      </c>
      <c r="AI834" s="36" t="s">
        <v>7157</v>
      </c>
      <c r="AL834" s="36" t="s">
        <v>4475</v>
      </c>
      <c r="AN834" s="36">
        <v>2</v>
      </c>
      <c r="AO834" s="37"/>
      <c r="AP834" s="36"/>
      <c r="AQ834" s="131"/>
      <c r="AR834" s="132"/>
      <c r="AS834" s="133"/>
      <c r="AT834" s="42"/>
      <c r="AU834" s="135"/>
      <c r="AV834" s="131"/>
      <c r="AW834" s="136"/>
      <c r="AX834" s="137"/>
      <c r="AY834" s="138"/>
      <c r="AZ834" s="42"/>
      <c r="BA834" s="135"/>
      <c r="BB834" s="139"/>
      <c r="BE834" s="37"/>
      <c r="BF834" s="36"/>
      <c r="BG834" s="36" t="s">
        <v>7155</v>
      </c>
    </row>
    <row r="835" spans="1:59" ht="15" customHeight="1">
      <c r="A835" s="41" t="s">
        <v>7096</v>
      </c>
      <c r="B835" s="36" t="s">
        <v>7159</v>
      </c>
      <c r="C835" s="36" t="s">
        <v>7220</v>
      </c>
      <c r="D835" s="36">
        <v>208</v>
      </c>
      <c r="E835" s="36">
        <v>1</v>
      </c>
      <c r="F835" s="36" t="s">
        <v>7097</v>
      </c>
      <c r="G835" s="36" t="s">
        <v>7160</v>
      </c>
      <c r="J835" s="36" t="s">
        <v>31</v>
      </c>
      <c r="N835" s="36"/>
      <c r="O835" s="131"/>
      <c r="P835" s="132"/>
      <c r="Q835" s="133"/>
      <c r="R835" s="42"/>
      <c r="S835" s="134"/>
      <c r="T835" s="135"/>
      <c r="U835" s="131"/>
      <c r="V835" s="136"/>
      <c r="W835" s="137"/>
      <c r="X835" s="138"/>
      <c r="Y835" s="42"/>
      <c r="Z835" s="135"/>
      <c r="AA835" s="139"/>
      <c r="AB835" s="140"/>
      <c r="AD835" s="36" t="s">
        <v>7161</v>
      </c>
      <c r="AE835" s="36"/>
      <c r="AI835" s="36" t="s">
        <v>7160</v>
      </c>
      <c r="AL835" s="36" t="s">
        <v>31</v>
      </c>
      <c r="AO835" s="37"/>
      <c r="AP835" s="36"/>
      <c r="AQ835" s="131"/>
      <c r="AR835" s="132"/>
      <c r="AS835" s="133"/>
      <c r="AT835" s="42"/>
      <c r="AU835" s="135"/>
      <c r="AV835" s="131"/>
      <c r="AW835" s="136"/>
      <c r="AX835" s="137"/>
      <c r="AY835" s="138">
        <v>2</v>
      </c>
      <c r="AZ835" s="42">
        <v>1</v>
      </c>
      <c r="BA835" s="135"/>
      <c r="BB835" s="139"/>
      <c r="BE835" s="37" t="s">
        <v>7161</v>
      </c>
      <c r="BF835" s="36"/>
      <c r="BG835" s="36" t="s">
        <v>7162</v>
      </c>
    </row>
    <row r="836" spans="1:59" ht="15" customHeight="1">
      <c r="A836" s="41" t="s">
        <v>7096</v>
      </c>
      <c r="B836" s="36" t="s">
        <v>7163</v>
      </c>
      <c r="C836" s="36" t="s">
        <v>7220</v>
      </c>
      <c r="D836" s="36">
        <v>209</v>
      </c>
      <c r="E836" s="36">
        <v>1</v>
      </c>
      <c r="F836" s="36" t="s">
        <v>7097</v>
      </c>
      <c r="G836" s="36" t="s">
        <v>7164</v>
      </c>
      <c r="J836" s="36" t="s">
        <v>31</v>
      </c>
      <c r="N836" s="36"/>
      <c r="O836" s="131"/>
      <c r="P836" s="132"/>
      <c r="Q836" s="133"/>
      <c r="R836" s="42"/>
      <c r="S836" s="134"/>
      <c r="T836" s="135"/>
      <c r="U836" s="131"/>
      <c r="V836" s="136"/>
      <c r="W836" s="137"/>
      <c r="X836" s="138"/>
      <c r="Y836" s="42"/>
      <c r="Z836" s="135"/>
      <c r="AA836" s="139"/>
      <c r="AB836" s="140"/>
      <c r="AD836" s="36" t="s">
        <v>7161</v>
      </c>
      <c r="AE836" s="36"/>
      <c r="AI836" s="36" t="s">
        <v>7164</v>
      </c>
      <c r="AL836" s="36" t="s">
        <v>31</v>
      </c>
      <c r="AO836" s="37"/>
      <c r="AP836" s="36"/>
      <c r="AQ836" s="131"/>
      <c r="AR836" s="132"/>
      <c r="AS836" s="133"/>
      <c r="AT836" s="42"/>
      <c r="AU836" s="135"/>
      <c r="AV836" s="131"/>
      <c r="AW836" s="136"/>
      <c r="AX836" s="137"/>
      <c r="AY836" s="138">
        <v>3</v>
      </c>
      <c r="AZ836" s="42">
        <v>1</v>
      </c>
      <c r="BA836" s="135"/>
      <c r="BB836" s="139"/>
      <c r="BE836" s="37" t="s">
        <v>7161</v>
      </c>
      <c r="BF836" s="36"/>
      <c r="BG836" s="36" t="s">
        <v>7165</v>
      </c>
    </row>
    <row r="837" spans="1:59" ht="15" customHeight="1">
      <c r="A837" s="41" t="s">
        <v>7096</v>
      </c>
      <c r="B837" s="36" t="s">
        <v>7166</v>
      </c>
      <c r="C837" s="36" t="s">
        <v>7220</v>
      </c>
      <c r="D837" s="36">
        <v>210</v>
      </c>
      <c r="E837" s="36">
        <v>1</v>
      </c>
      <c r="F837" s="36" t="s">
        <v>7097</v>
      </c>
      <c r="G837" s="36" t="s">
        <v>7164</v>
      </c>
      <c r="J837" s="36" t="s">
        <v>31</v>
      </c>
      <c r="N837" s="36"/>
      <c r="O837" s="131"/>
      <c r="P837" s="132"/>
      <c r="Q837" s="133"/>
      <c r="R837" s="42"/>
      <c r="S837" s="134"/>
      <c r="T837" s="135"/>
      <c r="U837" s="131"/>
      <c r="V837" s="136"/>
      <c r="W837" s="137"/>
      <c r="X837" s="138"/>
      <c r="Y837" s="42"/>
      <c r="Z837" s="135"/>
      <c r="AA837" s="139"/>
      <c r="AB837" s="140"/>
      <c r="AD837" s="36" t="s">
        <v>7161</v>
      </c>
      <c r="AE837" s="36"/>
      <c r="AI837" s="36" t="s">
        <v>7164</v>
      </c>
      <c r="AL837" s="36" t="s">
        <v>31</v>
      </c>
      <c r="AO837" s="37"/>
      <c r="AP837" s="36"/>
      <c r="AQ837" s="131"/>
      <c r="AR837" s="132"/>
      <c r="AS837" s="133"/>
      <c r="AT837" s="42"/>
      <c r="AU837" s="135"/>
      <c r="AV837" s="131"/>
      <c r="AW837" s="136"/>
      <c r="AX837" s="137"/>
      <c r="AY837" s="138">
        <v>2</v>
      </c>
      <c r="AZ837" s="42">
        <v>1</v>
      </c>
      <c r="BA837" s="135"/>
      <c r="BB837" s="139"/>
      <c r="BE837" s="37" t="s">
        <v>7161</v>
      </c>
      <c r="BF837" s="36"/>
      <c r="BG837" s="36" t="s">
        <v>7167</v>
      </c>
    </row>
    <row r="838" spans="1:59" ht="15" customHeight="1">
      <c r="A838" s="41" t="s">
        <v>7096</v>
      </c>
      <c r="B838" s="36" t="s">
        <v>7168</v>
      </c>
      <c r="C838" s="36" t="s">
        <v>7220</v>
      </c>
      <c r="D838" s="36">
        <v>211</v>
      </c>
      <c r="E838" s="36">
        <v>1</v>
      </c>
      <c r="F838" s="36" t="s">
        <v>7097</v>
      </c>
      <c r="G838" s="36" t="s">
        <v>7169</v>
      </c>
      <c r="J838" s="36" t="s">
        <v>31</v>
      </c>
      <c r="N838" s="36"/>
      <c r="O838" s="131"/>
      <c r="P838" s="132"/>
      <c r="Q838" s="133"/>
      <c r="R838" s="42"/>
      <c r="S838" s="134"/>
      <c r="T838" s="135"/>
      <c r="U838" s="131"/>
      <c r="V838" s="136"/>
      <c r="W838" s="137"/>
      <c r="X838" s="138"/>
      <c r="Y838" s="42"/>
      <c r="Z838" s="135"/>
      <c r="AA838" s="139"/>
      <c r="AB838" s="140"/>
      <c r="AD838" s="36" t="s">
        <v>7170</v>
      </c>
      <c r="AE838" s="36"/>
      <c r="AI838" s="36" t="s">
        <v>7169</v>
      </c>
      <c r="AJ838" s="36" t="s">
        <v>7171</v>
      </c>
      <c r="AL838" s="36" t="s">
        <v>31</v>
      </c>
      <c r="AO838" s="37"/>
      <c r="AP838" s="36"/>
      <c r="AQ838" s="131"/>
      <c r="AR838" s="132"/>
      <c r="AS838" s="133"/>
      <c r="AT838" s="42"/>
      <c r="AU838" s="135"/>
      <c r="AV838" s="131"/>
      <c r="AW838" s="136"/>
      <c r="AX838" s="137"/>
      <c r="AY838" s="138">
        <v>3</v>
      </c>
      <c r="AZ838" s="42">
        <v>1</v>
      </c>
      <c r="BA838" s="135"/>
      <c r="BB838" s="139">
        <v>1</v>
      </c>
      <c r="BE838" s="37" t="s">
        <v>7170</v>
      </c>
      <c r="BF838" s="36"/>
      <c r="BG838" s="36" t="s">
        <v>7172</v>
      </c>
    </row>
    <row r="839" spans="1:59" ht="15" customHeight="1">
      <c r="A839" s="41" t="s">
        <v>7096</v>
      </c>
      <c r="B839" s="36" t="s">
        <v>7173</v>
      </c>
      <c r="C839" s="36" t="s">
        <v>7220</v>
      </c>
      <c r="D839" s="36">
        <v>212</v>
      </c>
      <c r="E839" s="36">
        <v>1</v>
      </c>
      <c r="F839" s="36" t="s">
        <v>7097</v>
      </c>
      <c r="G839" s="36" t="s">
        <v>7174</v>
      </c>
      <c r="J839" s="36" t="s">
        <v>31</v>
      </c>
      <c r="N839" s="36"/>
      <c r="O839" s="131"/>
      <c r="P839" s="132"/>
      <c r="Q839" s="133"/>
      <c r="R839" s="42"/>
      <c r="S839" s="134"/>
      <c r="T839" s="135"/>
      <c r="U839" s="131"/>
      <c r="V839" s="136"/>
      <c r="W839" s="137"/>
      <c r="X839" s="138"/>
      <c r="Y839" s="42"/>
      <c r="Z839" s="135"/>
      <c r="AA839" s="139"/>
      <c r="AB839" s="140"/>
      <c r="AD839" s="36" t="s">
        <v>7161</v>
      </c>
      <c r="AE839" s="36"/>
      <c r="AI839" s="36" t="s">
        <v>7174</v>
      </c>
      <c r="AL839" s="36" t="s">
        <v>31</v>
      </c>
      <c r="AO839" s="37"/>
      <c r="AP839" s="36"/>
      <c r="AQ839" s="131"/>
      <c r="AR839" s="132"/>
      <c r="AS839" s="133"/>
      <c r="AT839" s="42"/>
      <c r="AU839" s="135"/>
      <c r="AV839" s="131"/>
      <c r="AW839" s="136"/>
      <c r="AX839" s="137"/>
      <c r="AY839" s="138">
        <v>5</v>
      </c>
      <c r="AZ839" s="42">
        <v>1</v>
      </c>
      <c r="BA839" s="135"/>
      <c r="BB839" s="139"/>
      <c r="BE839" s="37" t="s">
        <v>7161</v>
      </c>
      <c r="BF839" s="36"/>
      <c r="BG839" s="36" t="s">
        <v>7175</v>
      </c>
    </row>
    <row r="840" spans="1:59" ht="15" customHeight="1">
      <c r="A840" s="41" t="s">
        <v>7096</v>
      </c>
      <c r="B840" s="36" t="s">
        <v>7176</v>
      </c>
      <c r="C840" s="36" t="s">
        <v>7220</v>
      </c>
      <c r="D840" s="36">
        <v>213</v>
      </c>
      <c r="E840" s="36">
        <v>1</v>
      </c>
      <c r="F840" s="36" t="s">
        <v>7097</v>
      </c>
      <c r="G840" s="36" t="s">
        <v>7174</v>
      </c>
      <c r="J840" s="36" t="s">
        <v>31</v>
      </c>
      <c r="N840" s="36"/>
      <c r="O840" s="131"/>
      <c r="P840" s="132"/>
      <c r="Q840" s="133"/>
      <c r="R840" s="42"/>
      <c r="S840" s="134"/>
      <c r="T840" s="135"/>
      <c r="U840" s="131"/>
      <c r="V840" s="136"/>
      <c r="W840" s="137"/>
      <c r="X840" s="138"/>
      <c r="Y840" s="42"/>
      <c r="Z840" s="135"/>
      <c r="AA840" s="139"/>
      <c r="AB840" s="140"/>
      <c r="AD840" s="36" t="s">
        <v>7161</v>
      </c>
      <c r="AE840" s="36"/>
      <c r="AI840" s="36" t="s">
        <v>7174</v>
      </c>
      <c r="AL840" s="36" t="s">
        <v>31</v>
      </c>
      <c r="AO840" s="37"/>
      <c r="AP840" s="36"/>
      <c r="AQ840" s="131"/>
      <c r="AR840" s="132"/>
      <c r="AS840" s="133"/>
      <c r="AT840" s="42"/>
      <c r="AU840" s="135"/>
      <c r="AV840" s="131"/>
      <c r="AW840" s="136"/>
      <c r="AX840" s="137"/>
      <c r="AY840" s="138">
        <v>6</v>
      </c>
      <c r="AZ840" s="42">
        <v>1</v>
      </c>
      <c r="BA840" s="135"/>
      <c r="BB840" s="139"/>
      <c r="BE840" s="37" t="s">
        <v>7161</v>
      </c>
      <c r="BF840" s="36"/>
      <c r="BG840" s="36" t="s">
        <v>7177</v>
      </c>
    </row>
    <row r="841" spans="1:59" ht="15" customHeight="1">
      <c r="A841" s="41" t="s">
        <v>7096</v>
      </c>
      <c r="B841" s="36" t="s">
        <v>7178</v>
      </c>
      <c r="C841" s="36" t="s">
        <v>7220</v>
      </c>
      <c r="D841" s="36">
        <v>214</v>
      </c>
      <c r="E841" s="36">
        <v>1</v>
      </c>
      <c r="F841" s="36" t="s">
        <v>7097</v>
      </c>
      <c r="G841" s="36" t="s">
        <v>7179</v>
      </c>
      <c r="J841" s="36" t="s">
        <v>31</v>
      </c>
      <c r="N841" s="36"/>
      <c r="O841" s="131"/>
      <c r="P841" s="132"/>
      <c r="Q841" s="133"/>
      <c r="R841" s="42"/>
      <c r="S841" s="134"/>
      <c r="T841" s="135"/>
      <c r="U841" s="131"/>
      <c r="V841" s="136"/>
      <c r="W841" s="137"/>
      <c r="X841" s="138"/>
      <c r="Y841" s="42"/>
      <c r="Z841" s="135"/>
      <c r="AA841" s="139"/>
      <c r="AB841" s="140"/>
      <c r="AD841" s="36" t="s">
        <v>7161</v>
      </c>
      <c r="AE841" s="36"/>
      <c r="AI841" s="36" t="s">
        <v>7179</v>
      </c>
      <c r="AL841" s="36" t="s">
        <v>31</v>
      </c>
      <c r="AO841" s="37"/>
      <c r="AP841" s="36"/>
      <c r="AQ841" s="131"/>
      <c r="AR841" s="132"/>
      <c r="AS841" s="133"/>
      <c r="AT841" s="42"/>
      <c r="AU841" s="135"/>
      <c r="AV841" s="131"/>
      <c r="AW841" s="136"/>
      <c r="AX841" s="137"/>
      <c r="AY841" s="138">
        <v>4</v>
      </c>
      <c r="AZ841" s="42">
        <v>1</v>
      </c>
      <c r="BA841" s="135"/>
      <c r="BB841" s="139"/>
      <c r="BE841" s="37" t="s">
        <v>7161</v>
      </c>
      <c r="BF841" s="36"/>
      <c r="BG841" s="36" t="s">
        <v>7180</v>
      </c>
    </row>
    <row r="842" spans="1:59" ht="15" customHeight="1">
      <c r="A842" s="41" t="s">
        <v>7096</v>
      </c>
      <c r="B842" s="36" t="s">
        <v>7181</v>
      </c>
      <c r="C842" s="36" t="s">
        <v>7220</v>
      </c>
      <c r="D842" s="36">
        <v>215</v>
      </c>
      <c r="E842" s="36">
        <v>1</v>
      </c>
      <c r="F842" s="36" t="s">
        <v>7097</v>
      </c>
      <c r="G842" s="36" t="s">
        <v>7182</v>
      </c>
      <c r="J842" s="36" t="s">
        <v>31</v>
      </c>
      <c r="N842" s="36"/>
      <c r="O842" s="131"/>
      <c r="P842" s="132"/>
      <c r="Q842" s="133"/>
      <c r="R842" s="42"/>
      <c r="S842" s="134"/>
      <c r="T842" s="135"/>
      <c r="U842" s="131"/>
      <c r="V842" s="136"/>
      <c r="W842" s="137"/>
      <c r="X842" s="138"/>
      <c r="Y842" s="42"/>
      <c r="Z842" s="135"/>
      <c r="AA842" s="139"/>
      <c r="AB842" s="140"/>
      <c r="AD842" s="36" t="s">
        <v>7170</v>
      </c>
      <c r="AE842" s="36"/>
      <c r="AI842" s="36" t="s">
        <v>7182</v>
      </c>
      <c r="AL842" s="36" t="s">
        <v>31</v>
      </c>
      <c r="AO842" s="37"/>
      <c r="AP842" s="36"/>
      <c r="AQ842" s="131"/>
      <c r="AR842" s="132"/>
      <c r="AS842" s="133"/>
      <c r="AT842" s="42"/>
      <c r="AU842" s="135"/>
      <c r="AV842" s="131"/>
      <c r="AW842" s="136"/>
      <c r="AX842" s="137"/>
      <c r="AY842" s="138">
        <v>1</v>
      </c>
      <c r="AZ842" s="42">
        <v>2</v>
      </c>
      <c r="BA842" s="135"/>
      <c r="BB842" s="139">
        <v>1</v>
      </c>
      <c r="BE842" s="37" t="s">
        <v>7170</v>
      </c>
      <c r="BF842" s="36"/>
      <c r="BG842" s="36" t="s">
        <v>7183</v>
      </c>
    </row>
    <row r="843" spans="1:59" ht="15" customHeight="1">
      <c r="A843" s="41" t="s">
        <v>7096</v>
      </c>
      <c r="B843" s="36" t="s">
        <v>7184</v>
      </c>
      <c r="C843" s="36" t="s">
        <v>7220</v>
      </c>
      <c r="D843" s="36">
        <v>216</v>
      </c>
      <c r="E843" s="36">
        <v>1</v>
      </c>
      <c r="F843" s="36" t="s">
        <v>7097</v>
      </c>
      <c r="G843" s="36" t="s">
        <v>7185</v>
      </c>
      <c r="J843" s="36" t="s">
        <v>31</v>
      </c>
      <c r="N843" s="36"/>
      <c r="O843" s="131"/>
      <c r="P843" s="132"/>
      <c r="Q843" s="133"/>
      <c r="R843" s="42"/>
      <c r="S843" s="134"/>
      <c r="T843" s="135"/>
      <c r="U843" s="131"/>
      <c r="V843" s="136"/>
      <c r="W843" s="137"/>
      <c r="X843" s="138"/>
      <c r="Y843" s="42"/>
      <c r="Z843" s="135"/>
      <c r="AA843" s="139"/>
      <c r="AB843" s="140"/>
      <c r="AD843" s="36" t="s">
        <v>7170</v>
      </c>
      <c r="AE843" s="36"/>
      <c r="AI843" s="36" t="s">
        <v>7185</v>
      </c>
      <c r="AL843" s="36" t="s">
        <v>31</v>
      </c>
      <c r="AO843" s="37"/>
      <c r="AP843" s="36"/>
      <c r="AQ843" s="131"/>
      <c r="AR843" s="132"/>
      <c r="AS843" s="133"/>
      <c r="AT843" s="42"/>
      <c r="AU843" s="135"/>
      <c r="AV843" s="131"/>
      <c r="AW843" s="136"/>
      <c r="AX843" s="137"/>
      <c r="AY843" s="138">
        <v>4</v>
      </c>
      <c r="AZ843" s="42">
        <v>1</v>
      </c>
      <c r="BA843" s="135"/>
      <c r="BB843" s="139">
        <v>1</v>
      </c>
      <c r="BE843" s="37" t="s">
        <v>7170</v>
      </c>
      <c r="BF843" s="36"/>
      <c r="BG843" s="36" t="s">
        <v>7186</v>
      </c>
    </row>
    <row r="844" spans="1:59" ht="15" customHeight="1">
      <c r="A844" s="41" t="s">
        <v>7096</v>
      </c>
      <c r="B844" s="43" t="s">
        <v>7187</v>
      </c>
      <c r="C844" s="36" t="s">
        <v>7220</v>
      </c>
      <c r="D844" s="36">
        <v>217</v>
      </c>
      <c r="E844" s="36">
        <v>1</v>
      </c>
      <c r="F844" s="36" t="s">
        <v>7097</v>
      </c>
      <c r="G844" s="36" t="s">
        <v>7188</v>
      </c>
      <c r="J844" s="36" t="s">
        <v>31</v>
      </c>
      <c r="N844" s="36"/>
      <c r="O844" s="131"/>
      <c r="P844" s="132"/>
      <c r="Q844" s="133"/>
      <c r="R844" s="42"/>
      <c r="S844" s="134"/>
      <c r="T844" s="135"/>
      <c r="U844" s="131"/>
      <c r="V844" s="136"/>
      <c r="W844" s="137"/>
      <c r="X844" s="138"/>
      <c r="Y844" s="42"/>
      <c r="Z844" s="135"/>
      <c r="AA844" s="139"/>
      <c r="AB844" s="140"/>
      <c r="AD844" s="36" t="s">
        <v>7161</v>
      </c>
      <c r="AE844" s="36"/>
      <c r="AI844" s="36" t="s">
        <v>7188</v>
      </c>
      <c r="AL844" s="36" t="s">
        <v>31</v>
      </c>
      <c r="AO844" s="37"/>
      <c r="AP844" s="36"/>
      <c r="AQ844" s="131"/>
      <c r="AR844" s="132"/>
      <c r="AS844" s="133"/>
      <c r="AT844" s="42"/>
      <c r="AU844" s="135"/>
      <c r="AV844" s="131"/>
      <c r="AW844" s="136"/>
      <c r="AX844" s="137"/>
      <c r="AY844" s="138">
        <v>3</v>
      </c>
      <c r="AZ844" s="42">
        <v>1</v>
      </c>
      <c r="BA844" s="135"/>
      <c r="BB844" s="139"/>
      <c r="BE844" s="37" t="s">
        <v>7161</v>
      </c>
      <c r="BF844" s="36"/>
      <c r="BG844" s="36" t="s">
        <v>7189</v>
      </c>
    </row>
    <row r="845" spans="1:59" ht="15" customHeight="1">
      <c r="A845" s="41" t="s">
        <v>7096</v>
      </c>
      <c r="B845" s="36" t="s">
        <v>7190</v>
      </c>
      <c r="C845" s="36" t="s">
        <v>7220</v>
      </c>
      <c r="D845" s="36">
        <v>218</v>
      </c>
      <c r="E845" s="36">
        <v>1</v>
      </c>
      <c r="F845" s="36" t="s">
        <v>7097</v>
      </c>
      <c r="G845" s="36" t="s">
        <v>7188</v>
      </c>
      <c r="J845" s="36" t="s">
        <v>31</v>
      </c>
      <c r="N845" s="36"/>
      <c r="O845" s="131"/>
      <c r="P845" s="132"/>
      <c r="Q845" s="133"/>
      <c r="R845" s="42"/>
      <c r="S845" s="134"/>
      <c r="T845" s="135"/>
      <c r="U845" s="131"/>
      <c r="V845" s="136"/>
      <c r="W845" s="137"/>
      <c r="X845" s="138"/>
      <c r="Y845" s="42"/>
      <c r="Z845" s="135"/>
      <c r="AA845" s="139"/>
      <c r="AB845" s="140"/>
      <c r="AD845" s="36" t="s">
        <v>7161</v>
      </c>
      <c r="AE845" s="36"/>
      <c r="AI845" s="36" t="s">
        <v>7188</v>
      </c>
      <c r="AL845" s="36" t="s">
        <v>31</v>
      </c>
      <c r="AO845" s="37"/>
      <c r="AP845" s="36"/>
      <c r="AQ845" s="131"/>
      <c r="AR845" s="132"/>
      <c r="AS845" s="133"/>
      <c r="AT845" s="42"/>
      <c r="AU845" s="135"/>
      <c r="AV845" s="131"/>
      <c r="AW845" s="136"/>
      <c r="AX845" s="137"/>
      <c r="AY845" s="138">
        <v>1</v>
      </c>
      <c r="AZ845" s="42">
        <v>1</v>
      </c>
      <c r="BA845" s="135"/>
      <c r="BB845" s="139"/>
      <c r="BE845" s="37" t="s">
        <v>7161</v>
      </c>
      <c r="BF845" s="36"/>
      <c r="BG845" s="36" t="s">
        <v>7191</v>
      </c>
    </row>
    <row r="846" spans="1:59" ht="15" customHeight="1">
      <c r="A846" s="41" t="s">
        <v>7096</v>
      </c>
      <c r="B846" s="36" t="s">
        <v>7192</v>
      </c>
      <c r="C846" s="36" t="s">
        <v>7220</v>
      </c>
      <c r="D846" s="36">
        <v>219</v>
      </c>
      <c r="E846" s="36">
        <v>1</v>
      </c>
      <c r="F846" s="36" t="s">
        <v>7097</v>
      </c>
      <c r="G846" s="36" t="s">
        <v>7193</v>
      </c>
      <c r="J846" s="36" t="s">
        <v>31</v>
      </c>
      <c r="N846" s="36"/>
      <c r="O846" s="131"/>
      <c r="P846" s="132"/>
      <c r="Q846" s="133"/>
      <c r="R846" s="42"/>
      <c r="S846" s="134"/>
      <c r="T846" s="135"/>
      <c r="U846" s="131"/>
      <c r="V846" s="136"/>
      <c r="W846" s="137"/>
      <c r="X846" s="138"/>
      <c r="Y846" s="42"/>
      <c r="Z846" s="135"/>
      <c r="AA846" s="139"/>
      <c r="AB846" s="140"/>
      <c r="AD846" s="36" t="s">
        <v>7161</v>
      </c>
      <c r="AE846" s="36"/>
      <c r="AI846" s="36" t="s">
        <v>7193</v>
      </c>
      <c r="AL846" s="36" t="s">
        <v>31</v>
      </c>
      <c r="AO846" s="37"/>
      <c r="AP846" s="36"/>
      <c r="AQ846" s="131"/>
      <c r="AR846" s="132"/>
      <c r="AS846" s="133"/>
      <c r="AT846" s="42"/>
      <c r="AU846" s="135"/>
      <c r="AV846" s="131"/>
      <c r="AW846" s="136"/>
      <c r="AX846" s="137"/>
      <c r="AY846" s="138">
        <v>3</v>
      </c>
      <c r="AZ846" s="42">
        <v>1</v>
      </c>
      <c r="BA846" s="135"/>
      <c r="BB846" s="139"/>
      <c r="BE846" s="37" t="s">
        <v>7161</v>
      </c>
      <c r="BF846" s="36"/>
      <c r="BG846" s="36" t="s">
        <v>7194</v>
      </c>
    </row>
    <row r="847" spans="1:59" ht="15" customHeight="1">
      <c r="A847" s="41" t="s">
        <v>7096</v>
      </c>
      <c r="B847" s="36" t="s">
        <v>7195</v>
      </c>
      <c r="C847" s="36" t="s">
        <v>7220</v>
      </c>
      <c r="D847" s="36">
        <v>220</v>
      </c>
      <c r="E847" s="36">
        <v>1</v>
      </c>
      <c r="F847" s="36" t="s">
        <v>7097</v>
      </c>
      <c r="G847" s="36" t="s">
        <v>7196</v>
      </c>
      <c r="J847" s="36" t="s">
        <v>31</v>
      </c>
      <c r="N847" s="36"/>
      <c r="O847" s="131"/>
      <c r="P847" s="132"/>
      <c r="Q847" s="133"/>
      <c r="R847" s="42"/>
      <c r="S847" s="134"/>
      <c r="T847" s="135"/>
      <c r="U847" s="131"/>
      <c r="V847" s="136"/>
      <c r="W847" s="137"/>
      <c r="X847" s="138"/>
      <c r="Y847" s="42"/>
      <c r="Z847" s="135"/>
      <c r="AA847" s="139"/>
      <c r="AB847" s="140"/>
      <c r="AD847" s="36" t="s">
        <v>7170</v>
      </c>
      <c r="AE847" s="36"/>
      <c r="AI847" s="36" t="s">
        <v>7196</v>
      </c>
      <c r="AL847" s="36" t="s">
        <v>31</v>
      </c>
      <c r="AO847" s="37"/>
      <c r="AP847" s="36"/>
      <c r="AQ847" s="131"/>
      <c r="AR847" s="132"/>
      <c r="AS847" s="133"/>
      <c r="AT847" s="42"/>
      <c r="AU847" s="135"/>
      <c r="AV847" s="131"/>
      <c r="AW847" s="136"/>
      <c r="AX847" s="137"/>
      <c r="AY847" s="138">
        <v>3</v>
      </c>
      <c r="AZ847" s="42">
        <v>1</v>
      </c>
      <c r="BA847" s="135"/>
      <c r="BB847" s="139">
        <v>1</v>
      </c>
      <c r="BE847" s="37" t="s">
        <v>7170</v>
      </c>
      <c r="BF847" s="36"/>
      <c r="BG847" s="36" t="s">
        <v>7197</v>
      </c>
    </row>
    <row r="848" spans="1:59" ht="15" customHeight="1">
      <c r="A848" s="41" t="s">
        <v>7096</v>
      </c>
      <c r="B848" s="36" t="s">
        <v>7198</v>
      </c>
      <c r="C848" s="36" t="s">
        <v>7220</v>
      </c>
      <c r="D848" s="36">
        <v>221</v>
      </c>
      <c r="E848" s="36">
        <v>1</v>
      </c>
      <c r="F848" s="36" t="s">
        <v>7097</v>
      </c>
      <c r="G848" s="36" t="s">
        <v>7199</v>
      </c>
      <c r="H848" s="36" t="s">
        <v>7200</v>
      </c>
      <c r="I848" s="36" t="s">
        <v>4077</v>
      </c>
      <c r="J848" s="36" t="s">
        <v>29</v>
      </c>
      <c r="N848" s="36"/>
      <c r="O848" s="131"/>
      <c r="P848" s="132"/>
      <c r="Q848" s="133">
        <v>3</v>
      </c>
      <c r="R848" s="42">
        <v>5</v>
      </c>
      <c r="S848" s="134"/>
      <c r="T848" s="135"/>
      <c r="U848" s="131"/>
      <c r="V848" s="136"/>
      <c r="W848" s="137">
        <v>1</v>
      </c>
      <c r="X848" s="138"/>
      <c r="Y848" s="42"/>
      <c r="Z848" s="135"/>
      <c r="AA848" s="139"/>
      <c r="AB848" s="140"/>
      <c r="AD848" s="36" t="s">
        <v>7201</v>
      </c>
      <c r="AE848" s="36"/>
      <c r="AF848" s="36" t="s">
        <v>7202</v>
      </c>
      <c r="AO848" s="37"/>
      <c r="AP848" s="36"/>
      <c r="AQ848" s="131"/>
      <c r="AR848" s="132"/>
      <c r="AS848" s="133"/>
      <c r="AT848" s="42"/>
      <c r="AU848" s="135"/>
      <c r="AV848" s="131"/>
      <c r="AW848" s="136"/>
      <c r="AX848" s="137"/>
      <c r="AY848" s="138"/>
      <c r="AZ848" s="42"/>
      <c r="BA848" s="135"/>
      <c r="BB848" s="139"/>
      <c r="BE848" s="37"/>
      <c r="BF848" s="36"/>
    </row>
    <row r="849" spans="1:58" ht="15" customHeight="1">
      <c r="A849" s="41" t="s">
        <v>7096</v>
      </c>
      <c r="B849" s="36" t="s">
        <v>7203</v>
      </c>
      <c r="C849" s="36" t="s">
        <v>7220</v>
      </c>
      <c r="D849" s="36">
        <v>222</v>
      </c>
      <c r="E849" s="36">
        <v>2</v>
      </c>
      <c r="F849" s="36" t="s">
        <v>7097</v>
      </c>
      <c r="G849" s="36" t="s">
        <v>7204</v>
      </c>
      <c r="J849" s="36" t="s">
        <v>29</v>
      </c>
      <c r="N849" s="36"/>
      <c r="O849" s="131"/>
      <c r="P849" s="132"/>
      <c r="Q849" s="133">
        <v>5</v>
      </c>
      <c r="R849" s="42">
        <v>3</v>
      </c>
      <c r="S849" s="134"/>
      <c r="T849" s="135">
        <v>2</v>
      </c>
      <c r="U849" s="131"/>
      <c r="V849" s="136">
        <v>2</v>
      </c>
      <c r="W849" s="137">
        <v>1</v>
      </c>
      <c r="X849" s="138"/>
      <c r="Y849" s="42"/>
      <c r="Z849" s="135"/>
      <c r="AA849" s="139"/>
      <c r="AB849" s="140"/>
      <c r="AD849" s="36" t="s">
        <v>4690</v>
      </c>
      <c r="AE849" s="36"/>
      <c r="AF849" s="36" t="s">
        <v>7205</v>
      </c>
      <c r="AO849" s="37"/>
      <c r="AP849" s="36"/>
      <c r="AQ849" s="131"/>
      <c r="AR849" s="132"/>
      <c r="AS849" s="133"/>
      <c r="AT849" s="42"/>
      <c r="AU849" s="135"/>
      <c r="AV849" s="131"/>
      <c r="AW849" s="136"/>
      <c r="AX849" s="137"/>
      <c r="AY849" s="138"/>
      <c r="AZ849" s="42"/>
      <c r="BA849" s="135"/>
      <c r="BB849" s="139"/>
      <c r="BE849" s="37"/>
      <c r="BF849" s="36"/>
    </row>
    <row r="850" spans="1:58" ht="15" customHeight="1">
      <c r="A850" s="41" t="s">
        <v>7096</v>
      </c>
      <c r="B850" s="36" t="s">
        <v>7206</v>
      </c>
      <c r="C850" s="36" t="s">
        <v>7220</v>
      </c>
      <c r="D850" s="36">
        <v>223</v>
      </c>
      <c r="E850" s="36">
        <v>2</v>
      </c>
      <c r="F850" s="36" t="s">
        <v>7097</v>
      </c>
      <c r="G850" s="36" t="s">
        <v>7207</v>
      </c>
      <c r="J850" s="36" t="s">
        <v>28</v>
      </c>
      <c r="N850" s="36"/>
      <c r="O850" s="131"/>
      <c r="P850" s="132"/>
      <c r="Q850" s="133"/>
      <c r="R850" s="42"/>
      <c r="S850" s="134"/>
      <c r="T850" s="135"/>
      <c r="U850" s="131"/>
      <c r="V850" s="136"/>
      <c r="W850" s="137"/>
      <c r="X850" s="138"/>
      <c r="Y850" s="42"/>
      <c r="Z850" s="135"/>
      <c r="AA850" s="139"/>
      <c r="AB850" s="140"/>
      <c r="AD850" s="36" t="s">
        <v>4346</v>
      </c>
      <c r="AE850" s="36"/>
      <c r="AF850" s="36" t="s">
        <v>7208</v>
      </c>
      <c r="AO850" s="37"/>
      <c r="AP850" s="36"/>
      <c r="AQ850" s="131"/>
      <c r="AR850" s="132"/>
      <c r="AS850" s="133"/>
      <c r="AT850" s="42"/>
      <c r="AU850" s="135"/>
      <c r="AV850" s="131"/>
      <c r="AW850" s="136"/>
      <c r="AX850" s="137"/>
      <c r="AY850" s="138"/>
      <c r="AZ850" s="42"/>
      <c r="BA850" s="135"/>
      <c r="BB850" s="139"/>
      <c r="BE850" s="37"/>
      <c r="BF850" s="36"/>
    </row>
    <row r="851" spans="1:58" ht="15" customHeight="1">
      <c r="A851" s="41" t="s">
        <v>7096</v>
      </c>
      <c r="B851" s="43" t="s">
        <v>7209</v>
      </c>
      <c r="C851" s="36" t="s">
        <v>7220</v>
      </c>
      <c r="D851" s="36">
        <v>224</v>
      </c>
      <c r="E851" s="36">
        <v>3</v>
      </c>
      <c r="F851" s="36" t="s">
        <v>7097</v>
      </c>
      <c r="G851" s="36" t="s">
        <v>7210</v>
      </c>
      <c r="J851" s="36" t="s">
        <v>28</v>
      </c>
      <c r="N851" s="36"/>
      <c r="O851" s="131"/>
      <c r="P851" s="132"/>
      <c r="Q851" s="133"/>
      <c r="R851" s="42"/>
      <c r="S851" s="134"/>
      <c r="T851" s="135"/>
      <c r="U851" s="131"/>
      <c r="V851" s="136"/>
      <c r="W851" s="137"/>
      <c r="X851" s="138"/>
      <c r="Y851" s="42"/>
      <c r="Z851" s="135"/>
      <c r="AA851" s="139"/>
      <c r="AB851" s="140"/>
      <c r="AD851" s="36" t="s">
        <v>4346</v>
      </c>
      <c r="AE851" s="36"/>
      <c r="AF851" s="36" t="s">
        <v>7211</v>
      </c>
      <c r="AO851" s="37"/>
      <c r="AP851" s="36"/>
      <c r="AQ851" s="131"/>
      <c r="AR851" s="132"/>
      <c r="AS851" s="133"/>
      <c r="AT851" s="42"/>
      <c r="AU851" s="135"/>
      <c r="AV851" s="131"/>
      <c r="AW851" s="136"/>
      <c r="AX851" s="137"/>
      <c r="AY851" s="138"/>
      <c r="AZ851" s="42"/>
      <c r="BA851" s="135"/>
      <c r="BB851" s="139"/>
      <c r="BE851" s="37"/>
      <c r="BF851" s="36"/>
    </row>
    <row r="852" spans="1:58" ht="15" customHeight="1">
      <c r="A852" s="41" t="s">
        <v>7096</v>
      </c>
      <c r="B852" s="36" t="s">
        <v>7212</v>
      </c>
      <c r="C852" s="36" t="s">
        <v>7220</v>
      </c>
      <c r="D852" s="36">
        <v>225</v>
      </c>
      <c r="E852" s="36">
        <v>3</v>
      </c>
      <c r="F852" s="36" t="s">
        <v>7097</v>
      </c>
      <c r="G852" s="36" t="s">
        <v>7213</v>
      </c>
      <c r="J852" s="36" t="s">
        <v>28</v>
      </c>
      <c r="N852" s="36"/>
      <c r="O852" s="142"/>
      <c r="P852" s="143"/>
      <c r="Q852" s="144"/>
      <c r="R852" s="42"/>
      <c r="S852" s="134"/>
      <c r="T852" s="135"/>
      <c r="U852" s="142"/>
      <c r="V852" s="145"/>
      <c r="W852" s="146"/>
      <c r="X852" s="147"/>
      <c r="Y852" s="42"/>
      <c r="Z852" s="135"/>
      <c r="AA852" s="148"/>
      <c r="AB852" s="140"/>
      <c r="AD852" s="36" t="s">
        <v>5536</v>
      </c>
      <c r="AE852" s="36"/>
      <c r="AF852" s="36" t="s">
        <v>7214</v>
      </c>
      <c r="AO852" s="37"/>
      <c r="AP852" s="36"/>
      <c r="AQ852" s="142"/>
      <c r="AR852" s="143"/>
      <c r="AS852" s="144"/>
      <c r="AT852" s="42"/>
      <c r="AU852" s="135"/>
      <c r="AV852" s="142"/>
      <c r="AW852" s="149"/>
      <c r="AX852" s="150"/>
      <c r="AY852" s="147"/>
      <c r="AZ852" s="42"/>
      <c r="BA852" s="135"/>
      <c r="BB852" s="148"/>
      <c r="BE852" s="37"/>
      <c r="BF852" s="36"/>
    </row>
    <row r="853" spans="1:58" ht="15" customHeight="1">
      <c r="A853" s="41" t="s">
        <v>7096</v>
      </c>
      <c r="B853" s="36" t="s">
        <v>7215</v>
      </c>
      <c r="C853" s="36" t="s">
        <v>7220</v>
      </c>
      <c r="D853" s="36">
        <v>226</v>
      </c>
      <c r="E853" s="36">
        <v>2</v>
      </c>
      <c r="F853" s="36" t="s">
        <v>7097</v>
      </c>
      <c r="G853" s="36" t="s">
        <v>4336</v>
      </c>
      <c r="J853" s="36" t="s">
        <v>28</v>
      </c>
      <c r="N853" s="36"/>
      <c r="O853" s="142"/>
      <c r="P853" s="143"/>
      <c r="Q853" s="144"/>
      <c r="R853" s="42"/>
      <c r="S853" s="134"/>
      <c r="T853" s="135"/>
      <c r="U853" s="142"/>
      <c r="V853" s="145"/>
      <c r="W853" s="146"/>
      <c r="X853" s="147"/>
      <c r="Y853" s="42"/>
      <c r="Z853" s="135"/>
      <c r="AA853" s="148"/>
      <c r="AB853" s="140"/>
      <c r="AD853" s="36" t="s">
        <v>4335</v>
      </c>
      <c r="AE853" s="36"/>
      <c r="AF853" s="36" t="s">
        <v>4490</v>
      </c>
      <c r="AO853" s="37"/>
      <c r="AP853" s="36"/>
      <c r="AQ853" s="142"/>
      <c r="AR853" s="143"/>
      <c r="AS853" s="144"/>
      <c r="AT853" s="42"/>
      <c r="AU853" s="135"/>
      <c r="AV853" s="142"/>
      <c r="AW853" s="149"/>
      <c r="AX853" s="150"/>
      <c r="AY853" s="147"/>
      <c r="AZ853" s="42"/>
      <c r="BA853" s="135"/>
      <c r="BB853" s="148"/>
      <c r="BE853" s="37"/>
      <c r="BF853" s="36"/>
    </row>
    <row r="854" spans="1:58" ht="15" customHeight="1">
      <c r="A854" s="41" t="s">
        <v>7096</v>
      </c>
      <c r="B854" s="36" t="s">
        <v>7216</v>
      </c>
      <c r="C854" s="36" t="s">
        <v>7220</v>
      </c>
      <c r="D854" s="36">
        <v>227</v>
      </c>
      <c r="E854" s="36">
        <v>4</v>
      </c>
      <c r="F854" s="36" t="s">
        <v>7097</v>
      </c>
      <c r="G854" s="36" t="s">
        <v>7217</v>
      </c>
      <c r="J854" s="36" t="s">
        <v>28</v>
      </c>
      <c r="K854" s="36" t="s">
        <v>26</v>
      </c>
      <c r="M854" s="36" t="s">
        <v>4502</v>
      </c>
      <c r="N854" s="36"/>
      <c r="O854" s="142"/>
      <c r="P854" s="143"/>
      <c r="Q854" s="144"/>
      <c r="R854" s="42"/>
      <c r="S854" s="134"/>
      <c r="T854" s="135"/>
      <c r="U854" s="142"/>
      <c r="V854" s="145"/>
      <c r="W854" s="146"/>
      <c r="X854" s="147"/>
      <c r="Y854" s="42"/>
      <c r="Z854" s="135"/>
      <c r="AA854" s="148"/>
      <c r="AB854" s="140"/>
      <c r="AD854" s="36" t="s">
        <v>7218</v>
      </c>
      <c r="AE854" s="36"/>
      <c r="AF854" s="36" t="s">
        <v>7219</v>
      </c>
      <c r="AO854" s="37"/>
      <c r="AP854" s="36"/>
      <c r="AQ854" s="142"/>
      <c r="AR854" s="143"/>
      <c r="AS854" s="144"/>
      <c r="AT854" s="42"/>
      <c r="AU854" s="135"/>
      <c r="AV854" s="142"/>
      <c r="AW854" s="149"/>
      <c r="AX854" s="150"/>
      <c r="AY854" s="147"/>
      <c r="AZ854" s="42"/>
      <c r="BA854" s="135"/>
      <c r="BB854" s="148"/>
      <c r="BE854" s="37"/>
      <c r="BF854" s="36"/>
    </row>
    <row r="855" spans="1:58">
      <c r="AP855" s="86"/>
      <c r="AQ855" s="88"/>
      <c r="AR855" s="89"/>
      <c r="AS855" s="90"/>
      <c r="AV855" s="88"/>
      <c r="AW855" s="96"/>
      <c r="AX855" s="97"/>
      <c r="AY855" s="93"/>
      <c r="BB855" s="94"/>
    </row>
    <row r="856" spans="1:58">
      <c r="AP856" s="86"/>
      <c r="AQ856" s="88"/>
      <c r="AR856" s="89"/>
      <c r="AS856" s="90"/>
      <c r="AV856" s="88"/>
      <c r="AW856" s="96"/>
      <c r="AX856" s="97"/>
      <c r="AY856" s="93"/>
      <c r="BB856" s="94"/>
    </row>
    <row r="857" spans="1:58">
      <c r="AP857" s="86"/>
      <c r="AQ857" s="88"/>
      <c r="AR857" s="89"/>
      <c r="AS857" s="90"/>
      <c r="AV857" s="88"/>
      <c r="AW857" s="96"/>
      <c r="AX857" s="97"/>
      <c r="AY857" s="93"/>
      <c r="BB857" s="94"/>
    </row>
    <row r="858" spans="1:58">
      <c r="AP858" s="86"/>
      <c r="AQ858" s="88"/>
      <c r="AR858" s="89"/>
      <c r="AS858" s="90"/>
      <c r="AV858" s="88"/>
      <c r="AW858" s="96"/>
      <c r="AX858" s="97"/>
      <c r="AY858" s="93"/>
      <c r="BB858" s="94"/>
    </row>
    <row r="859" spans="1:58">
      <c r="AP859" s="86"/>
      <c r="AQ859" s="88"/>
      <c r="AR859" s="89"/>
      <c r="AS859" s="90"/>
      <c r="AV859" s="88"/>
      <c r="AW859" s="96"/>
      <c r="AX859" s="97"/>
      <c r="AY859" s="93"/>
      <c r="BB859" s="94"/>
    </row>
    <row r="860" spans="1:58">
      <c r="AP860" s="86"/>
      <c r="AQ860" s="88"/>
      <c r="AR860" s="89"/>
      <c r="AS860" s="90"/>
      <c r="AV860" s="88"/>
      <c r="AW860" s="96"/>
      <c r="AX860" s="97"/>
      <c r="AY860" s="93"/>
      <c r="BB860" s="94"/>
    </row>
    <row r="861" spans="1:58">
      <c r="AP861" s="86"/>
      <c r="AQ861" s="88"/>
      <c r="AR861" s="89"/>
      <c r="AS861" s="90"/>
      <c r="AV861" s="88"/>
      <c r="AW861" s="96"/>
      <c r="AX861" s="97"/>
      <c r="AY861" s="93"/>
      <c r="BB861" s="94"/>
    </row>
    <row r="862" spans="1:58">
      <c r="AP862" s="86"/>
      <c r="AQ862" s="88"/>
      <c r="AR862" s="89"/>
      <c r="AS862" s="90"/>
      <c r="AV862" s="88"/>
      <c r="AW862" s="96"/>
      <c r="AX862" s="97"/>
      <c r="AY862" s="93"/>
      <c r="BB862" s="94"/>
    </row>
    <row r="863" spans="1:58">
      <c r="AP863" s="86"/>
      <c r="AQ863" s="88"/>
      <c r="AR863" s="89"/>
      <c r="AS863" s="90"/>
      <c r="AV863" s="88"/>
      <c r="AW863" s="96"/>
      <c r="AX863" s="97"/>
      <c r="AY863" s="93"/>
      <c r="BB863" s="94"/>
    </row>
    <row r="864" spans="1:58">
      <c r="AP864" s="86"/>
      <c r="AQ864" s="88"/>
      <c r="AR864" s="89"/>
      <c r="AS864" s="90"/>
      <c r="AV864" s="88"/>
      <c r="AW864" s="96"/>
      <c r="AX864" s="97"/>
      <c r="AY864" s="93"/>
      <c r="BB864" s="94"/>
    </row>
    <row r="865" spans="42:54">
      <c r="AP865" s="86"/>
      <c r="AQ865" s="88"/>
      <c r="AR865" s="89"/>
      <c r="AS865" s="90"/>
      <c r="AV865" s="88"/>
      <c r="AW865" s="96"/>
      <c r="AX865" s="97"/>
      <c r="AY865" s="93"/>
      <c r="BB865" s="94"/>
    </row>
    <row r="866" spans="42:54">
      <c r="AP866" s="86"/>
      <c r="AQ866" s="88"/>
      <c r="AR866" s="89"/>
      <c r="AS866" s="90"/>
      <c r="AV866" s="88"/>
      <c r="AW866" s="96"/>
      <c r="AX866" s="97"/>
      <c r="AY866" s="93"/>
      <c r="BB866" s="94"/>
    </row>
    <row r="867" spans="42:54">
      <c r="AP867" s="86"/>
      <c r="AQ867" s="88"/>
      <c r="AR867" s="89"/>
      <c r="AS867" s="90"/>
      <c r="AV867" s="88"/>
      <c r="AW867" s="96"/>
      <c r="AX867" s="97"/>
      <c r="AY867" s="93"/>
      <c r="BB867" s="94"/>
    </row>
    <row r="868" spans="42:54">
      <c r="AP868" s="86"/>
      <c r="AQ868" s="88"/>
      <c r="AR868" s="89"/>
      <c r="AS868" s="90"/>
      <c r="AV868" s="88"/>
      <c r="AW868" s="96"/>
      <c r="AX868" s="97"/>
      <c r="AY868" s="93"/>
      <c r="BB868" s="94"/>
    </row>
    <row r="869" spans="42:54">
      <c r="AP869" s="86"/>
      <c r="AQ869" s="88"/>
      <c r="AR869" s="89"/>
      <c r="AS869" s="90"/>
      <c r="AV869" s="88"/>
      <c r="AW869" s="96"/>
      <c r="AX869" s="97"/>
      <c r="AY869" s="93"/>
      <c r="BB869" s="94"/>
    </row>
    <row r="870" spans="42:54">
      <c r="AP870" s="86"/>
      <c r="AQ870" s="88"/>
      <c r="AR870" s="89"/>
      <c r="AS870" s="90"/>
      <c r="AV870" s="88"/>
      <c r="AW870" s="96"/>
      <c r="AX870" s="97"/>
      <c r="AY870" s="93"/>
      <c r="BB870" s="94"/>
    </row>
    <row r="871" spans="42:54">
      <c r="AP871" s="86"/>
      <c r="AQ871" s="88"/>
      <c r="AR871" s="89"/>
      <c r="AS871" s="90"/>
      <c r="AV871" s="88"/>
      <c r="AW871" s="96"/>
      <c r="AX871" s="97"/>
      <c r="AY871" s="93"/>
      <c r="BB871" s="94"/>
    </row>
    <row r="872" spans="42:54">
      <c r="AP872" s="86"/>
      <c r="AQ872" s="88"/>
      <c r="AR872" s="89"/>
      <c r="AS872" s="90"/>
      <c r="AV872" s="88"/>
      <c r="AW872" s="96"/>
      <c r="AX872" s="97"/>
      <c r="AY872" s="93"/>
      <c r="BB872" s="94"/>
    </row>
    <row r="873" spans="42:54">
      <c r="AP873" s="86"/>
      <c r="AQ873" s="88"/>
      <c r="AR873" s="89"/>
      <c r="AS873" s="90"/>
      <c r="AV873" s="88"/>
      <c r="AW873" s="96"/>
      <c r="AX873" s="97"/>
      <c r="AY873" s="93"/>
      <c r="BB873" s="94"/>
    </row>
    <row r="874" spans="42:54">
      <c r="AP874" s="86"/>
      <c r="AQ874" s="88"/>
      <c r="AR874" s="89"/>
      <c r="AS874" s="90"/>
      <c r="AV874" s="88"/>
      <c r="AW874" s="96"/>
      <c r="AX874" s="97"/>
      <c r="AY874" s="93"/>
      <c r="BB874" s="94"/>
    </row>
    <row r="875" spans="42:54">
      <c r="AP875" s="86"/>
      <c r="AQ875" s="88"/>
      <c r="AR875" s="89"/>
      <c r="AS875" s="90"/>
      <c r="AV875" s="88"/>
      <c r="AW875" s="96"/>
      <c r="AX875" s="97"/>
      <c r="AY875" s="93"/>
      <c r="BB875" s="94"/>
    </row>
    <row r="876" spans="42:54">
      <c r="AP876" s="86"/>
      <c r="AQ876" s="88"/>
      <c r="AR876" s="89"/>
      <c r="AS876" s="90"/>
      <c r="AV876" s="88"/>
      <c r="AW876" s="96"/>
      <c r="AX876" s="97"/>
      <c r="AY876" s="93"/>
      <c r="BB876" s="94"/>
    </row>
    <row r="877" spans="42:54">
      <c r="AP877" s="86"/>
      <c r="AQ877" s="88"/>
      <c r="AR877" s="89"/>
      <c r="AS877" s="90"/>
      <c r="AV877" s="88"/>
      <c r="AW877" s="96"/>
      <c r="AX877" s="97"/>
      <c r="AY877" s="93"/>
      <c r="BB877" s="94"/>
    </row>
    <row r="878" spans="42:54">
      <c r="AP878" s="86"/>
      <c r="AQ878" s="88"/>
      <c r="AR878" s="89"/>
      <c r="AS878" s="90"/>
      <c r="AV878" s="88"/>
      <c r="AW878" s="96"/>
      <c r="AX878" s="97"/>
      <c r="AY878" s="93"/>
      <c r="BB878" s="94"/>
    </row>
    <row r="879" spans="42:54">
      <c r="AP879" s="86"/>
      <c r="AQ879" s="88"/>
      <c r="AR879" s="89"/>
      <c r="AS879" s="90"/>
      <c r="AV879" s="88"/>
      <c r="AW879" s="96"/>
      <c r="AX879" s="97"/>
      <c r="AY879" s="93"/>
      <c r="BB879" s="94"/>
    </row>
    <row r="880" spans="42:54">
      <c r="AP880" s="86"/>
      <c r="AQ880" s="88"/>
      <c r="AR880" s="89"/>
      <c r="AS880" s="90"/>
      <c r="AV880" s="88"/>
      <c r="AW880" s="96"/>
      <c r="AX880" s="97"/>
      <c r="AY880" s="93"/>
      <c r="BB880" s="94"/>
    </row>
    <row r="881" spans="42:54">
      <c r="AP881" s="86"/>
      <c r="AQ881" s="88"/>
      <c r="AR881" s="89"/>
      <c r="AS881" s="90"/>
      <c r="AV881" s="88"/>
      <c r="AW881" s="96"/>
      <c r="AX881" s="97"/>
      <c r="AY881" s="93"/>
      <c r="BB881" s="94"/>
    </row>
    <row r="882" spans="42:54">
      <c r="AP882" s="86"/>
      <c r="AQ882" s="88"/>
      <c r="AR882" s="89"/>
      <c r="AS882" s="90"/>
      <c r="AV882" s="88"/>
      <c r="AW882" s="96"/>
      <c r="AX882" s="97"/>
      <c r="AY882" s="93"/>
      <c r="BB882" s="94"/>
    </row>
    <row r="883" spans="42:54">
      <c r="AP883" s="86"/>
      <c r="AQ883" s="88"/>
      <c r="AR883" s="89"/>
      <c r="AS883" s="90"/>
      <c r="AV883" s="88"/>
      <c r="AW883" s="96"/>
      <c r="AX883" s="97"/>
      <c r="AY883" s="93"/>
      <c r="BB883" s="94"/>
    </row>
    <row r="884" spans="42:54">
      <c r="AP884" s="86"/>
      <c r="AQ884" s="88"/>
      <c r="AR884" s="89"/>
      <c r="AS884" s="90"/>
      <c r="AV884" s="88"/>
      <c r="AW884" s="96"/>
      <c r="AX884" s="97"/>
      <c r="AY884" s="93"/>
      <c r="BB884" s="94"/>
    </row>
    <row r="885" spans="42:54">
      <c r="AP885" s="86"/>
      <c r="AQ885" s="88"/>
      <c r="AR885" s="89"/>
      <c r="AS885" s="90"/>
      <c r="AV885" s="88"/>
      <c r="AW885" s="96"/>
      <c r="AX885" s="97"/>
      <c r="AY885" s="93"/>
      <c r="BB885" s="94"/>
    </row>
    <row r="886" spans="42:54">
      <c r="AP886" s="86"/>
      <c r="AQ886" s="88"/>
      <c r="AR886" s="89"/>
      <c r="AS886" s="90"/>
      <c r="AV886" s="88"/>
      <c r="AW886" s="96"/>
      <c r="AX886" s="97"/>
      <c r="AY886" s="93"/>
      <c r="BB886" s="94"/>
    </row>
    <row r="887" spans="42:54">
      <c r="AP887" s="86"/>
      <c r="AQ887" s="88"/>
      <c r="AR887" s="89"/>
      <c r="AS887" s="90"/>
      <c r="AV887" s="88"/>
      <c r="AW887" s="96"/>
      <c r="AX887" s="97"/>
      <c r="AY887" s="93"/>
      <c r="BB887" s="94"/>
    </row>
    <row r="888" spans="42:54">
      <c r="AP888" s="86"/>
      <c r="AQ888" s="88"/>
      <c r="AR888" s="89"/>
      <c r="AS888" s="90"/>
      <c r="AV888" s="88"/>
      <c r="AW888" s="96"/>
      <c r="AX888" s="97"/>
      <c r="AY888" s="93"/>
      <c r="BB888" s="94"/>
    </row>
    <row r="889" spans="42:54">
      <c r="AP889" s="86"/>
      <c r="AQ889" s="88"/>
      <c r="AR889" s="89"/>
      <c r="AS889" s="90"/>
      <c r="AV889" s="88"/>
      <c r="AW889" s="96"/>
      <c r="AX889" s="97"/>
      <c r="AY889" s="93"/>
      <c r="BB889" s="94"/>
    </row>
    <row r="890" spans="42:54">
      <c r="AP890" s="86"/>
      <c r="AQ890" s="88"/>
      <c r="AR890" s="89"/>
      <c r="AS890" s="90"/>
      <c r="AV890" s="88"/>
      <c r="AW890" s="96"/>
      <c r="AX890" s="97"/>
      <c r="AY890" s="93"/>
      <c r="BB890" s="94"/>
    </row>
    <row r="891" spans="42:54">
      <c r="AP891" s="86"/>
      <c r="AQ891" s="88"/>
      <c r="AR891" s="89"/>
      <c r="AS891" s="90"/>
      <c r="AV891" s="88"/>
      <c r="AW891" s="96"/>
      <c r="AX891" s="97"/>
      <c r="AY891" s="93"/>
      <c r="BB891" s="94"/>
    </row>
    <row r="892" spans="42:54">
      <c r="AP892" s="86"/>
      <c r="AQ892" s="88"/>
      <c r="AR892" s="89"/>
      <c r="AS892" s="90"/>
      <c r="AV892" s="88"/>
      <c r="AW892" s="96"/>
      <c r="AX892" s="97"/>
      <c r="AY892" s="93"/>
      <c r="BB892" s="94"/>
    </row>
    <row r="893" spans="42:54">
      <c r="AP893" s="86"/>
      <c r="AQ893" s="88"/>
      <c r="AR893" s="89"/>
      <c r="AS893" s="90"/>
      <c r="AV893" s="88"/>
      <c r="AW893" s="96"/>
      <c r="AX893" s="97"/>
      <c r="AY893" s="93"/>
      <c r="BB893" s="94"/>
    </row>
    <row r="894" spans="42:54">
      <c r="AP894" s="86"/>
      <c r="AQ894" s="88"/>
      <c r="AR894" s="89"/>
      <c r="AS894" s="90"/>
      <c r="AV894" s="88"/>
      <c r="AW894" s="96"/>
      <c r="AX894" s="97"/>
      <c r="AY894" s="93"/>
      <c r="BB894" s="94"/>
    </row>
    <row r="895" spans="42:54">
      <c r="AP895" s="86"/>
      <c r="AQ895" s="88"/>
      <c r="AR895" s="89"/>
      <c r="AS895" s="90"/>
      <c r="AV895" s="88"/>
      <c r="AW895" s="96"/>
      <c r="AX895" s="97"/>
      <c r="AY895" s="93"/>
      <c r="BB895" s="94"/>
    </row>
    <row r="896" spans="42:54">
      <c r="AP896" s="86"/>
      <c r="AQ896" s="88"/>
      <c r="AR896" s="89"/>
      <c r="AS896" s="90"/>
      <c r="AV896" s="88"/>
      <c r="AW896" s="96"/>
      <c r="AX896" s="97"/>
      <c r="AY896" s="93"/>
      <c r="BB896" s="94"/>
    </row>
    <row r="897" spans="42:54">
      <c r="AP897" s="86"/>
      <c r="AQ897" s="88"/>
      <c r="AR897" s="89"/>
      <c r="AS897" s="90"/>
      <c r="AV897" s="88"/>
      <c r="AW897" s="96"/>
      <c r="AX897" s="97"/>
      <c r="AY897" s="93"/>
      <c r="BB897" s="94"/>
    </row>
    <row r="898" spans="42:54">
      <c r="AP898" s="86"/>
      <c r="AQ898" s="88"/>
      <c r="AR898" s="89"/>
      <c r="AS898" s="90"/>
      <c r="AV898" s="88"/>
      <c r="AW898" s="96"/>
      <c r="AX898" s="97"/>
      <c r="AY898" s="93"/>
      <c r="BB898" s="94"/>
    </row>
    <row r="899" spans="42:54">
      <c r="AP899" s="86"/>
      <c r="AQ899" s="88"/>
      <c r="AR899" s="89"/>
      <c r="AS899" s="90"/>
      <c r="AV899" s="88"/>
      <c r="AW899" s="96"/>
      <c r="AX899" s="97"/>
      <c r="AY899" s="93"/>
      <c r="BB899" s="94"/>
    </row>
    <row r="900" spans="42:54">
      <c r="AP900" s="86"/>
      <c r="AQ900" s="88"/>
      <c r="AR900" s="89"/>
      <c r="AS900" s="90"/>
      <c r="AV900" s="88"/>
      <c r="AW900" s="96"/>
      <c r="AX900" s="97"/>
      <c r="AY900" s="93"/>
      <c r="BB900" s="94"/>
    </row>
    <row r="901" spans="42:54">
      <c r="AP901" s="86"/>
      <c r="AQ901" s="88"/>
      <c r="AR901" s="89"/>
      <c r="AS901" s="90"/>
      <c r="AV901" s="88"/>
      <c r="AW901" s="96"/>
      <c r="AX901" s="97"/>
      <c r="AY901" s="93"/>
      <c r="BB901" s="94"/>
    </row>
    <row r="902" spans="42:54">
      <c r="AP902" s="86"/>
      <c r="AQ902" s="88"/>
      <c r="AR902" s="89"/>
      <c r="AS902" s="90"/>
      <c r="AV902" s="88"/>
      <c r="AW902" s="96"/>
      <c r="AX902" s="97"/>
      <c r="AY902" s="93"/>
      <c r="BB902" s="94"/>
    </row>
    <row r="903" spans="42:54">
      <c r="AP903" s="86"/>
      <c r="AQ903" s="88"/>
      <c r="AR903" s="89"/>
      <c r="AS903" s="90"/>
      <c r="AV903" s="88"/>
      <c r="AW903" s="96"/>
      <c r="AX903" s="97"/>
      <c r="AY903" s="93"/>
      <c r="BB903" s="94"/>
    </row>
    <row r="904" spans="42:54">
      <c r="AP904" s="86"/>
      <c r="AQ904" s="88"/>
      <c r="AR904" s="89"/>
      <c r="AS904" s="90"/>
      <c r="AV904" s="88"/>
      <c r="AW904" s="96"/>
      <c r="AX904" s="97"/>
      <c r="AY904" s="93"/>
      <c r="BB904" s="94"/>
    </row>
    <row r="905" spans="42:54">
      <c r="AP905" s="86"/>
      <c r="AQ905" s="88"/>
      <c r="AR905" s="89"/>
      <c r="AS905" s="90"/>
      <c r="AV905" s="88"/>
      <c r="AW905" s="96"/>
      <c r="AX905" s="97"/>
      <c r="AY905" s="93"/>
      <c r="BB905" s="94"/>
    </row>
    <row r="906" spans="42:54">
      <c r="AP906" s="86"/>
      <c r="AQ906" s="88"/>
      <c r="AR906" s="89"/>
      <c r="AS906" s="90"/>
      <c r="AV906" s="88"/>
      <c r="AW906" s="96"/>
      <c r="AX906" s="97"/>
      <c r="AY906" s="93"/>
      <c r="BB906" s="94"/>
    </row>
    <row r="907" spans="42:54">
      <c r="AP907" s="86"/>
      <c r="AQ907" s="88"/>
      <c r="AR907" s="89"/>
      <c r="AS907" s="90"/>
      <c r="AV907" s="88"/>
      <c r="AW907" s="96"/>
      <c r="AX907" s="97"/>
      <c r="AY907" s="93"/>
      <c r="BB907" s="94"/>
    </row>
    <row r="908" spans="42:54">
      <c r="AP908" s="86"/>
      <c r="AQ908" s="88"/>
      <c r="AR908" s="89"/>
      <c r="AS908" s="90"/>
      <c r="AV908" s="88"/>
      <c r="AW908" s="96"/>
      <c r="AX908" s="97"/>
      <c r="AY908" s="93"/>
      <c r="BB908" s="94"/>
    </row>
    <row r="909" spans="42:54">
      <c r="AP909" s="86"/>
      <c r="AQ909" s="88"/>
      <c r="AR909" s="89"/>
      <c r="AS909" s="90"/>
      <c r="AV909" s="88"/>
      <c r="AW909" s="96"/>
      <c r="AX909" s="97"/>
      <c r="AY909" s="93"/>
      <c r="BB909" s="94"/>
    </row>
    <row r="910" spans="42:54">
      <c r="AP910" s="86"/>
      <c r="AQ910" s="88"/>
      <c r="AR910" s="89"/>
      <c r="AS910" s="90"/>
      <c r="AV910" s="88"/>
      <c r="AW910" s="96"/>
      <c r="AX910" s="97"/>
      <c r="AY910" s="93"/>
      <c r="BB910" s="94"/>
    </row>
    <row r="911" spans="42:54">
      <c r="AP911" s="86"/>
      <c r="AQ911" s="88"/>
      <c r="AR911" s="89"/>
      <c r="AS911" s="90"/>
      <c r="AV911" s="88"/>
      <c r="AW911" s="96"/>
      <c r="AX911" s="97"/>
      <c r="AY911" s="93"/>
      <c r="BB911" s="94"/>
    </row>
    <row r="912" spans="42:54">
      <c r="AP912" s="86"/>
      <c r="AQ912" s="88"/>
      <c r="AR912" s="89"/>
      <c r="AS912" s="90"/>
      <c r="AV912" s="88"/>
      <c r="AW912" s="96"/>
      <c r="AX912" s="97"/>
      <c r="AY912" s="93"/>
      <c r="BB912" s="94"/>
    </row>
    <row r="913" spans="42:54">
      <c r="AP913" s="86"/>
      <c r="AQ913" s="88"/>
      <c r="AR913" s="89"/>
      <c r="AS913" s="90"/>
      <c r="AV913" s="88"/>
      <c r="AW913" s="96"/>
      <c r="AX913" s="97"/>
      <c r="AY913" s="93"/>
      <c r="BB913" s="94"/>
    </row>
    <row r="914" spans="42:54">
      <c r="AP914" s="86"/>
      <c r="AQ914" s="88"/>
      <c r="AR914" s="89"/>
      <c r="AS914" s="90"/>
      <c r="AV914" s="88"/>
      <c r="AW914" s="96"/>
      <c r="AX914" s="97"/>
      <c r="AY914" s="93"/>
      <c r="BB914" s="94"/>
    </row>
    <row r="915" spans="42:54">
      <c r="AP915" s="86"/>
      <c r="AQ915" s="88"/>
      <c r="AR915" s="89"/>
      <c r="AS915" s="90"/>
      <c r="AV915" s="88"/>
      <c r="AW915" s="96"/>
      <c r="AX915" s="97"/>
      <c r="AY915" s="93"/>
      <c r="BB915" s="94"/>
    </row>
    <row r="916" spans="42:54">
      <c r="AP916" s="86"/>
      <c r="AQ916" s="88"/>
      <c r="AR916" s="89"/>
      <c r="AS916" s="90"/>
      <c r="AV916" s="88"/>
      <c r="AW916" s="96"/>
      <c r="AX916" s="97"/>
      <c r="AY916" s="93"/>
      <c r="BB916" s="94"/>
    </row>
    <row r="917" spans="42:54">
      <c r="AP917" s="86"/>
      <c r="AQ917" s="88"/>
      <c r="AR917" s="89"/>
      <c r="AS917" s="90"/>
      <c r="AV917" s="88"/>
      <c r="AW917" s="96"/>
      <c r="AX917" s="97"/>
      <c r="AY917" s="93"/>
      <c r="BB917" s="94"/>
    </row>
    <row r="918" spans="42:54">
      <c r="AP918" s="86"/>
      <c r="AQ918" s="88"/>
      <c r="AR918" s="89"/>
      <c r="AS918" s="90"/>
      <c r="AV918" s="88"/>
      <c r="AW918" s="96"/>
      <c r="AX918" s="97"/>
      <c r="AY918" s="93"/>
      <c r="BB918" s="94"/>
    </row>
    <row r="919" spans="42:54">
      <c r="AP919" s="86"/>
      <c r="AQ919" s="88"/>
      <c r="AR919" s="89"/>
      <c r="AS919" s="90"/>
      <c r="AV919" s="88"/>
      <c r="AW919" s="96"/>
      <c r="AX919" s="97"/>
      <c r="AY919" s="93"/>
      <c r="BB919" s="94"/>
    </row>
    <row r="920" spans="42:54">
      <c r="AP920" s="86"/>
      <c r="AQ920" s="88"/>
      <c r="AR920" s="89"/>
      <c r="AS920" s="90"/>
      <c r="AV920" s="88"/>
      <c r="AW920" s="96"/>
      <c r="AX920" s="97"/>
      <c r="AY920" s="93"/>
      <c r="BB920" s="94"/>
    </row>
    <row r="921" spans="42:54">
      <c r="AP921" s="86"/>
      <c r="AQ921" s="88"/>
      <c r="AR921" s="89"/>
      <c r="AS921" s="90"/>
      <c r="AV921" s="88"/>
      <c r="AW921" s="96"/>
      <c r="AX921" s="97"/>
      <c r="AY921" s="93"/>
      <c r="BB921" s="94"/>
    </row>
    <row r="922" spans="42:54">
      <c r="AP922" s="86"/>
      <c r="AQ922" s="88"/>
      <c r="AR922" s="89"/>
      <c r="AS922" s="90"/>
      <c r="AV922" s="88"/>
      <c r="AW922" s="96"/>
      <c r="AX922" s="97"/>
      <c r="AY922" s="93"/>
      <c r="BB922" s="94"/>
    </row>
    <row r="923" spans="42:54">
      <c r="AP923" s="86"/>
      <c r="AQ923" s="88"/>
      <c r="AR923" s="89"/>
      <c r="AS923" s="90"/>
      <c r="AV923" s="88"/>
      <c r="AW923" s="96"/>
      <c r="AX923" s="97"/>
      <c r="AY923" s="93"/>
      <c r="BB923" s="94"/>
    </row>
    <row r="924" spans="42:54">
      <c r="AP924" s="86"/>
      <c r="AQ924" s="88"/>
      <c r="AR924" s="89"/>
      <c r="AS924" s="90"/>
      <c r="AV924" s="88"/>
      <c r="AW924" s="96"/>
      <c r="AX924" s="97"/>
      <c r="AY924" s="93"/>
      <c r="BB924" s="94"/>
    </row>
    <row r="925" spans="42:54">
      <c r="AP925" s="86"/>
      <c r="AQ925" s="88"/>
      <c r="AR925" s="89"/>
      <c r="AS925" s="90"/>
      <c r="AV925" s="88"/>
      <c r="AW925" s="96"/>
      <c r="AX925" s="97"/>
      <c r="AY925" s="93"/>
      <c r="BB925" s="94"/>
    </row>
    <row r="926" spans="42:54">
      <c r="AP926" s="86"/>
      <c r="AQ926" s="88"/>
      <c r="AR926" s="89"/>
      <c r="AS926" s="90"/>
      <c r="AV926" s="88"/>
      <c r="AW926" s="96"/>
      <c r="AX926" s="97"/>
      <c r="AY926" s="93"/>
      <c r="BB926" s="94"/>
    </row>
    <row r="927" spans="42:54">
      <c r="AP927" s="86"/>
      <c r="AQ927" s="88"/>
      <c r="AR927" s="89"/>
      <c r="AS927" s="90"/>
      <c r="AV927" s="88"/>
      <c r="AW927" s="96"/>
      <c r="AX927" s="97"/>
      <c r="AY927" s="93"/>
      <c r="BB927" s="94"/>
    </row>
    <row r="928" spans="42:54">
      <c r="AP928" s="86"/>
      <c r="AQ928" s="88"/>
      <c r="AR928" s="89"/>
      <c r="AS928" s="90"/>
      <c r="AV928" s="88"/>
      <c r="AW928" s="96"/>
      <c r="AX928" s="97"/>
      <c r="AY928" s="93"/>
      <c r="BB928" s="94"/>
    </row>
    <row r="929" spans="42:54">
      <c r="AP929" s="86"/>
      <c r="AQ929" s="88"/>
      <c r="AR929" s="89"/>
      <c r="AS929" s="90"/>
      <c r="AV929" s="88"/>
      <c r="AW929" s="96"/>
      <c r="AX929" s="97"/>
      <c r="AY929" s="93"/>
      <c r="BB929" s="94"/>
    </row>
    <row r="930" spans="42:54">
      <c r="AP930" s="86"/>
      <c r="AQ930" s="88"/>
      <c r="AR930" s="89"/>
      <c r="AS930" s="90"/>
      <c r="AV930" s="88"/>
      <c r="AW930" s="96"/>
      <c r="AX930" s="97"/>
      <c r="AY930" s="93"/>
      <c r="BB930" s="94"/>
    </row>
    <row r="931" spans="42:54">
      <c r="AP931" s="86"/>
      <c r="AQ931" s="88"/>
      <c r="AR931" s="89"/>
      <c r="AS931" s="90"/>
      <c r="AV931" s="88"/>
      <c r="AW931" s="96"/>
      <c r="AX931" s="97"/>
      <c r="AY931" s="93"/>
      <c r="BB931" s="94"/>
    </row>
    <row r="932" spans="42:54">
      <c r="AP932" s="86"/>
      <c r="AQ932" s="88"/>
      <c r="AR932" s="89"/>
      <c r="AS932" s="90"/>
      <c r="AV932" s="88"/>
      <c r="AW932" s="96"/>
      <c r="AX932" s="97"/>
      <c r="AY932" s="93"/>
      <c r="BB932" s="94"/>
    </row>
    <row r="933" spans="42:54">
      <c r="AP933" s="86"/>
      <c r="AQ933" s="88"/>
      <c r="AR933" s="89"/>
      <c r="AS933" s="90"/>
      <c r="AV933" s="88"/>
      <c r="AW933" s="96"/>
      <c r="AX933" s="97"/>
      <c r="AY933" s="93"/>
      <c r="BB933" s="94"/>
    </row>
    <row r="934" spans="42:54">
      <c r="AP934" s="86"/>
      <c r="AQ934" s="88"/>
      <c r="AR934" s="89"/>
      <c r="AS934" s="90"/>
      <c r="AV934" s="88"/>
      <c r="AW934" s="96"/>
      <c r="AX934" s="97"/>
      <c r="AY934" s="93"/>
      <c r="BB934" s="94"/>
    </row>
    <row r="935" spans="42:54">
      <c r="AP935" s="86"/>
      <c r="AQ935" s="88"/>
      <c r="AR935" s="89"/>
      <c r="AS935" s="90"/>
      <c r="AV935" s="88"/>
      <c r="AW935" s="96"/>
      <c r="AX935" s="97"/>
      <c r="AY935" s="93"/>
      <c r="BB935" s="94"/>
    </row>
    <row r="936" spans="42:54">
      <c r="AP936" s="86"/>
      <c r="AQ936" s="88"/>
      <c r="AR936" s="89"/>
      <c r="AS936" s="90"/>
      <c r="AV936" s="88"/>
      <c r="AW936" s="96"/>
      <c r="AX936" s="97"/>
      <c r="AY936" s="93"/>
      <c r="BB936" s="94"/>
    </row>
    <row r="937" spans="42:54">
      <c r="AP937" s="86"/>
      <c r="AQ937" s="88"/>
      <c r="AR937" s="89"/>
      <c r="AS937" s="90"/>
      <c r="AV937" s="88"/>
      <c r="AW937" s="96"/>
      <c r="AX937" s="97"/>
      <c r="AY937" s="93"/>
      <c r="BB937" s="94"/>
    </row>
    <row r="938" spans="42:54">
      <c r="AP938" s="86"/>
      <c r="AQ938" s="88"/>
      <c r="AR938" s="89"/>
      <c r="AS938" s="90"/>
      <c r="AV938" s="88"/>
      <c r="AW938" s="96"/>
      <c r="AX938" s="97"/>
      <c r="AY938" s="93"/>
      <c r="BB938" s="94"/>
    </row>
    <row r="939" spans="42:54">
      <c r="AP939" s="86"/>
      <c r="AQ939" s="88"/>
      <c r="AR939" s="89"/>
      <c r="AS939" s="90"/>
      <c r="AV939" s="88"/>
      <c r="AW939" s="96"/>
      <c r="AX939" s="97"/>
      <c r="AY939" s="93"/>
      <c r="BB939" s="94"/>
    </row>
    <row r="940" spans="42:54">
      <c r="AP940" s="86"/>
      <c r="AQ940" s="88"/>
      <c r="AR940" s="89"/>
      <c r="AS940" s="90"/>
      <c r="AV940" s="88"/>
      <c r="AW940" s="96"/>
      <c r="AX940" s="97"/>
      <c r="AY940" s="93"/>
      <c r="BB940" s="94"/>
    </row>
    <row r="941" spans="42:54">
      <c r="AP941" s="86"/>
      <c r="AQ941" s="88"/>
      <c r="AR941" s="89"/>
      <c r="AS941" s="90"/>
      <c r="AV941" s="88"/>
      <c r="AW941" s="96"/>
      <c r="AX941" s="97"/>
      <c r="AY941" s="93"/>
      <c r="BB941" s="94"/>
    </row>
    <row r="942" spans="42:54">
      <c r="AP942" s="86"/>
      <c r="AQ942" s="88"/>
      <c r="AR942" s="89"/>
      <c r="AS942" s="90"/>
      <c r="AV942" s="88"/>
      <c r="AW942" s="96"/>
      <c r="AX942" s="97"/>
      <c r="AY942" s="93"/>
      <c r="BB942" s="94"/>
    </row>
    <row r="943" spans="42:54">
      <c r="AP943" s="86"/>
      <c r="AQ943" s="88"/>
      <c r="AR943" s="89"/>
      <c r="AS943" s="90"/>
      <c r="AV943" s="88"/>
      <c r="AW943" s="96"/>
      <c r="AX943" s="97"/>
      <c r="AY943" s="93"/>
      <c r="BB943" s="94"/>
    </row>
    <row r="944" spans="42:54">
      <c r="AP944" s="86"/>
      <c r="AQ944" s="88"/>
      <c r="AR944" s="89"/>
      <c r="AS944" s="90"/>
      <c r="AV944" s="88"/>
      <c r="AW944" s="96"/>
      <c r="AX944" s="97"/>
      <c r="AY944" s="93"/>
      <c r="BB944" s="94"/>
    </row>
    <row r="945" spans="42:54">
      <c r="AP945" s="86"/>
      <c r="AQ945" s="88"/>
      <c r="AR945" s="89"/>
      <c r="AS945" s="90"/>
      <c r="AV945" s="88"/>
      <c r="AW945" s="96"/>
      <c r="AX945" s="97"/>
      <c r="AY945" s="93"/>
      <c r="BB945" s="94"/>
    </row>
    <row r="946" spans="42:54">
      <c r="AP946" s="86"/>
      <c r="AQ946" s="88"/>
      <c r="AR946" s="89"/>
      <c r="AS946" s="90"/>
      <c r="AV946" s="88"/>
      <c r="AW946" s="96"/>
      <c r="AX946" s="97"/>
      <c r="AY946" s="93"/>
      <c r="BB946" s="94"/>
    </row>
    <row r="947" spans="42:54">
      <c r="AP947" s="86"/>
      <c r="AQ947" s="88"/>
      <c r="AR947" s="89"/>
      <c r="AS947" s="90"/>
      <c r="AV947" s="88"/>
      <c r="AW947" s="96"/>
      <c r="AX947" s="97"/>
      <c r="AY947" s="93"/>
      <c r="BB947" s="94"/>
    </row>
    <row r="948" spans="42:54">
      <c r="AP948" s="86"/>
      <c r="AQ948" s="88"/>
      <c r="AR948" s="89"/>
      <c r="AS948" s="90"/>
      <c r="AV948" s="88"/>
      <c r="AW948" s="96"/>
      <c r="AX948" s="97"/>
      <c r="AY948" s="93"/>
      <c r="BB948" s="94"/>
    </row>
    <row r="949" spans="42:54">
      <c r="AP949" s="86"/>
      <c r="AQ949" s="88"/>
      <c r="AR949" s="89"/>
      <c r="AS949" s="90"/>
      <c r="AV949" s="88"/>
      <c r="AW949" s="96"/>
      <c r="AX949" s="97"/>
      <c r="AY949" s="93"/>
      <c r="BB949" s="94"/>
    </row>
    <row r="950" spans="42:54">
      <c r="AP950" s="86"/>
      <c r="AQ950" s="88"/>
      <c r="AR950" s="89"/>
      <c r="AS950" s="90"/>
      <c r="AV950" s="88"/>
      <c r="AW950" s="96"/>
      <c r="AX950" s="97"/>
      <c r="AY950" s="93"/>
      <c r="BB950" s="94"/>
    </row>
    <row r="951" spans="42:54">
      <c r="AP951" s="86"/>
      <c r="AQ951" s="88"/>
      <c r="AR951" s="89"/>
      <c r="AS951" s="90"/>
      <c r="AV951" s="88"/>
      <c r="AW951" s="96"/>
      <c r="AX951" s="97"/>
      <c r="AY951" s="93"/>
      <c r="BB951" s="94"/>
    </row>
    <row r="952" spans="42:54">
      <c r="AP952" s="86"/>
      <c r="AQ952" s="88"/>
      <c r="AR952" s="89"/>
      <c r="AS952" s="90"/>
      <c r="AV952" s="88"/>
      <c r="AW952" s="96"/>
      <c r="AX952" s="97"/>
      <c r="AY952" s="93"/>
      <c r="BB952" s="94"/>
    </row>
    <row r="953" spans="42:54">
      <c r="AP953" s="86"/>
      <c r="AQ953" s="88"/>
      <c r="AR953" s="89"/>
      <c r="AS953" s="90"/>
      <c r="AV953" s="88"/>
      <c r="AW953" s="96"/>
      <c r="AX953" s="97"/>
      <c r="AY953" s="93"/>
      <c r="BB953" s="94"/>
    </row>
    <row r="954" spans="42:54">
      <c r="AP954" s="86"/>
      <c r="AQ954" s="88"/>
      <c r="AR954" s="89"/>
      <c r="AS954" s="90"/>
      <c r="AV954" s="88"/>
      <c r="AW954" s="96"/>
      <c r="AX954" s="97"/>
      <c r="AY954" s="93"/>
      <c r="BB954" s="94"/>
    </row>
    <row r="955" spans="42:54">
      <c r="AP955" s="86"/>
      <c r="AQ955" s="88"/>
      <c r="AR955" s="89"/>
      <c r="AS955" s="90"/>
      <c r="AV955" s="88"/>
      <c r="AW955" s="96"/>
      <c r="AX955" s="97"/>
      <c r="AY955" s="93"/>
      <c r="BB955" s="94"/>
    </row>
    <row r="956" spans="42:54">
      <c r="AP956" s="86"/>
      <c r="AQ956" s="88"/>
      <c r="AR956" s="89"/>
      <c r="AS956" s="90"/>
      <c r="AV956" s="88"/>
      <c r="AW956" s="96"/>
      <c r="AX956" s="97"/>
      <c r="AY956" s="93"/>
      <c r="BB956" s="94"/>
    </row>
    <row r="957" spans="42:54">
      <c r="AP957" s="86"/>
      <c r="AQ957" s="88"/>
      <c r="AR957" s="89"/>
      <c r="AS957" s="90"/>
      <c r="AV957" s="88"/>
      <c r="AW957" s="96"/>
      <c r="AX957" s="97"/>
      <c r="AY957" s="93"/>
      <c r="BB957" s="94"/>
    </row>
    <row r="958" spans="42:54">
      <c r="AP958" s="86"/>
      <c r="AQ958" s="88"/>
      <c r="AR958" s="89"/>
      <c r="AS958" s="90"/>
      <c r="AV958" s="88"/>
      <c r="AW958" s="96"/>
      <c r="AX958" s="97"/>
      <c r="AY958" s="93"/>
      <c r="BB958" s="94"/>
    </row>
    <row r="959" spans="42:54">
      <c r="AP959" s="86"/>
      <c r="AQ959" s="88"/>
      <c r="AR959" s="89"/>
      <c r="AS959" s="90"/>
      <c r="AV959" s="88"/>
      <c r="AW959" s="96"/>
      <c r="AX959" s="97"/>
      <c r="AY959" s="93"/>
      <c r="BB959" s="94"/>
    </row>
    <row r="960" spans="42:54">
      <c r="AP960" s="86"/>
      <c r="AQ960" s="88"/>
      <c r="AR960" s="89"/>
      <c r="AS960" s="90"/>
      <c r="AV960" s="88"/>
      <c r="AW960" s="96"/>
      <c r="AX960" s="97"/>
      <c r="AY960" s="93"/>
      <c r="BB960" s="94"/>
    </row>
    <row r="961" spans="42:54">
      <c r="AP961" s="86"/>
      <c r="AQ961" s="88"/>
      <c r="AR961" s="89"/>
      <c r="AS961" s="90"/>
      <c r="AV961" s="88"/>
      <c r="AW961" s="96"/>
      <c r="AX961" s="97"/>
      <c r="AY961" s="93"/>
      <c r="BB961" s="94"/>
    </row>
    <row r="962" spans="42:54">
      <c r="AP962" s="86"/>
      <c r="AQ962" s="88"/>
      <c r="AR962" s="89"/>
      <c r="AS962" s="90"/>
      <c r="AV962" s="88"/>
      <c r="AW962" s="96"/>
      <c r="AX962" s="97"/>
      <c r="AY962" s="93"/>
      <c r="BB962" s="94"/>
    </row>
    <row r="963" spans="42:54">
      <c r="AP963" s="86"/>
      <c r="AQ963" s="88"/>
      <c r="AR963" s="89"/>
      <c r="AS963" s="90"/>
      <c r="AV963" s="88"/>
      <c r="AW963" s="96"/>
      <c r="AX963" s="97"/>
      <c r="AY963" s="93"/>
      <c r="BB963" s="94"/>
    </row>
    <row r="964" spans="42:54">
      <c r="AP964" s="86"/>
      <c r="AQ964" s="88"/>
      <c r="AR964" s="89"/>
      <c r="AS964" s="90"/>
      <c r="AV964" s="88"/>
      <c r="AW964" s="96"/>
      <c r="AX964" s="97"/>
      <c r="AY964" s="93"/>
      <c r="BB964" s="94"/>
    </row>
    <row r="965" spans="42:54">
      <c r="AP965" s="86"/>
      <c r="AQ965" s="88"/>
      <c r="AR965" s="89"/>
      <c r="AS965" s="90"/>
      <c r="AV965" s="88"/>
      <c r="AW965" s="96"/>
      <c r="AX965" s="97"/>
      <c r="AY965" s="93"/>
      <c r="BB965" s="94"/>
    </row>
    <row r="966" spans="42:54">
      <c r="AP966" s="86"/>
      <c r="AQ966" s="88"/>
      <c r="AR966" s="89"/>
      <c r="AS966" s="90"/>
      <c r="AV966" s="88"/>
      <c r="AW966" s="96"/>
      <c r="AX966" s="97"/>
      <c r="AY966" s="93"/>
      <c r="BB966" s="94"/>
    </row>
    <row r="967" spans="42:54">
      <c r="AP967" s="86"/>
      <c r="AQ967" s="88"/>
      <c r="AR967" s="89"/>
      <c r="AS967" s="90"/>
      <c r="AV967" s="88"/>
      <c r="AW967" s="96"/>
      <c r="AX967" s="97"/>
      <c r="AY967" s="93"/>
      <c r="BB967" s="94"/>
    </row>
    <row r="968" spans="42:54">
      <c r="AP968" s="86"/>
      <c r="AQ968" s="88"/>
      <c r="AR968" s="89"/>
      <c r="AS968" s="90"/>
      <c r="AV968" s="88"/>
      <c r="AW968" s="96"/>
      <c r="AX968" s="97"/>
      <c r="AY968" s="93"/>
      <c r="BB968" s="94"/>
    </row>
    <row r="969" spans="42:54">
      <c r="AP969" s="86"/>
      <c r="AQ969" s="88"/>
      <c r="AR969" s="89"/>
      <c r="AS969" s="90"/>
      <c r="AV969" s="88"/>
      <c r="AW969" s="96"/>
      <c r="AX969" s="97"/>
      <c r="AY969" s="93"/>
      <c r="BB969" s="94"/>
    </row>
    <row r="970" spans="42:54">
      <c r="AP970" s="86"/>
      <c r="AQ970" s="88"/>
      <c r="AR970" s="89"/>
      <c r="AS970" s="90"/>
      <c r="AV970" s="88"/>
      <c r="AW970" s="96"/>
      <c r="AX970" s="97"/>
      <c r="AY970" s="93"/>
      <c r="BB970" s="94"/>
    </row>
    <row r="971" spans="42:54">
      <c r="AP971" s="86"/>
      <c r="AQ971" s="88"/>
      <c r="AR971" s="89"/>
      <c r="AS971" s="90"/>
      <c r="AV971" s="88"/>
      <c r="AW971" s="96"/>
      <c r="AX971" s="97"/>
      <c r="AY971" s="93"/>
      <c r="BB971" s="94"/>
    </row>
    <row r="972" spans="42:54">
      <c r="AP972" s="86"/>
      <c r="AQ972" s="88"/>
      <c r="AR972" s="89"/>
      <c r="AS972" s="90"/>
      <c r="AV972" s="88"/>
      <c r="AW972" s="96"/>
      <c r="AX972" s="97"/>
      <c r="AY972" s="93"/>
      <c r="BB972" s="94"/>
    </row>
    <row r="973" spans="42:54">
      <c r="AP973" s="86"/>
      <c r="AQ973" s="88"/>
      <c r="AR973" s="89"/>
      <c r="AS973" s="90"/>
      <c r="AV973" s="88"/>
      <c r="AW973" s="96"/>
      <c r="AX973" s="97"/>
      <c r="AY973" s="93"/>
      <c r="BB973" s="94"/>
    </row>
    <row r="974" spans="42:54">
      <c r="AP974" s="86"/>
      <c r="AQ974" s="88"/>
      <c r="AR974" s="89"/>
      <c r="AS974" s="90"/>
      <c r="AV974" s="88"/>
      <c r="AW974" s="96"/>
      <c r="AX974" s="97"/>
      <c r="AY974" s="93"/>
      <c r="BB974" s="94"/>
    </row>
    <row r="975" spans="42:54">
      <c r="AP975" s="86"/>
      <c r="AQ975" s="88"/>
      <c r="AR975" s="89"/>
      <c r="AS975" s="90"/>
      <c r="AV975" s="88"/>
      <c r="AW975" s="96"/>
      <c r="AX975" s="97"/>
      <c r="AY975" s="93"/>
      <c r="BB975" s="94"/>
    </row>
    <row r="976" spans="42:54">
      <c r="AP976" s="86"/>
      <c r="AQ976" s="88"/>
      <c r="AR976" s="89"/>
      <c r="AS976" s="90"/>
      <c r="AV976" s="88"/>
      <c r="AW976" s="96"/>
      <c r="AX976" s="97"/>
      <c r="AY976" s="93"/>
      <c r="BB976" s="94"/>
    </row>
    <row r="977" spans="42:54">
      <c r="AP977" s="86"/>
      <c r="AQ977" s="88"/>
      <c r="AR977" s="89"/>
      <c r="AS977" s="90"/>
      <c r="AV977" s="88"/>
      <c r="AW977" s="96"/>
      <c r="AX977" s="97"/>
      <c r="AY977" s="93"/>
      <c r="BB977" s="94"/>
    </row>
    <row r="978" spans="42:54">
      <c r="AP978" s="86"/>
      <c r="AQ978" s="88"/>
      <c r="AR978" s="89"/>
      <c r="AS978" s="90"/>
      <c r="AV978" s="88"/>
      <c r="AW978" s="96"/>
      <c r="AX978" s="97"/>
      <c r="AY978" s="93"/>
      <c r="BB978" s="94"/>
    </row>
    <row r="979" spans="42:54">
      <c r="AP979" s="86"/>
      <c r="AQ979" s="88"/>
      <c r="AR979" s="89"/>
      <c r="AS979" s="90"/>
      <c r="AV979" s="88"/>
      <c r="AW979" s="96"/>
      <c r="AX979" s="97"/>
      <c r="AY979" s="93"/>
      <c r="BB979" s="94"/>
    </row>
    <row r="980" spans="42:54">
      <c r="AP980" s="86"/>
      <c r="AQ980" s="88"/>
      <c r="AR980" s="89"/>
      <c r="AS980" s="90"/>
      <c r="AV980" s="88"/>
      <c r="AW980" s="96"/>
      <c r="AX980" s="97"/>
      <c r="AY980" s="93"/>
      <c r="BB980" s="94"/>
    </row>
    <row r="981" spans="42:54">
      <c r="AP981" s="86"/>
      <c r="AQ981" s="88"/>
      <c r="AR981" s="89"/>
      <c r="AS981" s="90"/>
      <c r="AV981" s="88"/>
      <c r="AW981" s="96"/>
      <c r="AX981" s="97"/>
      <c r="AY981" s="93"/>
      <c r="BB981" s="94"/>
    </row>
    <row r="982" spans="42:54">
      <c r="AP982" s="86"/>
      <c r="AQ982" s="88"/>
      <c r="AR982" s="89"/>
      <c r="AS982" s="90"/>
      <c r="AV982" s="88"/>
      <c r="AW982" s="96"/>
      <c r="AX982" s="97"/>
      <c r="AY982" s="93"/>
      <c r="BB982" s="94"/>
    </row>
    <row r="983" spans="42:54">
      <c r="AP983" s="86"/>
      <c r="AQ983" s="88"/>
      <c r="AR983" s="89"/>
      <c r="AS983" s="90"/>
      <c r="AV983" s="88"/>
      <c r="AW983" s="96"/>
      <c r="AX983" s="97"/>
      <c r="AY983" s="93"/>
      <c r="BB983" s="94"/>
    </row>
    <row r="984" spans="42:54">
      <c r="AP984" s="86"/>
      <c r="AQ984" s="88"/>
      <c r="AR984" s="89"/>
      <c r="AS984" s="90"/>
      <c r="AV984" s="88"/>
      <c r="AW984" s="96"/>
      <c r="AX984" s="97"/>
      <c r="AY984" s="93"/>
      <c r="BB984" s="94"/>
    </row>
    <row r="985" spans="42:54">
      <c r="AP985" s="86"/>
      <c r="AQ985" s="88"/>
      <c r="AR985" s="89"/>
      <c r="AS985" s="90"/>
      <c r="AV985" s="88"/>
      <c r="AW985" s="96"/>
      <c r="AX985" s="97"/>
      <c r="AY985" s="93"/>
      <c r="BB985" s="94"/>
    </row>
    <row r="986" spans="42:54">
      <c r="AP986" s="86"/>
      <c r="AQ986" s="88"/>
      <c r="AR986" s="89"/>
      <c r="AS986" s="90"/>
      <c r="AV986" s="88"/>
      <c r="AW986" s="96"/>
      <c r="AX986" s="97"/>
      <c r="AY986" s="93"/>
      <c r="BB986" s="94"/>
    </row>
    <row r="987" spans="42:54">
      <c r="AP987" s="86"/>
      <c r="AQ987" s="88"/>
      <c r="AR987" s="89"/>
      <c r="AS987" s="90"/>
      <c r="AV987" s="88"/>
      <c r="AW987" s="96"/>
      <c r="AX987" s="97"/>
      <c r="AY987" s="93"/>
      <c r="BB987" s="94"/>
    </row>
    <row r="988" spans="42:54">
      <c r="AP988" s="86"/>
      <c r="AQ988" s="88"/>
      <c r="AR988" s="89"/>
      <c r="AS988" s="90"/>
      <c r="AV988" s="88"/>
      <c r="AW988" s="96"/>
      <c r="AX988" s="97"/>
      <c r="AY988" s="93"/>
      <c r="BB988" s="94"/>
    </row>
    <row r="989" spans="42:54">
      <c r="AP989" s="86"/>
      <c r="AQ989" s="88"/>
      <c r="AR989" s="89"/>
      <c r="AS989" s="90"/>
      <c r="AV989" s="88"/>
      <c r="AW989" s="96"/>
      <c r="AX989" s="97"/>
      <c r="AY989" s="93"/>
      <c r="BB989" s="94"/>
    </row>
    <row r="990" spans="42:54">
      <c r="AP990" s="86"/>
      <c r="AQ990" s="88"/>
      <c r="AR990" s="89"/>
      <c r="AS990" s="90"/>
      <c r="AV990" s="88"/>
      <c r="AW990" s="96"/>
      <c r="AX990" s="97"/>
      <c r="AY990" s="93"/>
      <c r="BB990" s="94"/>
    </row>
    <row r="991" spans="42:54">
      <c r="AP991" s="86"/>
      <c r="AQ991" s="88"/>
      <c r="AR991" s="89"/>
      <c r="AS991" s="90"/>
      <c r="AV991" s="88"/>
      <c r="AW991" s="96"/>
      <c r="AX991" s="97"/>
      <c r="AY991" s="93"/>
      <c r="BB991" s="94"/>
    </row>
    <row r="992" spans="42:54">
      <c r="AP992" s="86"/>
      <c r="AQ992" s="88"/>
      <c r="AR992" s="89"/>
      <c r="AS992" s="90"/>
      <c r="AV992" s="88"/>
      <c r="AW992" s="96"/>
      <c r="AX992" s="97"/>
      <c r="AY992" s="93"/>
      <c r="BB992" s="94"/>
    </row>
    <row r="993" spans="42:54">
      <c r="AP993" s="86"/>
      <c r="AQ993" s="88"/>
      <c r="AR993" s="89"/>
      <c r="AS993" s="90"/>
      <c r="AV993" s="88"/>
      <c r="AW993" s="96"/>
      <c r="AX993" s="97"/>
      <c r="AY993" s="93"/>
      <c r="BB993" s="94"/>
    </row>
    <row r="994" spans="42:54">
      <c r="AP994" s="86"/>
      <c r="AQ994" s="88"/>
      <c r="AR994" s="89"/>
      <c r="AS994" s="90"/>
      <c r="AV994" s="88"/>
      <c r="AW994" s="96"/>
      <c r="AX994" s="97"/>
      <c r="AY994" s="93"/>
      <c r="BB994" s="94"/>
    </row>
    <row r="995" spans="42:54">
      <c r="AP995" s="86"/>
      <c r="AQ995" s="88"/>
      <c r="AR995" s="89"/>
      <c r="AS995" s="90"/>
      <c r="AV995" s="88"/>
      <c r="AW995" s="96"/>
      <c r="AX995" s="97"/>
      <c r="AY995" s="93"/>
      <c r="BB995" s="94"/>
    </row>
    <row r="996" spans="42:54">
      <c r="AP996" s="86"/>
      <c r="AQ996" s="88"/>
      <c r="AR996" s="89"/>
      <c r="AS996" s="90"/>
      <c r="AV996" s="88"/>
      <c r="AW996" s="96"/>
      <c r="AX996" s="97"/>
      <c r="AY996" s="93"/>
      <c r="BB996" s="94"/>
    </row>
    <row r="997" spans="42:54">
      <c r="AP997" s="86"/>
      <c r="AQ997" s="88"/>
      <c r="AR997" s="89"/>
      <c r="AS997" s="90"/>
      <c r="AV997" s="88"/>
      <c r="AW997" s="96"/>
      <c r="AX997" s="97"/>
      <c r="AY997" s="93"/>
      <c r="BB997" s="94"/>
    </row>
    <row r="998" spans="42:54">
      <c r="AP998" s="86"/>
      <c r="AQ998" s="88"/>
      <c r="AR998" s="89"/>
      <c r="AS998" s="90"/>
      <c r="AV998" s="88"/>
      <c r="AW998" s="96"/>
      <c r="AX998" s="97"/>
      <c r="AY998" s="93"/>
      <c r="BB998" s="94"/>
    </row>
    <row r="999" spans="42:54">
      <c r="AP999" s="86"/>
      <c r="AQ999" s="88"/>
      <c r="AR999" s="89"/>
      <c r="AS999" s="90"/>
      <c r="AV999" s="88"/>
      <c r="AW999" s="96"/>
      <c r="AX999" s="97"/>
      <c r="AY999" s="93"/>
      <c r="BB999" s="94"/>
    </row>
    <row r="1000" spans="42:54">
      <c r="AP1000" s="86"/>
      <c r="AQ1000" s="88"/>
      <c r="AR1000" s="89"/>
      <c r="AS1000" s="90"/>
      <c r="AV1000" s="88"/>
      <c r="AW1000" s="96"/>
      <c r="AX1000" s="97"/>
      <c r="AY1000" s="93"/>
      <c r="BB1000" s="94"/>
    </row>
    <row r="1001" spans="42:54">
      <c r="AP1001" s="86"/>
      <c r="AQ1001" s="88"/>
      <c r="AR1001" s="89"/>
      <c r="AS1001" s="90"/>
      <c r="AV1001" s="88"/>
      <c r="AW1001" s="96"/>
      <c r="AX1001" s="97"/>
      <c r="AY1001" s="93"/>
      <c r="BB1001" s="94"/>
    </row>
    <row r="1002" spans="42:54">
      <c r="AP1002" s="86"/>
      <c r="AQ1002" s="88"/>
      <c r="AR1002" s="89"/>
      <c r="AS1002" s="90"/>
      <c r="AV1002" s="88"/>
      <c r="AW1002" s="96"/>
      <c r="AX1002" s="97"/>
      <c r="AY1002" s="93"/>
      <c r="BB1002" s="94"/>
    </row>
    <row r="1003" spans="42:54">
      <c r="AP1003" s="86"/>
      <c r="AQ1003" s="88"/>
      <c r="AR1003" s="89"/>
      <c r="AS1003" s="90"/>
      <c r="AV1003" s="88"/>
      <c r="AW1003" s="96"/>
      <c r="AX1003" s="97"/>
      <c r="AY1003" s="93"/>
      <c r="BB1003" s="94"/>
    </row>
    <row r="1004" spans="42:54">
      <c r="AP1004" s="86"/>
      <c r="AQ1004" s="88"/>
      <c r="AR1004" s="89"/>
      <c r="AS1004" s="90"/>
      <c r="AV1004" s="88"/>
      <c r="AW1004" s="96"/>
      <c r="AX1004" s="97"/>
      <c r="AY1004" s="93"/>
      <c r="BB1004" s="94"/>
    </row>
    <row r="1005" spans="42:54">
      <c r="AP1005" s="86"/>
      <c r="AQ1005" s="88"/>
      <c r="AR1005" s="89"/>
      <c r="AS1005" s="90"/>
      <c r="AV1005" s="88"/>
      <c r="AW1005" s="96"/>
      <c r="AX1005" s="97"/>
      <c r="AY1005" s="93"/>
      <c r="BB1005" s="94"/>
    </row>
    <row r="1006" spans="42:54">
      <c r="AP1006" s="86"/>
      <c r="AQ1006" s="88"/>
      <c r="AR1006" s="89"/>
      <c r="AS1006" s="90"/>
      <c r="AV1006" s="88"/>
      <c r="AW1006" s="96"/>
      <c r="AX1006" s="97"/>
      <c r="AY1006" s="93"/>
      <c r="BB1006" s="94"/>
    </row>
    <row r="1007" spans="42:54">
      <c r="AP1007" s="86"/>
      <c r="AQ1007" s="88"/>
      <c r="AR1007" s="89"/>
      <c r="AS1007" s="90"/>
      <c r="AV1007" s="88"/>
      <c r="AW1007" s="96"/>
      <c r="AX1007" s="97"/>
      <c r="AY1007" s="93"/>
      <c r="BB1007" s="94"/>
    </row>
    <row r="1008" spans="42:54">
      <c r="AP1008" s="86"/>
      <c r="AQ1008" s="88"/>
      <c r="AR1008" s="89"/>
      <c r="AS1008" s="90"/>
      <c r="AV1008" s="88"/>
      <c r="AW1008" s="96"/>
      <c r="AX1008" s="97"/>
      <c r="AY1008" s="93"/>
      <c r="BB1008" s="94"/>
    </row>
    <row r="1009" spans="42:54">
      <c r="AP1009" s="86"/>
      <c r="AQ1009" s="88"/>
      <c r="AR1009" s="89"/>
      <c r="AS1009" s="90"/>
      <c r="AV1009" s="88"/>
      <c r="AW1009" s="96"/>
      <c r="AX1009" s="97"/>
      <c r="AY1009" s="93"/>
      <c r="BB1009" s="94"/>
    </row>
    <row r="1010" spans="42:54">
      <c r="AP1010" s="86"/>
      <c r="AQ1010" s="88"/>
      <c r="AR1010" s="89"/>
      <c r="AS1010" s="90"/>
      <c r="AV1010" s="88"/>
      <c r="AW1010" s="96"/>
      <c r="AX1010" s="97"/>
      <c r="AY1010" s="93"/>
      <c r="BB1010" s="94"/>
    </row>
    <row r="1011" spans="42:54">
      <c r="AP1011" s="86"/>
      <c r="AQ1011" s="88"/>
      <c r="AR1011" s="89"/>
      <c r="AS1011" s="90"/>
      <c r="AV1011" s="88"/>
      <c r="AW1011" s="96"/>
      <c r="AX1011" s="97"/>
      <c r="AY1011" s="93"/>
      <c r="BB1011" s="94"/>
    </row>
    <row r="1012" spans="42:54">
      <c r="AP1012" s="86"/>
      <c r="AQ1012" s="88"/>
      <c r="AR1012" s="89"/>
      <c r="AS1012" s="90"/>
      <c r="AV1012" s="88"/>
      <c r="AW1012" s="96"/>
      <c r="AX1012" s="97"/>
      <c r="AY1012" s="93"/>
      <c r="BB1012" s="94"/>
    </row>
    <row r="1013" spans="42:54">
      <c r="AP1013" s="86"/>
      <c r="AQ1013" s="88"/>
      <c r="AR1013" s="89"/>
      <c r="AS1013" s="90"/>
      <c r="AV1013" s="88"/>
      <c r="AW1013" s="96"/>
      <c r="AX1013" s="97"/>
      <c r="AY1013" s="93"/>
      <c r="BB1013" s="94"/>
    </row>
    <row r="1014" spans="42:54">
      <c r="AP1014" s="86"/>
      <c r="AQ1014" s="88"/>
      <c r="AR1014" s="89"/>
      <c r="AS1014" s="90"/>
      <c r="AV1014" s="88"/>
      <c r="AW1014" s="96"/>
      <c r="AX1014" s="97"/>
      <c r="AY1014" s="93"/>
      <c r="BB1014" s="94"/>
    </row>
    <row r="1015" spans="42:54">
      <c r="AP1015" s="86"/>
      <c r="AQ1015" s="88"/>
      <c r="AR1015" s="89"/>
      <c r="AS1015" s="90"/>
      <c r="AV1015" s="88"/>
      <c r="AW1015" s="96"/>
      <c r="AX1015" s="97"/>
      <c r="AY1015" s="93"/>
      <c r="BB1015" s="94"/>
    </row>
    <row r="1016" spans="42:54">
      <c r="AP1016" s="86"/>
      <c r="AQ1016" s="88"/>
      <c r="AR1016" s="89"/>
      <c r="AS1016" s="90"/>
      <c r="AV1016" s="88"/>
      <c r="AW1016" s="96"/>
      <c r="AX1016" s="97"/>
      <c r="AY1016" s="93"/>
      <c r="BB1016" s="94"/>
    </row>
    <row r="1017" spans="42:54">
      <c r="AP1017" s="86"/>
      <c r="AQ1017" s="88"/>
      <c r="AR1017" s="89"/>
      <c r="AS1017" s="90"/>
      <c r="AV1017" s="88"/>
      <c r="AW1017" s="96"/>
      <c r="AX1017" s="97"/>
      <c r="AY1017" s="93"/>
      <c r="BB1017" s="94"/>
    </row>
    <row r="1018" spans="42:54">
      <c r="AP1018" s="86"/>
      <c r="AQ1018" s="88"/>
      <c r="AR1018" s="89"/>
      <c r="AS1018" s="90"/>
      <c r="AV1018" s="88"/>
      <c r="AW1018" s="96"/>
      <c r="AX1018" s="97"/>
      <c r="AY1018" s="93"/>
      <c r="BB1018" s="94"/>
    </row>
    <row r="1019" spans="42:54">
      <c r="AP1019" s="86"/>
      <c r="AQ1019" s="88"/>
      <c r="AR1019" s="89"/>
      <c r="AS1019" s="90"/>
      <c r="AV1019" s="88"/>
      <c r="AW1019" s="96"/>
      <c r="AX1019" s="97"/>
      <c r="AY1019" s="93"/>
      <c r="BB1019" s="94"/>
    </row>
    <row r="1020" spans="42:54">
      <c r="AP1020" s="86"/>
      <c r="AQ1020" s="88"/>
      <c r="AR1020" s="89"/>
      <c r="AS1020" s="90"/>
      <c r="AV1020" s="88"/>
      <c r="AW1020" s="96"/>
      <c r="AX1020" s="97"/>
      <c r="AY1020" s="93"/>
      <c r="BB1020" s="94"/>
    </row>
    <row r="1021" spans="42:54">
      <c r="AP1021" s="86"/>
      <c r="AQ1021" s="88"/>
      <c r="AR1021" s="89"/>
      <c r="AS1021" s="90"/>
      <c r="AV1021" s="88"/>
      <c r="AW1021" s="96"/>
      <c r="AX1021" s="97"/>
      <c r="AY1021" s="93"/>
      <c r="BB1021" s="94"/>
    </row>
    <row r="1022" spans="42:54">
      <c r="AP1022" s="86"/>
      <c r="AQ1022" s="88"/>
      <c r="AR1022" s="89"/>
      <c r="AS1022" s="90"/>
      <c r="AV1022" s="88"/>
      <c r="AW1022" s="96"/>
      <c r="AX1022" s="97"/>
      <c r="AY1022" s="93"/>
      <c r="BB1022" s="94"/>
    </row>
    <row r="1023" spans="42:54">
      <c r="AP1023" s="86"/>
      <c r="AQ1023" s="88"/>
      <c r="AR1023" s="89"/>
      <c r="AS1023" s="90"/>
      <c r="AV1023" s="88"/>
      <c r="AW1023" s="96"/>
      <c r="AX1023" s="97"/>
      <c r="AY1023" s="93"/>
      <c r="BB1023" s="94"/>
    </row>
    <row r="1024" spans="42:54">
      <c r="AP1024" s="86"/>
      <c r="AQ1024" s="88"/>
      <c r="AR1024" s="89"/>
      <c r="AS1024" s="90"/>
      <c r="AV1024" s="88"/>
      <c r="AW1024" s="96"/>
      <c r="AX1024" s="97"/>
      <c r="AY1024" s="93"/>
      <c r="BB1024" s="94"/>
    </row>
    <row r="1025" spans="42:54">
      <c r="AP1025" s="86"/>
      <c r="AQ1025" s="88"/>
      <c r="AR1025" s="89"/>
      <c r="AS1025" s="90"/>
      <c r="AV1025" s="88"/>
      <c r="AW1025" s="96"/>
      <c r="AX1025" s="97"/>
      <c r="AY1025" s="93"/>
      <c r="BB1025" s="94"/>
    </row>
    <row r="1026" spans="42:54">
      <c r="AP1026" s="86"/>
      <c r="AQ1026" s="88"/>
      <c r="AR1026" s="89"/>
      <c r="AS1026" s="90"/>
      <c r="AV1026" s="88"/>
      <c r="AW1026" s="96"/>
      <c r="AX1026" s="97"/>
      <c r="AY1026" s="93"/>
      <c r="BB1026" s="94"/>
    </row>
    <row r="1027" spans="42:54">
      <c r="AP1027" s="86"/>
      <c r="AQ1027" s="88"/>
      <c r="AR1027" s="89"/>
      <c r="AS1027" s="90"/>
      <c r="AV1027" s="88"/>
      <c r="AW1027" s="96"/>
      <c r="AX1027" s="97"/>
      <c r="AY1027" s="93"/>
      <c r="BB1027" s="94"/>
    </row>
    <row r="1028" spans="42:54">
      <c r="AP1028" s="86"/>
      <c r="AQ1028" s="88"/>
      <c r="AR1028" s="89"/>
      <c r="AS1028" s="90"/>
      <c r="AV1028" s="88"/>
      <c r="AW1028" s="96"/>
      <c r="AX1028" s="97"/>
      <c r="AY1028" s="93"/>
      <c r="BB1028" s="94"/>
    </row>
    <row r="1029" spans="42:54">
      <c r="AP1029" s="86"/>
      <c r="AQ1029" s="88"/>
      <c r="AR1029" s="89"/>
      <c r="AS1029" s="90"/>
      <c r="AV1029" s="88"/>
      <c r="AW1029" s="96"/>
      <c r="AX1029" s="97"/>
      <c r="AY1029" s="93"/>
      <c r="BB1029" s="94"/>
    </row>
  </sheetData>
  <sortState ref="A2:BI188">
    <sortCondition ref="C2:C188"/>
    <sortCondition ref="D2:D188"/>
  </sortState>
  <conditionalFormatting sqref="K1 K348:K382 AM1 AM184:AM190 AL2 AL117:AL121 AL132 AL134:AL150 AL160:AL183 AM192 AL7:AL111 AL124:AL129 AM196:AM232 AM257:AM382 AM234:AM251 AM467:AM726 K467:K726 K774:K1048576 AM774:AM1048576">
    <cfRule type="cellIs" dxfId="402" priority="367" operator="equal">
      <formula>"Seeker"</formula>
    </cfRule>
    <cfRule type="cellIs" dxfId="401" priority="368" operator="equal">
      <formula>"Neutral"</formula>
    </cfRule>
    <cfRule type="cellIs" dxfId="400" priority="369" operator="equal">
      <formula>"Rogue"</formula>
    </cfRule>
    <cfRule type="cellIs" dxfId="399" priority="370" operator="equal">
      <formula>"Guardian"</formula>
    </cfRule>
    <cfRule type="cellIs" dxfId="398" priority="371" operator="equal">
      <formula>"Survivor"</formula>
    </cfRule>
    <cfRule type="cellIs" dxfId="397" priority="372" operator="equal">
      <formula>"Mystic"</formula>
    </cfRule>
  </conditionalFormatting>
  <conditionalFormatting sqref="K2:K99 K101:K104 K234:K347">
    <cfRule type="cellIs" dxfId="396" priority="361" operator="equal">
      <formula>"seeker"</formula>
    </cfRule>
    <cfRule type="cellIs" dxfId="395" priority="362" operator="equal">
      <formula>"neutral"</formula>
    </cfRule>
    <cfRule type="cellIs" dxfId="394" priority="363" operator="equal">
      <formula>"rogue"</formula>
    </cfRule>
    <cfRule type="cellIs" dxfId="393" priority="364" operator="equal">
      <formula>"Guardian"</formula>
    </cfRule>
    <cfRule type="cellIs" dxfId="392" priority="365" operator="equal">
      <formula>"Survivor"</formula>
    </cfRule>
    <cfRule type="cellIs" dxfId="391" priority="366" operator="equal">
      <formula>"Mystic"</formula>
    </cfRule>
  </conditionalFormatting>
  <conditionalFormatting sqref="K134:K152 K158:K169 K171:K193 K105:K122 K195:K232 K124:K132">
    <cfRule type="cellIs" dxfId="390" priority="355" operator="equal">
      <formula>"seeker"</formula>
    </cfRule>
    <cfRule type="cellIs" dxfId="389" priority="356" operator="equal">
      <formula>"neutral"</formula>
    </cfRule>
    <cfRule type="cellIs" dxfId="388" priority="357" operator="equal">
      <formula>"rogue"</formula>
    </cfRule>
    <cfRule type="cellIs" dxfId="387" priority="358" operator="equal">
      <formula>"Guardian"</formula>
    </cfRule>
    <cfRule type="cellIs" dxfId="386" priority="359" operator="equal">
      <formula>"Survivor"</formula>
    </cfRule>
    <cfRule type="cellIs" dxfId="385" priority="360" operator="equal">
      <formula>"Mystic"</formula>
    </cfRule>
  </conditionalFormatting>
  <conditionalFormatting sqref="K100">
    <cfRule type="cellIs" dxfId="384" priority="349" operator="equal">
      <formula>"seeker"</formula>
    </cfRule>
    <cfRule type="cellIs" dxfId="383" priority="350" operator="equal">
      <formula>"neutral"</formula>
    </cfRule>
    <cfRule type="cellIs" dxfId="382" priority="351" operator="equal">
      <formula>"rogue"</formula>
    </cfRule>
    <cfRule type="cellIs" dxfId="381" priority="352" operator="equal">
      <formula>"Guardian"</formula>
    </cfRule>
    <cfRule type="cellIs" dxfId="380" priority="353" operator="equal">
      <formula>"Survivor"</formula>
    </cfRule>
    <cfRule type="cellIs" dxfId="379" priority="354" operator="equal">
      <formula>"Mystic"</formula>
    </cfRule>
  </conditionalFormatting>
  <conditionalFormatting sqref="AM112:AM116">
    <cfRule type="cellIs" dxfId="378" priority="343" operator="equal">
      <formula>"seeker"</formula>
    </cfRule>
    <cfRule type="cellIs" dxfId="377" priority="344" operator="equal">
      <formula>"neutral"</formula>
    </cfRule>
    <cfRule type="cellIs" dxfId="376" priority="345" operator="equal">
      <formula>"rogue"</formula>
    </cfRule>
    <cfRule type="cellIs" dxfId="375" priority="346" operator="equal">
      <formula>"Guardian"</formula>
    </cfRule>
    <cfRule type="cellIs" dxfId="374" priority="347" operator="equal">
      <formula>"Survivor"</formula>
    </cfRule>
    <cfRule type="cellIs" dxfId="373" priority="348" operator="equal">
      <formula>"Mystic"</formula>
    </cfRule>
  </conditionalFormatting>
  <conditionalFormatting sqref="AM130:AM131">
    <cfRule type="cellIs" dxfId="372" priority="337" operator="equal">
      <formula>"seeker"</formula>
    </cfRule>
    <cfRule type="cellIs" dxfId="371" priority="338" operator="equal">
      <formula>"neutral"</formula>
    </cfRule>
    <cfRule type="cellIs" dxfId="370" priority="339" operator="equal">
      <formula>"rogue"</formula>
    </cfRule>
    <cfRule type="cellIs" dxfId="369" priority="340" operator="equal">
      <formula>"Guardian"</formula>
    </cfRule>
    <cfRule type="cellIs" dxfId="368" priority="341" operator="equal">
      <formula>"Survivor"</formula>
    </cfRule>
    <cfRule type="cellIs" dxfId="367" priority="342" operator="equal">
      <formula>"Mystic"</formula>
    </cfRule>
  </conditionalFormatting>
  <conditionalFormatting sqref="AL133">
    <cfRule type="cellIs" dxfId="366" priority="331" operator="equal">
      <formula>"Seeker"</formula>
    </cfRule>
    <cfRule type="cellIs" dxfId="365" priority="332" operator="equal">
      <formula>"Neutral"</formula>
    </cfRule>
    <cfRule type="cellIs" dxfId="364" priority="333" operator="equal">
      <formula>"Rogue"</formula>
    </cfRule>
    <cfRule type="cellIs" dxfId="363" priority="334" operator="equal">
      <formula>"Guardian"</formula>
    </cfRule>
    <cfRule type="cellIs" dxfId="362" priority="335" operator="equal">
      <formula>"Survivor"</formula>
    </cfRule>
    <cfRule type="cellIs" dxfId="361" priority="336" operator="equal">
      <formula>"Mystic"</formula>
    </cfRule>
  </conditionalFormatting>
  <conditionalFormatting sqref="K133">
    <cfRule type="cellIs" dxfId="360" priority="325" operator="equal">
      <formula>"seeker"</formula>
    </cfRule>
    <cfRule type="cellIs" dxfId="359" priority="326" operator="equal">
      <formula>"neutral"</formula>
    </cfRule>
    <cfRule type="cellIs" dxfId="358" priority="327" operator="equal">
      <formula>"rogue"</formula>
    </cfRule>
    <cfRule type="cellIs" dxfId="357" priority="328" operator="equal">
      <formula>"Guardian"</formula>
    </cfRule>
    <cfRule type="cellIs" dxfId="356" priority="329" operator="equal">
      <formula>"Survivor"</formula>
    </cfRule>
    <cfRule type="cellIs" dxfId="355" priority="330" operator="equal">
      <formula>"Mystic"</formula>
    </cfRule>
  </conditionalFormatting>
  <conditionalFormatting sqref="AM151:AM152 AM158:AM159">
    <cfRule type="cellIs" dxfId="354" priority="319" operator="equal">
      <formula>"seeker"</formula>
    </cfRule>
    <cfRule type="cellIs" dxfId="353" priority="320" operator="equal">
      <formula>"neutral"</formula>
    </cfRule>
    <cfRule type="cellIs" dxfId="352" priority="321" operator="equal">
      <formula>"rogue"</formula>
    </cfRule>
    <cfRule type="cellIs" dxfId="351" priority="322" operator="equal">
      <formula>"Guardian"</formula>
    </cfRule>
    <cfRule type="cellIs" dxfId="350" priority="323" operator="equal">
      <formula>"Survivor"</formula>
    </cfRule>
    <cfRule type="cellIs" dxfId="349" priority="324" operator="equal">
      <formula>"Mystic"</formula>
    </cfRule>
  </conditionalFormatting>
  <conditionalFormatting sqref="K153">
    <cfRule type="cellIs" dxfId="348" priority="313" operator="equal">
      <formula>"seeker"</formula>
    </cfRule>
    <cfRule type="cellIs" dxfId="347" priority="314" operator="equal">
      <formula>"neutral"</formula>
    </cfRule>
    <cfRule type="cellIs" dxfId="346" priority="315" operator="equal">
      <formula>"rogue"</formula>
    </cfRule>
    <cfRule type="cellIs" dxfId="345" priority="316" operator="equal">
      <formula>"Guardian"</formula>
    </cfRule>
    <cfRule type="cellIs" dxfId="344" priority="317" operator="equal">
      <formula>"Survivor"</formula>
    </cfRule>
    <cfRule type="cellIs" dxfId="343" priority="318" operator="equal">
      <formula>"Mystic"</formula>
    </cfRule>
  </conditionalFormatting>
  <conditionalFormatting sqref="AM153">
    <cfRule type="cellIs" dxfId="342" priority="307" operator="equal">
      <formula>"seeker"</formula>
    </cfRule>
    <cfRule type="cellIs" dxfId="341" priority="308" operator="equal">
      <formula>"neutral"</formula>
    </cfRule>
    <cfRule type="cellIs" dxfId="340" priority="309" operator="equal">
      <formula>"rogue"</formula>
    </cfRule>
    <cfRule type="cellIs" dxfId="339" priority="310" operator="equal">
      <formula>"Guardian"</formula>
    </cfRule>
    <cfRule type="cellIs" dxfId="338" priority="311" operator="equal">
      <formula>"Survivor"</formula>
    </cfRule>
    <cfRule type="cellIs" dxfId="337" priority="312" operator="equal">
      <formula>"Mystic"</formula>
    </cfRule>
  </conditionalFormatting>
  <conditionalFormatting sqref="K154">
    <cfRule type="cellIs" dxfId="336" priority="301" operator="equal">
      <formula>"seeker"</formula>
    </cfRule>
    <cfRule type="cellIs" dxfId="335" priority="302" operator="equal">
      <formula>"neutral"</formula>
    </cfRule>
    <cfRule type="cellIs" dxfId="334" priority="303" operator="equal">
      <formula>"rogue"</formula>
    </cfRule>
    <cfRule type="cellIs" dxfId="333" priority="304" operator="equal">
      <formula>"Guardian"</formula>
    </cfRule>
    <cfRule type="cellIs" dxfId="332" priority="305" operator="equal">
      <formula>"Survivor"</formula>
    </cfRule>
    <cfRule type="cellIs" dxfId="331" priority="306" operator="equal">
      <formula>"Mystic"</formula>
    </cfRule>
  </conditionalFormatting>
  <conditionalFormatting sqref="AM154">
    <cfRule type="cellIs" dxfId="330" priority="295" operator="equal">
      <formula>"seeker"</formula>
    </cfRule>
    <cfRule type="cellIs" dxfId="329" priority="296" operator="equal">
      <formula>"neutral"</formula>
    </cfRule>
    <cfRule type="cellIs" dxfId="328" priority="297" operator="equal">
      <formula>"rogue"</formula>
    </cfRule>
    <cfRule type="cellIs" dxfId="327" priority="298" operator="equal">
      <formula>"Guardian"</formula>
    </cfRule>
    <cfRule type="cellIs" dxfId="326" priority="299" operator="equal">
      <formula>"Survivor"</formula>
    </cfRule>
    <cfRule type="cellIs" dxfId="325" priority="300" operator="equal">
      <formula>"Mystic"</formula>
    </cfRule>
  </conditionalFormatting>
  <conditionalFormatting sqref="K155">
    <cfRule type="cellIs" dxfId="324" priority="289" operator="equal">
      <formula>"seeker"</formula>
    </cfRule>
    <cfRule type="cellIs" dxfId="323" priority="290" operator="equal">
      <formula>"neutral"</formula>
    </cfRule>
    <cfRule type="cellIs" dxfId="322" priority="291" operator="equal">
      <formula>"rogue"</formula>
    </cfRule>
    <cfRule type="cellIs" dxfId="321" priority="292" operator="equal">
      <formula>"Guardian"</formula>
    </cfRule>
    <cfRule type="cellIs" dxfId="320" priority="293" operator="equal">
      <formula>"Survivor"</formula>
    </cfRule>
    <cfRule type="cellIs" dxfId="319" priority="294" operator="equal">
      <formula>"Mystic"</formula>
    </cfRule>
  </conditionalFormatting>
  <conditionalFormatting sqref="AM155">
    <cfRule type="cellIs" dxfId="318" priority="283" operator="equal">
      <formula>"seeker"</formula>
    </cfRule>
    <cfRule type="cellIs" dxfId="317" priority="284" operator="equal">
      <formula>"neutral"</formula>
    </cfRule>
    <cfRule type="cellIs" dxfId="316" priority="285" operator="equal">
      <formula>"rogue"</formula>
    </cfRule>
    <cfRule type="cellIs" dxfId="315" priority="286" operator="equal">
      <formula>"Guardian"</formula>
    </cfRule>
    <cfRule type="cellIs" dxfId="314" priority="287" operator="equal">
      <formula>"Survivor"</formula>
    </cfRule>
    <cfRule type="cellIs" dxfId="313" priority="288" operator="equal">
      <formula>"Mystic"</formula>
    </cfRule>
  </conditionalFormatting>
  <conditionalFormatting sqref="K156">
    <cfRule type="cellIs" dxfId="312" priority="277" operator="equal">
      <formula>"seeker"</formula>
    </cfRule>
    <cfRule type="cellIs" dxfId="311" priority="278" operator="equal">
      <formula>"neutral"</formula>
    </cfRule>
    <cfRule type="cellIs" dxfId="310" priority="279" operator="equal">
      <formula>"rogue"</formula>
    </cfRule>
    <cfRule type="cellIs" dxfId="309" priority="280" operator="equal">
      <formula>"Guardian"</formula>
    </cfRule>
    <cfRule type="cellIs" dxfId="308" priority="281" operator="equal">
      <formula>"Survivor"</formula>
    </cfRule>
    <cfRule type="cellIs" dxfId="307" priority="282" operator="equal">
      <formula>"Mystic"</formula>
    </cfRule>
  </conditionalFormatting>
  <conditionalFormatting sqref="AM156">
    <cfRule type="cellIs" dxfId="306" priority="271" operator="equal">
      <formula>"seeker"</formula>
    </cfRule>
    <cfRule type="cellIs" dxfId="305" priority="272" operator="equal">
      <formula>"neutral"</formula>
    </cfRule>
    <cfRule type="cellIs" dxfId="304" priority="273" operator="equal">
      <formula>"rogue"</formula>
    </cfRule>
    <cfRule type="cellIs" dxfId="303" priority="274" operator="equal">
      <formula>"Guardian"</formula>
    </cfRule>
    <cfRule type="cellIs" dxfId="302" priority="275" operator="equal">
      <formula>"Survivor"</formula>
    </cfRule>
    <cfRule type="cellIs" dxfId="301" priority="276" operator="equal">
      <formula>"Mystic"</formula>
    </cfRule>
  </conditionalFormatting>
  <conditionalFormatting sqref="K157">
    <cfRule type="cellIs" dxfId="300" priority="265" operator="equal">
      <formula>"seeker"</formula>
    </cfRule>
    <cfRule type="cellIs" dxfId="299" priority="266" operator="equal">
      <formula>"neutral"</formula>
    </cfRule>
    <cfRule type="cellIs" dxfId="298" priority="267" operator="equal">
      <formula>"rogue"</formula>
    </cfRule>
    <cfRule type="cellIs" dxfId="297" priority="268" operator="equal">
      <formula>"Guardian"</formula>
    </cfRule>
    <cfRule type="cellIs" dxfId="296" priority="269" operator="equal">
      <formula>"Survivor"</formula>
    </cfRule>
    <cfRule type="cellIs" dxfId="295" priority="270" operator="equal">
      <formula>"Mystic"</formula>
    </cfRule>
  </conditionalFormatting>
  <conditionalFormatting sqref="AM157">
    <cfRule type="cellIs" dxfId="294" priority="259" operator="equal">
      <formula>"seeker"</formula>
    </cfRule>
    <cfRule type="cellIs" dxfId="293" priority="260" operator="equal">
      <formula>"neutral"</formula>
    </cfRule>
    <cfRule type="cellIs" dxfId="292" priority="261" operator="equal">
      <formula>"rogue"</formula>
    </cfRule>
    <cfRule type="cellIs" dxfId="291" priority="262" operator="equal">
      <formula>"Guardian"</formula>
    </cfRule>
    <cfRule type="cellIs" dxfId="290" priority="263" operator="equal">
      <formula>"Survivor"</formula>
    </cfRule>
    <cfRule type="cellIs" dxfId="289" priority="264" operator="equal">
      <formula>"Mystic"</formula>
    </cfRule>
  </conditionalFormatting>
  <conditionalFormatting sqref="K170">
    <cfRule type="cellIs" dxfId="288" priority="253" operator="equal">
      <formula>"seeker"</formula>
    </cfRule>
    <cfRule type="cellIs" dxfId="287" priority="254" operator="equal">
      <formula>"neutral"</formula>
    </cfRule>
    <cfRule type="cellIs" dxfId="286" priority="255" operator="equal">
      <formula>"rogue"</formula>
    </cfRule>
    <cfRule type="cellIs" dxfId="285" priority="256" operator="equal">
      <formula>"Guardian"</formula>
    </cfRule>
    <cfRule type="cellIs" dxfId="284" priority="257" operator="equal">
      <formula>"Survivor"</formula>
    </cfRule>
    <cfRule type="cellIs" dxfId="283" priority="258" operator="equal">
      <formula>"Mystic"</formula>
    </cfRule>
  </conditionalFormatting>
  <conditionalFormatting sqref="AL190">
    <cfRule type="cellIs" dxfId="282" priority="241" operator="equal">
      <formula>"Seeker"</formula>
    </cfRule>
    <cfRule type="cellIs" dxfId="281" priority="242" operator="equal">
      <formula>"Neutral"</formula>
    </cfRule>
    <cfRule type="cellIs" dxfId="280" priority="243" operator="equal">
      <formula>"Rogue"</formula>
    </cfRule>
    <cfRule type="cellIs" dxfId="279" priority="244" operator="equal">
      <formula>"Guardian"</formula>
    </cfRule>
    <cfRule type="cellIs" dxfId="278" priority="245" operator="equal">
      <formula>"Survivor"</formula>
    </cfRule>
    <cfRule type="cellIs" dxfId="277" priority="246" operator="equal">
      <formula>"Mystic"</formula>
    </cfRule>
  </conditionalFormatting>
  <conditionalFormatting sqref="AM191">
    <cfRule type="cellIs" dxfId="276" priority="235" operator="equal">
      <formula>"seeker"</formula>
    </cfRule>
    <cfRule type="cellIs" dxfId="275" priority="236" operator="equal">
      <formula>"neutral"</formula>
    </cfRule>
    <cfRule type="cellIs" dxfId="274" priority="237" operator="equal">
      <formula>"rogue"</formula>
    </cfRule>
    <cfRule type="cellIs" dxfId="273" priority="238" operator="equal">
      <formula>"Guardian"</formula>
    </cfRule>
    <cfRule type="cellIs" dxfId="272" priority="239" operator="equal">
      <formula>"Survivor"</formula>
    </cfRule>
    <cfRule type="cellIs" dxfId="271" priority="240" operator="equal">
      <formula>"Mystic"</formula>
    </cfRule>
  </conditionalFormatting>
  <conditionalFormatting sqref="AM193">
    <cfRule type="cellIs" dxfId="270" priority="229" operator="equal">
      <formula>"seeker"</formula>
    </cfRule>
    <cfRule type="cellIs" dxfId="269" priority="230" operator="equal">
      <formula>"neutral"</formula>
    </cfRule>
    <cfRule type="cellIs" dxfId="268" priority="231" operator="equal">
      <formula>"rogue"</formula>
    </cfRule>
    <cfRule type="cellIs" dxfId="267" priority="232" operator="equal">
      <formula>"Guardian"</formula>
    </cfRule>
    <cfRule type="cellIs" dxfId="266" priority="233" operator="equal">
      <formula>"Survivor"</formula>
    </cfRule>
    <cfRule type="cellIs" dxfId="265" priority="234" operator="equal">
      <formula>"Mystic"</formula>
    </cfRule>
  </conditionalFormatting>
  <conditionalFormatting sqref="K194">
    <cfRule type="cellIs" dxfId="264" priority="223" operator="equal">
      <formula>"seeker"</formula>
    </cfRule>
    <cfRule type="cellIs" dxfId="263" priority="224" operator="equal">
      <formula>"neutral"</formula>
    </cfRule>
    <cfRule type="cellIs" dxfId="262" priority="225" operator="equal">
      <formula>"rogue"</formula>
    </cfRule>
    <cfRule type="cellIs" dxfId="261" priority="226" operator="equal">
      <formula>"Guardian"</formula>
    </cfRule>
    <cfRule type="cellIs" dxfId="260" priority="227" operator="equal">
      <formula>"Survivor"</formula>
    </cfRule>
    <cfRule type="cellIs" dxfId="259" priority="228" operator="equal">
      <formula>"Mystic"</formula>
    </cfRule>
  </conditionalFormatting>
  <conditionalFormatting sqref="AM195">
    <cfRule type="cellIs" dxfId="258" priority="217" operator="equal">
      <formula>"seeker"</formula>
    </cfRule>
    <cfRule type="cellIs" dxfId="257" priority="218" operator="equal">
      <formula>"neutral"</formula>
    </cfRule>
    <cfRule type="cellIs" dxfId="256" priority="219" operator="equal">
      <formula>"rogue"</formula>
    </cfRule>
    <cfRule type="cellIs" dxfId="255" priority="220" operator="equal">
      <formula>"Guardian"</formula>
    </cfRule>
    <cfRule type="cellIs" dxfId="254" priority="221" operator="equal">
      <formula>"Survivor"</formula>
    </cfRule>
    <cfRule type="cellIs" dxfId="253" priority="222" operator="equal">
      <formula>"Mystic"</formula>
    </cfRule>
  </conditionalFormatting>
  <conditionalFormatting sqref="AM194">
    <cfRule type="cellIs" dxfId="252" priority="211" operator="equal">
      <formula>"seeker"</formula>
    </cfRule>
    <cfRule type="cellIs" dxfId="251" priority="212" operator="equal">
      <formula>"neutral"</formula>
    </cfRule>
    <cfRule type="cellIs" dxfId="250" priority="213" operator="equal">
      <formula>"rogue"</formula>
    </cfRule>
    <cfRule type="cellIs" dxfId="249" priority="214" operator="equal">
      <formula>"Guardian"</formula>
    </cfRule>
    <cfRule type="cellIs" dxfId="248" priority="215" operator="equal">
      <formula>"Survivor"</formula>
    </cfRule>
    <cfRule type="cellIs" dxfId="247" priority="216" operator="equal">
      <formula>"Mystic"</formula>
    </cfRule>
  </conditionalFormatting>
  <conditionalFormatting sqref="AL3">
    <cfRule type="cellIs" dxfId="246" priority="205" operator="equal">
      <formula>"Seeker"</formula>
    </cfRule>
    <cfRule type="cellIs" dxfId="245" priority="206" operator="equal">
      <formula>"Neutral"</formula>
    </cfRule>
    <cfRule type="cellIs" dxfId="244" priority="207" operator="equal">
      <formula>"Rogue"</formula>
    </cfRule>
    <cfRule type="cellIs" dxfId="243" priority="208" operator="equal">
      <formula>"Guardian"</formula>
    </cfRule>
    <cfRule type="cellIs" dxfId="242" priority="209" operator="equal">
      <formula>"Survivor"</formula>
    </cfRule>
    <cfRule type="cellIs" dxfId="241" priority="210" operator="equal">
      <formula>"Mystic"</formula>
    </cfRule>
  </conditionalFormatting>
  <conditionalFormatting sqref="AL4">
    <cfRule type="cellIs" dxfId="240" priority="199" operator="equal">
      <formula>"Seeker"</formula>
    </cfRule>
    <cfRule type="cellIs" dxfId="239" priority="200" operator="equal">
      <formula>"Neutral"</formula>
    </cfRule>
    <cfRule type="cellIs" dxfId="238" priority="201" operator="equal">
      <formula>"Rogue"</formula>
    </cfRule>
    <cfRule type="cellIs" dxfId="237" priority="202" operator="equal">
      <formula>"Guardian"</formula>
    </cfRule>
    <cfRule type="cellIs" dxfId="236" priority="203" operator="equal">
      <formula>"Survivor"</formula>
    </cfRule>
    <cfRule type="cellIs" dxfId="235" priority="204" operator="equal">
      <formula>"Mystic"</formula>
    </cfRule>
  </conditionalFormatting>
  <conditionalFormatting sqref="AL5">
    <cfRule type="cellIs" dxfId="234" priority="193" operator="equal">
      <formula>"Seeker"</formula>
    </cfRule>
    <cfRule type="cellIs" dxfId="233" priority="194" operator="equal">
      <formula>"Neutral"</formula>
    </cfRule>
    <cfRule type="cellIs" dxfId="232" priority="195" operator="equal">
      <formula>"Rogue"</formula>
    </cfRule>
    <cfRule type="cellIs" dxfId="231" priority="196" operator="equal">
      <formula>"Guardian"</formula>
    </cfRule>
    <cfRule type="cellIs" dxfId="230" priority="197" operator="equal">
      <formula>"Survivor"</formula>
    </cfRule>
    <cfRule type="cellIs" dxfId="229" priority="198" operator="equal">
      <formula>"Mystic"</formula>
    </cfRule>
  </conditionalFormatting>
  <conditionalFormatting sqref="AL6">
    <cfRule type="cellIs" dxfId="228" priority="187" operator="equal">
      <formula>"Seeker"</formula>
    </cfRule>
    <cfRule type="cellIs" dxfId="227" priority="188" operator="equal">
      <formula>"Neutral"</formula>
    </cfRule>
    <cfRule type="cellIs" dxfId="226" priority="189" operator="equal">
      <formula>"Rogue"</formula>
    </cfRule>
    <cfRule type="cellIs" dxfId="225" priority="190" operator="equal">
      <formula>"Guardian"</formula>
    </cfRule>
    <cfRule type="cellIs" dxfId="224" priority="191" operator="equal">
      <formula>"Survivor"</formula>
    </cfRule>
    <cfRule type="cellIs" dxfId="223" priority="192" operator="equal">
      <formula>"Mystic"</formula>
    </cfRule>
  </conditionalFormatting>
  <conditionalFormatting sqref="AL122">
    <cfRule type="cellIs" dxfId="222" priority="181" operator="equal">
      <formula>"Seeker"</formula>
    </cfRule>
    <cfRule type="cellIs" dxfId="221" priority="182" operator="equal">
      <formula>"Neutral"</formula>
    </cfRule>
    <cfRule type="cellIs" dxfId="220" priority="183" operator="equal">
      <formula>"Rogue"</formula>
    </cfRule>
    <cfRule type="cellIs" dxfId="219" priority="184" operator="equal">
      <formula>"Guardian"</formula>
    </cfRule>
    <cfRule type="cellIs" dxfId="218" priority="185" operator="equal">
      <formula>"Survivor"</formula>
    </cfRule>
    <cfRule type="cellIs" dxfId="217" priority="186" operator="equal">
      <formula>"Mystic"</formula>
    </cfRule>
  </conditionalFormatting>
  <conditionalFormatting sqref="AL123">
    <cfRule type="cellIs" dxfId="216" priority="175" operator="equal">
      <formula>"Seeker"</formula>
    </cfRule>
    <cfRule type="cellIs" dxfId="215" priority="176" operator="equal">
      <formula>"Neutral"</formula>
    </cfRule>
    <cfRule type="cellIs" dxfId="214" priority="177" operator="equal">
      <formula>"Rogue"</formula>
    </cfRule>
    <cfRule type="cellIs" dxfId="213" priority="178" operator="equal">
      <formula>"Guardian"</formula>
    </cfRule>
    <cfRule type="cellIs" dxfId="212" priority="179" operator="equal">
      <formula>"Survivor"</formula>
    </cfRule>
    <cfRule type="cellIs" dxfId="211" priority="180" operator="equal">
      <formula>"Mystic"</formula>
    </cfRule>
  </conditionalFormatting>
  <conditionalFormatting sqref="J123">
    <cfRule type="cellIs" dxfId="210" priority="169" operator="equal">
      <formula>"Seeker"</formula>
    </cfRule>
    <cfRule type="cellIs" dxfId="209" priority="170" operator="equal">
      <formula>"Neutral"</formula>
    </cfRule>
    <cfRule type="cellIs" dxfId="208" priority="171" operator="equal">
      <formula>"Rogue"</formula>
    </cfRule>
    <cfRule type="cellIs" dxfId="207" priority="172" operator="equal">
      <formula>"Guardian"</formula>
    </cfRule>
    <cfRule type="cellIs" dxfId="206" priority="173" operator="equal">
      <formula>"Survivor"</formula>
    </cfRule>
    <cfRule type="cellIs" dxfId="205" priority="174" operator="equal">
      <formula>"Mystic"</formula>
    </cfRule>
  </conditionalFormatting>
  <conditionalFormatting sqref="AM253">
    <cfRule type="cellIs" dxfId="204" priority="163" operator="equal">
      <formula>"seeker"</formula>
    </cfRule>
    <cfRule type="cellIs" dxfId="203" priority="164" operator="equal">
      <formula>"neutral"</formula>
    </cfRule>
    <cfRule type="cellIs" dxfId="202" priority="165" operator="equal">
      <formula>"rogue"</formula>
    </cfRule>
    <cfRule type="cellIs" dxfId="201" priority="166" operator="equal">
      <formula>"Guardian"</formula>
    </cfRule>
    <cfRule type="cellIs" dxfId="200" priority="167" operator="equal">
      <formula>"Survivor"</formula>
    </cfRule>
    <cfRule type="cellIs" dxfId="199" priority="168" operator="equal">
      <formula>"Mystic"</formula>
    </cfRule>
  </conditionalFormatting>
  <conditionalFormatting sqref="AM254">
    <cfRule type="cellIs" dxfId="198" priority="157" operator="equal">
      <formula>"seeker"</formula>
    </cfRule>
    <cfRule type="cellIs" dxfId="197" priority="158" operator="equal">
      <formula>"neutral"</formula>
    </cfRule>
    <cfRule type="cellIs" dxfId="196" priority="159" operator="equal">
      <formula>"rogue"</formula>
    </cfRule>
    <cfRule type="cellIs" dxfId="195" priority="160" operator="equal">
      <formula>"Guardian"</formula>
    </cfRule>
    <cfRule type="cellIs" dxfId="194" priority="161" operator="equal">
      <formula>"Survivor"</formula>
    </cfRule>
    <cfRule type="cellIs" dxfId="193" priority="162" operator="equal">
      <formula>"Mystic"</formula>
    </cfRule>
  </conditionalFormatting>
  <conditionalFormatting sqref="AM255">
    <cfRule type="cellIs" dxfId="192" priority="151" operator="equal">
      <formula>"seeker"</formula>
    </cfRule>
    <cfRule type="cellIs" dxfId="191" priority="152" operator="equal">
      <formula>"neutral"</formula>
    </cfRule>
    <cfRule type="cellIs" dxfId="190" priority="153" operator="equal">
      <formula>"rogue"</formula>
    </cfRule>
    <cfRule type="cellIs" dxfId="189" priority="154" operator="equal">
      <formula>"Guardian"</formula>
    </cfRule>
    <cfRule type="cellIs" dxfId="188" priority="155" operator="equal">
      <formula>"Survivor"</formula>
    </cfRule>
    <cfRule type="cellIs" dxfId="187" priority="156" operator="equal">
      <formula>"Mystic"</formula>
    </cfRule>
  </conditionalFormatting>
  <conditionalFormatting sqref="AM256">
    <cfRule type="cellIs" dxfId="186" priority="145" operator="equal">
      <formula>"seeker"</formula>
    </cfRule>
    <cfRule type="cellIs" dxfId="185" priority="146" operator="equal">
      <formula>"neutral"</formula>
    </cfRule>
    <cfRule type="cellIs" dxfId="184" priority="147" operator="equal">
      <formula>"rogue"</formula>
    </cfRule>
    <cfRule type="cellIs" dxfId="183" priority="148" operator="equal">
      <formula>"Guardian"</formula>
    </cfRule>
    <cfRule type="cellIs" dxfId="182" priority="149" operator="equal">
      <formula>"Survivor"</formula>
    </cfRule>
    <cfRule type="cellIs" dxfId="181" priority="150" operator="equal">
      <formula>"Mystic"</formula>
    </cfRule>
  </conditionalFormatting>
  <conditionalFormatting sqref="AM252">
    <cfRule type="cellIs" dxfId="180" priority="139" operator="equal">
      <formula>"seeker"</formula>
    </cfRule>
    <cfRule type="cellIs" dxfId="179" priority="140" operator="equal">
      <formula>"neutral"</formula>
    </cfRule>
    <cfRule type="cellIs" dxfId="178" priority="141" operator="equal">
      <formula>"rogue"</formula>
    </cfRule>
    <cfRule type="cellIs" dxfId="177" priority="142" operator="equal">
      <formula>"Guardian"</formula>
    </cfRule>
    <cfRule type="cellIs" dxfId="176" priority="143" operator="equal">
      <formula>"Survivor"</formula>
    </cfRule>
    <cfRule type="cellIs" dxfId="175" priority="144" operator="equal">
      <formula>"Mystic"</formula>
    </cfRule>
  </conditionalFormatting>
  <conditionalFormatting sqref="AM383:AM387">
    <cfRule type="cellIs" dxfId="174" priority="133" operator="equal">
      <formula>"Seeker"</formula>
    </cfRule>
    <cfRule type="cellIs" dxfId="173" priority="134" operator="equal">
      <formula>"Neutral"</formula>
    </cfRule>
    <cfRule type="cellIs" dxfId="172" priority="135" operator="equal">
      <formula>"Rogue"</formula>
    </cfRule>
    <cfRule type="cellIs" dxfId="171" priority="136" operator="equal">
      <formula>"Guardian"</formula>
    </cfRule>
    <cfRule type="cellIs" dxfId="170" priority="137" operator="equal">
      <formula>"Survivor"</formula>
    </cfRule>
    <cfRule type="cellIs" dxfId="169" priority="138" operator="equal">
      <formula>"Mystic"</formula>
    </cfRule>
  </conditionalFormatting>
  <conditionalFormatting sqref="K383:K387">
    <cfRule type="cellIs" dxfId="168" priority="127" operator="equal">
      <formula>"seeker"</formula>
    </cfRule>
    <cfRule type="cellIs" dxfId="167" priority="128" operator="equal">
      <formula>"neutral"</formula>
    </cfRule>
    <cfRule type="cellIs" dxfId="166" priority="129" operator="equal">
      <formula>"rogue"</formula>
    </cfRule>
    <cfRule type="cellIs" dxfId="165" priority="130" operator="equal">
      <formula>"Guardian"</formula>
    </cfRule>
    <cfRule type="cellIs" dxfId="164" priority="131" operator="equal">
      <formula>"Survivor"</formula>
    </cfRule>
    <cfRule type="cellIs" dxfId="163" priority="132" operator="equal">
      <formula>"Mystic"</formula>
    </cfRule>
  </conditionalFormatting>
  <conditionalFormatting sqref="AM233">
    <cfRule type="cellIs" dxfId="162" priority="121" operator="equal">
      <formula>"Seeker"</formula>
    </cfRule>
    <cfRule type="cellIs" dxfId="161" priority="122" operator="equal">
      <formula>"Neutral"</formula>
    </cfRule>
    <cfRule type="cellIs" dxfId="160" priority="123" operator="equal">
      <formula>"Rogue"</formula>
    </cfRule>
    <cfRule type="cellIs" dxfId="159" priority="124" operator="equal">
      <formula>"Guardian"</formula>
    </cfRule>
    <cfRule type="cellIs" dxfId="158" priority="125" operator="equal">
      <formula>"Survivor"</formula>
    </cfRule>
    <cfRule type="cellIs" dxfId="157" priority="126" operator="equal">
      <formula>"Mystic"</formula>
    </cfRule>
  </conditionalFormatting>
  <conditionalFormatting sqref="K233">
    <cfRule type="cellIs" dxfId="156" priority="115" operator="equal">
      <formula>"seeker"</formula>
    </cfRule>
    <cfRule type="cellIs" dxfId="155" priority="116" operator="equal">
      <formula>"neutral"</formula>
    </cfRule>
    <cfRule type="cellIs" dxfId="154" priority="117" operator="equal">
      <formula>"rogue"</formula>
    </cfRule>
    <cfRule type="cellIs" dxfId="153" priority="118" operator="equal">
      <formula>"Guardian"</formula>
    </cfRule>
    <cfRule type="cellIs" dxfId="152" priority="119" operator="equal">
      <formula>"Survivor"</formula>
    </cfRule>
    <cfRule type="cellIs" dxfId="151" priority="120" operator="equal">
      <formula>"Mystic"</formula>
    </cfRule>
  </conditionalFormatting>
  <conditionalFormatting sqref="K388:K429 AM388:AM429">
    <cfRule type="cellIs" dxfId="150" priority="109" operator="equal">
      <formula>"seeker"</formula>
    </cfRule>
    <cfRule type="cellIs" dxfId="149" priority="110" operator="equal">
      <formula>"neutral"</formula>
    </cfRule>
    <cfRule type="cellIs" dxfId="148" priority="111" operator="equal">
      <formula>"rogue"</formula>
    </cfRule>
    <cfRule type="cellIs" dxfId="147" priority="112" operator="equal">
      <formula>"Guardian"</formula>
    </cfRule>
    <cfRule type="cellIs" dxfId="146" priority="113" operator="equal">
      <formula>"Survivor"</formula>
    </cfRule>
    <cfRule type="cellIs" dxfId="145" priority="114" operator="equal">
      <formula>"Mystic"</formula>
    </cfRule>
  </conditionalFormatting>
  <conditionalFormatting sqref="K430:K466 AM430:AM442 AM450:AM466">
    <cfRule type="cellIs" dxfId="144" priority="103" operator="equal">
      <formula>"seeker"</formula>
    </cfRule>
    <cfRule type="cellIs" dxfId="143" priority="104" operator="equal">
      <formula>"neutral"</formula>
    </cfRule>
    <cfRule type="cellIs" dxfId="142" priority="105" operator="equal">
      <formula>"rogue"</formula>
    </cfRule>
    <cfRule type="cellIs" dxfId="141" priority="106" operator="equal">
      <formula>"Guardian"</formula>
    </cfRule>
    <cfRule type="cellIs" dxfId="140" priority="107" operator="equal">
      <formula>"Survivor"</formula>
    </cfRule>
    <cfRule type="cellIs" dxfId="139" priority="108" operator="equal">
      <formula>"Mystic"</formula>
    </cfRule>
  </conditionalFormatting>
  <conditionalFormatting sqref="AM443:AM449">
    <cfRule type="cellIs" dxfId="138" priority="97" operator="equal">
      <formula>"seeker"</formula>
    </cfRule>
    <cfRule type="cellIs" dxfId="137" priority="98" operator="equal">
      <formula>"neutral"</formula>
    </cfRule>
    <cfRule type="cellIs" dxfId="136" priority="99" operator="equal">
      <formula>"rogue"</formula>
    </cfRule>
    <cfRule type="cellIs" dxfId="135" priority="100" operator="equal">
      <formula>"Guardian"</formula>
    </cfRule>
    <cfRule type="cellIs" dxfId="134" priority="101" operator="equal">
      <formula>"Survivor"</formula>
    </cfRule>
    <cfRule type="cellIs" dxfId="133" priority="102" operator="equal">
      <formula>"Mystic"</formula>
    </cfRule>
  </conditionalFormatting>
  <conditionalFormatting sqref="AL737">
    <cfRule type="cellIs" dxfId="132" priority="61" operator="equal">
      <formula>"Seeker"</formula>
    </cfRule>
    <cfRule type="cellIs" dxfId="131" priority="62" operator="equal">
      <formula>"Neutral"</formula>
    </cfRule>
    <cfRule type="cellIs" dxfId="130" priority="63" operator="equal">
      <formula>"Rogue"</formula>
    </cfRule>
    <cfRule type="cellIs" dxfId="129" priority="64" operator="equal">
      <formula>"Guardian"</formula>
    </cfRule>
    <cfRule type="cellIs" dxfId="128" priority="65" operator="equal">
      <formula>"Survivor"</formula>
    </cfRule>
    <cfRule type="cellIs" dxfId="127" priority="66" operator="equal">
      <formula>"Mystic"</formula>
    </cfRule>
  </conditionalFormatting>
  <conditionalFormatting sqref="AL733 AL738:AL746 AL767:AL773">
    <cfRule type="cellIs" dxfId="126" priority="91" operator="equal">
      <formula>"Seeker"</formula>
    </cfRule>
    <cfRule type="cellIs" dxfId="125" priority="92" operator="equal">
      <formula>"Neutral"</formula>
    </cfRule>
    <cfRule type="cellIs" dxfId="124" priority="93" operator="equal">
      <formula>"Rogue"</formula>
    </cfRule>
    <cfRule type="cellIs" dxfId="123" priority="94" operator="equal">
      <formula>"Guardian"</formula>
    </cfRule>
    <cfRule type="cellIs" dxfId="122" priority="95" operator="equal">
      <formula>"Survivor"</formula>
    </cfRule>
    <cfRule type="cellIs" dxfId="121" priority="96" operator="equal">
      <formula>"Mystic"</formula>
    </cfRule>
  </conditionalFormatting>
  <conditionalFormatting sqref="K733:K773">
    <cfRule type="cellIs" dxfId="120" priority="85" operator="equal">
      <formula>"seeker"</formula>
    </cfRule>
    <cfRule type="cellIs" dxfId="119" priority="86" operator="equal">
      <formula>"neutral"</formula>
    </cfRule>
    <cfRule type="cellIs" dxfId="118" priority="87" operator="equal">
      <formula>"rogue"</formula>
    </cfRule>
    <cfRule type="cellIs" dxfId="117" priority="88" operator="equal">
      <formula>"Guardian"</formula>
    </cfRule>
    <cfRule type="cellIs" dxfId="116" priority="89" operator="equal">
      <formula>"Survivor"</formula>
    </cfRule>
    <cfRule type="cellIs" dxfId="115" priority="90" operator="equal">
      <formula>"Mystic"</formula>
    </cfRule>
  </conditionalFormatting>
  <conditionalFormatting sqref="AL734">
    <cfRule type="cellIs" dxfId="114" priority="79" operator="equal">
      <formula>"Seeker"</formula>
    </cfRule>
    <cfRule type="cellIs" dxfId="113" priority="80" operator="equal">
      <formula>"Neutral"</formula>
    </cfRule>
    <cfRule type="cellIs" dxfId="112" priority="81" operator="equal">
      <formula>"Rogue"</formula>
    </cfRule>
    <cfRule type="cellIs" dxfId="111" priority="82" operator="equal">
      <formula>"Guardian"</formula>
    </cfRule>
    <cfRule type="cellIs" dxfId="110" priority="83" operator="equal">
      <formula>"Survivor"</formula>
    </cfRule>
    <cfRule type="cellIs" dxfId="109" priority="84" operator="equal">
      <formula>"Mystic"</formula>
    </cfRule>
  </conditionalFormatting>
  <conditionalFormatting sqref="AL735">
    <cfRule type="cellIs" dxfId="108" priority="73" operator="equal">
      <formula>"Seeker"</formula>
    </cfRule>
    <cfRule type="cellIs" dxfId="107" priority="74" operator="equal">
      <formula>"Neutral"</formula>
    </cfRule>
    <cfRule type="cellIs" dxfId="106" priority="75" operator="equal">
      <formula>"Rogue"</formula>
    </cfRule>
    <cfRule type="cellIs" dxfId="105" priority="76" operator="equal">
      <formula>"Guardian"</formula>
    </cfRule>
    <cfRule type="cellIs" dxfId="104" priority="77" operator="equal">
      <formula>"Survivor"</formula>
    </cfRule>
    <cfRule type="cellIs" dxfId="103" priority="78" operator="equal">
      <formula>"Mystic"</formula>
    </cfRule>
  </conditionalFormatting>
  <conditionalFormatting sqref="AL736">
    <cfRule type="cellIs" dxfId="102" priority="67" operator="equal">
      <formula>"Seeker"</formula>
    </cfRule>
    <cfRule type="cellIs" dxfId="101" priority="68" operator="equal">
      <formula>"Neutral"</formula>
    </cfRule>
    <cfRule type="cellIs" dxfId="100" priority="69" operator="equal">
      <formula>"Rogue"</formula>
    </cfRule>
    <cfRule type="cellIs" dxfId="99" priority="70" operator="equal">
      <formula>"Guardian"</formula>
    </cfRule>
    <cfRule type="cellIs" dxfId="98" priority="71" operator="equal">
      <formula>"Survivor"</formula>
    </cfRule>
    <cfRule type="cellIs" dxfId="97" priority="72" operator="equal">
      <formula>"Mystic"</formula>
    </cfRule>
  </conditionalFormatting>
  <conditionalFormatting sqref="AM727:AM731">
    <cfRule type="cellIs" dxfId="96" priority="55" operator="equal">
      <formula>"Seeker"</formula>
    </cfRule>
    <cfRule type="cellIs" dxfId="95" priority="56" operator="equal">
      <formula>"Neutral"</formula>
    </cfRule>
    <cfRule type="cellIs" dxfId="94" priority="57" operator="equal">
      <formula>"Rogue"</formula>
    </cfRule>
    <cfRule type="cellIs" dxfId="93" priority="58" operator="equal">
      <formula>"Guardian"</formula>
    </cfRule>
    <cfRule type="cellIs" dxfId="92" priority="59" operator="equal">
      <formula>"Survivor"</formula>
    </cfRule>
    <cfRule type="cellIs" dxfId="91" priority="60" operator="equal">
      <formula>"Mystic"</formula>
    </cfRule>
  </conditionalFormatting>
  <conditionalFormatting sqref="K727:K731">
    <cfRule type="cellIs" dxfId="90" priority="49" operator="equal">
      <formula>"seeker"</formula>
    </cfRule>
    <cfRule type="cellIs" dxfId="89" priority="50" operator="equal">
      <formula>"neutral"</formula>
    </cfRule>
    <cfRule type="cellIs" dxfId="88" priority="51" operator="equal">
      <formula>"rogue"</formula>
    </cfRule>
    <cfRule type="cellIs" dxfId="87" priority="52" operator="equal">
      <formula>"Guardian"</formula>
    </cfRule>
    <cfRule type="cellIs" dxfId="86" priority="53" operator="equal">
      <formula>"Survivor"</formula>
    </cfRule>
    <cfRule type="cellIs" dxfId="85" priority="54" operator="equal">
      <formula>"Mystic"</formula>
    </cfRule>
  </conditionalFormatting>
  <conditionalFormatting sqref="AM732">
    <cfRule type="cellIs" dxfId="84" priority="43" operator="equal">
      <formula>"Seeker"</formula>
    </cfRule>
    <cfRule type="cellIs" dxfId="83" priority="44" operator="equal">
      <formula>"Neutral"</formula>
    </cfRule>
    <cfRule type="cellIs" dxfId="82" priority="45" operator="equal">
      <formula>"Rogue"</formula>
    </cfRule>
    <cfRule type="cellIs" dxfId="81" priority="46" operator="equal">
      <formula>"Guardian"</formula>
    </cfRule>
    <cfRule type="cellIs" dxfId="80" priority="47" operator="equal">
      <formula>"Survivor"</formula>
    </cfRule>
    <cfRule type="cellIs" dxfId="79" priority="48" operator="equal">
      <formula>"Mystic"</formula>
    </cfRule>
  </conditionalFormatting>
  <conditionalFormatting sqref="K732">
    <cfRule type="cellIs" dxfId="78" priority="37" operator="equal">
      <formula>"seeker"</formula>
    </cfRule>
    <cfRule type="cellIs" dxfId="77" priority="38" operator="equal">
      <formula>"neutral"</formula>
    </cfRule>
    <cfRule type="cellIs" dxfId="76" priority="39" operator="equal">
      <formula>"rogue"</formula>
    </cfRule>
    <cfRule type="cellIs" dxfId="75" priority="40" operator="equal">
      <formula>"Guardian"</formula>
    </cfRule>
    <cfRule type="cellIs" dxfId="74" priority="41" operator="equal">
      <formula>"Survivor"</formula>
    </cfRule>
    <cfRule type="cellIs" dxfId="73" priority="42" operator="equal">
      <formula>"Mystic"</formula>
    </cfRule>
  </conditionalFormatting>
  <conditionalFormatting sqref="AL820">
    <cfRule type="cellIs" dxfId="71" priority="31" operator="equal">
      <formula>"Seeker"</formula>
    </cfRule>
    <cfRule type="cellIs" dxfId="70" priority="32" operator="equal">
      <formula>"Neutral"</formula>
    </cfRule>
    <cfRule type="cellIs" dxfId="69" priority="33" operator="equal">
      <formula>"Rogue"</formula>
    </cfRule>
    <cfRule type="cellIs" dxfId="68" priority="34" operator="equal">
      <formula>"Guardian"</formula>
    </cfRule>
    <cfRule type="cellIs" dxfId="67" priority="35" operator="equal">
      <formula>"Survivor"</formula>
    </cfRule>
    <cfRule type="cellIs" dxfId="66" priority="36" operator="equal">
      <formula>"Mystic"</formula>
    </cfRule>
  </conditionalFormatting>
  <conditionalFormatting sqref="AL816 AL821:AL829 AL850:AL854">
    <cfRule type="cellIs" dxfId="59" priority="25" operator="equal">
      <formula>"Seeker"</formula>
    </cfRule>
    <cfRule type="cellIs" dxfId="58" priority="26" operator="equal">
      <formula>"Neutral"</formula>
    </cfRule>
    <cfRule type="cellIs" dxfId="57" priority="27" operator="equal">
      <formula>"Rogue"</formula>
    </cfRule>
    <cfRule type="cellIs" dxfId="56" priority="28" operator="equal">
      <formula>"Guardian"</formula>
    </cfRule>
    <cfRule type="cellIs" dxfId="55" priority="29" operator="equal">
      <formula>"Survivor"</formula>
    </cfRule>
    <cfRule type="cellIs" dxfId="54" priority="30" operator="equal">
      <formula>"Mystic"</formula>
    </cfRule>
  </conditionalFormatting>
  <conditionalFormatting sqref="K816:K854">
    <cfRule type="cellIs" dxfId="47" priority="19" operator="equal">
      <formula>"seeker"</formula>
    </cfRule>
    <cfRule type="cellIs" dxfId="46" priority="20" operator="equal">
      <formula>"neutral"</formula>
    </cfRule>
    <cfRule type="cellIs" dxfId="45" priority="21" operator="equal">
      <formula>"rogue"</formula>
    </cfRule>
    <cfRule type="cellIs" dxfId="44" priority="22" operator="equal">
      <formula>"Guardian"</formula>
    </cfRule>
    <cfRule type="cellIs" dxfId="43" priority="23" operator="equal">
      <formula>"Survivor"</formula>
    </cfRule>
    <cfRule type="cellIs" dxfId="42" priority="24" operator="equal">
      <formula>"Mystic"</formula>
    </cfRule>
  </conditionalFormatting>
  <conditionalFormatting sqref="AL817">
    <cfRule type="cellIs" dxfId="35" priority="13" operator="equal">
      <formula>"Seeker"</formula>
    </cfRule>
    <cfRule type="cellIs" dxfId="34" priority="14" operator="equal">
      <formula>"Neutral"</formula>
    </cfRule>
    <cfRule type="cellIs" dxfId="33" priority="15" operator="equal">
      <formula>"Rogue"</formula>
    </cfRule>
    <cfRule type="cellIs" dxfId="32" priority="16" operator="equal">
      <formula>"Guardian"</formula>
    </cfRule>
    <cfRule type="cellIs" dxfId="31" priority="17" operator="equal">
      <formula>"Survivor"</formula>
    </cfRule>
    <cfRule type="cellIs" dxfId="30" priority="18" operator="equal">
      <formula>"Mystic"</formula>
    </cfRule>
  </conditionalFormatting>
  <conditionalFormatting sqref="AL818">
    <cfRule type="cellIs" dxfId="23" priority="7" operator="equal">
      <formula>"Seeker"</formula>
    </cfRule>
    <cfRule type="cellIs" dxfId="22" priority="8" operator="equal">
      <formula>"Neutral"</formula>
    </cfRule>
    <cfRule type="cellIs" dxfId="21" priority="9" operator="equal">
      <formula>"Rogue"</formula>
    </cfRule>
    <cfRule type="cellIs" dxfId="20" priority="10" operator="equal">
      <formula>"Guardian"</formula>
    </cfRule>
    <cfRule type="cellIs" dxfId="19" priority="11" operator="equal">
      <formula>"Survivor"</formula>
    </cfRule>
    <cfRule type="cellIs" dxfId="18" priority="12" operator="equal">
      <formula>"Mystic"</formula>
    </cfRule>
  </conditionalFormatting>
  <conditionalFormatting sqref="AL819">
    <cfRule type="cellIs" dxfId="11" priority="1" operator="equal">
      <formula>"Seeker"</formula>
    </cfRule>
    <cfRule type="cellIs" dxfId="10" priority="2" operator="equal">
      <formula>"Neutral"</formula>
    </cfRule>
    <cfRule type="cellIs" dxfId="9" priority="3" operator="equal">
      <formula>"Rogue"</formula>
    </cfRule>
    <cfRule type="cellIs" dxfId="8" priority="4" operator="equal">
      <formula>"Guardian"</formula>
    </cfRule>
    <cfRule type="cellIs" dxfId="7" priority="5" operator="equal">
      <formula>"Survivor"</formula>
    </cfRule>
    <cfRule type="cellIs" dxfId="6"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sheetPr codeName="Sheet3"/>
  <dimension ref="A2:C65536"/>
  <sheetViews>
    <sheetView showGridLines="0" showRowColHeaders="0" workbookViewId="0">
      <pane ySplit="4" topLeftCell="A140" activePane="bottomLeft" state="frozen"/>
      <selection pane="bottomLeft" activeCell="C78" sqref="C78"/>
    </sheetView>
  </sheetViews>
  <sheetFormatPr baseColWidth="10"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84">
      <c r="A149" s="3" t="s">
        <v>534</v>
      </c>
      <c r="B149" s="5" t="s">
        <v>3050</v>
      </c>
      <c r="C149" s="3"/>
    </row>
    <row r="150" spans="1:3" ht="96">
      <c r="A150" s="3" t="s">
        <v>535</v>
      </c>
      <c r="B150" s="5" t="s">
        <v>3051</v>
      </c>
      <c r="C150" s="3" t="s">
        <v>252</v>
      </c>
    </row>
    <row r="151" spans="1:3" ht="84">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96">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72">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60">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60">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68">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60">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60">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84">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96">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72">
      <c r="A908" s="3" t="s">
        <v>3821</v>
      </c>
      <c r="B908" s="5" t="s">
        <v>3492</v>
      </c>
      <c r="C908" s="3"/>
    </row>
    <row r="909" spans="1:3" ht="132">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96">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20">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68">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68">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72">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16">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80">
      <c r="A1005" s="3" t="s">
        <v>3832</v>
      </c>
      <c r="B1005" s="3" t="s">
        <v>1962</v>
      </c>
      <c r="C1005" s="3"/>
    </row>
    <row r="1006" spans="1:3" ht="120">
      <c r="A1006" s="3" t="s">
        <v>1226</v>
      </c>
      <c r="B1006" s="5" t="s">
        <v>2510</v>
      </c>
      <c r="C1006" s="3"/>
    </row>
    <row r="1007" spans="1:3" ht="120">
      <c r="A1007" s="3" t="s">
        <v>1227</v>
      </c>
      <c r="B1007" s="5" t="s">
        <v>2511</v>
      </c>
      <c r="C1007" s="3"/>
    </row>
    <row r="1008" spans="1:3" ht="84">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96">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56">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68">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36">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48">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04">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20">
      <c r="A1086" s="3" t="s">
        <v>4020</v>
      </c>
      <c r="B1086" s="5" t="s">
        <v>4021</v>
      </c>
      <c r="C1086" s="3"/>
    </row>
    <row r="1087" spans="1:3" ht="108">
      <c r="A1087" s="3" t="s">
        <v>4022</v>
      </c>
      <c r="B1087" s="5" t="s">
        <v>4023</v>
      </c>
      <c r="C1087" s="3"/>
    </row>
    <row r="1088" spans="1:3" ht="120">
      <c r="A1088" s="3" t="s">
        <v>4024</v>
      </c>
      <c r="B1088" s="5" t="s">
        <v>4025</v>
      </c>
      <c r="C1088" s="3"/>
    </row>
    <row r="1089" spans="1:3" ht="84">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84">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08">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56">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72">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60">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84">
      <c r="A1440" s="3" t="s">
        <v>3896</v>
      </c>
      <c r="B1440" s="5" t="s">
        <v>3550</v>
      </c>
      <c r="C1440" s="3"/>
    </row>
    <row r="1441" spans="1:3" ht="108">
      <c r="A1441" s="3" t="s">
        <v>3897</v>
      </c>
      <c r="B1441" s="5" t="s">
        <v>3551</v>
      </c>
      <c r="C1441" s="3"/>
    </row>
    <row r="1442" spans="1:3" ht="108">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60">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20">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20">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20">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72"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legacyDrawing r:id="rId2"/>
</worksheet>
</file>

<file path=xl/worksheets/sheet4.xml><?xml version="1.0" encoding="utf-8"?>
<worksheet xmlns="http://schemas.openxmlformats.org/spreadsheetml/2006/main" xmlns:r="http://schemas.openxmlformats.org/officeDocument/2006/relationships">
  <sheetPr codeName="Sheet6"/>
  <dimension ref="B2:C22"/>
  <sheetViews>
    <sheetView workbookViewId="0">
      <selection activeCell="B4" sqref="B4"/>
    </sheetView>
  </sheetViews>
  <sheetFormatPr baseColWidth="10" defaultColWidth="9.140625" defaultRowHeight="15"/>
  <cols>
    <col min="2" max="2" width="3.5703125" style="34" bestFit="1" customWidth="1"/>
    <col min="3" max="3" width="12.140625" bestFit="1" customWidth="1"/>
  </cols>
  <sheetData>
    <row r="2" spans="2:3">
      <c r="B2" s="33" t="s">
        <v>4058</v>
      </c>
      <c r="C2" s="28" t="s">
        <v>1939</v>
      </c>
    </row>
    <row r="3" spans="2:3">
      <c r="B3" s="29" t="s">
        <v>4059</v>
      </c>
      <c r="C3" s="28" t="s">
        <v>4039</v>
      </c>
    </row>
    <row r="4" spans="2:3">
      <c r="B4" s="33" t="s">
        <v>4060</v>
      </c>
      <c r="C4" s="28" t="s">
        <v>4040</v>
      </c>
    </row>
    <row r="5" spans="2:3">
      <c r="B5" s="33" t="s">
        <v>4061</v>
      </c>
      <c r="C5" s="28" t="s">
        <v>4041</v>
      </c>
    </row>
    <row r="6" spans="2:3">
      <c r="B6" s="33" t="s">
        <v>4062</v>
      </c>
      <c r="C6" s="28" t="s">
        <v>4042</v>
      </c>
    </row>
    <row r="7" spans="2:3">
      <c r="B7" s="33" t="s">
        <v>4063</v>
      </c>
      <c r="C7" s="28" t="s">
        <v>4043</v>
      </c>
    </row>
    <row r="8" spans="2:3">
      <c r="B8" s="33" t="s">
        <v>4064</v>
      </c>
      <c r="C8" s="28" t="s">
        <v>4044</v>
      </c>
    </row>
    <row r="9" spans="2:3">
      <c r="B9" s="33" t="s">
        <v>4065</v>
      </c>
      <c r="C9" s="28" t="s">
        <v>4045</v>
      </c>
    </row>
    <row r="10" spans="2:3">
      <c r="B10" s="33" t="s">
        <v>4066</v>
      </c>
      <c r="C10" s="28" t="s">
        <v>4046</v>
      </c>
    </row>
    <row r="11" spans="2:3">
      <c r="B11" s="33" t="s">
        <v>4067</v>
      </c>
      <c r="C11" s="28" t="s">
        <v>4047</v>
      </c>
    </row>
    <row r="12" spans="2:3">
      <c r="B12" s="33" t="s">
        <v>4068</v>
      </c>
      <c r="C12" s="28" t="s">
        <v>4048</v>
      </c>
    </row>
    <row r="13" spans="2:3">
      <c r="B13" s="29" t="s">
        <v>4069</v>
      </c>
      <c r="C13" s="28" t="s">
        <v>4049</v>
      </c>
    </row>
    <row r="14" spans="2:3">
      <c r="B14" s="29" t="s">
        <v>4070</v>
      </c>
      <c r="C14" s="28" t="s">
        <v>4050</v>
      </c>
    </row>
    <row r="15" spans="2:3">
      <c r="B15" s="29" t="s">
        <v>4071</v>
      </c>
      <c r="C15" s="28" t="s">
        <v>4051</v>
      </c>
    </row>
    <row r="16" spans="2:3">
      <c r="B16" s="29" t="s">
        <v>4072</v>
      </c>
      <c r="C16" s="28" t="s">
        <v>4052</v>
      </c>
    </row>
    <row r="17" spans="2:3">
      <c r="B17" s="29" t="s">
        <v>4073</v>
      </c>
      <c r="C17" s="28" t="s">
        <v>4053</v>
      </c>
    </row>
    <row r="18" spans="2:3">
      <c r="B18" s="29" t="s">
        <v>4074</v>
      </c>
      <c r="C18" s="28" t="s">
        <v>4054</v>
      </c>
    </row>
    <row r="19" spans="2:3">
      <c r="B19" s="29" t="s">
        <v>4075</v>
      </c>
      <c r="C19" s="28" t="s">
        <v>4055</v>
      </c>
    </row>
    <row r="20" spans="2:3">
      <c r="B20" s="29" t="s">
        <v>4076</v>
      </c>
      <c r="C20" s="28" t="s">
        <v>4056</v>
      </c>
    </row>
    <row r="21" spans="2:3">
      <c r="B21" s="29" t="s">
        <v>4077</v>
      </c>
      <c r="C21" s="28" t="s">
        <v>3</v>
      </c>
    </row>
    <row r="22" spans="2:3">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4"/>
  <dimension ref="A1:D11"/>
  <sheetViews>
    <sheetView workbookViewId="0">
      <selection activeCell="C1" sqref="C1:D11"/>
    </sheetView>
  </sheetViews>
  <sheetFormatPr baseColWidth="10" defaultColWidth="9.140625"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1:W34"/>
  <sheetViews>
    <sheetView workbookViewId="0">
      <selection sqref="A1:W34"/>
    </sheetView>
  </sheetViews>
  <sheetFormatPr baseColWidth="10"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6</vt:i4>
      </vt:variant>
      <vt:variant>
        <vt:lpstr>Plages nommées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FAQ!Impression_des_titres</vt:lpstr>
      <vt:lpstr>SymbolTable</vt:lpstr>
      <vt:lpstr>UseSymbols</vt:lpstr>
      <vt:lpstr>YesNo</vt:lpstr>
      <vt:lpstr>FAQ!Zone_d_impression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Loic</cp:lastModifiedBy>
  <cp:lastPrinted>2014-08-03T08:06:29Z</cp:lastPrinted>
  <dcterms:created xsi:type="dcterms:W3CDTF">2014-06-30T14:14:02Z</dcterms:created>
  <dcterms:modified xsi:type="dcterms:W3CDTF">2018-01-12T22:23:43Z</dcterms:modified>
</cp:coreProperties>
</file>