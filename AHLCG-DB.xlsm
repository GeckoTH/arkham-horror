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45" yWindow="-105" windowWidth="20445" windowHeight="8235"/>
  </bookViews>
  <sheets>
    <sheet name="Sets" sheetId="2" r:id="rId1"/>
    <sheet name="Card Data" sheetId="1" r:id="rId2"/>
    <sheet name="Work Data" sheetId="9" r:id="rId3"/>
    <sheet name="FAQ" sheetId="3" r:id="rId4"/>
    <sheet name="Special Characters" sheetId="7" r:id="rId5"/>
    <sheet name="Tables" sheetId="4" state="hidden" r:id="rId6"/>
    <sheet name="Sheet2" sheetId="6" state="hidden" r:id="rId7"/>
  </sheets>
  <functionGroups/>
  <definedNames>
    <definedName name="_xlnm._FilterDatabase" localSheetId="1" hidden="1">'Card Data'!$A$1:$BP$581</definedName>
    <definedName name="_xlnm._FilterDatabase" localSheetId="2" hidden="1">'Work Data'!$A$1:$BP$542</definedName>
    <definedName name="_xlnm.Print_Area" localSheetId="3">FAQ!$A$4:$C$1812</definedName>
    <definedName name="_xlnm.Print_Titles" localSheetId="3">FAQ!$4:$4</definedName>
    <definedName name="GameGUID">Sets!$A$2</definedName>
    <definedName name="GameVersion">Sets!$C$2</definedName>
    <definedName name="SymbolTable">Tables!$C$1:$D$11</definedName>
    <definedName name="UseSymbols">FAQ!$B$2</definedName>
    <definedName name="YesNo">Tables!$A$1:$A$2</definedName>
  </definedNames>
  <calcPr calcId="125725" calcMode="manual"/>
</workbook>
</file>

<file path=xl/calcChain.xml><?xml version="1.0" encoding="utf-8"?>
<calcChain xmlns="http://schemas.openxmlformats.org/spreadsheetml/2006/main">
  <c r="N8" i="2"/>
  <c r="N9"/>
  <c r="A12"/>
  <c r="A11"/>
  <c r="T8" l="1"/>
  <c r="T9"/>
  <c r="Y9"/>
  <c r="Y8"/>
  <c r="R8"/>
  <c r="R9"/>
  <c r="K9"/>
  <c r="K8"/>
  <c r="G3"/>
  <c r="H4"/>
  <c r="H5"/>
  <c r="H6"/>
  <c r="H7"/>
  <c r="H8"/>
  <c r="H9"/>
  <c r="G9"/>
  <c r="H3"/>
  <c r="V8"/>
  <c r="P9"/>
  <c r="P8"/>
  <c r="V9"/>
  <c r="G8"/>
  <c r="O9"/>
  <c r="O8"/>
  <c r="AA9"/>
  <c r="AA8"/>
  <c r="L9"/>
  <c r="L8"/>
  <c r="Q9"/>
  <c r="W8"/>
  <c r="Q8"/>
  <c r="W9"/>
  <c r="S8"/>
  <c r="S9"/>
  <c r="Z9"/>
  <c r="Z8"/>
  <c r="X9"/>
  <c r="X8"/>
  <c r="J3"/>
  <c r="I3" s="1"/>
  <c r="J9"/>
  <c r="I9" s="1"/>
  <c r="J8"/>
  <c r="I8" s="1"/>
  <c r="G6"/>
  <c r="J6"/>
  <c r="I6" s="1"/>
  <c r="K6"/>
  <c r="L6"/>
  <c r="N6"/>
  <c r="O6"/>
  <c r="P6"/>
  <c r="Q6"/>
  <c r="R6"/>
  <c r="S6"/>
  <c r="T6"/>
  <c r="V6"/>
  <c r="W6"/>
  <c r="X6"/>
  <c r="Y6"/>
  <c r="Z6"/>
  <c r="AA6"/>
  <c r="G7"/>
  <c r="J7"/>
  <c r="I7" s="1"/>
  <c r="K7"/>
  <c r="L7"/>
  <c r="N7"/>
  <c r="O7"/>
  <c r="P7"/>
  <c r="Q7"/>
  <c r="R7"/>
  <c r="S7"/>
  <c r="T7"/>
  <c r="V7"/>
  <c r="W7"/>
  <c r="X7"/>
  <c r="Y7"/>
  <c r="Z7"/>
  <c r="AA7"/>
  <c r="G10"/>
  <c r="H10"/>
  <c r="J10"/>
  <c r="I10" s="1"/>
  <c r="K10"/>
  <c r="L10"/>
  <c r="N10"/>
  <c r="O10"/>
  <c r="P10"/>
  <c r="Q10"/>
  <c r="R10"/>
  <c r="S10"/>
  <c r="T10"/>
  <c r="V10"/>
  <c r="W10"/>
  <c r="X10"/>
  <c r="Y10"/>
  <c r="Z10"/>
  <c r="AA10"/>
  <c r="G11"/>
  <c r="H11"/>
  <c r="J11"/>
  <c r="I11" s="1"/>
  <c r="K11"/>
  <c r="L11"/>
  <c r="N11"/>
  <c r="O11"/>
  <c r="P11"/>
  <c r="Q11"/>
  <c r="R11"/>
  <c r="S11"/>
  <c r="T11"/>
  <c r="V11"/>
  <c r="W11"/>
  <c r="X11"/>
  <c r="Y11"/>
  <c r="Z11"/>
  <c r="AA11"/>
  <c r="G12"/>
  <c r="H12"/>
  <c r="J12"/>
  <c r="I12" s="1"/>
  <c r="K12"/>
  <c r="L12"/>
  <c r="N12"/>
  <c r="O12"/>
  <c r="P12"/>
  <c r="Q12"/>
  <c r="R12"/>
  <c r="S12"/>
  <c r="T12"/>
  <c r="V12"/>
  <c r="W12"/>
  <c r="X12"/>
  <c r="Y12"/>
  <c r="Z12"/>
  <c r="AA12"/>
  <c r="G13"/>
  <c r="H13"/>
  <c r="J13"/>
  <c r="I13" s="1"/>
  <c r="K13"/>
  <c r="L13"/>
  <c r="N13"/>
  <c r="O13"/>
  <c r="P13"/>
  <c r="Q13"/>
  <c r="R13"/>
  <c r="S13"/>
  <c r="T13"/>
  <c r="V13"/>
  <c r="W13"/>
  <c r="X13"/>
  <c r="Y13"/>
  <c r="Z13"/>
  <c r="AA13"/>
  <c r="J5"/>
  <c r="I5" s="1"/>
  <c r="K5"/>
  <c r="L5"/>
  <c r="N5"/>
  <c r="O5"/>
  <c r="P5"/>
  <c r="Q5"/>
  <c r="R5"/>
  <c r="S5"/>
  <c r="T5"/>
  <c r="V5"/>
  <c r="W5"/>
  <c r="X5"/>
  <c r="Y5"/>
  <c r="Z5"/>
  <c r="AA5"/>
  <c r="G5"/>
  <c r="AA4" l="1"/>
  <c r="Z4"/>
  <c r="Y4"/>
  <c r="X4"/>
  <c r="W4"/>
  <c r="V4"/>
  <c r="T4"/>
  <c r="S4"/>
  <c r="R4"/>
  <c r="Q4"/>
  <c r="P4"/>
  <c r="O4"/>
  <c r="N4"/>
  <c r="L4"/>
  <c r="K4"/>
  <c r="J4"/>
  <c r="I4" s="1"/>
  <c r="G4"/>
  <c r="L3"/>
  <c r="K3"/>
  <c r="Z3"/>
  <c r="Y3"/>
  <c r="X3"/>
  <c r="W3"/>
  <c r="V3"/>
  <c r="Q3" l="1"/>
  <c r="P3"/>
  <c r="O3"/>
  <c r="N3"/>
  <c r="AA3" l="1"/>
  <c r="T3"/>
  <c r="S3"/>
  <c r="R3"/>
</calcChain>
</file>

<file path=xl/sharedStrings.xml><?xml version="1.0" encoding="utf-8"?>
<sst xmlns="http://schemas.openxmlformats.org/spreadsheetml/2006/main" count="10835" uniqueCount="6277">
  <si>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</si>
  <si>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</si>
  <si>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</si>
  <si>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</si>
  <si>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</si>
  <si>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</si>
  <si>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</si>
  <si>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</si>
  <si>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</si>
  <si>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</si>
  <si>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</si>
  <si>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</si>
  <si>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</si>
  <si>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</si>
  <si>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</si>
  <si>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</si>
  <si>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</si>
  <si>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</si>
  <si>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</si>
  <si>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</si>
  <si>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</si>
  <si>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</si>
  <si>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</si>
  <si>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</si>
  <si>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</si>
  <si>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</si>
  <si>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</si>
  <si>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</si>
  <si>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</si>
  <si>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</si>
  <si>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</si>
  <si>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</si>
  <si>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</si>
  <si>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</si>
  <si>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</si>
  <si>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</si>
  <si>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</si>
  <si>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</si>
  <si>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</si>
  <si>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</si>
  <si>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</si>
  <si>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</si>
  <si>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</si>
  <si>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</si>
  <si>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</si>
  <si>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</si>
  <si>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</si>
  <si>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</si>
  <si>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</si>
  <si>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</si>
  <si>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</si>
  <si>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</si>
  <si>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</si>
  <si>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</si>
  <si>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</si>
  <si>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</si>
  <si>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</si>
  <si>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</si>
  <si>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</si>
  <si>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</si>
  <si>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</si>
  <si>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</si>
  <si>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</si>
  <si>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</si>
  <si>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</si>
  <si>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</si>
  <si>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</si>
  <si>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</si>
  <si>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</si>
  <si>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</si>
  <si>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</si>
  <si>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</si>
  <si>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</si>
  <si>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</si>
  <si>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</si>
  <si>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</si>
  <si>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</si>
  <si>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</si>
  <si>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</si>
  <si>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</si>
  <si>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</si>
  <si>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</si>
  <si>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</si>
  <si>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</si>
  <si>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</si>
  <si>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</si>
  <si>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</si>
  <si>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</si>
  <si>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</si>
  <si>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</si>
  <si>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</si>
  <si>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</si>
  <si>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</si>
  <si>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</si>
  <si>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</si>
  <si>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</si>
  <si>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</si>
  <si>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</si>
  <si>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</si>
  <si>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</si>
  <si>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</si>
  <si>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</si>
  <si>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</si>
  <si>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</si>
  <si>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</si>
  <si>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</si>
  <si>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</si>
  <si>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</si>
  <si>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</si>
  <si>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</si>
  <si>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</si>
  <si>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</si>
  <si>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</si>
  <si>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</si>
  <si>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</si>
  <si>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</si>
  <si>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</si>
  <si>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</si>
  <si>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</si>
  <si>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</si>
  <si>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</si>
  <si>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</si>
  <si>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</si>
  <si>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</si>
  <si>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</si>
  <si>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</si>
  <si>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</si>
  <si>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</si>
  <si>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</si>
  <si>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</si>
  <si>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</si>
  <si>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</si>
  <si>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</si>
  <si>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</si>
  <si>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</si>
  <si>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</si>
  <si>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</si>
  <si>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</si>
  <si>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</si>
  <si>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</si>
  <si>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</si>
  <si>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</si>
  <si>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</si>
  <si>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</si>
  <si>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</si>
  <si>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</si>
  <si>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</si>
  <si>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</si>
  <si>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</si>
  <si>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</si>
  <si>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</si>
  <si>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</si>
  <si>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</si>
  <si>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</si>
  <si>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</si>
  <si>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</si>
  <si>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</si>
  <si>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</si>
  <si>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</si>
  <si>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</si>
  <si>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</si>
  <si>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</si>
  <si>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</si>
  <si>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</si>
  <si>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</si>
  <si>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</si>
  <si>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</si>
  <si>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</si>
  <si>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</si>
  <si>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</si>
  <si>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</si>
  <si>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</si>
  <si>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</si>
  <si>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</si>
  <si>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</si>
  <si>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</si>
  <si>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</si>
  <si>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</si>
  <si>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</si>
  <si>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</si>
  <si>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</si>
  <si>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</si>
  <si>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</si>
  <si>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</si>
  <si>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</si>
  <si>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</si>
  <si>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</si>
  <si>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</si>
  <si>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</si>
  <si>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</si>
  <si>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</si>
  <si>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</si>
  <si>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</si>
  <si>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</si>
  <si>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</si>
  <si>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</si>
  <si>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</si>
  <si>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</si>
  <si>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</si>
  <si>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</si>
  <si>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</si>
  <si>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</si>
  <si>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</si>
  <si>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</si>
  <si>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</si>
  <si>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</si>
  <si>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</si>
  <si>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</si>
  <si>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</si>
  <si>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</si>
  <si>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</si>
  <si>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</si>
  <si>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</si>
  <si>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</si>
  <si>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</si>
  <si>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</si>
  <si>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</si>
  <si>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</si>
  <si>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</si>
  <si>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</si>
  <si>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</si>
  <si>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</si>
  <si>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</si>
  <si>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</si>
  <si>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</si>
  <si>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</si>
  <si>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</si>
  <si>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</si>
  <si>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</si>
  <si>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</si>
  <si>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</si>
  <si>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</si>
  <si>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</si>
  <si>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</si>
  <si>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</si>
  <si>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</si>
  <si>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</si>
  <si>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</si>
  <si>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</si>
  <si>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</si>
  <si>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</si>
  <si>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</si>
  <si>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</si>
  <si>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</si>
  <si>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</si>
  <si>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</si>
  <si>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</si>
  <si>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</si>
  <si>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</si>
  <si>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</si>
  <si>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</si>
  <si>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</si>
  <si>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</si>
  <si>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</si>
  <si>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</si>
  <si>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</si>
  <si>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</si>
  <si>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</si>
  <si>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</si>
  <si>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</si>
  <si>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</si>
  <si>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</si>
  <si>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</si>
  <si>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</si>
  <si>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</si>
  <si>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</si>
  <si>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</si>
  <si>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</si>
  <si>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</si>
  <si>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</si>
  <si>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</si>
  <si>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</si>
  <si>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</si>
  <si>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</si>
  <si>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</si>
  <si>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</si>
  <si>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</si>
  <si>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</si>
  <si>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</si>
  <si>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</si>
  <si>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</si>
  <si>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</si>
  <si>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</si>
  <si>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</si>
  <si>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</si>
  <si>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</si>
  <si>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</si>
  <si>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</si>
  <si>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</si>
  <si>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</si>
  <si>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</si>
  <si>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</si>
  <si>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</si>
  <si>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</si>
  <si>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</si>
  <si>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</si>
  <si>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</si>
  <si>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</si>
  <si>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</si>
  <si>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</si>
  <si>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</si>
  <si>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</si>
  <si>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</si>
  <si>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</si>
  <si>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</si>
  <si>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</si>
  <si>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</si>
  <si>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</si>
  <si>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</si>
  <si>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</si>
  <si>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</si>
  <si>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</si>
  <si>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</si>
  <si>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</si>
  <si>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</si>
  <si>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</si>
  <si>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</si>
  <si>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</si>
  <si>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</si>
  <si>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</si>
  <si>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</si>
  <si>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</si>
  <si>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</si>
  <si>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</si>
  <si>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</si>
  <si>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</si>
  <si>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</si>
  <si>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</si>
  <si>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</si>
  <si>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</si>
  <si>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</si>
  <si>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</si>
  <si>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</si>
  <si>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</si>
  <si>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</si>
  <si>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</si>
  <si>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</si>
  <si>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</si>
  <si>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</si>
  <si>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</si>
  <si>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</si>
  <si>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</si>
  <si>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</si>
  <si>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</si>
  <si>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</si>
  <si>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</si>
  <si>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</si>
  <si>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</si>
  <si>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</si>
  <si>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</si>
  <si>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</si>
  <si>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</si>
  <si>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</si>
  <si>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</si>
  <si>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</si>
  <si>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</si>
  <si>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</si>
  <si>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</si>
  <si>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</si>
  <si>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</si>
  <si>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</si>
  <si>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</si>
  <si>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</si>
  <si>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</si>
  <si>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</si>
  <si>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</si>
  <si>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</si>
  <si>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</si>
  <si>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</si>
  <si>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</si>
  <si>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</si>
  <si>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</si>
  <si>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</si>
  <si>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</si>
  <si>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</si>
  <si>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</si>
  <si>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</si>
  <si>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</si>
  <si>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</si>
  <si>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</si>
  <si>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</si>
  <si>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</si>
  <si>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</si>
  <si>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</si>
  <si>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</si>
  <si>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</si>
  <si>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</si>
  <si>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</si>
  <si>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</si>
  <si>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</si>
  <si>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</si>
  <si>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</si>
  <si>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</si>
  <si>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</si>
  <si>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</si>
  <si>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</si>
  <si>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</si>
  <si>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</si>
  <si>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</si>
  <si>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</si>
  <si>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</si>
  <si>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</si>
  <si>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</si>
  <si>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</si>
  <si>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</si>
  <si>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</si>
  <si>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</si>
  <si>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</si>
  <si>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</si>
  <si>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</si>
  <si>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</si>
  <si>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</si>
  <si>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</si>
  <si>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</si>
  <si>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</si>
  <si>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</si>
  <si>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</si>
  <si>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</si>
  <si>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</si>
  <si>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</si>
  <si>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</si>
  <si>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</si>
  <si>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</si>
  <si>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</si>
  <si>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</si>
  <si>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</si>
  <si>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</si>
  <si>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</si>
  <si>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</si>
  <si>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</si>
  <si>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</si>
  <si>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</si>
  <si>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</si>
  <si>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</si>
  <si>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</si>
  <si>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</si>
  <si>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</si>
  <si>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</si>
  <si>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</si>
  <si>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</si>
  <si>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</si>
  <si>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</si>
  <si>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</si>
  <si>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</si>
  <si>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</si>
  <si>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</si>
  <si>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</si>
  <si>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</si>
  <si>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</si>
  <si>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</si>
  <si>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</si>
  <si>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</si>
  <si>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</si>
  <si>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</si>
  <si>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</si>
  <si>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</si>
  <si>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</si>
  <si>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</si>
  <si>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</si>
  <si>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</si>
  <si>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</si>
  <si>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</si>
  <si>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</si>
  <si>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</si>
  <si>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</si>
  <si>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</si>
  <si>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</si>
  <si>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</si>
  <si>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</si>
  <si>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</si>
  <si>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</si>
  <si>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</si>
  <si>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</si>
  <si>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</si>
  <si>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</si>
  <si>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</si>
  <si>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</si>
  <si>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</si>
  <si>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</si>
  <si>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</si>
  <si>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</si>
  <si>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</si>
  <si>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</si>
  <si>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</si>
  <si>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</si>
  <si>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</si>
  <si>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</si>
  <si>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</si>
  <si>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</si>
  <si>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</si>
  <si>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</si>
  <si>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</si>
  <si>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</si>
  <si>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</si>
  <si>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</si>
  <si>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</si>
  <si>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</si>
  <si>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</si>
  <si>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</si>
  <si>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</si>
  <si>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</si>
  <si>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</si>
  <si>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</si>
  <si>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</si>
  <si>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</si>
  <si>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</si>
  <si>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</si>
  <si>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</si>
  <si>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</si>
  <si>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</si>
  <si>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</si>
  <si>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</si>
  <si>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</si>
  <si>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</si>
  <si>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</si>
  <si>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</si>
  <si>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</si>
  <si>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</si>
  <si>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</si>
  <si>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</si>
  <si>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</si>
  <si>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</si>
  <si>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</si>
  <si>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</si>
  <si>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</si>
  <si>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</si>
  <si>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</si>
  <si>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</si>
  <si>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</si>
  <si>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</si>
  <si>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</si>
  <si>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</si>
  <si>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</si>
  <si>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</si>
  <si>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</si>
  <si>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</si>
  <si>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</si>
  <si>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</si>
  <si>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</si>
  <si>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</si>
  <si>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</si>
  <si>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</si>
  <si>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</si>
  <si>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</si>
  <si>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</si>
  <si>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</si>
  <si>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</si>
  <si>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</si>
  <si>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</si>
  <si>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</si>
  <si>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</si>
  <si>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</si>
  <si>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</si>
  <si>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</si>
  <si>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</si>
  <si>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</si>
  <si>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</si>
  <si>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</si>
  <si>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</si>
  <si>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</si>
  <si>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</si>
  <si>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</si>
  <si>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</si>
  <si>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</si>
  <si>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</si>
  <si>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</si>
  <si>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</si>
  <si>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</si>
  <si>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</si>
  <si>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</si>
  <si>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</si>
  <si>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</si>
  <si>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</si>
  <si>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</si>
  <si>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</si>
  <si>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</si>
  <si>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</si>
  <si>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</si>
  <si>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</si>
  <si>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</si>
  <si>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</si>
  <si>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</si>
  <si>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</si>
  <si>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</si>
  <si>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</si>
  <si>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</si>
  <si>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</si>
  <si>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</si>
  <si>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</si>
  <si>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</si>
  <si>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</si>
  <si>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</si>
  <si>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</si>
  <si>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</si>
  <si>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</si>
  <si>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</si>
  <si>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</si>
  <si>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</si>
  <si>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</si>
  <si>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</si>
  <si>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</si>
  <si>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</si>
  <si>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</si>
  <si>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</si>
  <si>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</si>
  <si>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</si>
  <si>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</si>
  <si>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</si>
  <si>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</si>
  <si>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</si>
  <si>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</si>
  <si>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</si>
  <si>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</si>
  <si>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</si>
  <si>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</si>
  <si>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</si>
  <si>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</si>
  <si>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</si>
  <si>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</si>
  <si>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</si>
  <si>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</si>
  <si>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</si>
  <si>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</si>
  <si>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</si>
  <si>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</si>
  <si>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</si>
  <si>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</si>
  <si>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</si>
  <si>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</si>
  <si>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</si>
  <si>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</si>
  <si>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</si>
  <si>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</si>
  <si>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</si>
  <si>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</si>
  <si>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</si>
  <si>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</si>
  <si>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</si>
  <si>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</si>
  <si>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</si>
  <si>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</si>
  <si>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</si>
  <si>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</si>
  <si>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</si>
  <si>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</si>
  <si>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</si>
  <si>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</si>
  <si>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</si>
  <si>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</si>
  <si>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</si>
  <si>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</si>
  <si>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</si>
  <si>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</si>
  <si>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</si>
  <si>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</si>
  <si>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</si>
  <si>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</si>
  <si>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</si>
  <si>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</si>
  <si>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</si>
  <si>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</si>
  <si>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</si>
  <si>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</si>
  <si>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</si>
  <si>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</si>
  <si>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</si>
  <si>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</si>
  <si>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</si>
  <si>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</si>
  <si>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</si>
  <si>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</si>
  <si>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</si>
  <si>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</si>
  <si>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</si>
  <si>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</si>
  <si>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</si>
  <si>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</si>
  <si>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</si>
  <si>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</si>
  <si>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</si>
  <si>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</si>
  <si>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</si>
  <si>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</si>
  <si>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</si>
  <si>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</si>
  <si>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</si>
  <si>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</si>
  <si>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</si>
  <si>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</si>
  <si>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</si>
  <si>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</si>
  <si>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</si>
  <si>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</si>
  <si>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</si>
  <si>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</si>
  <si>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</si>
  <si>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</si>
  <si>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</si>
  <si>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</si>
  <si>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</si>
  <si>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</si>
  <si>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</si>
  <si>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</si>
  <si>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</si>
  <si>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</si>
  <si>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</si>
  <si>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</si>
  <si>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</si>
  <si>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</si>
  <si>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</si>
  <si>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</si>
  <si>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</si>
  <si>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</si>
  <si>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</si>
  <si>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</si>
  <si>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</si>
  <si>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</si>
  <si>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</si>
  <si>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</si>
  <si>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</si>
  <si>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</si>
  <si>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</si>
  <si>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</si>
  <si>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</si>
  <si>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</si>
  <si>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</si>
  <si>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</si>
  <si>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</si>
  <si>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</si>
  <si>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</si>
  <si>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</si>
  <si>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</si>
  <si>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</si>
  <si>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</si>
  <si>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</si>
  <si>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</si>
  <si>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</si>
  <si>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</si>
  <si>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</si>
  <si>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</si>
  <si>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</si>
  <si>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</si>
  <si>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</si>
  <si>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</si>
  <si>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</si>
  <si>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</si>
  <si>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</si>
  <si>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</si>
  <si>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</si>
  <si>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</si>
  <si>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</si>
  <si>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</si>
  <si>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</si>
  <si>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</si>
  <si>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</si>
  <si>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</si>
  <si>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</si>
  <si>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</si>
  <si>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</si>
  <si>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</si>
  <si>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</si>
  <si>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</si>
  <si>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</si>
  <si>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</si>
  <si>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</si>
  <si>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</si>
  <si>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</si>
  <si>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</si>
  <si>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</si>
  <si>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</si>
  <si>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</si>
  <si>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</si>
  <si>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</si>
  <si>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</si>
  <si>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</si>
  <si>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</si>
  <si>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</si>
  <si>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</si>
  <si>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</si>
  <si>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</si>
  <si>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</si>
  <si>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</si>
  <si>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</si>
  <si>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</si>
  <si>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</si>
  <si>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</si>
  <si>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</si>
  <si>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</si>
  <si>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</si>
  <si>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</si>
  <si>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</si>
  <si>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</si>
  <si>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</si>
  <si>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</si>
  <si>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</si>
  <si>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</si>
  <si>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</si>
  <si>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</si>
  <si>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</si>
  <si>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</si>
  <si>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</si>
  <si>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</si>
  <si>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</si>
  <si>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</si>
  <si>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</si>
  <si>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</si>
  <si>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</si>
  <si>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</si>
  <si>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</si>
  <si>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</si>
  <si>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</si>
  <si>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</si>
  <si>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</si>
  <si>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</si>
  <si>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</si>
  <si>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</si>
  <si>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</si>
  <si>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</si>
  <si>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</si>
  <si>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</si>
  <si>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</si>
  <si>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</si>
  <si>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</si>
  <si>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</si>
  <si>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</si>
  <si>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</si>
  <si>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</si>
  <si>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</si>
  <si>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</si>
  <si>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</si>
  <si>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</si>
  <si>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</si>
  <si>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</si>
  <si>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</si>
  <si>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</si>
  <si>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</si>
  <si>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</si>
  <si>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</si>
  <si>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</si>
  <si>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</si>
  <si>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</si>
  <si>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</si>
  <si>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</si>
  <si>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</si>
  <si>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</si>
  <si>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</si>
  <si>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</si>
  <si>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</si>
  <si>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</si>
  <si>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</si>
  <si>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</si>
  <si>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</si>
  <si>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</si>
  <si>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</si>
  <si>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</si>
  <si>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</si>
  <si>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</si>
  <si>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</si>
  <si>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</si>
  <si>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</si>
  <si>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</si>
  <si>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</si>
  <si>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</si>
  <si>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</si>
  <si>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</si>
  <si>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</si>
  <si>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</si>
  <si>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</si>
  <si>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</si>
  <si>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</si>
  <si>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</si>
  <si>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</si>
  <si>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</si>
  <si>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</si>
  <si>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</si>
  <si>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</si>
  <si>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</si>
  <si>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</si>
  <si>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</si>
  <si>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</si>
  <si>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</si>
  <si>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</si>
  <si>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</si>
  <si>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</si>
  <si>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</si>
  <si>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</si>
  <si>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</si>
  <si>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</si>
  <si>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</si>
  <si>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</si>
  <si>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</si>
  <si>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</si>
  <si>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</si>
  <si>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</si>
  <si>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</si>
  <si>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</si>
  <si>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</si>
  <si>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</si>
  <si>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</si>
  <si>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</si>
  <si>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</si>
  <si>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</si>
  <si>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</si>
  <si>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</si>
  <si>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</si>
  <si>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</si>
  <si>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</si>
  <si>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</si>
  <si>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</si>
  <si>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</si>
  <si>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</si>
  <si>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</si>
  <si>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</si>
  <si>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</si>
  <si>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</si>
  <si>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</si>
  <si>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</si>
  <si>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</si>
  <si>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</si>
  <si>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</si>
  <si>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</si>
  <si>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</si>
  <si>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</si>
  <si>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</si>
  <si>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</si>
  <si>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</si>
  <si>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</si>
  <si>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</si>
  <si>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</si>
  <si>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</si>
  <si>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</si>
  <si>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</si>
  <si>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</si>
  <si>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</si>
  <si>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</si>
  <si>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</si>
  <si>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</si>
  <si>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</si>
  <si>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</si>
  <si>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</si>
  <si>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</si>
  <si>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</si>
  <si>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</si>
  <si>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</si>
  <si>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</si>
  <si>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</si>
  <si>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</si>
  <si>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</si>
  <si>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</si>
  <si>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</si>
  <si>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</si>
  <si>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</si>
  <si>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</si>
  <si>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</si>
  <si>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</si>
  <si>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</si>
  <si>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</si>
  <si>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</si>
  <si>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</si>
  <si>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</si>
  <si>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</si>
  <si>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</si>
  <si>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</si>
  <si>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</si>
  <si>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</si>
  <si>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</si>
  <si>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</si>
  <si>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</si>
  <si>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</si>
  <si>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</si>
  <si>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</si>
  <si>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</si>
  <si>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</si>
  <si>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</si>
  <si>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</si>
  <si>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</si>
  <si>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</si>
  <si>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</si>
  <si>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</si>
  <si>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</si>
  <si>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</si>
  <si>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</si>
  <si>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</si>
  <si>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</si>
  <si>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</si>
  <si>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</si>
  <si>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</si>
  <si>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</si>
  <si>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</si>
  <si>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</si>
  <si>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</si>
  <si>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</si>
  <si>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</si>
  <si>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</si>
  <si>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</si>
  <si>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</si>
  <si>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</si>
  <si>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</si>
  <si>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</si>
  <si>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</si>
  <si>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</si>
  <si>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</si>
  <si>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</si>
  <si>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</si>
  <si>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</si>
  <si>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</si>
  <si>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</si>
  <si>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</si>
  <si>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</si>
  <si>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</si>
  <si>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</si>
  <si>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</si>
  <si>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</si>
  <si>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</si>
  <si>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</si>
  <si>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</si>
  <si>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</si>
  <si>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</si>
  <si>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</si>
  <si>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</si>
  <si>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</si>
  <si>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</si>
  <si>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</si>
  <si>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</si>
  <si>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</si>
  <si>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</si>
  <si>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</si>
  <si>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</si>
  <si>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</si>
  <si>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</si>
  <si>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</si>
  <si>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</si>
  <si>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</si>
  <si>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</si>
  <si>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</si>
  <si>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</si>
  <si>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</si>
  <si>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</si>
  <si>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</si>
  <si>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</si>
  <si>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</si>
  <si>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</si>
  <si>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</si>
  <si>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</si>
  <si>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</si>
  <si>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</si>
  <si>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</si>
  <si>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</si>
  <si>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</si>
  <si>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</si>
  <si>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</si>
  <si>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</si>
  <si>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</si>
  <si>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</si>
  <si>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</si>
  <si>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</si>
  <si>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</si>
  <si>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</si>
  <si>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</si>
  <si>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</si>
  <si>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</si>
  <si>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</si>
  <si>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</si>
  <si>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</si>
  <si>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</si>
  <si>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</si>
  <si>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</si>
  <si>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</si>
  <si>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</si>
  <si>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</si>
  <si>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</si>
  <si>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</si>
  <si>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</si>
  <si>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</si>
  <si>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</si>
  <si>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</si>
  <si>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</si>
  <si>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</si>
  <si>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</si>
  <si>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</si>
  <si>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</si>
  <si>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</si>
  <si>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</si>
  <si>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</si>
  <si>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</si>
  <si>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</si>
  <si>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</si>
  <si>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</si>
  <si>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</si>
  <si>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</si>
  <si>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</si>
  <si>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</si>
  <si>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</si>
  <si>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</si>
  <si>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</si>
  <si>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</si>
  <si>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</si>
  <si>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</si>
  <si>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</si>
  <si>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</si>
  <si>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</si>
  <si>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</si>
  <si>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</si>
  <si>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</si>
  <si>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</si>
  <si>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</si>
  <si>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</si>
  <si>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</si>
  <si>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</si>
  <si>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</si>
  <si>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</si>
  <si>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</si>
  <si>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</si>
  <si>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</si>
  <si>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</si>
  <si>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</si>
  <si>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</si>
  <si>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</si>
  <si>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</si>
  <si>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</si>
  <si>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</si>
  <si>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</si>
  <si>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</si>
  <si>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</si>
  <si>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</si>
  <si>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</si>
  <si>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</si>
  <si>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</si>
  <si>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</si>
  <si>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</si>
  <si>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</si>
  <si>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</si>
  <si>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</si>
  <si>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</si>
  <si>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</si>
  <si>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</si>
  <si>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</si>
  <si>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</si>
  <si>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</si>
  <si>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</si>
  <si>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</si>
  <si>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</si>
  <si>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</si>
  <si>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</si>
  <si>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</si>
  <si>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</si>
  <si>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</si>
  <si>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</si>
  <si>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</si>
  <si>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</si>
  <si>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</si>
  <si>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</si>
  <si>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</si>
  <si>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</si>
  <si>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</si>
  <si>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</si>
  <si>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</si>
  <si>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</si>
  <si>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</si>
  <si>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</si>
  <si>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</si>
  <si>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</si>
  <si>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</si>
  <si>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</si>
  <si>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</si>
  <si>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</si>
  <si>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</si>
  <si>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</si>
  <si>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</si>
  <si>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</si>
  <si>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</si>
  <si>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</si>
  <si>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</si>
  <si>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</si>
  <si>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</si>
  <si>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</si>
  <si>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</si>
  <si>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</si>
  <si>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</si>
  <si>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</si>
  <si>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</si>
  <si>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</si>
  <si>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</si>
  <si>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</si>
  <si>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</si>
  <si>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</si>
  <si>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</si>
  <si>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</si>
  <si>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</si>
  <si>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</si>
  <si>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</si>
  <si>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</si>
  <si>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</si>
  <si>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</si>
  <si>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</si>
  <si>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</si>
  <si>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</si>
  <si>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</si>
  <si>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</si>
  <si>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</si>
  <si>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</si>
  <si>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</si>
  <si>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</si>
  <si>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</si>
  <si>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</si>
  <si>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</si>
  <si>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</si>
  <si>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</si>
  <si>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</si>
  <si>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</si>
  <si>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</si>
  <si>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</si>
  <si>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</si>
  <si>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</si>
  <si>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</si>
  <si>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</si>
  <si>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</si>
  <si>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</si>
  <si>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</si>
  <si>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</si>
  <si>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</si>
  <si>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</si>
  <si>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</si>
  <si>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</si>
  <si>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</si>
  <si>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</si>
  <si>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</si>
  <si>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</si>
  <si>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</si>
  <si>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</si>
  <si>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</si>
  <si>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</si>
  <si>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</si>
  <si>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</si>
  <si>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</si>
  <si>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</si>
  <si>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</si>
  <si>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</si>
  <si>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</si>
  <si>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</si>
  <si>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</si>
  <si>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</si>
  <si>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</si>
  <si>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</si>
  <si>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</si>
  <si>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</si>
  <si>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</si>
  <si>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</si>
  <si>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</si>
  <si>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</si>
  <si>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</si>
  <si>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</si>
  <si>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</si>
  <si>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</si>
  <si>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</si>
  <si>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</si>
  <si>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</si>
  <si>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</si>
  <si>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</si>
  <si>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</si>
  <si>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</si>
  <si>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</si>
  <si>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</si>
  <si>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</si>
  <si>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</si>
  <si>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</si>
  <si>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</si>
  <si>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</si>
  <si>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</si>
  <si>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</si>
  <si>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</si>
  <si>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</si>
  <si>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</si>
  <si>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</si>
  <si>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</si>
  <si>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</si>
  <si>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</si>
  <si>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</si>
  <si>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</si>
  <si>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</si>
  <si>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</si>
  <si>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</si>
  <si>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</si>
  <si>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</si>
  <si>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</si>
  <si>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</si>
  <si>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</si>
  <si>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</si>
  <si>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</si>
  <si>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</si>
  <si>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</si>
  <si>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</si>
  <si>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</si>
  <si>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</si>
  <si>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</si>
  <si>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</si>
  <si>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</si>
  <si>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</si>
  <si>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</si>
  <si>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</si>
  <si>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</si>
  <si>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</si>
  <si>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</si>
  <si>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</si>
  <si>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</si>
  <si>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</si>
  <si>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</si>
  <si>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</si>
  <si>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</si>
  <si>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</si>
  <si>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</si>
  <si>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</si>
  <si>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</si>
  <si>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</si>
  <si>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</si>
  <si>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</si>
  <si>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</si>
  <si>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</si>
  <si>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</si>
  <si>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</si>
  <si>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</si>
  <si>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</si>
  <si>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</si>
  <si>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</si>
  <si>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</si>
  <si>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</si>
  <si>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</si>
  <si>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</si>
  <si>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</si>
  <si>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</si>
  <si>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</si>
  <si>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</si>
  <si>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</si>
  <si>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</si>
  <si>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</si>
  <si>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</si>
  <si>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</si>
  <si>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</si>
  <si>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</si>
  <si>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</si>
  <si>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</si>
  <si>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</si>
  <si>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</si>
  <si>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</si>
  <si>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</si>
  <si>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</si>
  <si>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</si>
  <si>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</si>
  <si>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</si>
  <si>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</si>
  <si>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</si>
  <si>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</si>
  <si>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</si>
  <si>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</si>
  <si>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</si>
  <si>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</si>
  <si>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</si>
  <si>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</si>
  <si>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</si>
  <si>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</si>
  <si>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</si>
  <si>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</si>
  <si>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</si>
  <si>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</si>
  <si>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</si>
  <si>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</si>
  <si>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</si>
  <si>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</si>
  <si>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</si>
  <si>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</si>
  <si>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</si>
  <si>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</si>
  <si>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</si>
  <si>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</si>
  <si>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</si>
  <si>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</si>
  <si>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</si>
  <si>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</si>
  <si>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</si>
  <si>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</si>
  <si>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</si>
  <si>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</si>
  <si>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</si>
  <si>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</si>
  <si>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</si>
  <si>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</si>
  <si>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</si>
  <si>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</si>
  <si>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</si>
  <si>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</si>
  <si>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</si>
  <si>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</si>
  <si>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</si>
  <si>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</si>
  <si>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</si>
  <si>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</si>
  <si>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</si>
  <si>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</si>
  <si>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</si>
  <si>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</si>
  <si>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</si>
  <si>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</si>
  <si>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</si>
  <si>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</si>
  <si>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</si>
  <si>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</si>
  <si>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</si>
  <si>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</si>
  <si>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</si>
  <si>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</si>
  <si>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</si>
  <si>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</si>
  <si>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</si>
  <si>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</si>
  <si>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</si>
  <si>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</si>
  <si>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</si>
  <si>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</si>
  <si>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</si>
  <si>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</si>
  <si>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</si>
  <si>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</si>
  <si>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</si>
  <si>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</si>
  <si>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</si>
  <si>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</si>
  <si>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</si>
  <si>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</si>
  <si>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</si>
  <si>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</si>
  <si>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</si>
  <si>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</si>
  <si>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</si>
  <si>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</si>
  <si>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</si>
  <si>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</si>
  <si>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</si>
  <si>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</si>
  <si>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</si>
  <si>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</si>
  <si>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</si>
  <si>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</si>
  <si>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</si>
  <si>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</si>
  <si>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</si>
  <si>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</si>
  <si>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</si>
  <si>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</si>
  <si>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</si>
  <si>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</si>
  <si>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</si>
  <si>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</si>
  <si>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</si>
  <si>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</si>
  <si>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</si>
  <si>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</si>
  <si>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</si>
  <si>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</si>
  <si>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</si>
  <si>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</si>
  <si>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</si>
  <si>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</si>
  <si>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</si>
  <si>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</si>
  <si>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</si>
  <si>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</si>
  <si>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</si>
  <si>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</si>
  <si>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</si>
  <si>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</si>
  <si>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</si>
  <si>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</si>
  <si>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</si>
  <si>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</si>
  <si>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</si>
  <si>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</si>
  <si>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</si>
  <si>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</si>
  <si>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</si>
  <si>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</si>
  <si>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</si>
  <si>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</si>
  <si>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</si>
  <si>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</si>
  <si>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</si>
  <si>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</si>
  <si>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</si>
  <si>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</si>
  <si>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</si>
  <si>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</si>
  <si>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</si>
  <si>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</si>
  <si>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</si>
  <si>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</si>
  <si>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</si>
  <si>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</si>
  <si>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</si>
  <si>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</si>
  <si>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</si>
  <si>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</si>
  <si>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</si>
  <si>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</si>
  <si>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</si>
  <si>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</si>
  <si>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</si>
  <si>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</si>
  <si>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</si>
  <si>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</si>
  <si>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</si>
  <si>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</si>
  <si>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</si>
  <si>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</si>
  <si>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</si>
  <si>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</si>
  <si>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</si>
  <si>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</si>
  <si>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</si>
  <si>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</si>
  <si>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</si>
  <si>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</si>
  <si>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</si>
  <si>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</si>
  <si>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</si>
  <si>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</si>
  <si>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</si>
  <si>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</si>
  <si>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</si>
  <si>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</si>
  <si>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</si>
  <si>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</si>
  <si>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</si>
  <si>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</si>
  <si>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</si>
  <si>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</si>
  <si>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</si>
  <si>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</si>
  <si>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</si>
  <si>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</si>
  <si>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</si>
  <si>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</si>
  <si>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</si>
  <si>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</si>
  <si>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</si>
  <si>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</si>
  <si>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</si>
  <si>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</si>
  <si>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</si>
  <si>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</si>
  <si>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</si>
  <si>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</si>
  <si>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</si>
  <si>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</si>
  <si>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</si>
  <si>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</si>
  <si>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</si>
  <si>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</si>
  <si>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</si>
  <si>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</si>
  <si>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</si>
  <si>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</si>
  <si>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</si>
  <si>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</si>
  <si>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</si>
  <si>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</si>
  <si>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</si>
  <si>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</si>
  <si>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</si>
  <si>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</si>
  <si>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</si>
  <si>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</si>
  <si>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</si>
  <si>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</si>
  <si>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</si>
  <si>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</si>
  <si>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</si>
  <si>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</si>
  <si>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</si>
  <si>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</si>
  <si>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</si>
  <si>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</si>
  <si>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</si>
  <si>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</si>
  <si>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</si>
  <si>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</si>
  <si>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</si>
  <si>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</si>
  <si>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</si>
  <si>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</si>
  <si>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</si>
  <si>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</si>
  <si>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</si>
  <si>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</si>
  <si>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</si>
  <si>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</si>
  <si>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</si>
  <si>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</si>
  <si>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</si>
  <si>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</si>
  <si>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</si>
  <si>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</si>
  <si>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</si>
  <si>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</si>
  <si>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</si>
  <si>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</si>
  <si>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</si>
  <si>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</si>
  <si>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</si>
  <si>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</si>
  <si>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</si>
  <si>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</si>
  <si>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</si>
  <si>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</si>
  <si>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</si>
  <si>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</si>
  <si>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</si>
  <si>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</si>
  <si>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</si>
  <si>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</si>
  <si>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</si>
  <si>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</si>
  <si>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</si>
  <si>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</si>
  <si>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</si>
  <si>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</si>
  <si>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</si>
  <si>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</si>
  <si>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</si>
  <si>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</si>
  <si>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</si>
  <si>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</si>
  <si>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</si>
  <si>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</si>
  <si>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</si>
  <si>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</si>
  <si>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</si>
  <si>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</si>
  <si>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</si>
  <si>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</si>
  <si>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</si>
  <si>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</si>
  <si>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</si>
  <si>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</si>
  <si>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</si>
  <si>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</si>
  <si>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</si>
  <si>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</si>
  <si>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</si>
  <si>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</si>
  <si>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</si>
  <si>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</si>
  <si>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</si>
  <si>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</si>
  <si>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</si>
  <si>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</si>
  <si>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</si>
  <si>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</si>
  <si>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</si>
  <si>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</si>
  <si>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</si>
  <si>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</si>
  <si>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</si>
  <si>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</si>
  <si>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</si>
  <si>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</si>
  <si>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</si>
  <si>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</si>
  <si>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</si>
  <si>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</si>
  <si>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</si>
  <si>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</si>
  <si>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</si>
  <si>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</si>
  <si>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</si>
  <si>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</si>
  <si>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</si>
  <si>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</si>
  <si>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</si>
  <si>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</si>
  <si>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</si>
  <si>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</si>
  <si>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</si>
  <si>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</si>
  <si>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</si>
  <si>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</si>
  <si>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</si>
  <si>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</si>
  <si>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</si>
  <si>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</si>
  <si>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</si>
  <si>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</si>
  <si>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</si>
  <si>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</si>
  <si>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</si>
  <si>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</si>
  <si>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</si>
  <si>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</si>
  <si>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</si>
  <si>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</si>
  <si>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</si>
  <si>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</si>
  <si>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</si>
  <si>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</si>
  <si>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</si>
  <si>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</si>
  <si>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</si>
  <si>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</si>
  <si>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</si>
  <si>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</si>
  <si>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</si>
  <si>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</si>
  <si>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</si>
  <si>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</si>
  <si>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</si>
  <si>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</si>
  <si>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</si>
  <si>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</si>
  <si>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</si>
  <si>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</si>
  <si>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</si>
  <si>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</si>
  <si>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</si>
  <si>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</si>
  <si>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</si>
  <si>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</si>
  <si>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</si>
  <si>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</si>
  <si>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</si>
  <si>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</si>
  <si>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</si>
  <si>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</si>
  <si>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</si>
  <si>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</si>
  <si>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</si>
  <si>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</si>
  <si>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</si>
  <si>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</si>
  <si>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</si>
  <si>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</si>
  <si>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</si>
  <si>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</si>
  <si>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</si>
  <si>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</si>
  <si>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</si>
  <si>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</si>
  <si>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</si>
  <si>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</si>
  <si>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</si>
  <si>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</si>
  <si>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</si>
  <si>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</si>
  <si>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</si>
  <si>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</si>
  <si>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</si>
  <si>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</si>
  <si>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</si>
  <si>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</si>
  <si>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</si>
  <si>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</si>
  <si>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</si>
  <si>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</si>
  <si>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</si>
  <si>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</si>
  <si>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</si>
  <si>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</si>
  <si>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</si>
  <si>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</si>
  <si>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</si>
  <si>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</si>
  <si>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</si>
  <si>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</si>
  <si>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</si>
  <si>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</si>
  <si>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</si>
  <si>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</si>
  <si>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</si>
  <si>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</si>
  <si>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</si>
  <si>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</si>
  <si>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</si>
  <si>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</si>
  <si>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</si>
  <si>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</si>
  <si>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</si>
  <si>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</si>
  <si>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</si>
  <si>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</si>
  <si>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</si>
  <si>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</si>
  <si>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</si>
  <si>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</si>
  <si>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</si>
  <si>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</si>
  <si>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</si>
  <si>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</si>
  <si>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</si>
  <si>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</si>
  <si>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</si>
  <si>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</si>
  <si>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</si>
  <si>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</si>
  <si>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</si>
  <si>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</si>
  <si>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</si>
  <si>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</si>
  <si>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</si>
  <si>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</si>
  <si>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</si>
  <si>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</si>
  <si>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</si>
  <si>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</si>
  <si>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</si>
  <si>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</si>
  <si>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</si>
  <si>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</si>
  <si>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</si>
  <si>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</si>
  <si>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</si>
  <si>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</si>
  <si>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</si>
  <si>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</si>
  <si>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</si>
  <si>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</si>
  <si>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</si>
  <si>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</si>
  <si>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</si>
  <si>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</si>
  <si>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</si>
  <si>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</si>
  <si>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</si>
  <si>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</si>
  <si>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</si>
  <si>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</si>
  <si>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</si>
  <si>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</si>
  <si>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</si>
  <si>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</si>
  <si>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</si>
  <si>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</si>
  <si>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</si>
  <si>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</si>
  <si>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</si>
  <si>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</si>
  <si>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</si>
  <si>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</si>
  <si>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</si>
  <si>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</si>
  <si>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</si>
  <si>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</si>
  <si>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</si>
  <si>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</si>
  <si>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</si>
  <si>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</si>
  <si>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</si>
  <si>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</si>
  <si>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</si>
  <si>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</si>
  <si>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</si>
  <si>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</si>
  <si>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</si>
  <si>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</si>
  <si>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</si>
  <si>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</si>
  <si>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</si>
  <si>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</si>
  <si>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</si>
  <si>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</si>
  <si>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</si>
  <si>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</si>
  <si>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</si>
  <si>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</si>
  <si>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</si>
  <si>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</si>
  <si>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</si>
  <si>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</si>
  <si>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</si>
  <si>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</si>
  <si>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</si>
  <si>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</si>
  <si>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</si>
  <si>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</si>
  <si>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</si>
  <si>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</si>
  <si>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</si>
  <si>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</si>
  <si>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</si>
  <si>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</si>
  <si>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</si>
  <si>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</si>
  <si>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</si>
  <si>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</si>
  <si>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</si>
  <si>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</si>
  <si>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</si>
  <si>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</si>
  <si>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</si>
  <si>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</si>
  <si>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</si>
  <si>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</si>
  <si>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</si>
  <si>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</si>
  <si>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</si>
  <si>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</si>
  <si>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</si>
  <si>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</si>
  <si>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</si>
  <si>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</si>
  <si>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</si>
  <si>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</si>
  <si>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</si>
  <si>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</si>
  <si>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</si>
  <si>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</si>
  <si>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</si>
  <si>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</si>
  <si>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</si>
  <si>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</si>
  <si>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</si>
  <si>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</si>
  <si>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</si>
  <si>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</si>
  <si>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</si>
  <si>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</si>
  <si>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</si>
  <si>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</si>
  <si>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</si>
  <si>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</si>
  <si>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</si>
  <si>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</si>
  <si>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</si>
  <si>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</si>
  <si>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</si>
  <si>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</si>
  <si>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</si>
  <si>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</si>
  <si>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</si>
  <si>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</si>
  <si>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</si>
  <si>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</si>
  <si>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</si>
  <si>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</si>
  <si>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</si>
  <si>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</si>
  <si>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</si>
  <si>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</si>
  <si>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</si>
  <si>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</si>
  <si>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</si>
  <si>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</si>
  <si>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</si>
  <si>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</si>
  <si>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</si>
  <si>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</si>
  <si>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</si>
  <si>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</si>
  <si>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</si>
  <si>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</si>
  <si>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</si>
  <si>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</si>
  <si>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</si>
  <si>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</si>
  <si>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</si>
  <si>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</si>
  <si>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</si>
  <si>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</si>
  <si>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</si>
  <si>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</si>
  <si>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</si>
  <si>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</si>
  <si>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</si>
  <si>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</si>
  <si>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</si>
  <si>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</si>
  <si>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</si>
  <si>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</si>
  <si>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</si>
  <si>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</si>
  <si>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</si>
  <si>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</si>
  <si>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</si>
  <si>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</si>
  <si>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</si>
  <si>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</si>
  <si>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</si>
  <si>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</si>
  <si>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</si>
  <si>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</si>
  <si>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</si>
  <si>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</si>
  <si>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</si>
  <si>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</si>
  <si>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</si>
  <si>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</si>
  <si>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</si>
  <si>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</si>
  <si>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</si>
  <si>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</si>
  <si>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</si>
  <si>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</si>
  <si>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</si>
  <si>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</si>
  <si>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</si>
  <si>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</si>
  <si>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</si>
  <si>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</si>
  <si>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</si>
  <si>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</si>
  <si>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</si>
  <si>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</si>
  <si>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</si>
  <si>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</si>
  <si>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</si>
  <si>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</si>
  <si>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</si>
  <si>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</si>
  <si>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</si>
  <si>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</si>
  <si>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</si>
  <si>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</si>
  <si>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</si>
  <si>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</si>
  <si>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</si>
  <si>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</si>
  <si>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</si>
  <si>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</si>
  <si>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</si>
  <si>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</si>
  <si>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</si>
  <si>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</si>
  <si>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</si>
  <si>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</si>
  <si>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</si>
  <si>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</si>
  <si>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</si>
  <si>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</si>
  <si>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</si>
  <si>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</si>
  <si>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</si>
  <si>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</si>
  <si>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</si>
  <si>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</si>
  <si>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</si>
  <si>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</si>
  <si>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</si>
  <si>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</si>
  <si>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</si>
  <si>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</si>
  <si>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</si>
  <si>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</si>
  <si>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</si>
  <si>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</si>
  <si>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</si>
  <si>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</si>
  <si>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</si>
  <si>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</si>
  <si>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</si>
  <si>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</si>
  <si>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</si>
  <si>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</si>
  <si>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</si>
  <si>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</si>
  <si>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</si>
  <si>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</si>
  <si>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</si>
  <si>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</si>
  <si>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</si>
  <si>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</si>
  <si>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</si>
  <si>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</si>
  <si>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</si>
  <si>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</si>
  <si>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</si>
  <si>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</si>
  <si>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</si>
  <si>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</si>
  <si>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</si>
  <si>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</si>
  <si>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</si>
  <si>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</si>
  <si>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</si>
  <si>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</si>
  <si>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</si>
  <si>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</si>
  <si>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</si>
  <si>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</si>
  <si>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</si>
  <si>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</si>
  <si>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</si>
  <si>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</si>
  <si>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</si>
  <si>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</si>
  <si>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</si>
  <si>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</si>
  <si>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</si>
  <si>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</si>
  <si>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</si>
  <si>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</si>
  <si>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</si>
  <si>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</si>
  <si>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</si>
  <si>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</si>
  <si>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</si>
  <si>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</si>
  <si>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</si>
  <si>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</si>
  <si>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</si>
  <si>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</si>
  <si>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</si>
  <si>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</si>
  <si>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</si>
  <si>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</si>
  <si>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</si>
  <si>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</si>
  <si>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</si>
  <si>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</si>
  <si>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</si>
  <si>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</si>
  <si>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</si>
  <si>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</si>
  <si>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</si>
  <si>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</si>
  <si>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</si>
  <si>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</si>
  <si>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</si>
  <si>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</si>
  <si>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</si>
  <si>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</si>
  <si>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</si>
  <si>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</si>
  <si>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</si>
  <si>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</si>
  <si>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</si>
  <si>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</si>
  <si>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</si>
  <si>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</si>
  <si>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</si>
  <si>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</si>
  <si>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</si>
  <si>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</si>
  <si>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</si>
  <si>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</si>
  <si>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</si>
  <si>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</si>
  <si>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</si>
  <si>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</si>
  <si>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</si>
  <si>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</si>
  <si>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</si>
  <si>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</si>
  <si>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</si>
  <si>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</si>
  <si>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</si>
  <si>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</si>
  <si>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</si>
  <si>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</si>
  <si>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</si>
  <si>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</si>
  <si>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</si>
  <si>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</si>
  <si>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</si>
  <si>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</si>
  <si>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</si>
  <si>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</si>
  <si>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</si>
  <si>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</si>
  <si>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</si>
  <si>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</si>
  <si>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</si>
  <si>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</si>
  <si>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</si>
  <si>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</si>
  <si>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</si>
  <si>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</si>
  <si>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</si>
  <si>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</si>
  <si>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</si>
  <si>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</si>
  <si>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</si>
  <si>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</si>
  <si>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</si>
  <si>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</si>
  <si>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</si>
  <si>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</si>
  <si>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</si>
  <si>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</si>
  <si>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</si>
  <si>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</si>
  <si>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</si>
  <si>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</si>
  <si>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</si>
  <si>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</si>
  <si>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</si>
  <si>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</si>
  <si>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</si>
  <si>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</si>
  <si>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</si>
  <si>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</si>
  <si>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</si>
  <si>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</si>
  <si>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</si>
  <si>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</si>
  <si>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</si>
  <si>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</si>
  <si>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</si>
  <si>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</si>
  <si>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</si>
  <si>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</si>
  <si>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</si>
  <si>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</si>
  <si>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</si>
  <si>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</si>
  <si>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</si>
  <si>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</si>
  <si>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</si>
  <si>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</si>
  <si>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</si>
  <si>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</si>
  <si>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</si>
  <si>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</si>
  <si>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</si>
  <si>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</si>
  <si>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</si>
  <si>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</si>
  <si>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</si>
  <si>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</si>
  <si>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</si>
  <si>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</si>
  <si>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</si>
  <si>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</si>
  <si>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</si>
  <si>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</si>
  <si>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</si>
  <si>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</si>
  <si>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</si>
  <si>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</si>
  <si>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</si>
  <si>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</si>
  <si>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</si>
  <si>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</si>
  <si>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</si>
  <si>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</si>
  <si>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</si>
  <si>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</si>
  <si>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</si>
  <si>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</si>
  <si>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</si>
  <si>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</si>
  <si>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</si>
  <si>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</si>
  <si>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</si>
  <si>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</si>
  <si>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</si>
  <si>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</si>
  <si>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</si>
  <si>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</si>
  <si>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</si>
  <si>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</si>
  <si>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</si>
  <si>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</si>
  <si>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</si>
  <si>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</si>
  <si>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</si>
  <si>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</si>
  <si>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</si>
  <si>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</si>
  <si>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</si>
  <si>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</si>
  <si>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</si>
  <si>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</si>
  <si>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</si>
  <si>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</si>
  <si>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</si>
  <si>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</si>
  <si>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</si>
  <si>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</si>
  <si>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</si>
  <si>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</si>
  <si>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</si>
  <si>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</si>
  <si>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</si>
  <si>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</si>
  <si>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</si>
  <si>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</si>
  <si>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</si>
  <si>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</si>
  <si>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</si>
  <si>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</si>
  <si>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</si>
  <si>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</si>
  <si>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</si>
  <si>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</si>
  <si>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</si>
  <si>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</si>
  <si>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</si>
  <si>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</si>
  <si>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</si>
  <si>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</si>
  <si>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</si>
  <si>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</si>
  <si>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</si>
  <si>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</si>
  <si>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</si>
  <si>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</si>
  <si>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</si>
  <si>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</si>
  <si>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</si>
  <si>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</si>
  <si>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</si>
  <si>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</si>
  <si>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</si>
  <si>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</si>
  <si>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</si>
  <si>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</si>
  <si>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</si>
  <si>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</si>
  <si>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</si>
  <si>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</si>
  <si>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</si>
  <si>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</si>
  <si>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</si>
  <si>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</si>
  <si>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</si>
  <si>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</si>
  <si>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</si>
  <si>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</si>
  <si>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</si>
  <si>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</si>
  <si>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</si>
  <si>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</si>
  <si>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</si>
  <si>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</si>
  <si>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</si>
  <si>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</si>
  <si>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</si>
  <si>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</si>
  <si>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</si>
  <si>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</si>
  <si>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</si>
  <si>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</si>
  <si>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</si>
  <si>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</si>
  <si>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</si>
  <si>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</si>
  <si>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</si>
  <si>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</si>
  <si>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</si>
  <si>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</si>
  <si>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</si>
  <si>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</si>
  <si>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</si>
  <si>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</si>
  <si>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</si>
  <si>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</si>
  <si>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</si>
  <si>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</si>
  <si>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</si>
  <si>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</si>
  <si>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</si>
  <si>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</si>
  <si>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</si>
  <si>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</si>
  <si>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</si>
  <si>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</si>
  <si>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</si>
  <si>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</si>
  <si>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</si>
  <si>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</si>
  <si>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</si>
  <si>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</si>
  <si>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</si>
  <si>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</si>
  <si>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</si>
  <si>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</si>
  <si>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</si>
  <si>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</si>
  <si>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</si>
  <si>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</si>
  <si>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</si>
  <si>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</si>
  <si>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</si>
  <si>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</si>
  <si>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</si>
  <si>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</si>
  <si>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</si>
  <si>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</si>
  <si>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</si>
  <si>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</si>
  <si>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</si>
  <si>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</si>
  <si>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</si>
  <si>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</si>
  <si>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</si>
  <si>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</si>
  <si>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</si>
  <si>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</si>
  <si>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</si>
  <si>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</si>
  <si>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</si>
  <si>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</si>
  <si>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</si>
  <si>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</si>
  <si>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</si>
  <si>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</si>
  <si>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</si>
  <si>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</si>
  <si>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</si>
  <si>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</si>
  <si>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</si>
  <si>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</si>
  <si>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</si>
  <si>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</si>
  <si>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</si>
  <si>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</si>
  <si>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</si>
  <si>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</si>
  <si>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</si>
  <si>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</si>
  <si>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</si>
  <si>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</si>
  <si>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</si>
  <si>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</si>
  <si>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</si>
  <si>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</si>
  <si>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</si>
  <si>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</si>
  <si>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</si>
  <si>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</si>
  <si>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</si>
  <si>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</si>
  <si>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</si>
  <si>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</si>
  <si>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</si>
  <si>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</si>
  <si>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</si>
  <si>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</si>
  <si>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</si>
  <si>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</si>
  <si>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</si>
  <si>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</si>
  <si>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</si>
  <si>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</si>
  <si>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</si>
  <si>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</si>
  <si>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</si>
  <si>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</si>
  <si>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</si>
  <si>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</si>
  <si>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</si>
  <si>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</si>
  <si>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</si>
  <si>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</si>
  <si>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</si>
  <si>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</si>
  <si>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</si>
  <si>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</si>
  <si>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</si>
  <si>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</si>
  <si>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</si>
  <si>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</si>
  <si>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</si>
  <si>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</si>
  <si>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</si>
  <si>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</si>
  <si>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</si>
  <si>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</si>
  <si>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</si>
  <si>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</si>
  <si>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</si>
  <si>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</si>
  <si>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</si>
  <si>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</si>
  <si>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</si>
  <si>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</si>
  <si>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</si>
  <si>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</si>
  <si>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</si>
  <si>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</si>
  <si>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</si>
  <si>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</si>
  <si>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</si>
  <si>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</si>
  <si>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</si>
  <si>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</si>
  <si>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</si>
  <si>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</si>
  <si>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</si>
  <si>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</si>
  <si>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</si>
  <si>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</si>
  <si>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</si>
  <si>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</si>
  <si>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</si>
  <si>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</si>
  <si>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</si>
  <si>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</si>
  <si>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</si>
  <si>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</si>
  <si>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</si>
  <si>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</si>
  <si>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</si>
  <si>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</si>
  <si>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</si>
  <si>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</si>
  <si>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</si>
  <si>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</si>
  <si>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</si>
  <si>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</si>
  <si>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</si>
  <si>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</si>
  <si>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</si>
  <si>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</si>
  <si>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</si>
  <si>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</si>
  <si>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</si>
  <si>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</si>
  <si>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</si>
  <si>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</si>
  <si>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</si>
  <si>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</si>
  <si>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</si>
  <si>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</si>
  <si>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</si>
  <si>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</si>
  <si>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</si>
  <si>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</si>
  <si>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</si>
  <si>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</si>
  <si>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</si>
  <si>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</si>
  <si>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</si>
  <si>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</si>
  <si>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</si>
  <si>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</si>
  <si>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</si>
  <si>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</si>
  <si>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</si>
  <si>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</si>
  <si>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</si>
  <si>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</si>
  <si>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</si>
  <si>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</si>
  <si>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</si>
  <si>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</si>
  <si>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</si>
  <si>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</si>
  <si>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</si>
  <si>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</si>
  <si>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</si>
  <si>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</si>
  <si>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</si>
  <si>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</si>
  <si>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</si>
  <si>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</si>
  <si>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</si>
  <si>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</si>
  <si>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</si>
  <si>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</si>
  <si>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</si>
  <si>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</si>
  <si>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</si>
  <si>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</si>
  <si>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</si>
  <si>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</si>
  <si>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</si>
  <si>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</si>
  <si>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</si>
  <si>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</si>
  <si>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</si>
  <si>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</si>
  <si>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</si>
  <si>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</si>
  <si>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</si>
  <si>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</si>
  <si>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</si>
  <si>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</si>
  <si>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</si>
  <si>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</si>
  <si>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</si>
  <si>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</si>
  <si>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</si>
  <si>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</si>
  <si>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</si>
  <si>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</si>
  <si>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</si>
  <si>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</si>
  <si>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</si>
  <si>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</si>
  <si>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</si>
  <si>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</si>
  <si>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</si>
  <si>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</si>
  <si>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</si>
  <si>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</si>
  <si>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</si>
  <si>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</si>
  <si>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</si>
  <si>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</si>
  <si>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</si>
  <si>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</si>
  <si>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</si>
  <si>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</si>
  <si>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</si>
  <si>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</si>
  <si>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</si>
  <si>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</si>
  <si>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</si>
  <si>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</si>
  <si>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</si>
  <si>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</si>
  <si>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</si>
  <si>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</si>
  <si>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</si>
  <si>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</si>
  <si>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</si>
  <si>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</si>
  <si>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</si>
  <si>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</si>
  <si>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</si>
  <si>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</si>
  <si>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</si>
  <si>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</si>
  <si>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</si>
  <si>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</si>
  <si>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</si>
  <si>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</si>
  <si>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</si>
  <si>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</si>
  <si>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</si>
  <si>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</si>
  <si>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</si>
  <si>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</si>
  <si>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</si>
  <si>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</si>
  <si>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</si>
  <si>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</si>
  <si>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</si>
  <si>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</si>
  <si>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</si>
  <si>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</si>
  <si>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</si>
  <si>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</si>
  <si>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</si>
  <si>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</si>
  <si>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</si>
  <si>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</si>
  <si>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</si>
  <si>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</si>
  <si>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</si>
  <si>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</si>
  <si>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</si>
  <si>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</si>
  <si>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</si>
  <si>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</si>
  <si>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</si>
  <si>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</si>
  <si>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</si>
  <si>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</si>
  <si>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</si>
  <si>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</si>
  <si>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</si>
  <si>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</si>
  <si>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</si>
  <si>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</si>
  <si>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</si>
  <si>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</si>
  <si>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</si>
  <si>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</si>
  <si>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</si>
  <si>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</si>
  <si>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</si>
  <si>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</si>
  <si>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</si>
  <si>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</si>
  <si>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</si>
  <si>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</si>
  <si>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</si>
  <si>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</si>
  <si>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</si>
  <si>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</si>
  <si>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</si>
  <si>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</si>
  <si>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</si>
  <si>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</si>
  <si>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</si>
  <si>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</si>
  <si>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</si>
  <si>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</si>
  <si>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</si>
  <si>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</si>
  <si>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</si>
  <si>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</si>
  <si>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</si>
  <si>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</si>
  <si>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</si>
  <si>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</si>
  <si>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</si>
  <si>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</si>
  <si>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</si>
  <si>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</si>
  <si>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</si>
  <si>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</si>
  <si>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</si>
  <si>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</si>
  <si>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</si>
  <si>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</si>
  <si>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</si>
  <si>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</si>
  <si>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</si>
  <si>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</si>
  <si>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</si>
  <si>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</si>
  <si>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</si>
  <si>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</si>
  <si>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</si>
  <si>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</si>
  <si>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</si>
  <si>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</si>
  <si>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</si>
  <si>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</si>
  <si>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</si>
  <si>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</si>
  <si>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</si>
  <si>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</si>
  <si>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</si>
  <si>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</si>
  <si>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</si>
  <si>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</si>
  <si>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</si>
  <si>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</si>
  <si>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</si>
  <si>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</si>
  <si>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</si>
  <si>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</si>
  <si>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</si>
  <si>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</si>
  <si>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</si>
  <si>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</si>
  <si>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</si>
  <si>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</si>
  <si>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</si>
  <si>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</si>
  <si>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</si>
  <si>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</si>
  <si>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</si>
  <si>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</si>
  <si>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</si>
  <si>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</si>
  <si>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</si>
  <si>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</si>
  <si>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</si>
  <si>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</si>
  <si>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</si>
  <si>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</si>
  <si>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</si>
  <si>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</si>
  <si>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</si>
  <si>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</si>
  <si>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</si>
  <si>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</si>
  <si>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</si>
  <si>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</si>
  <si>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</si>
  <si>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</si>
  <si>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</si>
  <si>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</si>
  <si>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</si>
  <si>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</si>
  <si>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</si>
  <si>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</si>
  <si>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</si>
  <si>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</si>
  <si>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</si>
  <si>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</si>
  <si>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</si>
  <si>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</si>
  <si>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</si>
  <si>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</si>
  <si>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</si>
  <si>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</si>
  <si>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</si>
  <si>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</si>
  <si>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</si>
  <si>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</si>
  <si>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</si>
  <si>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</si>
  <si>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</si>
  <si>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</si>
  <si>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</si>
  <si>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</si>
  <si>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</si>
  <si>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</si>
  <si>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</si>
  <si>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</si>
  <si>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</si>
  <si>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</si>
  <si>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</si>
  <si>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</si>
  <si>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</si>
  <si>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</si>
  <si>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</si>
  <si>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</si>
  <si>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</si>
  <si>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</si>
  <si>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</si>
  <si>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</si>
  <si>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</si>
  <si>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</si>
  <si>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</si>
  <si>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</si>
  <si>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</si>
  <si>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</si>
  <si>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</si>
  <si>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</si>
  <si>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</si>
  <si>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</si>
  <si>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</si>
  <si>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</si>
  <si>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</si>
  <si>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</si>
  <si>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</si>
  <si>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</si>
  <si>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</si>
  <si>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</si>
  <si>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</si>
  <si>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</si>
  <si>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</si>
  <si>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</si>
  <si>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</si>
  <si>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</si>
  <si>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</si>
  <si>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</si>
  <si>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</si>
  <si>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</si>
  <si>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</si>
  <si>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</si>
  <si>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</si>
  <si>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</si>
  <si>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</si>
  <si>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</si>
  <si>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</si>
  <si>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</si>
  <si>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</si>
  <si>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</si>
  <si>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</si>
  <si>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</si>
  <si>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</si>
  <si>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</si>
  <si>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</si>
  <si>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</si>
  <si>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</si>
  <si>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</si>
  <si>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</si>
  <si>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</si>
  <si>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</si>
  <si>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</si>
  <si>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</si>
  <si>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</si>
  <si>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</si>
  <si>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</si>
  <si>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</si>
  <si>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</si>
  <si>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</si>
  <si>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</si>
  <si>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</si>
  <si>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</si>
  <si>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</si>
  <si>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</si>
  <si>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</si>
  <si>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</si>
  <si>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</si>
  <si>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</si>
  <si>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</si>
  <si>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</si>
  <si>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</si>
  <si>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</si>
  <si>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</si>
  <si>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</si>
  <si>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</si>
  <si>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</si>
  <si>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</si>
  <si>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</si>
  <si>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</si>
  <si>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</si>
  <si>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</si>
  <si>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</si>
  <si>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</si>
  <si>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</si>
  <si>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</si>
  <si>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</si>
  <si>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</si>
  <si>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</si>
  <si>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</si>
  <si>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</si>
  <si>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</si>
  <si>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</si>
  <si>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</si>
  <si>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</si>
  <si>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</si>
  <si>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</si>
  <si>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</si>
  <si>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</si>
  <si>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</si>
  <si>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</si>
  <si>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</si>
  <si>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</si>
  <si>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</si>
  <si>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</si>
  <si>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</si>
  <si>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</si>
  <si>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</si>
  <si>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</si>
  <si>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</si>
  <si>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</si>
  <si>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</si>
  <si>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</si>
  <si>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</si>
  <si>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</si>
  <si>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</si>
  <si>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</si>
  <si>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</si>
  <si>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</si>
  <si>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</si>
  <si>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</si>
  <si>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</si>
  <si>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</si>
  <si>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</si>
  <si>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</si>
  <si>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</si>
  <si>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</si>
  <si>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</si>
  <si>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</si>
  <si>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</si>
  <si>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</si>
  <si>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</si>
  <si>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</si>
  <si>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</si>
  <si>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</si>
  <si>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</si>
  <si>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</si>
  <si>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</si>
  <si>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</si>
  <si>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</si>
  <si>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</si>
  <si>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</si>
  <si>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</si>
  <si>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</si>
  <si>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</si>
  <si>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</si>
  <si>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</si>
  <si>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</si>
  <si>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</si>
  <si>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</si>
  <si>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</si>
  <si>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</si>
  <si>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</si>
  <si>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</si>
  <si>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</si>
  <si>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</si>
  <si>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</si>
  <si>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</si>
  <si>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</si>
  <si>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</si>
  <si>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</si>
  <si>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</si>
  <si>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</si>
  <si>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</si>
  <si>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</si>
  <si>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</si>
  <si>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</si>
  <si>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</si>
  <si>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</si>
  <si>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</si>
  <si>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</si>
  <si>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</si>
  <si>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</si>
  <si>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</si>
  <si>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</si>
  <si>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</si>
  <si>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</si>
  <si>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</si>
  <si>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</si>
  <si>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</si>
  <si>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</si>
  <si>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</si>
  <si>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</si>
  <si>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</si>
  <si>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</si>
  <si>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</si>
  <si>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</si>
  <si>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</si>
  <si>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</si>
  <si>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</si>
  <si>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</si>
  <si>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</si>
  <si>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</si>
  <si>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</si>
  <si>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</si>
  <si>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</si>
  <si>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</si>
  <si>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</si>
  <si>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</si>
  <si>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</si>
  <si>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</si>
  <si>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</si>
  <si>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</si>
  <si>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</si>
  <si>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</si>
  <si>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</si>
  <si>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</si>
  <si>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</si>
  <si>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</si>
  <si>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</si>
  <si>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</si>
  <si>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</si>
  <si>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</si>
  <si>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</si>
  <si>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</si>
  <si>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</si>
  <si>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</si>
  <si>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</si>
  <si>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</si>
  <si>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</si>
  <si>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</si>
  <si>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</si>
  <si>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</si>
  <si>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</si>
  <si>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</si>
  <si>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</si>
  <si>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</si>
  <si>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</si>
  <si>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</si>
  <si>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</si>
  <si>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</si>
  <si>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</si>
  <si>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</si>
  <si>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</si>
  <si>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</si>
  <si>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</si>
  <si>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</si>
  <si>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</si>
  <si>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</si>
  <si>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</si>
  <si>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</si>
  <si>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</si>
  <si>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</si>
  <si>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</si>
  <si>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</si>
  <si>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</si>
  <si>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</si>
  <si>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</si>
  <si>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</si>
  <si>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</si>
  <si>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</si>
  <si>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</si>
  <si>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</si>
  <si>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</si>
  <si>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</si>
  <si>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</si>
  <si>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</si>
  <si>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</si>
  <si>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</si>
  <si>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</si>
  <si>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</si>
  <si>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</si>
  <si>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</si>
  <si>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</si>
  <si>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</si>
  <si>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</si>
  <si>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</si>
  <si>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</si>
  <si>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</si>
  <si>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</si>
  <si>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</si>
  <si>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</si>
  <si>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</si>
  <si>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</si>
  <si>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</si>
  <si>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</si>
  <si>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</si>
  <si>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</si>
  <si>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</si>
  <si>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</si>
  <si>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</si>
  <si>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</si>
  <si>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</si>
  <si>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</si>
  <si>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</si>
  <si>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</si>
  <si>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</si>
  <si>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</si>
  <si>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</si>
  <si>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</si>
  <si>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</si>
  <si>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</si>
  <si>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</si>
  <si>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</si>
  <si>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</si>
  <si>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</si>
  <si>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</si>
  <si>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</si>
  <si>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</si>
  <si>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</si>
  <si>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</si>
  <si>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</si>
  <si>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</si>
  <si>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</si>
  <si>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</si>
  <si>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</si>
  <si>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</si>
  <si>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</si>
  <si>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</si>
  <si>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</si>
  <si>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</si>
  <si>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</si>
  <si>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</si>
  <si>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</si>
  <si>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</si>
  <si>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</si>
  <si>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</si>
  <si>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</si>
  <si>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</si>
  <si>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</si>
  <si>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</si>
  <si>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</si>
  <si>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</si>
  <si>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</si>
  <si>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</si>
  <si>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</si>
  <si>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</si>
  <si>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</si>
  <si>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</si>
  <si>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</si>
  <si>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</si>
  <si>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</si>
  <si>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</si>
  <si>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</si>
  <si>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</si>
  <si>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</si>
  <si>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</si>
  <si>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</si>
  <si>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</si>
  <si>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</si>
  <si>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</si>
  <si>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</si>
  <si>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</si>
  <si>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</si>
  <si>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</si>
  <si>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</si>
  <si>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</si>
  <si>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</si>
  <si>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</si>
  <si>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</si>
  <si>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</si>
  <si>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</si>
  <si>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</si>
  <si>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</si>
  <si>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</si>
  <si>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</si>
  <si>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</si>
  <si>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</si>
  <si>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</si>
  <si>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</si>
  <si>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</si>
  <si>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</si>
  <si>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</si>
  <si>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</si>
  <si>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</si>
  <si>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</si>
  <si>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</si>
  <si>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</si>
  <si>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</si>
  <si>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</si>
  <si>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</si>
  <si>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</si>
  <si>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</si>
  <si>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</si>
  <si>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</si>
  <si>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</si>
  <si>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</si>
  <si>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</si>
  <si>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</si>
  <si>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</si>
  <si>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</si>
  <si>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</si>
  <si>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</si>
  <si>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</si>
  <si>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</si>
  <si>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</si>
  <si>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</si>
  <si>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</si>
  <si>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</si>
  <si>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</si>
  <si>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</si>
  <si>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</si>
  <si>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</si>
  <si>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</si>
  <si>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</si>
  <si>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</si>
  <si>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</si>
  <si>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</si>
  <si>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</si>
  <si>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</si>
  <si>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</si>
  <si>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</si>
  <si>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</si>
  <si>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</si>
  <si>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</si>
  <si>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</si>
  <si>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</si>
  <si>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</si>
  <si>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</si>
  <si>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</si>
  <si>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</si>
  <si>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</si>
  <si>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</si>
  <si>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</si>
  <si>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</si>
  <si>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</si>
  <si>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</si>
  <si>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</si>
  <si>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</si>
  <si>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</si>
  <si>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</si>
  <si>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</si>
  <si>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</si>
  <si>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</si>
  <si>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</si>
  <si>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</si>
  <si>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</si>
  <si>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</si>
  <si>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</si>
  <si>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</si>
  <si>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</si>
  <si>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</si>
  <si>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</si>
  <si>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</si>
  <si>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</si>
  <si>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</si>
  <si>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</si>
  <si>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</si>
  <si>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</si>
  <si>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</si>
  <si>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</si>
  <si>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</si>
  <si>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</si>
  <si>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</si>
  <si>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</si>
  <si>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</si>
  <si>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</si>
  <si>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</si>
  <si>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</si>
  <si>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</si>
  <si>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</si>
  <si>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</si>
  <si>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</si>
  <si>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</si>
  <si>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</si>
  <si>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</si>
  <si>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</si>
  <si>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</si>
  <si>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</si>
  <si>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</si>
  <si>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</si>
  <si>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</si>
  <si>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</si>
  <si>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</si>
  <si>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</si>
  <si>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</si>
  <si>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</si>
  <si>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</si>
  <si>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</si>
  <si>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</si>
  <si>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</si>
  <si>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</si>
  <si>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</si>
  <si>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</si>
  <si>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</si>
  <si>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</si>
  <si>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</si>
  <si>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</si>
  <si>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</si>
  <si>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</si>
  <si>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</si>
  <si>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</si>
  <si>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</si>
  <si>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</si>
  <si>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</si>
  <si>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</si>
  <si>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</si>
  <si>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</si>
  <si>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</si>
  <si>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</si>
  <si>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</si>
  <si>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</si>
  <si>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</si>
  <si>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</si>
  <si>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</si>
  <si>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</si>
  <si>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</si>
  <si>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</si>
  <si>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</si>
  <si>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</si>
  <si>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</si>
  <si>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</si>
  <si>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</si>
  <si>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</si>
  <si>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</si>
  <si>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</si>
  <si>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</si>
  <si>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</si>
  <si>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</si>
  <si>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</si>
  <si>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</si>
  <si>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</si>
  <si>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</si>
  <si>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</si>
  <si>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</si>
  <si>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</si>
  <si>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</si>
  <si>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</si>
  <si>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</si>
  <si>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</si>
  <si>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</si>
  <si>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</si>
  <si>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</si>
  <si>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</si>
  <si>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</si>
  <si>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</si>
  <si>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</si>
  <si>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</si>
  <si>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</si>
  <si>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</si>
  <si>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</si>
  <si>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</si>
  <si>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</si>
  <si>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</si>
  <si>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</si>
  <si>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</si>
  <si>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</si>
  <si>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</si>
  <si>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</si>
  <si>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</si>
  <si>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</si>
  <si>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</si>
  <si>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</si>
  <si>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</si>
  <si>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</si>
  <si>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</si>
  <si>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</si>
  <si>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</si>
  <si>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</si>
  <si>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</si>
  <si>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</si>
  <si>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</si>
  <si>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</si>
  <si>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</si>
  <si>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</si>
  <si>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</si>
  <si>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</si>
  <si>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</si>
  <si>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</si>
  <si>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</si>
  <si>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</si>
  <si>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</si>
  <si>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</si>
  <si>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</si>
  <si>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</si>
  <si>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</si>
  <si>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</si>
  <si>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</si>
  <si>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</si>
  <si>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</si>
  <si>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</si>
  <si>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</si>
  <si>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</si>
  <si>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</si>
  <si>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</si>
  <si>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</si>
  <si>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</si>
  <si>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</si>
  <si>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</si>
  <si>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</si>
  <si>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</si>
  <si>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</si>
  <si>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</si>
  <si>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</si>
  <si>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</si>
  <si>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</si>
  <si>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</si>
  <si>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</si>
  <si>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</si>
  <si>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</si>
  <si>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</si>
  <si>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</si>
  <si>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</si>
  <si>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</si>
  <si>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</si>
  <si>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</si>
  <si>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</si>
  <si>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</si>
  <si>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</si>
  <si>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</si>
  <si>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</si>
  <si>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</si>
  <si>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</si>
  <si>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</si>
  <si>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</si>
  <si>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</si>
  <si>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</si>
  <si>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</si>
  <si>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</si>
  <si>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</si>
  <si>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</si>
  <si>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</si>
  <si>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</si>
  <si>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</si>
  <si>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</si>
  <si>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</si>
  <si>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</si>
  <si>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</si>
  <si>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</si>
  <si>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</si>
  <si>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</si>
  <si>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</si>
  <si>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</si>
  <si>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</si>
  <si>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</si>
  <si>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</si>
  <si>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</si>
  <si>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</si>
  <si>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</si>
  <si>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</si>
  <si>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</si>
  <si>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</si>
  <si>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</si>
  <si>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</si>
  <si>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</si>
  <si>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</si>
  <si>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</si>
  <si>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</si>
  <si>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</si>
  <si>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</si>
  <si>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</si>
  <si>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</si>
  <si>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</si>
  <si>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</si>
  <si>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</si>
  <si>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</si>
  <si>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</si>
  <si>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</si>
  <si>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</si>
  <si>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</si>
  <si>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</si>
  <si>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</si>
  <si>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</si>
  <si>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</si>
  <si>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</si>
  <si>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</si>
  <si>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</si>
  <si>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</si>
  <si>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</si>
  <si>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</si>
  <si>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</si>
  <si>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</si>
  <si>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</si>
  <si>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</si>
  <si>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</si>
  <si>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</si>
  <si>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</si>
  <si>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</si>
  <si>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</si>
  <si>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</si>
  <si>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</si>
  <si>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</si>
  <si>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</si>
  <si>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</si>
  <si>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</si>
  <si>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</si>
  <si>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</si>
  <si>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</si>
  <si>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</si>
  <si>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</si>
  <si>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</si>
  <si>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</si>
  <si>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</si>
  <si>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</si>
  <si>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</si>
  <si>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</si>
  <si>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</si>
  <si>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</si>
  <si>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</si>
  <si>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</si>
  <si>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</si>
  <si>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</si>
  <si>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</si>
  <si>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</si>
  <si>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</si>
  <si>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</si>
  <si>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</si>
  <si>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</si>
  <si>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</si>
  <si>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</si>
  <si>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</si>
  <si>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</si>
  <si>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</si>
  <si>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</si>
  <si>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</si>
  <si>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</si>
  <si>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</si>
  <si>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</si>
  <si>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</si>
  <si>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</si>
  <si>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</si>
  <si>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</si>
  <si>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</si>
  <si>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</si>
  <si>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</si>
  <si>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</si>
  <si>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</si>
  <si>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</si>
  <si>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</si>
  <si>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</si>
  <si>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</si>
  <si>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</si>
  <si>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</si>
  <si>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</si>
  <si>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</si>
  <si>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</si>
  <si>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</si>
  <si>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</si>
  <si>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</si>
  <si>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</si>
  <si>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</si>
  <si>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</si>
  <si>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</si>
  <si>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</si>
  <si>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</si>
  <si>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</si>
  <si>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</si>
  <si>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</si>
  <si>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</si>
  <si>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</si>
  <si>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</si>
  <si>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</si>
  <si>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</si>
  <si>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</si>
  <si>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</si>
  <si>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</si>
  <si>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</si>
  <si>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</si>
  <si>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</si>
  <si>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</si>
  <si>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</si>
  <si>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</si>
  <si>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</si>
  <si>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</si>
  <si>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</si>
  <si>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</si>
  <si>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</si>
  <si>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</si>
  <si>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</si>
  <si>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</si>
  <si>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</si>
  <si>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</si>
  <si>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</si>
  <si>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</si>
  <si>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</si>
  <si>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</si>
  <si>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</si>
  <si>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</si>
  <si>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</si>
  <si>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</si>
  <si>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</si>
  <si>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</si>
  <si>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</si>
  <si>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</si>
  <si>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</si>
  <si>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</si>
  <si>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</si>
  <si>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</si>
  <si>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</si>
  <si>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</si>
  <si>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</si>
  <si>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</si>
  <si>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</si>
  <si>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</si>
  <si>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</si>
  <si>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</si>
  <si>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</si>
  <si>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</si>
  <si>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</si>
  <si>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</si>
  <si>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</si>
  <si>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</si>
  <si>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</si>
  <si>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</si>
  <si>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</si>
  <si>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</si>
  <si>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</si>
  <si>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</si>
  <si>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</si>
  <si>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</si>
  <si>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</si>
  <si>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</si>
  <si>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</si>
  <si>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</si>
  <si>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</si>
  <si>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</si>
  <si>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</si>
  <si>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</si>
  <si>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</si>
  <si>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</si>
  <si>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</si>
  <si>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</si>
  <si>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</si>
  <si>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</si>
  <si>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</si>
  <si>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</si>
  <si>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</si>
  <si>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</si>
  <si>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</si>
  <si>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</si>
  <si>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</si>
  <si>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</si>
  <si>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</si>
  <si>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</si>
  <si>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</si>
  <si>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</si>
  <si>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</si>
  <si>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</si>
  <si>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</si>
  <si>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</si>
  <si>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</si>
  <si>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</si>
  <si>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</si>
  <si>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</si>
  <si>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</si>
  <si>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</si>
  <si>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</si>
  <si>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</si>
  <si>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</si>
  <si>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</si>
  <si>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</si>
  <si>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</si>
  <si>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</si>
  <si>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</si>
  <si>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</si>
  <si>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</si>
  <si>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</si>
  <si>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</si>
  <si>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</si>
  <si>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</si>
  <si>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</si>
  <si>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</si>
  <si>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</si>
  <si>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</si>
  <si>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</si>
  <si>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</si>
  <si>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</si>
  <si>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</si>
  <si>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</si>
  <si>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</si>
  <si>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</si>
  <si>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</si>
  <si>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</si>
  <si>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</si>
  <si>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</si>
  <si>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</si>
  <si>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</si>
  <si>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</si>
  <si>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</si>
  <si>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</si>
  <si>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</si>
  <si>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</si>
  <si>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</si>
  <si>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</si>
  <si>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</si>
  <si>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</si>
  <si>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</si>
  <si>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</si>
  <si>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</si>
  <si>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</si>
  <si>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</si>
  <si>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</si>
  <si>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</si>
  <si>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</si>
  <si>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</si>
  <si>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</si>
  <si>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</si>
  <si>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</si>
  <si>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</si>
  <si>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</si>
  <si>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</si>
  <si>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</si>
  <si>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</si>
  <si>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</si>
  <si>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</si>
  <si>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</si>
  <si>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</si>
  <si>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</si>
  <si>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</si>
  <si>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</si>
  <si>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</si>
  <si>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</si>
  <si>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</si>
  <si>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</si>
  <si>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</si>
  <si>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</si>
  <si>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</si>
  <si>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</si>
  <si>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</si>
  <si>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</si>
  <si>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</si>
  <si>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</si>
  <si>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</si>
  <si>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</si>
  <si>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</si>
  <si>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</si>
  <si>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</si>
  <si>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</si>
  <si>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</si>
  <si>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</si>
  <si>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</si>
  <si>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</si>
  <si>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</si>
  <si>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</si>
  <si>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</si>
  <si>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</si>
  <si>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</si>
  <si>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</si>
  <si>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</si>
  <si>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</si>
  <si>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</si>
  <si>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</si>
  <si>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</si>
  <si>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</si>
  <si>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</si>
  <si>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</si>
  <si>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</si>
  <si>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</si>
  <si>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</si>
  <si>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</si>
  <si>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</si>
  <si>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</si>
  <si>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</si>
  <si>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</si>
  <si>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</si>
  <si>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</si>
  <si>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</si>
  <si>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</si>
  <si>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</si>
  <si>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</si>
  <si>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</si>
  <si>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</si>
  <si>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</si>
  <si>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</si>
  <si>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</si>
  <si>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</si>
  <si>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</si>
  <si>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</si>
  <si>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</si>
  <si>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</si>
  <si>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</si>
  <si>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</si>
  <si>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</si>
  <si>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</si>
  <si>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</si>
  <si>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</si>
  <si>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</si>
  <si>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</si>
  <si>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</si>
  <si>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</si>
  <si>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</si>
  <si>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</si>
  <si>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</si>
  <si>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</si>
  <si>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</si>
  <si>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</si>
  <si>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</si>
  <si>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</si>
  <si>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</si>
  <si>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</si>
  <si>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</si>
  <si>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</si>
  <si>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</si>
  <si>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</si>
  <si>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</si>
  <si>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</si>
  <si>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</si>
  <si>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</si>
  <si>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</si>
  <si>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</si>
  <si>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</si>
  <si>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</si>
  <si>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</si>
  <si>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</si>
  <si>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</si>
  <si>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</si>
  <si>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</si>
  <si>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</si>
  <si>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</si>
  <si>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</si>
  <si>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</si>
  <si>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</si>
  <si>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</si>
  <si>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</si>
  <si>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</si>
  <si>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</si>
  <si>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</si>
  <si>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</si>
  <si>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</si>
  <si>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</si>
  <si>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</si>
  <si>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</si>
  <si>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</si>
  <si>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</si>
  <si>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</si>
  <si>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</si>
  <si>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</si>
  <si>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</si>
  <si>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</si>
  <si>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</si>
  <si>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</si>
  <si>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</si>
  <si>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</si>
  <si>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</si>
  <si>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</si>
  <si>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</si>
  <si>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</si>
  <si>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</si>
  <si>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</si>
  <si>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</si>
  <si>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</si>
  <si>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</si>
  <si>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</si>
  <si>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</si>
  <si>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</si>
  <si>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</si>
  <si>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</si>
  <si>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</si>
  <si>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</si>
  <si>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</si>
  <si>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</si>
  <si>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</si>
  <si>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</si>
  <si>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</si>
  <si>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</si>
  <si>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</si>
  <si>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</si>
  <si>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</si>
  <si>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</si>
  <si>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</si>
  <si>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</si>
  <si>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</si>
  <si>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</si>
  <si>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</si>
  <si>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</si>
  <si>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</si>
  <si>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</si>
  <si>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</si>
  <si>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</si>
  <si>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</si>
  <si>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</si>
  <si>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</si>
  <si>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</si>
  <si>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</si>
  <si>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</si>
  <si>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</si>
  <si>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</si>
  <si>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</si>
  <si>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</si>
  <si>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</si>
  <si>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</si>
  <si>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</si>
  <si>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</si>
  <si>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</si>
  <si>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</si>
  <si>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</si>
  <si>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</si>
  <si>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</si>
  <si>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</si>
  <si>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</si>
  <si>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</si>
  <si>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</si>
  <si>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</si>
  <si>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</si>
  <si>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</si>
  <si>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</si>
  <si>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</si>
  <si>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</si>
  <si>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</si>
  <si>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</si>
  <si>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</si>
  <si>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</si>
  <si>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</si>
  <si>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</si>
  <si>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</si>
  <si>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</si>
  <si>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</si>
  <si>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</si>
  <si>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</si>
  <si>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</si>
  <si>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</si>
  <si>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</si>
  <si>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</si>
  <si>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</si>
  <si>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</si>
  <si>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</si>
  <si>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</si>
  <si>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</si>
  <si>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</si>
  <si>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</si>
  <si>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</si>
  <si>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</si>
  <si>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</si>
  <si>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</si>
  <si>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</si>
  <si>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</si>
  <si>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</si>
  <si>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</si>
  <si>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</si>
  <si>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</si>
  <si>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</si>
  <si>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</si>
  <si>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</si>
  <si>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</si>
  <si>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</si>
  <si>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</si>
  <si>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</si>
  <si>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</si>
  <si>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</si>
  <si>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</si>
  <si>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</si>
  <si>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</si>
  <si>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</si>
  <si>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</si>
  <si>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</si>
  <si>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</si>
  <si>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</si>
  <si>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</si>
  <si>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</si>
  <si>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</si>
  <si>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</si>
  <si>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</si>
  <si>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</si>
  <si>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</si>
  <si>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</si>
  <si>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</si>
  <si>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</si>
  <si>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</si>
  <si>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</si>
  <si>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</si>
  <si>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</si>
  <si>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</si>
  <si>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</si>
  <si>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</si>
  <si>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</si>
  <si>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</si>
  <si>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</si>
  <si>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</si>
  <si>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</si>
  <si>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</si>
  <si>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</si>
  <si>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</si>
  <si>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</si>
  <si>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</si>
  <si>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</si>
  <si>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</si>
  <si>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</si>
  <si>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</si>
  <si>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</si>
  <si>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</si>
  <si>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</si>
  <si>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</si>
  <si>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</si>
  <si>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</si>
  <si>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</si>
  <si>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</si>
  <si>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</si>
  <si>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</si>
  <si>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</si>
  <si>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</si>
  <si>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</si>
  <si>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</si>
  <si>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</si>
  <si>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</si>
  <si>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</si>
  <si>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</si>
  <si>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</si>
  <si>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</si>
  <si>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</si>
  <si>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</si>
  <si>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</si>
  <si>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</si>
  <si>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</si>
  <si>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</si>
  <si>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</si>
  <si>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</si>
  <si>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</si>
  <si>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</si>
  <si>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</si>
  <si>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</si>
  <si>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</si>
  <si>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</si>
  <si>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</si>
  <si>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</si>
  <si>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</si>
  <si>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</si>
  <si>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</si>
  <si>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</si>
  <si>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</si>
  <si>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</si>
  <si>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</si>
  <si>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</si>
  <si>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</si>
  <si>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</si>
  <si>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</si>
  <si>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</si>
  <si>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</si>
  <si>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</si>
  <si>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</si>
  <si>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</si>
  <si>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</si>
  <si>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</si>
  <si>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</si>
  <si>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</si>
  <si>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</si>
  <si>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</si>
  <si>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</si>
  <si>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</si>
  <si>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</si>
  <si>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</si>
  <si>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</si>
  <si>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</si>
  <si>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</si>
  <si>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</si>
  <si>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</si>
  <si>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</si>
  <si>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</si>
  <si>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</si>
  <si>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</si>
  <si>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</si>
  <si>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</si>
  <si>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</si>
  <si>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</si>
  <si>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</si>
  <si>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</si>
  <si>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</si>
  <si>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</si>
  <si>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</si>
  <si>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</si>
  <si>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</si>
  <si>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</si>
  <si>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</si>
  <si>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</si>
  <si>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</si>
  <si>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</si>
  <si>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</si>
  <si>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</si>
  <si>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</si>
  <si>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</si>
  <si>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</si>
  <si>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</si>
  <si>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</si>
  <si>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</si>
  <si>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</si>
  <si>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</si>
  <si>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</si>
  <si>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</si>
  <si>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</si>
  <si>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</si>
  <si>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</si>
  <si>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</si>
  <si>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</si>
  <si>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</si>
  <si>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</si>
  <si>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</si>
  <si>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</si>
  <si>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</si>
  <si>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</si>
  <si>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</si>
  <si>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</si>
  <si>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</si>
  <si>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</si>
  <si>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</si>
  <si>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</si>
  <si>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</si>
  <si>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</si>
  <si>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</si>
  <si>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</si>
  <si>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</si>
  <si>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</si>
  <si>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</si>
  <si>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</si>
  <si>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</si>
  <si>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</si>
  <si>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</si>
  <si>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</si>
  <si>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</si>
  <si>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</si>
  <si>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</si>
  <si>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</si>
  <si>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</si>
  <si>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</si>
  <si>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</si>
  <si>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</si>
  <si>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</si>
  <si>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</si>
  <si>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</si>
  <si>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</si>
  <si>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</si>
  <si>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</si>
  <si>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</si>
  <si>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</si>
  <si>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</si>
  <si>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</si>
  <si>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</si>
  <si>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</si>
  <si>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</si>
  <si>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</si>
  <si>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</si>
  <si>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</si>
  <si>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</si>
  <si>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</si>
  <si>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</si>
  <si>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</si>
  <si>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</si>
  <si>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</si>
  <si>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</si>
  <si>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</si>
  <si>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</si>
  <si>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</si>
  <si>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</si>
  <si>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</si>
  <si>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</si>
  <si>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</si>
  <si>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</si>
  <si>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</si>
  <si>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</si>
  <si>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</si>
  <si>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</si>
  <si>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</si>
  <si>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</si>
  <si>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</si>
  <si>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</si>
  <si>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</si>
  <si>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</si>
  <si>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</si>
  <si>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</si>
  <si>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</si>
  <si>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</si>
  <si>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</si>
  <si>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</si>
  <si>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</si>
  <si>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</si>
  <si>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</si>
  <si>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</si>
  <si>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</si>
  <si>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</si>
  <si>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</si>
  <si>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</si>
  <si>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</si>
  <si>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</si>
  <si>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</si>
  <si>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</si>
  <si>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</si>
  <si>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</si>
  <si>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</si>
  <si>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</si>
  <si>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</si>
  <si>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</si>
  <si>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</si>
  <si>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</si>
  <si>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</si>
  <si>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</si>
  <si>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</si>
  <si>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</si>
  <si>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</si>
  <si>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</si>
  <si>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</si>
  <si>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</si>
  <si>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</si>
  <si>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</si>
  <si>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</si>
  <si>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</si>
  <si>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</si>
  <si>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</si>
  <si>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</si>
  <si>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</si>
  <si>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</si>
  <si>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</si>
  <si>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</si>
  <si>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</si>
  <si>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</si>
  <si>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</si>
  <si>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</si>
  <si>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</si>
  <si>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</si>
  <si>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</si>
  <si>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</si>
  <si>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</si>
  <si>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</si>
  <si>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</si>
  <si>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</si>
  <si>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</si>
  <si>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</si>
  <si>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</si>
  <si>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</si>
  <si>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</si>
  <si>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</si>
  <si>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</si>
  <si>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</si>
  <si>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</si>
  <si>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</si>
  <si>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</si>
  <si>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</si>
  <si>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</si>
  <si>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</si>
  <si>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</si>
  <si>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</si>
  <si>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</si>
  <si>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</si>
  <si>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</si>
  <si>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</si>
  <si>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</si>
  <si>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</si>
  <si>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</si>
  <si>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</si>
  <si>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</si>
  <si>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</si>
  <si>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</si>
  <si>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</si>
  <si>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</si>
  <si>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</si>
  <si>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</si>
  <si>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</si>
  <si>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</si>
  <si>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</si>
  <si>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</si>
  <si>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</si>
  <si>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</si>
  <si>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</si>
  <si>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</si>
  <si>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</si>
  <si>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</si>
  <si>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</si>
  <si>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</si>
  <si>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</si>
  <si>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</si>
  <si>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</si>
  <si>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</si>
  <si>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</si>
  <si>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</si>
  <si>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</si>
  <si>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</si>
  <si>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</si>
  <si>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</si>
  <si>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</si>
  <si>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</si>
  <si>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</si>
  <si>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</si>
  <si>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</si>
  <si>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</si>
  <si>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</si>
  <si>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</si>
  <si>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</si>
  <si>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</si>
  <si>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</si>
  <si>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</si>
  <si>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</si>
  <si>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</si>
  <si>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</si>
  <si>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</si>
  <si>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</si>
  <si>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</si>
  <si>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</si>
  <si>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</si>
  <si>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</si>
  <si>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</si>
  <si>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</si>
  <si>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</si>
  <si>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</si>
  <si>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</si>
  <si>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</si>
  <si>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</si>
  <si>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</si>
  <si>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</si>
  <si>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</si>
  <si>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</si>
  <si>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</si>
  <si>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</si>
  <si>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</si>
  <si>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</si>
  <si>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</si>
  <si>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</si>
  <si>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</si>
  <si>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</si>
  <si>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</si>
  <si>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</si>
  <si>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</si>
  <si>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</si>
  <si>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</si>
  <si>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</si>
  <si>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</si>
  <si>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</si>
  <si>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</si>
  <si>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</si>
  <si>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</si>
  <si>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</si>
  <si>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</si>
  <si>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</si>
  <si>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</si>
  <si>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</si>
  <si>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</si>
  <si>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</si>
  <si>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</si>
  <si>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</si>
  <si>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</si>
  <si>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</si>
  <si>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</si>
  <si>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</si>
  <si>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</si>
  <si>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</si>
  <si>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</si>
  <si>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</si>
  <si>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</si>
  <si>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</si>
  <si>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</si>
  <si>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</si>
  <si>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</si>
  <si>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</si>
  <si>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</si>
  <si>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</si>
  <si>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</si>
  <si>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</si>
  <si>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</si>
  <si>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</si>
  <si>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</si>
  <si>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</si>
  <si>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</si>
  <si>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</si>
  <si>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</si>
  <si>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</si>
  <si>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</si>
  <si>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</si>
  <si>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</si>
  <si>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</si>
  <si>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</si>
  <si>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</si>
  <si>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</si>
  <si>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</si>
  <si>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</si>
  <si>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</si>
  <si>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</si>
  <si>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</si>
  <si>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</si>
  <si>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</si>
  <si>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</si>
  <si>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</si>
  <si>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</si>
  <si>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</si>
  <si>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</si>
  <si>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</si>
  <si>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</si>
  <si>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</si>
  <si>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</si>
  <si>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</si>
  <si>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</si>
  <si>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</si>
  <si>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</si>
  <si>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</si>
  <si>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</si>
  <si>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</si>
  <si>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</si>
  <si>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</si>
  <si>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</si>
  <si>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</si>
  <si>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</si>
  <si>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</si>
  <si>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</si>
  <si>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</si>
  <si>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</si>
  <si>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</si>
  <si>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</si>
  <si>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</si>
  <si>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</si>
  <si>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</si>
  <si>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</si>
  <si>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</si>
  <si>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</si>
  <si>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</si>
  <si>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</si>
  <si>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</si>
  <si>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</si>
  <si>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</si>
  <si>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</si>
  <si>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</si>
  <si>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</si>
  <si>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</si>
  <si>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</si>
  <si>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</si>
  <si>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</si>
  <si>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</si>
  <si>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</si>
  <si>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</si>
  <si>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</si>
  <si>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</si>
  <si>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</si>
  <si>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</si>
  <si>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</si>
  <si>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</si>
  <si>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</si>
  <si>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</si>
  <si>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</si>
  <si>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</si>
  <si>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</si>
  <si>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</si>
  <si>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</si>
  <si>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</si>
  <si>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</si>
  <si>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</si>
  <si>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</si>
  <si>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</si>
  <si>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</si>
  <si>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</si>
  <si>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</si>
  <si>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</si>
  <si>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</si>
  <si>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</si>
  <si>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</si>
  <si>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</si>
  <si>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</si>
  <si>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</si>
  <si>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</si>
  <si>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</si>
  <si>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</si>
  <si>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</si>
  <si>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</si>
  <si>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</si>
  <si>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</si>
  <si>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</si>
  <si>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</si>
  <si>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</si>
  <si>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</si>
  <si>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</si>
  <si>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</si>
  <si>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</si>
  <si>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</si>
  <si>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</si>
  <si>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</si>
  <si>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</si>
  <si>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</si>
  <si>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</si>
  <si>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</si>
  <si>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</si>
  <si>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</si>
  <si>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</si>
  <si>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</si>
  <si>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</si>
  <si>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</si>
  <si>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</si>
  <si>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</si>
  <si>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</si>
  <si>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</si>
  <si>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</si>
  <si>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</si>
  <si>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</si>
  <si>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</si>
  <si>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</si>
  <si>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</si>
  <si>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</si>
  <si>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</si>
  <si>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</si>
  <si>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</si>
  <si>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</si>
  <si>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</si>
  <si>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</si>
  <si>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</si>
  <si>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</si>
  <si>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</si>
  <si>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</si>
  <si>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</si>
  <si>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</si>
  <si>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</si>
  <si>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</si>
  <si>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</si>
  <si>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</si>
  <si>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</si>
  <si>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</si>
  <si>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</si>
  <si>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</si>
  <si>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</si>
  <si>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</si>
  <si>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</si>
  <si>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</si>
  <si>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</si>
  <si>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</si>
  <si>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</si>
  <si>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</si>
  <si>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</si>
  <si>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</si>
  <si>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</si>
  <si>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</si>
  <si>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</si>
  <si>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</si>
  <si>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</si>
  <si>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</si>
  <si>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</si>
  <si>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</si>
  <si>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</si>
  <si>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</si>
  <si>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</si>
  <si>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</si>
  <si>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</si>
  <si>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</si>
  <si>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</si>
  <si>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</si>
  <si>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</si>
  <si>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</si>
  <si>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</si>
  <si>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</si>
  <si>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</si>
  <si>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</si>
  <si>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</si>
  <si>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</si>
  <si>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</si>
  <si>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</si>
  <si>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</si>
  <si>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</si>
  <si>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</si>
  <si>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</si>
  <si>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</si>
  <si>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</si>
  <si>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</si>
  <si>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</si>
  <si>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</si>
  <si>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</si>
  <si>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</si>
  <si>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</si>
  <si>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</si>
  <si>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</si>
  <si>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</si>
  <si>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</si>
  <si>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</si>
  <si>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</si>
  <si>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</si>
  <si>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</si>
  <si>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</si>
  <si>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</si>
  <si>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</si>
  <si>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</si>
  <si>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</si>
  <si>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</si>
  <si>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</si>
  <si>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</si>
  <si>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</si>
  <si>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</si>
  <si>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</si>
  <si>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</si>
  <si>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</si>
  <si>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</si>
  <si>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</si>
  <si>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</si>
  <si>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</si>
  <si>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</si>
  <si>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</si>
  <si>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</si>
  <si>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</si>
  <si>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</si>
  <si>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</si>
  <si>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</si>
  <si>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</si>
  <si>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</si>
  <si>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</si>
  <si>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</si>
  <si>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</si>
  <si>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</si>
  <si>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</si>
  <si>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</si>
  <si>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</si>
  <si>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</si>
  <si>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</si>
  <si>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</si>
  <si>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</si>
  <si>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</si>
  <si>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</si>
  <si>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</si>
  <si>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</si>
  <si>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</si>
  <si>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</si>
  <si>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</si>
  <si>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</si>
  <si>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</si>
  <si>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</si>
  <si>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</si>
  <si>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</si>
  <si>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</si>
  <si>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</si>
  <si>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</si>
  <si>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</si>
  <si>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</si>
  <si>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</si>
  <si>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</si>
  <si>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</si>
  <si>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</si>
  <si>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</si>
  <si>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</si>
  <si>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</si>
  <si>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</si>
  <si>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</si>
  <si>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</si>
  <si>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</si>
  <si>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</si>
  <si>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</si>
  <si>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</si>
  <si>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</si>
  <si>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</si>
  <si>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</si>
  <si>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</si>
  <si>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</si>
  <si>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</si>
  <si>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</si>
  <si>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</si>
  <si>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</si>
  <si>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</si>
  <si>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</si>
  <si>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</si>
  <si>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</si>
  <si>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</si>
  <si>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</si>
  <si>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</si>
  <si>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</si>
  <si>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</si>
  <si>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</si>
  <si>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</si>
  <si>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</si>
  <si>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</si>
  <si>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</si>
  <si>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</si>
  <si>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</si>
  <si>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</si>
  <si>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</si>
  <si>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</si>
  <si>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</si>
  <si>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</si>
  <si>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</si>
  <si>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</si>
  <si>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</si>
  <si>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</si>
  <si>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</si>
  <si>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</si>
  <si>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</si>
  <si>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</si>
  <si>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</si>
  <si>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</si>
  <si>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</si>
  <si>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</si>
  <si>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</si>
  <si>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</si>
  <si>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</si>
  <si>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</si>
  <si>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</si>
  <si>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</si>
  <si>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</si>
  <si>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</si>
  <si>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</si>
  <si>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</si>
  <si>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</si>
  <si>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</si>
  <si>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</si>
  <si>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</si>
  <si>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</si>
  <si>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</si>
  <si>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</si>
  <si>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</si>
  <si>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</si>
  <si>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</si>
  <si>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</si>
  <si>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</si>
  <si>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</si>
  <si>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</si>
  <si>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</si>
  <si>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</si>
  <si>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</si>
  <si>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</si>
  <si>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</si>
  <si>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</si>
  <si>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</si>
  <si>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</si>
  <si>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</si>
  <si>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</si>
  <si>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</si>
  <si>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</si>
  <si>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</si>
  <si>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</si>
  <si>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</si>
  <si>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</si>
  <si>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</si>
  <si>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</si>
  <si>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</si>
  <si>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</si>
  <si>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</si>
  <si>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</si>
  <si>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</si>
  <si>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</si>
  <si>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</si>
  <si>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</si>
  <si>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</si>
  <si>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</si>
  <si>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</si>
  <si>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</si>
  <si>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</si>
  <si>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</si>
  <si>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</si>
  <si>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</si>
  <si>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</si>
  <si>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</si>
  <si>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</si>
  <si>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</si>
  <si>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</si>
  <si>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</si>
  <si>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</si>
  <si>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</si>
  <si>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</si>
  <si>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</si>
  <si>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</si>
  <si>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</si>
  <si>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</si>
  <si>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</si>
  <si>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</si>
  <si>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</si>
  <si>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</si>
  <si>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</si>
  <si>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</si>
  <si>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</si>
  <si>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</si>
  <si>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</si>
  <si>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</si>
  <si>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</si>
  <si>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</si>
  <si>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</si>
  <si>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</si>
  <si>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</si>
  <si>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</si>
  <si>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</si>
  <si>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</si>
  <si>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</si>
  <si>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</si>
  <si>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</si>
  <si>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</si>
  <si>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</si>
  <si>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</si>
  <si>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</si>
  <si>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</si>
  <si>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</si>
  <si>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</si>
  <si>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</si>
  <si>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</si>
  <si>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</si>
  <si>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</si>
  <si>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</si>
  <si>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</si>
  <si>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</si>
  <si>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</si>
  <si>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</si>
  <si>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</si>
  <si>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</si>
  <si>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</si>
  <si>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</si>
  <si>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</si>
  <si>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</si>
  <si>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</si>
  <si>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</si>
  <si>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</si>
  <si>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</si>
  <si>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</si>
  <si>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</si>
  <si>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</si>
  <si>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</si>
  <si>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</si>
  <si>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</si>
  <si>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</si>
  <si>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</si>
  <si>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</si>
  <si>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</si>
  <si>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</si>
  <si>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</si>
  <si>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</si>
  <si>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</si>
  <si>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</si>
  <si>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</si>
  <si>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</si>
  <si>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</si>
  <si>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</si>
  <si>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</si>
  <si>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</si>
  <si>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</si>
  <si>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</si>
  <si>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</si>
  <si>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</si>
  <si>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</si>
  <si>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</si>
  <si>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</si>
  <si>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</si>
  <si>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</si>
  <si>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</si>
  <si>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</si>
  <si>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</si>
  <si>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</si>
  <si>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</si>
  <si>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</si>
  <si>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</si>
  <si>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</si>
  <si>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</si>
  <si>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</si>
  <si>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</si>
  <si>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</si>
  <si>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</si>
  <si>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</si>
  <si>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</si>
  <si>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</si>
  <si>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</si>
  <si>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</si>
  <si>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</si>
  <si>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</si>
  <si>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</si>
  <si>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</si>
  <si>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</si>
  <si>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</si>
  <si>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</si>
  <si>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</si>
  <si>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</si>
  <si>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</si>
  <si>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</si>
  <si>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</si>
  <si>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</si>
  <si>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</si>
  <si>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</si>
  <si>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</si>
  <si>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</si>
  <si>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</si>
  <si>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</si>
  <si>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</si>
  <si>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</si>
  <si>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</si>
  <si>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</si>
  <si>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</si>
  <si>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</si>
  <si>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</si>
  <si>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</si>
  <si>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</si>
  <si>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</si>
  <si>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</si>
  <si>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</si>
  <si>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</si>
  <si>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</si>
  <si>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</si>
  <si>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</si>
  <si>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</si>
  <si>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</si>
  <si>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</si>
  <si>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</si>
  <si>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</si>
  <si>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</si>
  <si>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</si>
  <si>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</si>
  <si>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</si>
  <si>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</si>
  <si>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</si>
  <si>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</si>
  <si>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</si>
  <si>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</si>
  <si>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</si>
  <si>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</si>
  <si>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</si>
  <si>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</si>
  <si>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</si>
  <si>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</si>
  <si>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</si>
  <si>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</si>
  <si>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</si>
  <si>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</si>
  <si>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</si>
  <si>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</si>
  <si>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</si>
  <si>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</si>
  <si>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</si>
  <si>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</si>
  <si>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</si>
  <si>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</si>
  <si>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</si>
  <si>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</si>
  <si>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</si>
  <si>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</si>
  <si>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</si>
  <si>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</si>
  <si>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</si>
  <si>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</si>
  <si>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</si>
  <si>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</si>
  <si>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</si>
  <si>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</si>
  <si>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</si>
  <si>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</si>
  <si>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</si>
  <si>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</si>
  <si>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</si>
  <si>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</si>
  <si>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</si>
  <si>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</si>
  <si>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</si>
  <si>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</si>
  <si>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</si>
  <si>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</si>
  <si>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</si>
  <si>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</si>
  <si>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</si>
  <si>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</si>
  <si>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</si>
  <si>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</si>
  <si>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</si>
  <si>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</si>
  <si>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</si>
  <si>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</si>
  <si>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</si>
  <si>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</si>
  <si>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</si>
  <si>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</si>
  <si>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</si>
  <si>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</si>
  <si>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</si>
  <si>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</si>
  <si>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</si>
  <si>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</si>
  <si>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</si>
  <si>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</si>
  <si>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</si>
  <si>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</si>
  <si>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</si>
  <si>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</si>
  <si>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</si>
  <si>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</si>
  <si>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</si>
  <si>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</si>
  <si>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</si>
  <si>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</si>
  <si>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</si>
  <si>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</si>
  <si>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</si>
  <si>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</si>
  <si>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</si>
  <si>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</si>
  <si>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</si>
  <si>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</si>
  <si>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</si>
  <si>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</si>
  <si>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</si>
  <si>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</si>
  <si>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</si>
  <si>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</si>
  <si>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</si>
  <si>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</si>
  <si>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</si>
  <si>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</si>
  <si>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</si>
  <si>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</si>
  <si>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</si>
  <si>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</si>
  <si>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</si>
  <si>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</si>
  <si>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</si>
  <si>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</si>
  <si>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</si>
  <si>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</si>
  <si>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</si>
  <si>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</si>
  <si>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</si>
  <si>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</si>
  <si>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</si>
  <si>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</si>
  <si>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</si>
  <si>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</si>
  <si>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</si>
  <si>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</si>
  <si>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</si>
  <si>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</si>
  <si>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</si>
  <si>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</si>
  <si>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</si>
  <si>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</si>
  <si>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</si>
  <si>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</si>
  <si>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</si>
  <si>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</si>
  <si>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</si>
  <si>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</si>
  <si>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</si>
  <si>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</si>
  <si>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</si>
  <si>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</si>
  <si>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</si>
  <si>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</si>
  <si>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</si>
  <si>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</si>
  <si>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</si>
  <si>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</si>
  <si>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</si>
  <si>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</si>
  <si>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</si>
  <si>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</si>
  <si>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</si>
  <si>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</si>
  <si>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</si>
  <si>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</si>
  <si>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</si>
  <si>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</si>
  <si>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</si>
  <si>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</si>
  <si>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</si>
  <si>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</si>
  <si>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</si>
  <si>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</si>
  <si>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</si>
  <si>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</si>
  <si>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</si>
  <si>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</si>
  <si>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</si>
  <si>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</si>
  <si>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</si>
  <si>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</si>
  <si>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</si>
  <si>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</si>
  <si>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</si>
  <si>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</si>
  <si>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</si>
  <si>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</si>
  <si>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</si>
  <si>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</si>
  <si>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</si>
  <si>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</si>
  <si>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</si>
  <si>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</si>
  <si>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</si>
  <si>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</si>
  <si>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</si>
  <si>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</si>
  <si>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</si>
  <si>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</si>
  <si>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</si>
  <si>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</si>
  <si>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</si>
  <si>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</si>
  <si>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</si>
  <si>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</si>
  <si>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</si>
  <si>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</si>
  <si>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</si>
  <si>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</si>
  <si>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</si>
  <si>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</si>
  <si>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</si>
  <si>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</si>
  <si>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</si>
  <si>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</si>
  <si>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</si>
  <si>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</si>
  <si>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</si>
  <si>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</si>
  <si>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</si>
  <si>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</si>
  <si>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</si>
  <si>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</si>
  <si>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</si>
  <si>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</si>
  <si>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</si>
  <si>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</si>
  <si>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</si>
  <si>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</si>
  <si>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</si>
  <si>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</si>
  <si>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</si>
  <si>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</si>
  <si>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</si>
  <si>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</si>
  <si>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</si>
  <si>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</si>
  <si>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</si>
  <si>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</si>
  <si>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</si>
  <si>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</si>
  <si>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</si>
  <si>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</si>
  <si>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</si>
  <si>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</si>
  <si>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</si>
  <si>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</si>
  <si>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</si>
  <si>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</si>
  <si>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</si>
  <si>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</si>
  <si>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</si>
  <si>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</si>
  <si>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</si>
  <si>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</si>
  <si>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</si>
  <si>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</si>
  <si>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</si>
  <si>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</si>
  <si>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</si>
  <si>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</si>
  <si>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</si>
  <si>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</si>
  <si>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</si>
  <si>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</si>
  <si>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</si>
  <si>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</si>
  <si>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</si>
  <si>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</si>
  <si>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</si>
  <si>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</si>
  <si>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</si>
  <si>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</si>
  <si>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</si>
  <si>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</si>
  <si>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</si>
  <si>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</si>
  <si>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</si>
  <si>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</si>
  <si>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</si>
  <si>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</si>
  <si>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</si>
  <si>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</si>
  <si>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</si>
  <si>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</si>
  <si>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</si>
  <si>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</si>
  <si>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</si>
  <si>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</si>
  <si>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</si>
  <si>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</si>
  <si>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</si>
  <si>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</si>
  <si>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</si>
  <si>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</si>
  <si>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</si>
  <si>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</si>
  <si>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</si>
  <si>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</si>
  <si>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</si>
  <si>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</si>
  <si>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</si>
  <si>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</si>
  <si>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</si>
  <si>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</si>
  <si>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</si>
  <si>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</si>
  <si>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</si>
  <si>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</si>
  <si>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</si>
  <si>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</si>
  <si>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</si>
  <si>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</si>
  <si>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</si>
  <si>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</si>
  <si>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</si>
  <si>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</si>
  <si>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</si>
  <si>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</si>
  <si>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</si>
  <si>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</si>
  <si>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</si>
  <si>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</si>
  <si>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</si>
  <si>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</si>
  <si>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</si>
  <si>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</si>
  <si>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</si>
  <si>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</si>
  <si>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</si>
  <si>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</si>
  <si>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</si>
  <si>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</si>
  <si>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</si>
  <si>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</si>
  <si>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</si>
  <si>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</si>
  <si>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</si>
  <si>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</si>
  <si>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</si>
  <si>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</si>
  <si>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</si>
  <si>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</si>
  <si>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</si>
  <si>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</si>
  <si>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</si>
  <si>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</si>
  <si>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</si>
  <si>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</si>
  <si>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</si>
  <si>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</si>
  <si>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</si>
  <si>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</si>
  <si>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</si>
  <si>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</si>
  <si>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</si>
  <si>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</si>
  <si>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</si>
  <si>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</si>
  <si>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</si>
  <si>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</si>
  <si>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</si>
  <si>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</si>
  <si>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</si>
  <si>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</si>
  <si>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</si>
  <si>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</si>
  <si>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</si>
  <si>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</si>
  <si>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</si>
  <si>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</si>
  <si>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</si>
  <si>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</si>
  <si>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</si>
  <si>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</si>
  <si>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</si>
  <si>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</si>
  <si>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</si>
  <si>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</si>
  <si>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</si>
  <si>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</si>
  <si>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</si>
  <si>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</si>
  <si>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</si>
  <si>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</si>
  <si>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</si>
  <si>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</si>
  <si>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</si>
  <si>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</si>
  <si>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</si>
  <si>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</si>
  <si>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</si>
  <si>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</si>
  <si>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</si>
  <si>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</si>
  <si>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</si>
  <si>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</si>
  <si>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</si>
  <si>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</si>
  <si>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</si>
  <si>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</si>
  <si>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</si>
  <si>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</si>
  <si>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</si>
  <si>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</si>
  <si>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</si>
  <si>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</si>
  <si>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</si>
  <si>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</si>
  <si>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</si>
  <si>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</si>
  <si>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</si>
  <si>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</si>
  <si>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</si>
  <si>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</si>
  <si>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</si>
  <si>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</si>
  <si>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</si>
  <si>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</si>
  <si>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</si>
  <si>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</si>
  <si>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</si>
  <si>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</si>
  <si>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</si>
  <si>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</si>
  <si>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</si>
  <si>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</si>
  <si>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</si>
  <si>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</si>
  <si>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</si>
  <si>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</si>
  <si>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</si>
  <si>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</si>
  <si>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</si>
  <si>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</si>
  <si>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</si>
  <si>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</si>
  <si>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</si>
  <si>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</si>
  <si>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</si>
  <si>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</si>
  <si>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</si>
  <si>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</si>
  <si>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</si>
  <si>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</si>
  <si>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</si>
  <si>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</si>
  <si>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</si>
  <si>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</si>
  <si>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</si>
  <si>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</si>
  <si>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</si>
  <si>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</si>
  <si>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</si>
  <si>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</si>
  <si>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</si>
  <si>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</si>
  <si>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</si>
  <si>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</si>
  <si>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</si>
  <si>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</si>
  <si>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</si>
  <si>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</si>
  <si>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</si>
  <si>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</si>
  <si>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</si>
  <si>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</si>
  <si>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</si>
  <si>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</si>
  <si>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</si>
  <si>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</si>
  <si>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</si>
  <si>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</si>
  <si>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</si>
  <si>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</si>
  <si>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</si>
  <si>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</si>
  <si>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</si>
  <si>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</si>
  <si>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</si>
  <si>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</si>
  <si>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</si>
  <si>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</si>
  <si>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</si>
  <si>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</si>
  <si>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</si>
  <si>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</si>
  <si>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</si>
  <si>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</si>
  <si>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</si>
  <si>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</si>
  <si>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</si>
  <si>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</si>
  <si>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</si>
  <si>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</si>
  <si>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</si>
  <si>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</si>
  <si>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</si>
  <si>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</si>
  <si>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</si>
  <si>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</si>
  <si>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</si>
  <si>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</si>
  <si>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</si>
  <si>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</si>
  <si>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</si>
  <si>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</si>
  <si>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</si>
  <si>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</si>
  <si>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</si>
  <si>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</si>
  <si>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</si>
  <si>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</si>
  <si>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</si>
  <si>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</si>
  <si>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</si>
  <si>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</si>
  <si>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</si>
  <si>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</si>
  <si>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</si>
  <si>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</si>
  <si>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</si>
  <si>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</si>
  <si>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</si>
  <si>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</si>
  <si>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</si>
  <si>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</si>
  <si>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</si>
  <si>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</si>
  <si>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</si>
  <si>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</si>
  <si>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</si>
  <si>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</si>
  <si>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</si>
  <si>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</si>
  <si>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</si>
  <si>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</si>
  <si>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</si>
  <si>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</si>
  <si>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</si>
  <si>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</si>
  <si>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</si>
  <si>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</si>
  <si>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</si>
  <si>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</si>
  <si>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</si>
  <si>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</si>
  <si>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</si>
  <si>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</si>
  <si>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</si>
  <si>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</si>
  <si>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</si>
  <si>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</si>
  <si>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</si>
  <si>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</si>
  <si>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</si>
  <si>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</si>
  <si>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</si>
  <si>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</si>
  <si>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</si>
  <si>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</si>
  <si>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</si>
  <si>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</si>
  <si>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</si>
  <si>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</si>
  <si>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</si>
  <si>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</si>
  <si>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</si>
  <si>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</si>
  <si>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</si>
  <si>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</si>
  <si>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</si>
  <si>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</si>
  <si>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</si>
  <si>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</si>
  <si>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</si>
  <si>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</si>
  <si>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</si>
  <si>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</si>
  <si>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</si>
  <si>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</si>
  <si>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</si>
  <si>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</si>
  <si>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</si>
  <si>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</si>
  <si>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</si>
  <si>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</si>
  <si>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</si>
  <si>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</si>
  <si>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</si>
  <si>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</si>
  <si>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</si>
  <si>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</si>
  <si>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</si>
  <si>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</si>
  <si>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</si>
  <si>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</si>
  <si>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</si>
  <si>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</si>
  <si>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</si>
  <si>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</si>
  <si>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</si>
  <si>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</si>
  <si>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</si>
  <si>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</si>
  <si>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</si>
  <si>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</si>
  <si>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</si>
  <si>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</si>
  <si>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</si>
  <si>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</si>
  <si>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</si>
  <si>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</si>
  <si>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</si>
  <si>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</si>
  <si>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</si>
  <si>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</si>
  <si>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</si>
  <si>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</si>
  <si>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</si>
  <si>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</si>
  <si>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</si>
  <si>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</si>
  <si>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</si>
  <si>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</si>
  <si>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</si>
  <si>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</si>
  <si>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</si>
  <si>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</si>
  <si>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</si>
  <si>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</si>
  <si>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</si>
  <si>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</si>
  <si>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</si>
  <si>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</si>
  <si>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</si>
  <si>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</si>
  <si>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</si>
  <si>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</si>
  <si>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</si>
  <si>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</si>
  <si>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</si>
  <si>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</si>
  <si>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</si>
  <si>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</si>
  <si>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</si>
  <si>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</si>
  <si>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</si>
  <si>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</si>
  <si>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</si>
  <si>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</si>
  <si>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</si>
  <si>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</si>
  <si>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</si>
  <si>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</si>
  <si>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</si>
  <si>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</si>
  <si>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</si>
  <si>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</si>
  <si>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</si>
  <si>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</si>
  <si>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</si>
  <si>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</si>
  <si>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</si>
  <si>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</si>
  <si>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</si>
  <si>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</si>
  <si>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</si>
  <si>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</si>
  <si>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</si>
  <si>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</si>
  <si>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</si>
  <si>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</si>
  <si>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</si>
  <si>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</si>
  <si>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</si>
  <si>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</si>
  <si>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</si>
  <si>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</si>
  <si>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</si>
  <si>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</si>
  <si>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</si>
  <si>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</si>
  <si>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</si>
  <si>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</si>
  <si>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</si>
  <si>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</si>
  <si>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</si>
  <si>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</si>
  <si>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</si>
  <si>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</si>
  <si>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</si>
  <si>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</si>
  <si>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</si>
  <si>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</si>
  <si>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</si>
  <si>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</si>
  <si>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</si>
  <si>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</si>
  <si>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</si>
  <si>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</si>
  <si>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</si>
  <si>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</si>
  <si>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</si>
  <si>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</si>
  <si>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</si>
  <si>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</si>
  <si>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</si>
  <si>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</si>
  <si>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</si>
  <si>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</si>
  <si>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</si>
  <si>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</si>
  <si>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</si>
  <si>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</si>
  <si>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</si>
  <si>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</si>
  <si>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</si>
  <si>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</si>
  <si>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</si>
  <si>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</si>
  <si>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</si>
  <si>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</si>
  <si>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</si>
  <si>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</si>
  <si>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</si>
  <si>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</si>
  <si>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</si>
  <si>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</si>
  <si>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</si>
  <si>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</si>
  <si>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</si>
  <si>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</si>
  <si>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</si>
  <si>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</si>
  <si>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</si>
  <si>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</si>
  <si>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</si>
  <si>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</si>
  <si>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</si>
  <si>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</si>
  <si>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</si>
  <si>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</si>
  <si>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</si>
  <si>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</si>
  <si>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</si>
  <si>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</si>
  <si>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</si>
  <si>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</si>
  <si>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</si>
  <si>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</si>
  <si>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</si>
  <si>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</si>
  <si>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</si>
  <si>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</si>
  <si>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</si>
  <si>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</si>
  <si>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</si>
  <si>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</si>
  <si>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</si>
  <si>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</si>
  <si>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</si>
  <si>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</si>
  <si>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</si>
  <si>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</si>
  <si>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</si>
  <si>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</si>
  <si>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</si>
  <si>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</si>
  <si>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</si>
  <si>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</si>
  <si>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</si>
  <si>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</si>
  <si>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</si>
  <si>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</si>
  <si>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</si>
  <si>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</si>
  <si>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</si>
  <si>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</si>
  <si>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</si>
  <si>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</si>
  <si>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</si>
  <si>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</si>
  <si>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</si>
  <si>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</si>
  <si>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</si>
  <si>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</si>
  <si>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</si>
  <si>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</si>
  <si>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</si>
  <si>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</si>
  <si>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</si>
  <si>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</si>
  <si>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</si>
  <si>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</si>
  <si>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</si>
  <si>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</si>
  <si>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</si>
  <si>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</si>
  <si>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</si>
  <si>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</si>
  <si>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</si>
  <si>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</si>
  <si>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</si>
  <si>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</si>
  <si>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</si>
  <si>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</si>
  <si>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</si>
  <si>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</si>
  <si>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</si>
  <si>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</si>
  <si>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</si>
  <si>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</si>
  <si>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</si>
  <si>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</si>
  <si>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</si>
  <si>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</si>
  <si>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</si>
  <si>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</si>
  <si>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</si>
  <si>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</si>
  <si>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</si>
  <si>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</si>
  <si>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</si>
  <si>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</si>
  <si>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</si>
  <si>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</si>
  <si>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</si>
  <si>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</si>
  <si>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</si>
  <si>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</si>
  <si>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</si>
  <si>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</si>
  <si>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</si>
  <si>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</si>
  <si>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</si>
  <si>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</si>
  <si>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</si>
  <si>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</si>
  <si>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</si>
  <si>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</si>
  <si>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</si>
  <si>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</si>
  <si>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</si>
  <si>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</si>
  <si>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</si>
  <si>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</si>
  <si>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</si>
  <si>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</si>
  <si>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</si>
  <si>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</si>
  <si>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</si>
  <si>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</si>
  <si>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</si>
  <si>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</si>
  <si>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</si>
  <si>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</si>
  <si>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</si>
  <si>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</si>
  <si>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</si>
  <si>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</si>
  <si>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</si>
  <si>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</si>
  <si>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</si>
  <si>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</si>
  <si>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</si>
  <si>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</si>
  <si>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</si>
  <si>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</si>
  <si>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</si>
  <si>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</si>
  <si>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</si>
  <si>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</si>
  <si>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</si>
  <si>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</si>
  <si>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</si>
  <si>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</si>
  <si>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</si>
  <si>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</si>
  <si>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</si>
  <si>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</si>
  <si>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</si>
  <si>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</si>
  <si>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</si>
  <si>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</si>
  <si>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</si>
  <si>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</si>
  <si>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</si>
  <si>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</si>
  <si>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</si>
  <si>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</si>
  <si>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</si>
  <si>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</si>
  <si>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</si>
  <si>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</si>
  <si>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</si>
  <si>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</si>
  <si>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</si>
  <si>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</si>
  <si>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</si>
  <si>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</si>
  <si>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</si>
  <si>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</si>
  <si>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</si>
  <si>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</si>
  <si>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</si>
  <si>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</si>
  <si>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</si>
  <si>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</si>
  <si>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</si>
  <si>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</si>
  <si>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</si>
  <si>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</si>
  <si>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</si>
  <si>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</si>
  <si>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</si>
  <si>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</si>
  <si>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</si>
  <si>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</si>
  <si>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</si>
  <si>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</si>
  <si>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</si>
  <si>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</si>
  <si>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</si>
  <si>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</si>
  <si>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</si>
  <si>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</si>
  <si>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</si>
  <si>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</si>
  <si>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</si>
  <si>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</si>
  <si>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</si>
  <si>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</si>
  <si>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</si>
  <si>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</si>
  <si>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</si>
  <si>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</si>
  <si>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</si>
  <si>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</si>
  <si>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</si>
  <si>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</si>
  <si>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</si>
  <si>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</si>
  <si>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</si>
  <si>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</si>
  <si>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</si>
  <si>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</si>
  <si>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</si>
  <si>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</si>
  <si>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</si>
  <si>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</si>
  <si>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</si>
  <si>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</si>
  <si>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</si>
  <si>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</si>
  <si>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</si>
  <si>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</si>
  <si>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</si>
  <si>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</si>
  <si>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</si>
  <si>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</si>
  <si>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</si>
  <si>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</si>
  <si>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</si>
  <si>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</si>
  <si>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</si>
  <si>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</si>
  <si>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</si>
  <si>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</si>
  <si>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</si>
  <si>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</si>
  <si>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</si>
  <si>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</si>
  <si>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</si>
  <si>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</si>
  <si>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</si>
  <si>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</si>
  <si>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</si>
  <si>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</si>
  <si>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</si>
  <si>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</si>
  <si>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</si>
  <si>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</si>
  <si>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</si>
  <si>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</si>
  <si>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</si>
  <si>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</si>
  <si>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</si>
  <si>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</si>
  <si>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</si>
  <si>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</si>
  <si>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</si>
  <si>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</si>
  <si>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</si>
  <si>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</si>
  <si>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</si>
  <si>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</si>
  <si>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</si>
  <si>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</si>
  <si>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</si>
  <si>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</si>
  <si>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</si>
  <si>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</si>
  <si>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</si>
  <si>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</si>
  <si>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</si>
  <si>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</si>
  <si>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</si>
  <si>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</si>
  <si>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</si>
  <si>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</si>
  <si>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</si>
  <si>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</si>
  <si>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</si>
  <si>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</si>
  <si>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</si>
  <si>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</si>
  <si>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</si>
  <si>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</si>
  <si>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</si>
  <si>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</si>
  <si>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</si>
  <si>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</si>
  <si>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</si>
  <si>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</si>
  <si>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</si>
  <si>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</si>
  <si>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</si>
  <si>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</si>
  <si>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</si>
  <si>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</si>
  <si>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</si>
  <si>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</si>
  <si>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</si>
  <si>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</si>
  <si>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</si>
  <si>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</si>
  <si>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</si>
  <si>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</si>
  <si>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</si>
  <si>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</si>
  <si>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</si>
  <si>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</si>
  <si>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</si>
  <si>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</si>
  <si>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</si>
  <si>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</si>
  <si>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</si>
  <si>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</si>
  <si>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</si>
  <si>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</si>
  <si>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</si>
  <si>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</si>
  <si>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</si>
  <si>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</si>
  <si>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</si>
  <si>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</si>
  <si>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</si>
  <si>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</si>
  <si>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</si>
  <si>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</si>
  <si>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</si>
  <si>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</si>
  <si>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</si>
  <si>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</si>
  <si>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</si>
  <si>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</si>
  <si>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</si>
  <si>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</si>
  <si>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</si>
  <si>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</si>
  <si>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</si>
  <si>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</si>
  <si>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</si>
  <si>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</si>
  <si>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</si>
  <si>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</si>
  <si>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</si>
  <si>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</si>
  <si>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</si>
  <si>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</si>
  <si>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</si>
  <si>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</si>
  <si>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</si>
  <si>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</si>
  <si>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</si>
  <si>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</si>
  <si>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</si>
  <si>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</si>
  <si>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</si>
  <si>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</si>
  <si>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</si>
  <si>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</si>
  <si>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</si>
  <si>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</si>
  <si>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</si>
  <si>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</si>
  <si>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</si>
  <si>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</si>
  <si>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</si>
  <si>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</si>
  <si>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</si>
  <si>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</si>
  <si>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</si>
  <si>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</si>
  <si>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</si>
  <si>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</si>
  <si>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</si>
  <si>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</si>
  <si>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</si>
  <si>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</si>
  <si>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</si>
  <si>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</si>
  <si>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</si>
  <si>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</si>
  <si>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</si>
  <si>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</si>
  <si>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</si>
  <si>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</si>
  <si>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</si>
  <si>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</si>
  <si>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</si>
  <si>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</si>
  <si>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</si>
  <si>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</si>
  <si>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</si>
  <si>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</si>
  <si>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</si>
  <si>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Undimensioned and Unseen</t>
  </si>
  <si>
    <t>UAU</t>
  </si>
  <si>
    <t>"If it bleeds..."</t>
  </si>
  <si>
    <t>Springfield M1903</t>
  </si>
  <si>
    <t>Hand x 2</t>
  </si>
  <si>
    <t>Inquiring Mind</t>
  </si>
  <si>
    <t>Expose Weakness</t>
  </si>
  <si>
    <t>Quick Thinking</t>
  </si>
  <si>
    <t>Lucky Dice</t>
  </si>
  <si>
    <t>Innate. Developed.</t>
  </si>
  <si>
    <t>Alyssa Graham</t>
  </si>
  <si>
    <t>Speaker to the Dead</t>
  </si>
  <si>
    <t>Dark Horse</t>
  </si>
  <si>
    <t>Condition.</t>
  </si>
  <si>
    <t>Rampaging Creatures</t>
  </si>
  <si>
    <t>Biding Its Time</t>
  </si>
  <si>
    <t>Horrors Unleashed</t>
  </si>
  <si>
    <t>Saracenic Script</t>
  </si>
  <si>
    <t>They Must Be Destroyed!</t>
  </si>
  <si>
    <t>Dunwich Village</t>
  </si>
  <si>
    <t>Cold Spring Glen</t>
  </si>
  <si>
    <t>Ten-Acre Meadow</t>
  </si>
  <si>
    <t>Blasted Heath</t>
  </si>
  <si>
    <t>Whateley Ruins</t>
  </si>
  <si>
    <t>Devil's Hop Yard</t>
  </si>
  <si>
    <t>Esoteric Formula</t>
  </si>
  <si>
    <t>Brood of Yog-Sothoth</t>
  </si>
  <si>
    <t>Towering Beasts</t>
  </si>
  <si>
    <t>Ruin and Destruction</t>
  </si>
  <si>
    <t>Attracting Attention</t>
  </si>
  <si>
    <t>The Creatures' Tracks</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</si>
  <si>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</si>
  <si>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Forced - At the end of the enemy phase: Move each Brood of Yog-Sothoth enemy once toward a random location.</t>
  </si>
  <si>
    <t>Each Abomination enemy gets +1 fight and +1 evade._x000D_
Forced - At the end of the enemy phase: Move each Brood of Yog-Sothoth enemy once toward a random location.</t>
  </si>
  <si>
    <t>Objective - Only investigators at Whateley Ruins may spend the requisite number of clues, as a group, to advance.</t>
  </si>
  <si>
    <t>Objective - Defeat as many Brood of Yog-Sothoth enemies as you can. If there are no copies of Brood of Yog-Sothoth in play or set aside, advance.</t>
  </si>
  <si>
    <t>η:Resign You hide from the rampaging creatures._x000D_
[free]: You borrow some hounds to track the creatures by scent. An investigator in Dunwich Village may place 1 of his or her clues on any Abomination enemy in play. (Group limit once per game).</t>
  </si>
  <si>
    <t>η:Resign You hide from the rampaging creatures._x000D_
η: Move a Brood of Yog-Sothoth enemy once toward Dunwich Village.</t>
  </si>
  <si>
    <t>Each enemy in Cold Spring Glen gets -1 evade._x000D_
[free]: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</si>
  <si>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</si>
  <si>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[free]: You lure the monster into the rain. Place 1 clue from the token bank on an Abomination enemy in Ten-Acre Meadow. At the end of the round, remove 1 clue from that enemy. (Group limit once per game).</t>
  </si>
  <si>
    <t>[free]: You set a bait using a live animal. Each investigator in Ten-Acre Meadow may place 1 of his or her clues on an Abomination enemy in Ten-Acre Meadow. (Group limit once per game).</t>
  </si>
  <si>
    <t>[free]: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</si>
  <si>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</si>
  <si>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[free]: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</si>
  <si>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</si>
  <si>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[free]: You lure the creature into the thick fog. An investigator in Devil's Hop Yard may place up to 2 of his or her clues on an Abomination enemy in Devil's Hop Yard. (Group limit once per game).</t>
  </si>
  <si>
    <t>[free]: The creature follows you into the mud. Each investigator in Devil's Hop Yard may place 1 of his or her clues on an Abomination enemy in Devil's Hop Yard. (Group limit once per game).</t>
  </si>
  <si>
    <t>Hard / Expert</t>
  </si>
  <si>
    <t>Shuffle the encounter discard pile into the encounter deck._x000D_
Spawn 1 of the set-aside Brood of Yog-Sothoth enemies at a random location, if able.</t>
  </si>
  <si>
    <t>An old pickup truck rolls to a stop along the weathered trails of Dunwich. The driver - Joe Osborn - calls out to you through a shattered driver-side window, the truck's engine still running. "IT's over at the Ericks' farm!" he shouts. "Done blasted their place apart. Poor Henry and Martha..."_x000D_
You ask Osborn for the location of the Ericks' homestead, and it confirms your worst fear. For that attack to have occurred recently, there must be more of the monsters on the loose.</t>
  </si>
  <si>
    <t>There is a monstrous rumbling throughout the countryside, though it is impossible to tell whether its source is the creatures you hunt or the very mountains themselves. Soon after, you find more of the creatures' tracks leading up toward the hills: a thirty-foot path of crushed underbrush and trees snapped like twigs. Exhausted from battle, and with night fast approaching, you decide to head to safety rather than follow these hellish tracks.</t>
  </si>
  <si>
    <t>As you complete the incantation, the foul creature cries out with a raucous, inhuman voice. It rumbles and cracks, the syllables of its croaking far from English. As its cry plays out, the creature shrinks upon itself, and then, with little warning, it is gone. All that remains is a foul stench and a repulsive mark that mars the vegetation where the beast once stood.</t>
  </si>
  <si>
    <t>It is always a relief to get clear of the place, and to follow the narrow road around the base of the hills and across the level country beyond till it rejoins the Aylesbury pike. Afterward one sometimes learns that one has been through Dunwich._x000D_
—H.P. Lovecraft, "The Dunwich Horror"</t>
  </si>
  <si>
    <t>Ringing the church bell may draw the monsters toward the village, if you are brave enough to face them.</t>
  </si>
  <si>
    <t>"Gawd," he gasped, "I telled 'em not ter go daown into the glen, an' I never thought nobody'd dew it with them tracks an' that smell an' the whippoorwills a-screechin' daown thar in the dark o' noonday...”_x000D_
—H.P. Lovecraft, "The Dunwich Horror"</t>
  </si>
  <si>
    <t>The thick shadows and crowded trees make these woods a good hiding place.</t>
  </si>
  <si>
    <t>The trees of the frequent forest belts seem too large, and the wild weeds, brambles, and grasses attain a luxuriance not often found in settled regions. At the same time the planted fields appear singularly few and barren..._x000D_
—H.P. Lovecraft, "The Dunwich Horror"</t>
  </si>
  <si>
    <t>The summits are too rounded and symmetrical to give a sense of comfort and naturalness, and sometimes the sky silhouettes with especial clearness the queer circles of tall stone pillars with which most of them are crowned._x000D_
—H.P. Lovecraft, "The Dunwich Horror"</t>
  </si>
  <si>
    <t>The ground here is loose and barely supports your weight.</t>
  </si>
  <si>
    <t>The summits are too rounded and symmetrical to give a sense of comfort and naturalness, and sometimes the sky silhouettes with especial clearness the queer circles of tall stone pillars with which most of them are crowned._x000D_
—H. P. Lovecraft, “The Dunwich Horror”</t>
  </si>
  <si>
    <t>A dense yellow mist, like a terrible miasma, permeates through this region. It crawls around your skin and causes your lungs to tighten.</t>
  </si>
  <si>
    <t>It was as though a house, launched by an avalanche, had slid down through the tangled growths of the almost vertical slope._x000D_
—H.P. Lovecraft, "The Dunwich Horror"</t>
  </si>
  <si>
    <t>The ancient and arcane tomes found within the Whateley Ruins hold the secrets to manipulating the monsters.</t>
  </si>
  <si>
    <t>...still others try to explain the Devil’s Hop Yard - a bleak, blasted hillside where no tree, shrub, or grass-blade will grow._x000D_
—H.P. Lovecraft, "The Dunwich Horror"</t>
  </si>
  <si>
    <t>A recent downpour has made the hop yard muddy and difficult to slog through.</t>
  </si>
  <si>
    <t>Where Doom Awaits</t>
  </si>
  <si>
    <t>WDA</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</si>
  <si>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</si>
  <si>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</si>
  <si>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Mythos</t>
  </si>
  <si>
    <t>Leadership</t>
  </si>
  <si>
    <t>"I've had worse…"</t>
  </si>
  <si>
    <t>Restorative Concoction</t>
  </si>
  <si>
    <t>Acidic Ichor</t>
  </si>
  <si>
    <t>Freezing Variant</t>
  </si>
  <si>
    <t>Joey "The Rat" Vigil</t>
  </si>
  <si>
    <t>Lookin' Out for #1</t>
  </si>
  <si>
    <t>Ace in the Hole</t>
  </si>
  <si>
    <t>Moonlight Ritual</t>
  </si>
  <si>
    <t>Spell. Insight.</t>
  </si>
  <si>
    <t>Jewel of Aureolus</t>
  </si>
  <si>
    <t>Gift of the Homunculi</t>
  </si>
  <si>
    <t>A Chance Encounter</t>
  </si>
  <si>
    <t>Stroke of Luck</t>
  </si>
  <si>
    <t>Innate. Fortune.</t>
  </si>
  <si>
    <t>Fine Clothes</t>
  </si>
  <si>
    <t>Item. Clothing.</t>
  </si>
  <si>
    <t>Moment of Respite</t>
  </si>
  <si>
    <t>Easy / Standard_x000D_
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</si>
  <si>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Hard / Expert_x000D_
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</si>
  <si>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Calling Forth the Old Ones</t>
  </si>
  <si>
    <t>The World is Altered</t>
  </si>
  <si>
    <t>Shuffle the encounter discard pile into the encounter deck.</t>
  </si>
  <si>
    <t>As you explore the paths surrounding Sentinel Hill, the chanting at the hilltop rises to a crescendo and takes an otherworldly quality, reverberating through the trees as if carried by unseen currents._x000D_
The world begins to change. The grass and trees dissolve like sugar in a cup of tea. A vast endless sky slices through the reality you see before you, and you feel drawn to it, terrified and awestruck. The arcane power becomes distorted and seeps around you, creating strange alterations in the land.</t>
  </si>
  <si>
    <t>Beckoning for Power</t>
  </si>
  <si>
    <t>The Reward for Servitude</t>
  </si>
  <si>
    <t>(→R2)</t>
  </si>
  <si>
    <t>The chanting reaches its climax, and at the summit of Sentinel Hill, a tear opens across the fabric of the sky, parting the clouds and slicing through the very air itself._x000D_
You watch as an indescribable entity - spheres, eyes, mouths, ooze - pours out of the rift. The sorcerers call its name as its form seeps into the sky, spreading forth above the earth."Ia! Ia! Yog-Sothoth! Ia! Ia! Yog-Sothoth!"_x000D_
Before their jubilant chant can continue, they are smothered by the growing mass, and are heard no more._x000D_
To your horror, the expansion of the mass does not cease.</t>
  </si>
  <si>
    <t>The Path to the Hill</t>
  </si>
  <si>
    <t>Objective - When the investigators have collected the requisite number of clues, they must immediately spend them and advance.</t>
  </si>
  <si>
    <t>A Sacrifice Made</t>
  </si>
  <si>
    <t>During your search through the wooded paths around the base of Sentinel Hill, you come across a startling sight. A herd of sheep lays dead upon the ground in a secluded clearing, their bloodied carcasses placed in a strange but careful pattern. Holding your nose against the stench of death, you step over mangled sheep on your way to the center of the odd formation._x000D_
In the center of the sheep lies the corpse of a man. A clear jewel has been firmly pressed into his forehead, caving in the front of his skull. His eyes are wide, his face contorted in a vision of fear, as if beseeching you for mercy. Though you know better, you check for a pulse. As you touch the man's skin, the jewel in his forehead dissolves, and the woods around you seem to clear.</t>
  </si>
  <si>
    <t>Ascending the Hill (v. I)</t>
  </si>
  <si>
    <t>Clues cannot be placed on non-Altered locations._x000D_
Objective - When an investigator enters Sentinel Peak, advance.</t>
  </si>
  <si>
    <t>Trip the Pattern</t>
  </si>
  <si>
    <t>Approaching the peak of Sentinel Hill, you are confronted by several citizens of Dunwich. The man in the center of their circle chants in Latin while the others bow their heads in reverence. "Seth Bishop?" you ask presumptively. The man in the center raises his gaze in response, confirming your suspicions. You plead with the man to stop this madness, but he doesn't respond. You draw forth the silver constellation pendant you'd found on Silas's body and present it to Seth. "This is all we found of your brother," you shout over the howling wind. "Is this the fate you want for yourself? For all of us?" You throw the pendant onto the ground. Staggered by the sight of it, he stumbles backwards and trips over his incantation, eyes widened. As he falls, the altar behind him splits open, and a torrent of energy pours from the stone, swirling into an open gate that swallows the man whole. You barely manage to dig your heels in and grab hold of a nearby rock to resist the pull of the gate.</t>
  </si>
  <si>
    <t>Ascending the Hill (v. II)</t>
  </si>
  <si>
    <t>Turn the Key</t>
  </si>
  <si>
    <t>Approaching the peak of Sentinel Hill, you are confronted by several citizens of Dunwich. The man in the center of their circle lets out a crazed laugh. You recognize the man - Seth Bishop - from the description given to you by the townsfolk earlier. Behind him, several other men and women bow their heads in reverence, chanting in Latin. "We've done it!" he cackles. "We've accomplished what Old Whateley and 'is git couldn't!" You watch in revulsion as his eyes glaze over and twitch, as though he were reading something invisible. "I can see now… I can finally see!" He raises his hands to the sky and the headstone of the altar behind him splits open. A torrent of energy pours out of the stone, coalescing into the form of an open gate. Seth holds onto the stone in front of him to prevent himself from being sucked into the gate, but several of the others are startled and pulled through it. You barely manage to dig your heels in and grab hold of a nearby rock in time to resist the pull of the gate. Seth rises to his feet, wearing an expression of pride.</t>
  </si>
  <si>
    <t>Ascending the Hill (v. III)</t>
  </si>
  <si>
    <t>Will the Change</t>
  </si>
  <si>
    <t>Approaching the peak of Sentinel Hill, you are confronted by several citizens of Dunwich. The man in the center of their circle is desperately trying to complete a Latin incantation. "It's not working, Seth!" one of the other men cries out. "What're we gonna do?" The man in the center stops his chant and pulls out a cobbler's knife. "The father demands a blood sacrifice," he declares, and his face twists into a crazed expression. Before you can react, he slits his left wrist with the knife, dropping to his knees in agony. The headstone of the altar behind him splits open. A torrent of energy pours out of the stone, coalescing into the form of an open gate. Seth holds onto the stone in front of him to prevent himself from being sucked into the gate, but several of the others are startled and pulled through it. You barely manage to dig your heels in and grab hold of a nearby rock in time to resist the pull of the gate. Seth rises, wounded but alive. An expression of pride spreads across his pained face.</t>
  </si>
  <si>
    <t>The Gate Opens</t>
  </si>
  <si>
    <t>Objective - Only investigators at Sentinel Peak may spend the requisite number of clues, as a group, to advance.</t>
  </si>
  <si>
    <t>Peer Into the Abyss</t>
  </si>
  <si>
    <t>You don't know how to close the swirling gate before you, and with each passing moment, the force from within it grows in strength. You fear that whatever entity the sorcerers have summoned from beyond approaches. With no time to spare, you turn to the open tome on the stone altar, desperate for answers.</t>
  </si>
  <si>
    <t>Base of the Hill</t>
  </si>
  <si>
    <t>Dunwich. Sentinel Hill.</t>
  </si>
  <si>
    <t>Base of the Hill is connected to each copy of Diverging Path._x000D_
η: Investigate. If you succeed, instead of discovering clues, put a random set-aside Diverging Path into play. (Limit once per round.)_x000D_
η: Resign. "This is more than I signed up for!"</t>
  </si>
  <si>
    <t>The long slope of Sentinel Hill rises before you, cresting in the jagged edges of Sentinel Peak.</t>
  </si>
  <si>
    <t>Ascending Path</t>
  </si>
  <si>
    <t>Ascending Path is connected to each copy of Altered Path._x000D_
η: Investigate. If you succeed, instead of discovering clues, put a random set-aside Altered Path into play. (Limit once per round.)</t>
  </si>
  <si>
    <t>When you try to follow the path leading further up Sentinel Hill, you somehow end up walking in a perpetual loop. Each time you stop to find your bearings, you find yourself back at the base of the hill again.</t>
  </si>
  <si>
    <t>Sentinel Peak</t>
  </si>
  <si>
    <t>It is here that the Whateleys used to build their hellish fires and chant their hellish rituals…_x000D_
-H.P. Lovecraft, "The Dunwich Horror"</t>
  </si>
  <si>
    <t>Forced - When an investigator at this location draws a Hex card: That investigator takes 1 damage.</t>
  </si>
  <si>
    <t>An arcane wall blocks the path further up the hill, leading towards the peak.</t>
  </si>
  <si>
    <t>Slaughtered Woods</t>
  </si>
  <si>
    <t>Dunwich. Woods.</t>
  </si>
  <si>
    <t>Forced - After you reveal Slaughtered Woods: Take 2 horror if you have no actions remaining.</t>
  </si>
  <si>
    <t>A path off the beaten trail leads deeper into the woods surrounding Sentinel Hill</t>
  </si>
  <si>
    <t>Eerie Glade</t>
  </si>
  <si>
    <t>There are no sounds here. No leaves rustle, no birds chirp, and not even the wind can be heard.</t>
  </si>
  <si>
    <t>Forced - After you reveal Eerie Glade: Discard the top 2 cards of your deck for each action you have remaining.</t>
  </si>
  <si>
    <t>Destroyed Path</t>
  </si>
  <si>
    <t>Forced - After you reveal Destroyed Path: Place 1[per investigator] doom on it._x000D_
η: Investigate. If you succeed, instead of discovering clues, remove 1 doom from Destroyed Path.</t>
  </si>
  <si>
    <t>Frozen Spring</t>
  </si>
  <si>
    <t>Forced - After you reveal Frozen Spring: Lose the remainder of your actions and immediately end your turn.</t>
  </si>
  <si>
    <t>Dimensional Gap</t>
  </si>
  <si>
    <t>Dunwich. Woods. Altered.</t>
  </si>
  <si>
    <t>Forced - After you reveal Dimensional Gap: Discard cards from the top of the encounter deck until an enemy is discarded. Spawn that enemy here (instead of its normal spawn location).</t>
  </si>
  <si>
    <t>A shiver courses up your spine as you step forth onto the path, its route touched by a bizarre arcane power.</t>
  </si>
  <si>
    <t>A Tear in the Path</t>
  </si>
  <si>
    <t>Forced - After you reveal A Tear in the Path: Take 2 damage if you have no actions remaining.</t>
  </si>
  <si>
    <t>Uprooted Woods</t>
  </si>
  <si>
    <t>Forced - After you reveal Uprooted Woods: Discard the top 5 cards of your deck if you have no actions remaining.</t>
  </si>
  <si>
    <t>Lost Memories</t>
  </si>
  <si>
    <t>No… No, this shouldn't be here! This can't he here!</t>
  </si>
  <si>
    <t>Forced - After you reveal Lost Memories: Take 1 horror for each action you have remaining.</t>
  </si>
  <si>
    <t>Seth Bishop</t>
  </si>
  <si>
    <t>Devotee of the Key</t>
  </si>
  <si>
    <t>Crazed Shoggoth</t>
  </si>
  <si>
    <t>Monster. Shoggoth.</t>
  </si>
  <si>
    <t>Rites Howled</t>
  </si>
  <si>
    <t>Spaces Between</t>
  </si>
  <si>
    <t>Hex. Hazard.</t>
  </si>
  <si>
    <t>Vortex of Time</t>
  </si>
  <si>
    <t>Only by standing firm against the darkness can we live to see the light of another day.</t>
  </si>
  <si>
    <t>Easy / Standard</t>
  </si>
  <si>
    <t>π</t>
  </si>
  <si>
    <t>0π</t>
  </si>
  <si>
    <t>aeafbc38-6263-37a4-2faf-a51e9899f154</t>
  </si>
  <si>
    <t>bc9c240e-8ce5-3125-03cc-d00ed2265f3c</t>
  </si>
  <si>
    <t>The creature’s corpse lays motionless at your feet._x000D_
It’s a small comfort, but you’ll take it.</t>
  </si>
  <si>
    <t>0ddd4332-6338-3470-3816-14e36d0acba0</t>
  </si>
  <si>
    <t>848cd99a-90a2-3c9a-2372-7a15c0c1f305</t>
  </si>
  <si>
    <t>Commit to a skill test only if there is a clue at your location.</t>
  </si>
  <si>
    <t>If we wish to learn, we must first question everything we know.</t>
  </si>
  <si>
    <t>0889a878-d572-3be1-7f40-22dd81ed9c41</t>
  </si>
  <si>
    <t>4f457cbf-7876-398d-8891-02d168d35117</t>
  </si>
  <si>
    <t>If this skill test is successful by 2 or more, after it resolves, you may immediately take an action as if it were your turn (this action does not count toward the number of actions you can take each turn).</t>
  </si>
  <si>
    <t>ddc63adf-ce89-32d4-d646-da0ed6f6a53e</t>
  </si>
  <si>
    <t>7610ae9e-804c-39e4-52f4-0a32b056a952</t>
  </si>
  <si>
    <t>Commit only to a skill test you are performing._x000D_
If you succeed by 2 or more, return Opportunist to your hand after this test instead of discarding it.</t>
  </si>
  <si>
    <t>32dcb67a-1693-3e39-577e-5681b0e3bf6c</t>
  </si>
  <si>
    <t>7132a1db-2950-3b90-53c0-ca5198f76e8b</t>
  </si>
  <si>
    <t>fea55cfd-6c1e-3bc0-c1ea-c3a7d88e66f2</t>
  </si>
  <si>
    <t>e8763459-21ad-3b9a-5b20-f2dd2aa6d61e</t>
  </si>
  <si>
    <t>If this test is successful during an evasion attempt, the evading investigator may immediately evade each other enemy engaged with him or her, and may move to a connecting location.</t>
  </si>
  <si>
    <t>ab96d62c-14e4-39c4-d955-40a6c1e9928c</t>
  </si>
  <si>
    <t>4a84c6d9-fc71-33ae-67e5-45af752d0467</t>
  </si>
  <si>
    <t>Reports of terrifying entities wreaking havoc across the countryside have caused the citizens of Dunwich to panic. Worse, the creatures seem to be invisible to the naked eye.</t>
  </si>
  <si>
    <t>a3722e93-93d8-3df2-b2bc-9f61491c501d</t>
  </si>
  <si>
    <t>Once in a while a wind, sweeping up out of Cold Spring Glen, would bring a touch of ineffable foetor to the heavy night air... But the looked-for terror did not appear. Whatever was down there in the glen was biding its time, and Armitage told his colleagues it would be suicidal to try to attack it in the dark._x000D_
—H.P. Lovecraft, "The Dunwich Horror"</t>
  </si>
  <si>
    <t>013e3d0e-9116-322d-13c2-2911ee28af1f</t>
  </si>
  <si>
    <t>It was no joke tracking down something as big as a house that one could not see, but that had all the vicious malevolence of a daemon._x000D_
—H.P. Lovecraft, "The Dunwich Horror"</t>
  </si>
  <si>
    <t>a52c3b87-a72d-3d7a-584e-b58f1acc852a</t>
  </si>
  <si>
    <t>The monsters tearing through Dunwich county are immune to traditional weapons. Only by reciting a particular incantation can the creatures be defeated. First you must search the ruins of Wilbur Whateley’s home in order to find the final sections of the otherworldly script.</t>
  </si>
  <si>
    <t>5f02f21d-10ac-334f-a5ab-e8110806a7a4</t>
  </si>
  <si>
    <t>With the formula in hand, you finally have the means to destroy the creatures wreaking havoc in Dunwich... but only if you can survive long enough.</t>
  </si>
  <si>
    <t>c1d5868b-aef1-3882-5ebc-ea834ef47bb3</t>
  </si>
  <si>
    <t>95fa8c11-b1bb-31fe-8635-f069109a05da</t>
  </si>
  <si>
    <t>801efeb6-d38d-39ca-79fd-55308253777c</t>
  </si>
  <si>
    <t>b88ffce0-0506-341a-9ccd-1f3cd44846ed</t>
  </si>
  <si>
    <t>70743e57-162c-358f-225e-1198e23f43f2</t>
  </si>
  <si>
    <t>570aa337-9cd2-3184-40c7-5c3a91dd1517</t>
  </si>
  <si>
    <t>b3481c64-4e50-302c-b557-81bab39e044b</t>
  </si>
  <si>
    <t>16e6efe0-2ed2-3d90-6ba1-6262f05231b8</t>
  </si>
  <si>
    <t>77cafa34-0d3b-366d-47e1-5614a5e7291c</t>
  </si>
  <si>
    <t>19139758-ff4e-3728-7bd9-8524b115a0e2</t>
  </si>
  <si>
    <t>133dea2e-5ded-3c05-59f7-4a7ba47256b3</t>
  </si>
  <si>
    <t>d7ff2904-e1fd-3c21-bccc-207ac14bf965</t>
  </si>
  <si>
    <t>404128bb-f298-33c3-2067-1cb06c0b32d0</t>
  </si>
  <si>
    <t>Negotium perambulans in tenebris...</t>
  </si>
  <si>
    <t>53354184-415b-37e9-cb94-e1079c75fe23</t>
  </si>
  <si>
    <t>Massive._x000D_
Brood of Yog-Sothoth gets +1[per_investigator] health and cannot be damaged or attacked except using the ability on Esoteric Formula.</t>
  </si>
  <si>
    <t>"I believe there’s a chance of putting it out of business."_x000D_
–H.P. Lovecraft, "The Dunwich Horror"</t>
  </si>
  <si>
    <t>d3945abd-28b0-38c7-5151-9d8ec792ca1c</t>
  </si>
  <si>
    <t>be3de547-6321-3638-f9fd-cc2dae5a9f14</t>
  </si>
  <si>
    <t>f2615fa2-fe0d-3801-07fb-a24b972d009a</t>
  </si>
  <si>
    <t>128a3a7a-b33f-3f6b-125b-ebcd65d22ab7</t>
  </si>
  <si>
    <t>Fast. Play after you defeat a Monster enemy._x000D_
Each investigator at your location heals horror equal to that enemy's horror value.</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</si>
  <si>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</si>
  <si>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Peril._x000D_
Revelation - Attach to a Brood of Yog-Sothoth enemy in play. If that enemy is at your location, take 1 damage._x000D_
Attached enemy gets +1 fight and +1 health.</t>
  </si>
  <si>
    <t>Surge._x000D_
Revelation - Each Brood of Yog-Sothoth enemy in play moves once toward you.</t>
  </si>
  <si>
    <t>Peril._x000D_
Revelation - You must either (choose one): Take 2 horror, or spawn a set aside Brood of Yog-Sothoth at a random location.</t>
  </si>
  <si>
    <t>Fast. Play during any [free] player window._x000D_
Choose an enemy at your location. Test έ (X), where X is that enemy's fight value. For each point you succeed by, reduce that enemy's fight value by 1 for the next attack performed against it this phase.</t>
  </si>
  <si>
    <t>You get +1 έ._x000D_
[free] Exhaust Alyssa Graham: Look at the top card of either the encounter deck or any player deck. You may then add 1 doom to Alyssa Graham to place the looked-at card on the bottom of its deck.</t>
  </si>
  <si>
    <t>Uses (3 ammo)._x000D_
η Spend 1 ammo: Fight. You get +3 ή and deal +2 damage for this attack. Cannot be used to attack enemies engaged with you.</t>
  </si>
  <si>
    <t>η Fight. This attack uses ά instead of ή. You get +2 ά for this attack for each clue on the attacked enemy. Use this ability only on an Abomination enemy.</t>
  </si>
  <si>
    <t>Limit 1 per investigator._x000D_
During the upkeep phase, you may choose to not gain resources._x000D_
While you have no resources in your resource pool, you get +1 ά, +1 έ, +1 ή, and +1 ί.</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</si>
  <si>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</si>
  <si>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Exceptional._x000D_
ιAfter you reveal a chaos token, spend 2 resources: Ignore that chaos token and reveal another one to resolve. If that token has a ζ symbol, remove Lucky Dice from the game.</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</si>
  <si>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</si>
  <si>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00351560-5d00-35f9-991c-cee41e081de5</t>
  </si>
  <si>
    <t>7c8c8a68-5331-3252-13e9-7b6f6001ad7b</t>
  </si>
  <si>
    <t>d254b566-29c6-39b7-1dad-fd4ca7767fbf</t>
  </si>
  <si>
    <t>Fast. Play when you are dealt damage and/or horror._x000D_
Cancel up to 5 damage and/or horror just dealt to you. Then, gain that many resources.</t>
  </si>
  <si>
    <t>ίάά</t>
  </si>
  <si>
    <t>4302be9e-3abe-33e3-3a1d-e938a50aa741</t>
  </si>
  <si>
    <t>33cfc081-1ed0-3c8e-1ad0-7cc2b9060f51</t>
  </si>
  <si>
    <t>8ddaab64-3e36-397f-c779-3163fc4b0a4f</t>
  </si>
  <si>
    <t>3e491307-bb92-3cbf-cec7-d84f7349cef6</t>
  </si>
  <si>
    <t>"Murph, you know full well that The Rat would snitch on anyone, at any time, for anything, truth be damned if the price was right."_x000D_
–Jason Marker, The Worlds of Arkham</t>
  </si>
  <si>
    <t>0b63b793-9228-3e85-f368-25da786550b7</t>
  </si>
  <si>
    <t>Exceptional. Fast. Play only during your turn._x000D_
You may take an additional 3 actions this turn.</t>
  </si>
  <si>
    <t>1bcd110b-817c-337c-06e7-6969c83040aa</t>
  </si>
  <si>
    <t>Remove all doom from 1 card you control.</t>
  </si>
  <si>
    <t>10e415d4-841f-33b6-2240-cac9dc445365</t>
  </si>
  <si>
    <t>If this skill test is successful, heal 1 horror (2 horror instead if it succeeds by 2 or more).</t>
  </si>
  <si>
    <t>015a2f11-fe7a-3aed-a970-76b6ee7db684</t>
  </si>
  <si>
    <t>e21e2612-face-3b06-588e-e279d33e8c23</t>
  </si>
  <si>
    <t>8b10077e-4845-3780-17dd-5efedf528247</t>
  </si>
  <si>
    <t>6daaf995-ef17-3dc1-b5a8-a8ed0c11c92e</t>
  </si>
  <si>
    <t>Reduce the difficulty of skill tests you perform during 'parley' actions by 2.</t>
  </si>
  <si>
    <t>There's nothing quite like the feel of silk against your skin.</t>
  </si>
  <si>
    <t>de0d2593-e954-38d3-a229-88d4174809c2</t>
  </si>
  <si>
    <t>Play only if there are no enemies at your location._x000D_
Heal 3 horror and draw 1 card.</t>
  </si>
  <si>
    <t>03fe08bf-2232-336d-c9b6-2eb4d6d7cbab</t>
  </si>
  <si>
    <t>a3c0d6f8-b99f-3379-18cc-dfcbd78f34e2</t>
  </si>
  <si>
    <t>As you approach Sentinel Hill, you hear ancient Latin rites bellowed across the night. The time for action has come. If you cannot stop the sorcerers in Dunwich, who knows what terrors they might unleash upon the world?</t>
  </si>
  <si>
    <t>97bdedbd-8cea-3c3a-383f-1cea0ca32897</t>
  </si>
  <si>
    <t>The Old Ones were, the Old Ones are, and the Old Ones shall be. Not in the spaces we know, but between them, They walk serene and primal, undimensioned and to us unseen. Yog-Sothoth knows the gate. Yog-Sothoth is the gate. Yog-Sothoth is the key and guardian of the gate. Past, present, future, all are one in Yog-Sothoth. He knows where the Old Ones broke through of old, and where They shall break through again. He knows where They have trod earth’s fields, and where They still tread them, and why no one can behold Them</t>
  </si>
  <si>
    <t>4c38913a-a772-3062-ab03-bf41506990d3</t>
  </si>
  <si>
    <t>A vibrant arcane energy fills the air with a bone-rattling chill. The energy swirls along the crushed trail before you, and seeps down several other paths before disappearing.</t>
  </si>
  <si>
    <t>The arcane presence masking the path further up the hill has faded. Reveal Ascending Path._x000D_
Remove all clues from each location in play.</t>
  </si>
  <si>
    <t>96aeb454-c632-3826-9434-837a14f86d71</t>
  </si>
  <si>
    <t>As you ascend the hill, the environment around you grows increasingly strange and otherworldly. The arcane energy feels even stronger here, crackling in the air and crawling on your skin.</t>
  </si>
  <si>
    <t>Remove the set-aside Seth Bishop enemy from the game.</t>
  </si>
  <si>
    <t>ee4ecf60-0175-3a53-6e3e-61aefdccc66e</t>
  </si>
  <si>
    <t>Put the set-aside Seth Bishop enemy into play at Sentinel Peak.</t>
  </si>
  <si>
    <t>dbc77522-691c-348c-78a4-a2a867140219</t>
  </si>
  <si>
    <t>Put the set-aside Seth Bishop enemy into play at Sentinel Peak, with 1[per investigator] damage on him.</t>
  </si>
  <si>
    <t>5fc311d8-66eb-39a8-9b35-4e004a67bd53</t>
  </si>
  <si>
    <t>From the ruins of the headstone on the altar at the hill’s peak, a gateway of churning vibrant energy has appeared. A force like a hurricane erupts from the gate, bending trees and pulling debris into it. The howling of the gale drowns out all other sound. Somehow, you must find a way to close the gate.</t>
  </si>
  <si>
    <t>0a0ee2c3-45e6-39d6-baab-9e1b95da27f5</t>
  </si>
  <si>
    <t>5f2ec12f-3aa8-3508-a97b-6fac4e2fb6a2</t>
  </si>
  <si>
    <t>28edb79d-36af-3c02-60bb-5364b092fa79</t>
  </si>
  <si>
    <t>8ff015b2-9c54-3500-e748-9496efb74949</t>
  </si>
  <si>
    <t>37f30f94-f621-3b6e-b8f9-9da7404504d6</t>
  </si>
  <si>
    <t>c366685d-37e4-3b81-6c4e-37797290dea1</t>
  </si>
  <si>
    <t>4bdb897e-7b25-3990-420c-8f629cd15c6b</t>
  </si>
  <si>
    <t>c7b0add2-3f51-3956-2de1-e41cdbb7bcf5</t>
  </si>
  <si>
    <t>7fd45260-1c98-3d6a-feb0-2689ff51e1c4</t>
  </si>
  <si>
    <t>25b6e5e5-a0cf-3fdb-252b-1dd2e676d2c0</t>
  </si>
  <si>
    <t>ba8e0fa8-e151-3a57-f1d0-7707cc7e8f7c</t>
  </si>
  <si>
    <t>5734f99e-a1a5-3307-c97c-449ec0f3abad</t>
  </si>
  <si>
    <t>Retaliate.</t>
  </si>
  <si>
    <t>"An' he says, says he, Mis' Corey, as haow he sot to look fer Seth's caows, frighted ez he was; an' faound 'em in the upper pasture nigh the Devil's Hop Yard in an awful shape. Haff on 'em's clean gone, an' nigh haff o' them that's left is sucked most dry o' blood, with sores on 'em…_x000D_
-H.P. Lovecraft, "The Dunwich Horror"</t>
  </si>
  <si>
    <t>d03df51a-f505-3b5b-2384-f9b2866ca302</t>
  </si>
  <si>
    <t>07d85d4c-3766-3a12-b5c9-1b06f0cae54c</t>
  </si>
  <si>
    <t>557b00ba-0fa5-3ce8-8b17-42ad93ef4171</t>
  </si>
  <si>
    <t>df5d978a-eb40-3fba-3867-7bc2d0257d53</t>
  </si>
  <si>
    <t>f2e7e825-2ff3-3b06-7b2f-0106b89748e5</t>
  </si>
  <si>
    <t>[free] Spend 1 resource: Choose an Item asset from your hand and play it (paying its cost).</t>
  </si>
  <si>
    <t>Choose an Ally asset in any player's discard pile. Put that asset into play under your control. At the end of the round, if that asset is still in play, discard it.</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</si>
  <si>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</si>
  <si>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</si>
  <si>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Revelation - Discard the top 3 cards of each investigator's deck. Each investigator at an Altered location shuffles each weakness in his or her discard pile into his or her deck.</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</si>
  <si>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</si>
  <si>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You can only include this asset in your deck by upgrading it from Strange Solution (Unidentified), and only if you have "identified the solution" in your Campaign Log._x000D_
Uses (4 supplies)._x000D_
η Spend 1 supply: Heal 2 damage from an investigator at your location.</t>
  </si>
  <si>
    <t>Revelation - Each investigator at a Sentinel Hill location tests ά (4). Each investigator who fails takes 2 damage.</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</si>
  <si>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</si>
  <si>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</si>
  <si>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ι After a α, β, γ, δ, or ζ symbol is revealed during a skill test at your location, exhaust Jewel of Aureolus: Draw 1 card or gain 2 resources.</t>
  </si>
  <si>
    <t>Commit only to a skill test you are performing._x000D_
After revealing chaos tokens for this test, you may choose to exile Stroke of Luck. If you do, this test is automatically successful (unless a ζ token was revealed).</t>
  </si>
  <si>
    <t>While Leadership is committed to a skill test being performed by another investigator, Leadership gains ά ΰ.</t>
  </si>
  <si>
    <t>XML-Symbol</t>
  </si>
  <si>
    <t>JSON-Symbol</t>
  </si>
  <si>
    <t>ChrW-Code</t>
  </si>
</sst>
</file>

<file path=xl/styles.xml><?xml version="1.0" encoding="utf-8"?>
<styleSheet xmlns="http://schemas.openxmlformats.org/spreadsheetml/2006/main">
  <fonts count="32">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scheme val="minor"/>
    </font>
    <font>
      <sz val="10"/>
      <color theme="1"/>
      <name val="TimesNewRomanLOTR"/>
      <family val="1"/>
    </font>
    <font>
      <sz val="9"/>
      <color theme="0"/>
      <name val="TimesNewRomanLOTR"/>
      <family val="1"/>
    </font>
    <font>
      <b/>
      <sz val="11"/>
      <color theme="1"/>
      <name val="Calibri"/>
      <family val="2"/>
      <scheme val="minor"/>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66">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0" fillId="0" borderId="0" xfId="0" applyFont="1"/>
    <xf numFmtId="0" fontId="20"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1"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3" fillId="0" borderId="0" xfId="0" applyFont="1" applyAlignment="1">
      <alignment horizontal="left" vertical="top" wrapText="1"/>
    </xf>
    <xf numFmtId="0" fontId="23" fillId="0" borderId="0" xfId="0" applyNumberFormat="1" applyFont="1" applyAlignment="1">
      <alignment horizontal="left" vertical="top" wrapText="1"/>
    </xf>
    <xf numFmtId="0" fontId="23" fillId="0" borderId="7" xfId="0" applyNumberFormat="1" applyFont="1" applyBorder="1" applyAlignment="1">
      <alignment horizontal="left" vertical="top" wrapText="1"/>
    </xf>
    <xf numFmtId="0" fontId="23" fillId="12" borderId="0" xfId="0" applyFont="1" applyFill="1" applyAlignment="1">
      <alignment horizontal="left" vertical="top" wrapText="1"/>
    </xf>
    <xf numFmtId="0" fontId="23" fillId="12" borderId="0" xfId="0" applyNumberFormat="1" applyFont="1" applyFill="1" applyAlignment="1">
      <alignment horizontal="left" vertical="top" wrapText="1"/>
    </xf>
    <xf numFmtId="0" fontId="23" fillId="0" borderId="0" xfId="0" applyFont="1" applyFill="1" applyAlignment="1">
      <alignment horizontal="left" vertical="top" wrapText="1"/>
    </xf>
    <xf numFmtId="0" fontId="23" fillId="8" borderId="2" xfId="0" applyFont="1" applyFill="1" applyBorder="1" applyAlignment="1">
      <alignment horizontal="left" vertical="top" wrapText="1"/>
    </xf>
    <xf numFmtId="11" fontId="23" fillId="0" borderId="0" xfId="0" applyNumberFormat="1" applyFont="1" applyAlignment="1">
      <alignment horizontal="left" vertical="top" wrapText="1"/>
    </xf>
    <xf numFmtId="0" fontId="23" fillId="0" borderId="0" xfId="0" applyNumberFormat="1" applyFont="1" applyFill="1" applyAlignment="1">
      <alignment horizontal="left" vertical="top" wrapText="1"/>
    </xf>
    <xf numFmtId="0" fontId="23" fillId="0" borderId="7" xfId="0" applyFont="1" applyBorder="1" applyAlignment="1">
      <alignment horizontal="left" vertical="top" wrapText="1"/>
    </xf>
    <xf numFmtId="0" fontId="23"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3" fillId="17" borderId="0" xfId="0" applyFont="1" applyFill="1" applyAlignment="1">
      <alignment horizontal="left" vertical="top" wrapText="1"/>
    </xf>
    <xf numFmtId="0" fontId="23" fillId="2" borderId="0" xfId="0" applyFont="1" applyFill="1" applyAlignment="1">
      <alignment horizontal="left" vertical="top" wrapText="1"/>
    </xf>
    <xf numFmtId="0" fontId="20" fillId="0" borderId="0" xfId="0" applyFont="1" applyAlignment="1">
      <alignment horizontal="left" vertical="top"/>
    </xf>
    <xf numFmtId="0" fontId="20" fillId="0" borderId="0" xfId="0" applyFont="1" applyAlignment="1">
      <alignment horizontal="left" vertical="top" wrapText="1"/>
    </xf>
    <xf numFmtId="0" fontId="22" fillId="3" borderId="0" xfId="0" applyFont="1" applyFill="1" applyAlignment="1">
      <alignment horizontal="left" textRotation="180" wrapText="1"/>
    </xf>
    <xf numFmtId="0" fontId="22" fillId="3" borderId="0" xfId="0" applyNumberFormat="1" applyFont="1" applyFill="1" applyAlignment="1">
      <alignment horizontal="left" textRotation="180" wrapText="1"/>
    </xf>
    <xf numFmtId="0" fontId="22" fillId="3" borderId="0" xfId="0" applyFont="1" applyFill="1" applyAlignment="1">
      <alignment horizontal="left" wrapText="1"/>
    </xf>
    <xf numFmtId="0" fontId="22" fillId="3" borderId="0" xfId="0" applyNumberFormat="1" applyFont="1" applyFill="1" applyAlignment="1">
      <alignment horizontal="left" wrapText="1"/>
    </xf>
    <xf numFmtId="0" fontId="22" fillId="11" borderId="0" xfId="0" applyFont="1" applyFill="1" applyAlignment="1">
      <alignment horizontal="left" wrapText="1"/>
    </xf>
    <xf numFmtId="0" fontId="22" fillId="11" borderId="0" xfId="0" applyFont="1" applyFill="1" applyAlignment="1">
      <alignment horizontal="left" textRotation="180" wrapText="1"/>
    </xf>
    <xf numFmtId="0" fontId="22" fillId="11" borderId="0" xfId="0" applyNumberFormat="1" applyFont="1" applyFill="1" applyAlignment="1">
      <alignment horizontal="left" wrapText="1"/>
    </xf>
    <xf numFmtId="0" fontId="25" fillId="15" borderId="0" xfId="0" applyFont="1" applyFill="1" applyAlignment="1">
      <alignment horizontal="left" wrapText="1"/>
    </xf>
    <xf numFmtId="0" fontId="26" fillId="0" borderId="0" xfId="0" applyFont="1" applyAlignment="1">
      <alignment horizontal="left" vertical="top"/>
    </xf>
    <xf numFmtId="0" fontId="23" fillId="2" borderId="0" xfId="0" applyNumberFormat="1" applyFont="1" applyFill="1" applyAlignment="1">
      <alignment horizontal="left" vertical="top"/>
    </xf>
    <xf numFmtId="0" fontId="23" fillId="2" borderId="0" xfId="0" applyFont="1" applyFill="1" applyAlignment="1">
      <alignment horizontal="left" vertical="top"/>
    </xf>
    <xf numFmtId="0" fontId="23" fillId="0" borderId="0" xfId="0" applyNumberFormat="1" applyFont="1" applyAlignment="1">
      <alignment horizontal="left" vertical="top"/>
    </xf>
    <xf numFmtId="0" fontId="22" fillId="3" borderId="0" xfId="0" applyNumberFormat="1" applyFont="1" applyFill="1" applyAlignment="1">
      <alignment horizontal="center" textRotation="180" wrapText="1"/>
    </xf>
    <xf numFmtId="0" fontId="22" fillId="3" borderId="2" xfId="0" applyNumberFormat="1" applyFont="1" applyFill="1" applyBorder="1" applyAlignment="1">
      <alignment horizontal="center" textRotation="180" wrapText="1"/>
    </xf>
    <xf numFmtId="0" fontId="22" fillId="3" borderId="2" xfId="0" applyFont="1" applyFill="1" applyBorder="1" applyAlignment="1">
      <alignment horizontal="center" textRotation="180" wrapText="1"/>
    </xf>
    <xf numFmtId="0" fontId="22" fillId="11" borderId="0" xfId="0" applyNumberFormat="1" applyFont="1" applyFill="1" applyAlignment="1">
      <alignment horizontal="center" textRotation="180" wrapText="1"/>
    </xf>
    <xf numFmtId="0" fontId="22" fillId="11" borderId="2" xfId="0" applyNumberFormat="1" applyFont="1" applyFill="1" applyBorder="1" applyAlignment="1">
      <alignment horizontal="center" textRotation="180" wrapText="1"/>
    </xf>
    <xf numFmtId="0" fontId="22" fillId="11" borderId="2" xfId="0" applyFont="1" applyFill="1" applyBorder="1" applyAlignment="1">
      <alignment horizontal="center" textRotation="180" wrapText="1"/>
    </xf>
    <xf numFmtId="0" fontId="23" fillId="0" borderId="0" xfId="0" applyNumberFormat="1" applyFont="1" applyAlignment="1">
      <alignment horizontal="center" vertical="top" wrapText="1"/>
    </xf>
    <xf numFmtId="0" fontId="23" fillId="9" borderId="2" xfId="0" applyNumberFormat="1" applyFont="1" applyFill="1" applyBorder="1" applyAlignment="1">
      <alignment horizontal="center" vertical="top" wrapText="1"/>
    </xf>
    <xf numFmtId="0" fontId="23" fillId="4" borderId="2" xfId="0" applyNumberFormat="1" applyFont="1" applyFill="1" applyBorder="1" applyAlignment="1">
      <alignment horizontal="center" vertical="top" wrapText="1"/>
    </xf>
    <xf numFmtId="0" fontId="23" fillId="10" borderId="2" xfId="0" applyNumberFormat="1" applyFont="1" applyFill="1" applyBorder="1" applyAlignment="1">
      <alignment horizontal="center" vertical="top" wrapText="1"/>
    </xf>
    <xf numFmtId="0" fontId="23" fillId="8" borderId="2" xfId="0" applyFont="1" applyFill="1" applyBorder="1" applyAlignment="1">
      <alignment horizontal="center" vertical="top" wrapText="1"/>
    </xf>
    <xf numFmtId="0" fontId="23" fillId="8" borderId="2" xfId="0" applyFont="1" applyFill="1" applyBorder="1" applyAlignment="1">
      <alignment horizontal="center" vertical="top"/>
    </xf>
    <xf numFmtId="0" fontId="23" fillId="7" borderId="2" xfId="0" applyFont="1" applyFill="1" applyBorder="1" applyAlignment="1">
      <alignment horizontal="center" vertical="top" wrapText="1"/>
    </xf>
    <xf numFmtId="0" fontId="24" fillId="13" borderId="2" xfId="0" applyNumberFormat="1" applyFont="1" applyFill="1" applyBorder="1" applyAlignment="1">
      <alignment horizontal="center" vertical="top" wrapText="1"/>
    </xf>
    <xf numFmtId="0" fontId="24" fillId="14" borderId="2" xfId="0" applyNumberFormat="1" applyFont="1" applyFill="1" applyBorder="1" applyAlignment="1">
      <alignment horizontal="center" vertical="top" wrapText="1"/>
    </xf>
    <xf numFmtId="0" fontId="23" fillId="6" borderId="2" xfId="0" applyNumberFormat="1" applyFont="1" applyFill="1" applyBorder="1" applyAlignment="1">
      <alignment horizontal="center" vertical="top" wrapText="1"/>
    </xf>
    <xf numFmtId="0" fontId="23" fillId="5" borderId="2" xfId="0" applyNumberFormat="1" applyFont="1" applyFill="1" applyBorder="1" applyAlignment="1">
      <alignment horizontal="center" vertical="top" wrapText="1"/>
    </xf>
    <xf numFmtId="0" fontId="23" fillId="0" borderId="0" xfId="0" applyFont="1" applyAlignment="1">
      <alignment horizontal="center" vertical="top" wrapText="1"/>
    </xf>
    <xf numFmtId="0" fontId="23" fillId="0" borderId="0" xfId="0" quotePrefix="1" applyFont="1" applyAlignment="1">
      <alignment horizontal="center" vertical="top" wrapText="1"/>
    </xf>
    <xf numFmtId="0" fontId="23" fillId="9" borderId="2" xfId="0" applyFont="1" applyFill="1" applyBorder="1" applyAlignment="1">
      <alignment horizontal="center" vertical="top" wrapText="1"/>
    </xf>
    <xf numFmtId="0" fontId="23" fillId="4" borderId="2" xfId="0" applyFont="1" applyFill="1" applyBorder="1" applyAlignment="1">
      <alignment horizontal="center" vertical="top" wrapText="1"/>
    </xf>
    <xf numFmtId="0" fontId="23" fillId="10" borderId="2" xfId="0" applyFont="1" applyFill="1" applyBorder="1" applyAlignment="1">
      <alignment horizontal="center" vertical="top" wrapText="1"/>
    </xf>
    <xf numFmtId="0" fontId="23" fillId="13" borderId="2" xfId="0" applyFont="1" applyFill="1" applyBorder="1" applyAlignment="1">
      <alignment horizontal="center" vertical="top" wrapText="1"/>
    </xf>
    <xf numFmtId="0" fontId="23" fillId="14" borderId="2" xfId="0" applyFont="1" applyFill="1" applyBorder="1" applyAlignment="1">
      <alignment horizontal="center" vertical="top" wrapText="1"/>
    </xf>
    <xf numFmtId="0" fontId="23" fillId="6" borderId="2" xfId="0" applyFont="1" applyFill="1" applyBorder="1" applyAlignment="1">
      <alignment horizontal="center" vertical="top" wrapText="1"/>
    </xf>
    <xf numFmtId="0" fontId="23" fillId="5" borderId="2" xfId="0" applyFont="1" applyFill="1" applyBorder="1" applyAlignment="1">
      <alignment horizontal="center" vertical="top" wrapText="1"/>
    </xf>
    <xf numFmtId="0" fontId="23" fillId="8" borderId="2" xfId="0" quotePrefix="1"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3" fillId="0" borderId="7" xfId="0" applyFont="1" applyBorder="1" applyAlignment="1">
      <alignment horizontal="center" vertical="top" wrapText="1"/>
    </xf>
    <xf numFmtId="0" fontId="23" fillId="9" borderId="9" xfId="0" applyFont="1" applyFill="1" applyBorder="1" applyAlignment="1">
      <alignment horizontal="center" vertical="top" wrapText="1"/>
    </xf>
    <xf numFmtId="0" fontId="23" fillId="4" borderId="9" xfId="0" applyFont="1" applyFill="1" applyBorder="1" applyAlignment="1">
      <alignment horizontal="center" vertical="top" wrapText="1"/>
    </xf>
    <xf numFmtId="0" fontId="23" fillId="10" borderId="9" xfId="0" applyFont="1" applyFill="1" applyBorder="1" applyAlignment="1">
      <alignment horizontal="center" vertical="top" wrapText="1"/>
    </xf>
    <xf numFmtId="0" fontId="23" fillId="8" borderId="9" xfId="0" applyFont="1" applyFill="1" applyBorder="1" applyAlignment="1">
      <alignment horizontal="center" vertical="top" wrapText="1"/>
    </xf>
    <xf numFmtId="0" fontId="23" fillId="7" borderId="9" xfId="0" applyFont="1" applyFill="1" applyBorder="1" applyAlignment="1">
      <alignment horizontal="center" vertical="top" wrapText="1"/>
    </xf>
    <xf numFmtId="0" fontId="24" fillId="13" borderId="9" xfId="0" applyFont="1" applyFill="1" applyBorder="1" applyAlignment="1">
      <alignment horizontal="center" vertical="top" wrapText="1"/>
    </xf>
    <xf numFmtId="0" fontId="24" fillId="14" borderId="9" xfId="0" applyFont="1" applyFill="1" applyBorder="1" applyAlignment="1">
      <alignment horizontal="center" vertical="top" wrapText="1"/>
    </xf>
    <xf numFmtId="0" fontId="23" fillId="6" borderId="9" xfId="0" applyFont="1" applyFill="1" applyBorder="1" applyAlignment="1">
      <alignment horizontal="center" vertical="top" wrapText="1"/>
    </xf>
    <xf numFmtId="0" fontId="23" fillId="5" borderId="9" xfId="0" applyFont="1" applyFill="1" applyBorder="1" applyAlignment="1">
      <alignment horizontal="center" vertical="top" wrapText="1"/>
    </xf>
    <xf numFmtId="0" fontId="23" fillId="9" borderId="8" xfId="0" applyFont="1" applyFill="1" applyBorder="1" applyAlignment="1">
      <alignment horizontal="center" vertical="top" wrapText="1"/>
    </xf>
    <xf numFmtId="0" fontId="23" fillId="4" borderId="8" xfId="0" applyFont="1" applyFill="1" applyBorder="1" applyAlignment="1">
      <alignment horizontal="center" vertical="top" wrapText="1"/>
    </xf>
    <xf numFmtId="0" fontId="23" fillId="10" borderId="8" xfId="0" applyFont="1" applyFill="1" applyBorder="1" applyAlignment="1">
      <alignment horizontal="center" vertical="top" wrapText="1"/>
    </xf>
    <xf numFmtId="0" fontId="23" fillId="8" borderId="8" xfId="0" applyFont="1" applyFill="1" applyBorder="1" applyAlignment="1">
      <alignment horizontal="center" vertical="top" wrapText="1"/>
    </xf>
    <xf numFmtId="0" fontId="23" fillId="7" borderId="8" xfId="0" applyFont="1" applyFill="1" applyBorder="1" applyAlignment="1">
      <alignment horizontal="center" vertical="top" wrapText="1"/>
    </xf>
    <xf numFmtId="0" fontId="24" fillId="13" borderId="8" xfId="0" applyFont="1" applyFill="1" applyBorder="1" applyAlignment="1">
      <alignment horizontal="center" vertical="top" wrapText="1"/>
    </xf>
    <xf numFmtId="0" fontId="24" fillId="14" borderId="8" xfId="0" applyFont="1" applyFill="1" applyBorder="1" applyAlignment="1">
      <alignment horizontal="center" vertical="top" wrapText="1"/>
    </xf>
    <xf numFmtId="0" fontId="23" fillId="6" borderId="8" xfId="0" applyFont="1" applyFill="1" applyBorder="1" applyAlignment="1">
      <alignment horizontal="center" vertical="top" wrapText="1"/>
    </xf>
    <xf numFmtId="0" fontId="23" fillId="5" borderId="8" xfId="0" applyFont="1" applyFill="1" applyBorder="1" applyAlignment="1">
      <alignment horizontal="center" vertical="top" wrapText="1"/>
    </xf>
    <xf numFmtId="0" fontId="27" fillId="0" borderId="0" xfId="0" applyNumberFormat="1" applyFont="1" applyAlignment="1">
      <alignment horizontal="center" vertical="top"/>
    </xf>
    <xf numFmtId="0" fontId="23" fillId="9" borderId="2" xfId="0" applyNumberFormat="1" applyFont="1" applyFill="1" applyBorder="1" applyAlignment="1">
      <alignment horizontal="center" vertical="top"/>
    </xf>
    <xf numFmtId="0" fontId="23" fillId="4" borderId="2" xfId="0" applyNumberFormat="1" applyFont="1" applyFill="1" applyBorder="1" applyAlignment="1">
      <alignment horizontal="center" vertical="top"/>
    </xf>
    <xf numFmtId="0" fontId="23" fillId="10" borderId="2" xfId="0" applyNumberFormat="1" applyFont="1" applyFill="1" applyBorder="1" applyAlignment="1">
      <alignment horizontal="center" vertical="top"/>
    </xf>
    <xf numFmtId="0" fontId="24" fillId="13" borderId="2" xfId="0" applyNumberFormat="1" applyFont="1" applyFill="1" applyBorder="1" applyAlignment="1">
      <alignment horizontal="center" vertical="top"/>
    </xf>
    <xf numFmtId="0" fontId="24" fillId="14" borderId="2" xfId="0" applyNumberFormat="1" applyFont="1" applyFill="1" applyBorder="1" applyAlignment="1">
      <alignment horizontal="center" vertical="top"/>
    </xf>
    <xf numFmtId="0" fontId="23" fillId="6" borderId="2" xfId="0" applyNumberFormat="1" applyFont="1" applyFill="1" applyBorder="1" applyAlignment="1">
      <alignment horizontal="center" vertical="top"/>
    </xf>
    <xf numFmtId="0" fontId="23" fillId="5" borderId="2" xfId="0" applyNumberFormat="1" applyFont="1" applyFill="1" applyBorder="1" applyAlignment="1">
      <alignment horizontal="center" vertical="top"/>
    </xf>
    <xf numFmtId="0" fontId="23" fillId="0" borderId="0" xfId="0" applyNumberFormat="1" applyFont="1" applyAlignment="1">
      <alignment horizontal="center" vertical="top"/>
    </xf>
    <xf numFmtId="0" fontId="23" fillId="18" borderId="2" xfId="0" applyFont="1" applyFill="1" applyBorder="1" applyAlignment="1">
      <alignment horizontal="center" vertical="top"/>
    </xf>
    <xf numFmtId="11" fontId="23" fillId="2" borderId="0" xfId="0" applyNumberFormat="1" applyFont="1" applyFill="1" applyAlignment="1">
      <alignment horizontal="left" vertical="top"/>
    </xf>
    <xf numFmtId="11" fontId="23" fillId="0" borderId="0" xfId="0" applyNumberFormat="1" applyFont="1" applyAlignment="1">
      <alignment horizontal="left" vertical="top"/>
    </xf>
    <xf numFmtId="0" fontId="3" fillId="0" borderId="0" xfId="0" applyNumberFormat="1" applyFont="1" applyAlignment="1"/>
    <xf numFmtId="0" fontId="2" fillId="0" borderId="0" xfId="0" applyFont="1"/>
    <xf numFmtId="0" fontId="2" fillId="0" borderId="0" xfId="0" applyFont="1" applyAlignment="1">
      <alignment horizontal="center"/>
    </xf>
    <xf numFmtId="0" fontId="29" fillId="0" borderId="0" xfId="0" applyNumberFormat="1" applyFont="1" applyAlignment="1">
      <alignment horizontal="center"/>
    </xf>
    <xf numFmtId="0" fontId="2" fillId="9"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xf>
    <xf numFmtId="0" fontId="2" fillId="7" borderId="2" xfId="0" applyFont="1" applyFill="1" applyBorder="1" applyAlignment="1">
      <alignment horizontal="center" wrapText="1"/>
    </xf>
    <xf numFmtId="0" fontId="30" fillId="13" borderId="2" xfId="0" applyNumberFormat="1" applyFont="1" applyFill="1" applyBorder="1" applyAlignment="1">
      <alignment horizontal="center"/>
    </xf>
    <xf numFmtId="0" fontId="30" fillId="14"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6" fillId="0" borderId="0" xfId="0" applyFont="1"/>
    <xf numFmtId="0" fontId="2" fillId="0" borderId="0" xfId="0" applyNumberFormat="1" applyFont="1" applyAlignment="1">
      <alignment wrapText="1"/>
    </xf>
    <xf numFmtId="0" fontId="2" fillId="0" borderId="0" xfId="0" applyFont="1" applyAlignment="1">
      <alignment wrapText="1"/>
    </xf>
    <xf numFmtId="0" fontId="2" fillId="0" borderId="0" xfId="0" applyNumberFormat="1" applyFont="1" applyAlignment="1">
      <alignment horizontal="center"/>
    </xf>
    <xf numFmtId="0" fontId="3" fillId="0" borderId="0" xfId="0" applyNumberFormat="1" applyFont="1"/>
    <xf numFmtId="0" fontId="2" fillId="0" borderId="0" xfId="0" applyNumberFormat="1" applyFont="1"/>
    <xf numFmtId="0" fontId="2" fillId="8" borderId="2" xfId="0" applyNumberFormat="1" applyFont="1" applyFill="1" applyBorder="1" applyAlignment="1">
      <alignment horizontal="center"/>
    </xf>
    <xf numFmtId="0" fontId="2" fillId="7" borderId="2" xfId="0" applyNumberFormat="1" applyFont="1" applyFill="1" applyBorder="1" applyAlignment="1">
      <alignment horizontal="center" wrapText="1"/>
    </xf>
    <xf numFmtId="0" fontId="26" fillId="0" borderId="0" xfId="0" applyNumberFormat="1" applyFont="1"/>
    <xf numFmtId="11" fontId="3" fillId="0" borderId="0" xfId="0" applyNumberFormat="1" applyFont="1"/>
    <xf numFmtId="0" fontId="23" fillId="18" borderId="2" xfId="0" applyNumberFormat="1" applyFont="1" applyFill="1" applyBorder="1" applyAlignment="1">
      <alignment horizontal="center" vertical="top"/>
    </xf>
    <xf numFmtId="0" fontId="20" fillId="0" borderId="0" xfId="0" applyNumberFormat="1" applyFont="1" applyAlignment="1">
      <alignment horizontal="left" vertical="top"/>
    </xf>
    <xf numFmtId="0" fontId="23" fillId="8" borderId="2" xfId="0" applyNumberFormat="1" applyFont="1" applyFill="1" applyBorder="1" applyAlignment="1">
      <alignment horizontal="center" vertical="top" wrapText="1"/>
    </xf>
    <xf numFmtId="0" fontId="26" fillId="0" borderId="0" xfId="0" applyNumberFormat="1" applyFont="1" applyAlignment="1">
      <alignment horizontal="left" vertical="top"/>
    </xf>
    <xf numFmtId="0" fontId="23" fillId="7" borderId="2" xfId="0" applyNumberFormat="1" applyFont="1" applyFill="1" applyBorder="1" applyAlignment="1">
      <alignment horizontal="center" vertical="top" wrapText="1"/>
    </xf>
    <xf numFmtId="0" fontId="23" fillId="0" borderId="0" xfId="0" quotePrefix="1" applyNumberFormat="1" applyFont="1" applyAlignment="1">
      <alignment horizontal="center" vertical="top" wrapText="1"/>
    </xf>
    <xf numFmtId="0" fontId="23" fillId="13" borderId="2" xfId="0" applyNumberFormat="1" applyFont="1" applyFill="1" applyBorder="1" applyAlignment="1">
      <alignment horizontal="center" vertical="top" wrapText="1"/>
    </xf>
    <xf numFmtId="0" fontId="23" fillId="14" borderId="2" xfId="0" applyNumberFormat="1" applyFont="1" applyFill="1" applyBorder="1" applyAlignment="1">
      <alignment horizontal="center" vertical="top" wrapText="1"/>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xf numFmtId="0" fontId="31" fillId="0" borderId="0" xfId="0" applyFont="1" applyAlignment="1">
      <alignment horizontal="center"/>
    </xf>
    <xf numFmtId="0" fontId="31" fillId="0" borderId="0" xfId="0" applyFont="1"/>
  </cellXfs>
  <cellStyles count="1">
    <cellStyle name="Standard" xfId="0" builtinId="0"/>
  </cellStyles>
  <dxfs count="79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2" sqref="B22"/>
    </sheetView>
  </sheetViews>
  <sheetFormatPr baseColWidth="10"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60" t="s">
        <v>3303</v>
      </c>
      <c r="H1" s="161"/>
      <c r="I1" s="161"/>
      <c r="J1" s="162"/>
      <c r="K1" s="27"/>
      <c r="L1" s="35"/>
      <c r="M1" s="23"/>
      <c r="N1" s="163" t="s">
        <v>4</v>
      </c>
      <c r="O1" s="163"/>
      <c r="P1" s="163"/>
      <c r="Q1" s="163"/>
      <c r="R1" s="163"/>
      <c r="S1" s="163"/>
      <c r="T1" s="163"/>
      <c r="U1" s="21"/>
      <c r="V1" s="163" t="s">
        <v>4079</v>
      </c>
      <c r="W1" s="163"/>
      <c r="X1" s="163"/>
      <c r="Y1" s="163"/>
      <c r="Z1" s="163"/>
      <c r="AA1" s="163"/>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5568</v>
      </c>
      <c r="B8" s="14" t="s">
        <v>5569</v>
      </c>
      <c r="C8" s="16" t="s">
        <v>2107</v>
      </c>
      <c r="E8" s="14" t="s">
        <v>5570</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5571</v>
      </c>
      <c r="B9" s="14" t="s">
        <v>5572</v>
      </c>
      <c r="C9" s="16" t="s">
        <v>2107</v>
      </c>
      <c r="E9" s="14" t="s">
        <v>5573</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5900</v>
      </c>
      <c r="B10" s="14" t="s">
        <v>5838</v>
      </c>
      <c r="C10" s="16" t="s">
        <v>2107</v>
      </c>
      <c r="E10" s="14" t="s">
        <v>5943</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A11" s="14" t="str">
        <f>getDeterministicGUID(CONCATENATE(GetNameSpace(),B11))</f>
        <v>aeafbc38-6263-37a4-2faf-a51e9899f154</v>
      </c>
      <c r="B11" s="14" t="s">
        <v>5976</v>
      </c>
      <c r="C11" s="16" t="s">
        <v>2107</v>
      </c>
      <c r="E11" s="14" t="s">
        <v>5977</v>
      </c>
      <c r="G11" s="24">
        <f>SUMIF('Card Data'!$A:$A,$A11,'Card Data'!$E:$E)</f>
        <v>57</v>
      </c>
      <c r="H11" s="24">
        <f>SUMIFS('Card Data'!$E:$E,'Card Data'!$A:$A,$A11,'Card Data'!$K:$K,"&lt;&gt;",'Card Data'!$J:$J,"&lt;&gt;Investigator")</f>
        <v>39</v>
      </c>
      <c r="I11" s="24">
        <f>SUMIFS('Card Data'!$E:$E,'Card Data'!$A:$A,$A11,'Card Data'!$K:$K,"",'Card Data'!$J:$J,"&lt;&gt;Campaign")+SUMIFS('Card Data'!$E:$E,'Card Data'!$A:$A,$A11,'Card Data'!$K:$K,"Burden")-J11</f>
        <v>15</v>
      </c>
      <c r="J11" s="24">
        <f>SUMIFS('Card Data'!$E:$E,'Card Data'!$J:$J,J$2,'Card Data'!$A:$A,$A11,'Card Data'!$AD:$AD,"&lt;&gt;*Side Quest.*")</f>
        <v>3</v>
      </c>
      <c r="K11" s="24">
        <f>COUNTIFS('Card Data'!$J:$J,K$2,'Card Data'!$A:$A,$A11,'Card Data'!$AD:$AD,"&lt;&gt;*Side Quest.*")</f>
        <v>2</v>
      </c>
      <c r="L11" s="24">
        <f>COUNTIFS('Card Data'!$J:$J,L$2,'Card Data'!$A:$A,$A11,'Card Data'!$AD:$AD,"&lt;&gt;*Side Quest.*")</f>
        <v>1</v>
      </c>
      <c r="M11" s="26"/>
      <c r="N11" s="24">
        <f>COUNTIFS('Card Data'!$J:$J,N$2,'Card Data'!$A:$A,$A11)</f>
        <v>0</v>
      </c>
      <c r="O11" s="24">
        <f>COUNTIFS('Card Data'!$J:$J,O$2,'Card Data'!$A:$A,$A11)</f>
        <v>6</v>
      </c>
      <c r="P11" s="24">
        <f>COUNTIFS('Card Data'!$J:$J,P$2,'Card Data'!$A:$A,$A11)</f>
        <v>2</v>
      </c>
      <c r="Q11" s="24">
        <f>COUNTIFS('Card Data'!$J:$J,Q$2,'Card Data'!$A:$A,$A11)</f>
        <v>4</v>
      </c>
      <c r="R11" s="24">
        <f>COUNTIFS('Card Data'!$J:$J,R$2,'Card Data'!$A:$A,$A11)</f>
        <v>1</v>
      </c>
      <c r="S11" s="24">
        <f>COUNTIFS('Card Data'!$J:$J,S$2,'Card Data'!$A:$A,$A11)</f>
        <v>12</v>
      </c>
      <c r="T11" s="24">
        <f>COUNTIFS('Card Data'!$J:$J,T$2,'Card Data'!$A:$A,$A11)</f>
        <v>4</v>
      </c>
      <c r="U11" s="26"/>
      <c r="V11" s="24">
        <f>COUNTIFS('Card Data'!$K:$K,V$2,'Card Data'!$A:$A,$A11)</f>
        <v>2</v>
      </c>
      <c r="W11" s="24">
        <f>COUNTIFS('Card Data'!$K:$K,W$2,'Card Data'!$A:$A,$A11)</f>
        <v>2</v>
      </c>
      <c r="X11" s="24">
        <f>COUNTIFS('Card Data'!$K:$K,X$2,'Card Data'!$A:$A,$A11)</f>
        <v>3</v>
      </c>
      <c r="Y11" s="24">
        <f>COUNTIFS('Card Data'!$K:$K,Y$2,'Card Data'!$A:$A,$A11)</f>
        <v>2</v>
      </c>
      <c r="Z11" s="24">
        <f>COUNTIFS('Card Data'!$K:$K,Z$2,'Card Data'!$A:$A,$A11)</f>
        <v>2</v>
      </c>
      <c r="AA11" s="24">
        <f>COUNTIFS('Card Data'!$K:$K,AA$2,'Card Data'!$A:$A,$A11)</f>
        <v>1</v>
      </c>
    </row>
    <row r="12" spans="1:27">
      <c r="A12" s="14" t="str">
        <f>getDeterministicGUID(CONCATENATE(GetNameSpace(),B12))</f>
        <v>00351560-5d00-35f9-991c-cee41e081de5</v>
      </c>
      <c r="B12" s="14" t="s">
        <v>6042</v>
      </c>
      <c r="C12" s="16" t="s">
        <v>2107</v>
      </c>
      <c r="E12" s="14" t="s">
        <v>6043</v>
      </c>
      <c r="G12" s="24">
        <f>SUMIF('Card Data'!$A:$A,$A12,'Card Data'!$E:$E)</f>
        <v>60</v>
      </c>
      <c r="H12" s="24">
        <f>SUMIFS('Card Data'!$E:$E,'Card Data'!$A:$A,$A12,'Card Data'!$K:$K,"&lt;&gt;",'Card Data'!$J:$J,"&lt;&gt;Investigator")</f>
        <v>41</v>
      </c>
      <c r="I12" s="24">
        <f>SUMIFS('Card Data'!$E:$E,'Card Data'!$A:$A,$A12,'Card Data'!$K:$K,"",'Card Data'!$J:$J,"&lt;&gt;Campaign")+SUMIFS('Card Data'!$E:$E,'Card Data'!$A:$A,$A12,'Card Data'!$K:$K,"Burden")-J12</f>
        <v>17</v>
      </c>
      <c r="J12" s="24">
        <f>SUMIFS('Card Data'!$E:$E,'Card Data'!$J:$J,J$2,'Card Data'!$A:$A,$A12,'Card Data'!$AD:$AD,"&lt;&gt;*Side Quest.*")</f>
        <v>2</v>
      </c>
      <c r="K12" s="24">
        <f>COUNTIFS('Card Data'!$J:$J,K$2,'Card Data'!$A:$A,$A12,'Card Data'!$AD:$AD,"&lt;&gt;*Side Quest.*")</f>
        <v>5</v>
      </c>
      <c r="L12" s="24">
        <f>COUNTIFS('Card Data'!$J:$J,L$2,'Card Data'!$A:$A,$A12,'Card Data'!$AD:$AD,"&lt;&gt;*Side Quest.*")</f>
        <v>1</v>
      </c>
      <c r="M12" s="26"/>
      <c r="N12" s="24">
        <f>COUNTIFS('Card Data'!$J:$J,N$2,'Card Data'!$A:$A,$A12)</f>
        <v>0</v>
      </c>
      <c r="O12" s="24">
        <f>COUNTIFS('Card Data'!$J:$J,O$2,'Card Data'!$A:$A,$A12)</f>
        <v>6</v>
      </c>
      <c r="P12" s="24">
        <f>COUNTIFS('Card Data'!$J:$J,P$2,'Card Data'!$A:$A,$A12)</f>
        <v>5</v>
      </c>
      <c r="Q12" s="24">
        <f>COUNTIFS('Card Data'!$J:$J,Q$2,'Card Data'!$A:$A,$A12)</f>
        <v>3</v>
      </c>
      <c r="R12" s="24">
        <f>COUNTIFS('Card Data'!$J:$J,R$2,'Card Data'!$A:$A,$A12)</f>
        <v>3</v>
      </c>
      <c r="S12" s="24">
        <f>COUNTIFS('Card Data'!$J:$J,S$2,'Card Data'!$A:$A,$A12)</f>
        <v>11</v>
      </c>
      <c r="T12" s="24">
        <f>COUNTIFS('Card Data'!$J:$J,T$2,'Card Data'!$A:$A,$A12)</f>
        <v>3</v>
      </c>
      <c r="U12" s="26"/>
      <c r="V12" s="24">
        <f>COUNTIFS('Card Data'!$K:$K,V$2,'Card Data'!$A:$A,$A12)</f>
        <v>2</v>
      </c>
      <c r="W12" s="24">
        <f>COUNTIFS('Card Data'!$K:$K,W$2,'Card Data'!$A:$A,$A12)</f>
        <v>3</v>
      </c>
      <c r="X12" s="24">
        <f>COUNTIFS('Card Data'!$K:$K,X$2,'Card Data'!$A:$A,$A12)</f>
        <v>2</v>
      </c>
      <c r="Y12" s="24">
        <f>COUNTIFS('Card Data'!$K:$K,Y$2,'Card Data'!$A:$A,$A12)</f>
        <v>3</v>
      </c>
      <c r="Z12" s="24">
        <f>COUNTIFS('Card Data'!$K:$K,Z$2,'Card Data'!$A:$A,$A12)</f>
        <v>2</v>
      </c>
      <c r="AA12" s="24">
        <f>COUNTIFS('Card Data'!$K:$K,AA$2,'Card Data'!$A:$A,$A12)</f>
        <v>2</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791" priority="29" operator="equal">
      <formula>"Fellowship"</formula>
    </cfRule>
    <cfRule type="cellIs" dxfId="790" priority="30" operator="equal">
      <formula>"Neutral"</formula>
    </cfRule>
    <cfRule type="cellIs" dxfId="789" priority="31" operator="equal">
      <formula>"Baggins"</formula>
    </cfRule>
    <cfRule type="cellIs" dxfId="788" priority="32" operator="equal">
      <formula>"Lore"</formula>
    </cfRule>
    <cfRule type="cellIs" dxfId="787" priority="33" operator="equal">
      <formula>"Spirit"</formula>
    </cfRule>
    <cfRule type="cellIs" dxfId="786" priority="34" operator="equal">
      <formula>"Tactics"</formula>
    </cfRule>
    <cfRule type="cellIs" dxfId="785" priority="35" operator="equal">
      <formula>"Leadership"</formula>
    </cfRule>
  </conditionalFormatting>
  <conditionalFormatting sqref="W2">
    <cfRule type="cellIs" dxfId="784" priority="22" operator="equal">
      <formula>"Fellowship"</formula>
    </cfRule>
    <cfRule type="cellIs" dxfId="783" priority="23" operator="equal">
      <formula>"Neutral"</formula>
    </cfRule>
    <cfRule type="cellIs" dxfId="782" priority="24" operator="equal">
      <formula>"Baggins"</formula>
    </cfRule>
    <cfRule type="cellIs" dxfId="781" priority="25" operator="equal">
      <formula>"Lore"</formula>
    </cfRule>
    <cfRule type="cellIs" dxfId="780" priority="26" operator="equal">
      <formula>"Spirit"</formula>
    </cfRule>
    <cfRule type="cellIs" dxfId="779" priority="27" operator="equal">
      <formula>"Tactics"</formula>
    </cfRule>
    <cfRule type="cellIs" dxfId="778" priority="28" operator="equal">
      <formula>"Leadership"</formula>
    </cfRule>
  </conditionalFormatting>
  <conditionalFormatting sqref="X2">
    <cfRule type="cellIs" dxfId="777" priority="15" operator="equal">
      <formula>"Fellowship"</formula>
    </cfRule>
    <cfRule type="cellIs" dxfId="776" priority="16" operator="equal">
      <formula>"Neutral"</formula>
    </cfRule>
    <cfRule type="cellIs" dxfId="775" priority="17" operator="equal">
      <formula>"Baggins"</formula>
    </cfRule>
    <cfRule type="cellIs" dxfId="774" priority="18" operator="equal">
      <formula>"Lore"</formula>
    </cfRule>
    <cfRule type="cellIs" dxfId="773" priority="19" operator="equal">
      <formula>"Spirit"</formula>
    </cfRule>
    <cfRule type="cellIs" dxfId="772" priority="20" operator="equal">
      <formula>"Tactics"</formula>
    </cfRule>
    <cfRule type="cellIs" dxfId="771" priority="21" operator="equal">
      <formula>"Leadership"</formula>
    </cfRule>
  </conditionalFormatting>
  <conditionalFormatting sqref="Y2:Z2">
    <cfRule type="cellIs" dxfId="770" priority="8" operator="equal">
      <formula>"Fellowship"</formula>
    </cfRule>
    <cfRule type="cellIs" dxfId="769" priority="9" operator="equal">
      <formula>"Neutral"</formula>
    </cfRule>
    <cfRule type="cellIs" dxfId="768" priority="10" operator="equal">
      <formula>"Baggins"</formula>
    </cfRule>
    <cfRule type="cellIs" dxfId="767" priority="11" operator="equal">
      <formula>"Lore"</formula>
    </cfRule>
    <cfRule type="cellIs" dxfId="766" priority="12" operator="equal">
      <formula>"Spirit"</formula>
    </cfRule>
    <cfRule type="cellIs" dxfId="765" priority="13" operator="equal">
      <formula>"Tactics"</formula>
    </cfRule>
    <cfRule type="cellIs" dxfId="764" priority="14" operator="equal">
      <formula>"Leadership"</formula>
    </cfRule>
  </conditionalFormatting>
  <conditionalFormatting sqref="AA2">
    <cfRule type="cellIs" dxfId="763" priority="1" operator="equal">
      <formula>"Fellowship"</formula>
    </cfRule>
    <cfRule type="cellIs" dxfId="762" priority="2" operator="equal">
      <formula>"Neutral"</formula>
    </cfRule>
    <cfRule type="cellIs" dxfId="761" priority="3" operator="equal">
      <formula>"Baggins"</formula>
    </cfRule>
    <cfRule type="cellIs" dxfId="760" priority="4" operator="equal">
      <formula>"Lore"</formula>
    </cfRule>
    <cfRule type="cellIs" dxfId="759" priority="5" operator="equal">
      <formula>"Spirit"</formula>
    </cfRule>
    <cfRule type="cellIs" dxfId="758" priority="6" operator="equal">
      <formula>"Tactics"</formula>
    </cfRule>
    <cfRule type="cellIs" dxfId="757" priority="7" operator="equal">
      <formula>"Leadership"</formula>
    </cfRule>
  </conditionalFormatting>
  <pageMargins left="0.7" right="0.7" top="0.75" bottom="0.75" header="0.3" footer="0.3"/>
  <pageSetup paperSize="9" orientation="portrait" horizontalDpi="4294967293" verticalDpi="1200" r:id="rId1"/>
  <legacyDrawing r:id="rId2"/>
</worksheet>
</file>

<file path=xl/worksheets/sheet2.xml><?xml version="1.0" encoding="utf-8"?>
<worksheet xmlns="http://schemas.openxmlformats.org/spreadsheetml/2006/main" xmlns:r="http://schemas.openxmlformats.org/officeDocument/2006/relationships">
  <sheetPr codeName="Sheet1"/>
  <dimension ref="A1:BP1023"/>
  <sheetViews>
    <sheetView zoomScaleNormal="100" workbookViewId="0">
      <pane xSplit="7" ySplit="1" topLeftCell="N573" activePane="bottomRight" state="frozen"/>
      <selection activeCell="E1" sqref="E1"/>
      <selection pane="topRight" activeCell="F1" sqref="F1"/>
      <selection pane="bottomLeft" activeCell="E2" sqref="E2"/>
      <selection pane="bottomRight" activeCell="B545" sqref="B545"/>
    </sheetView>
  </sheetViews>
  <sheetFormatPr baseColWidth="10"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48.285156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63.140625" style="36" customWidth="1"/>
    <col min="60" max="60" width="61.140625" style="36" customWidth="1"/>
    <col min="61" max="61" width="7.5703125" style="36" customWidth="1"/>
    <col min="62" max="62" width="13.28515625" style="36" bestFit="1" customWidth="1"/>
    <col min="63" max="16384" width="9.140625" style="36"/>
  </cols>
  <sheetData>
    <row r="1" spans="1:62" s="57" customFormat="1" ht="67.5">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60">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24">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24">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24">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24">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24">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24">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24">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24">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24">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24">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24">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24">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24">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60">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36">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60">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4.2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14.25">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48">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48">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48">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14.25">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24">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72">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36">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36">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36">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48">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24">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24">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24">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60">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24">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24">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24">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24">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ht="24">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60">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84">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96">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56">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80">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28.5">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28.5">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60">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48">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28.5">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48">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28.5">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60">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ht="24">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ht="24">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ht="24">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ht="24">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60">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24">
      <c r="A233" s="36" t="s">
        <v>4979</v>
      </c>
      <c r="B233" s="43" t="s">
        <v>5567</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72">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36">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60">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60">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ht="24">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24">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24">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24">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24">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24">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24">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36">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24">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24">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36">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ht="24">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ht="24">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ht="24">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ht="24">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ht="24">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ht="24">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60">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72">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60">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60">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60">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36">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60">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24">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7" t="s">
        <v>5833</v>
      </c>
      <c r="AF315" s="36" t="s">
        <v>5975</v>
      </c>
      <c r="AP315" s="86"/>
      <c r="AQ315" s="88"/>
      <c r="AR315" s="89"/>
      <c r="AS315" s="90"/>
      <c r="AV315" s="88"/>
      <c r="AW315" s="96"/>
      <c r="AX315" s="97"/>
      <c r="AY315" s="93"/>
      <c r="BB315" s="94"/>
    </row>
    <row r="316" spans="1:59" ht="48">
      <c r="A316" s="36" t="s">
        <v>5157</v>
      </c>
      <c r="B316" s="36" t="s">
        <v>5304</v>
      </c>
      <c r="C316" s="36" t="s">
        <v>5161</v>
      </c>
      <c r="D316" s="36">
        <v>38</v>
      </c>
      <c r="E316" s="36">
        <v>2</v>
      </c>
      <c r="G316" s="36" t="s">
        <v>5305</v>
      </c>
      <c r="J316" s="36" t="s">
        <v>28</v>
      </c>
      <c r="K316" s="36" t="s">
        <v>26</v>
      </c>
      <c r="M316" s="36" t="s">
        <v>4545</v>
      </c>
      <c r="N316" s="86"/>
      <c r="O316" s="88"/>
      <c r="P316" s="89"/>
      <c r="Q316" s="90"/>
      <c r="U316" s="88"/>
      <c r="V316" s="91"/>
      <c r="W316" s="92"/>
      <c r="X316" s="93"/>
      <c r="AA316" s="94"/>
      <c r="AD316" s="36" t="s">
        <v>5306</v>
      </c>
      <c r="AE316" s="36"/>
      <c r="AF316" s="36" t="s">
        <v>5307</v>
      </c>
      <c r="AP316" s="86"/>
      <c r="AQ316" s="88"/>
      <c r="AR316" s="89"/>
      <c r="AS316" s="90"/>
      <c r="AV316" s="88"/>
      <c r="AW316" s="96"/>
      <c r="AX316" s="97"/>
      <c r="AY316" s="93"/>
      <c r="BB316" s="94"/>
    </row>
    <row r="317" spans="1:59" ht="48">
      <c r="A317" s="36" t="s">
        <v>5157</v>
      </c>
      <c r="B317" s="36" t="s">
        <v>5308</v>
      </c>
      <c r="C317" s="36" t="s">
        <v>5161</v>
      </c>
      <c r="D317" s="36">
        <v>39</v>
      </c>
      <c r="E317" s="36">
        <v>2</v>
      </c>
      <c r="G317" s="36" t="s">
        <v>5309</v>
      </c>
      <c r="J317" s="36" t="s">
        <v>28</v>
      </c>
      <c r="K317" s="36" t="s">
        <v>26</v>
      </c>
      <c r="M317" s="36" t="s">
        <v>4545</v>
      </c>
      <c r="N317" s="86"/>
      <c r="O317" s="88"/>
      <c r="P317" s="89"/>
      <c r="Q317" s="90"/>
      <c r="U317" s="88"/>
      <c r="V317" s="91"/>
      <c r="W317" s="92"/>
      <c r="X317" s="93"/>
      <c r="AA317" s="94"/>
      <c r="AD317" s="36" t="s">
        <v>4138</v>
      </c>
      <c r="AE317" s="36"/>
      <c r="AF317" s="36" t="s">
        <v>5310</v>
      </c>
      <c r="AP317" s="86"/>
      <c r="AQ317" s="88"/>
      <c r="AR317" s="89"/>
      <c r="AS317" s="90"/>
      <c r="AV317" s="88"/>
      <c r="AW317" s="96"/>
      <c r="AX317" s="97"/>
      <c r="AY317" s="93"/>
      <c r="BB317" s="94"/>
    </row>
    <row r="318" spans="1:59" ht="24">
      <c r="A318" s="36" t="s">
        <v>5157</v>
      </c>
      <c r="B318" s="36" t="s">
        <v>5311</v>
      </c>
      <c r="C318" s="36" t="s">
        <v>5161</v>
      </c>
      <c r="D318" s="36">
        <v>40</v>
      </c>
      <c r="E318" s="36">
        <v>1</v>
      </c>
      <c r="F318" s="36" t="s">
        <v>5312</v>
      </c>
      <c r="G318" s="36" t="s">
        <v>5313</v>
      </c>
      <c r="H318" s="36" t="s">
        <v>5314</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5315</v>
      </c>
      <c r="AP318" s="86"/>
      <c r="AQ318" s="88"/>
      <c r="AR318" s="89"/>
      <c r="AS318" s="90"/>
      <c r="AV318" s="88"/>
      <c r="AW318" s="96"/>
      <c r="AX318" s="97"/>
      <c r="AY318" s="93"/>
      <c r="BB318" s="94"/>
    </row>
    <row r="319" spans="1:59" ht="72">
      <c r="A319" s="36" t="s">
        <v>5157</v>
      </c>
      <c r="B319" s="36" t="s">
        <v>5316</v>
      </c>
      <c r="C319" s="36" t="s">
        <v>5161</v>
      </c>
      <c r="D319" s="36">
        <v>41</v>
      </c>
      <c r="E319" s="36">
        <v>1</v>
      </c>
      <c r="F319" s="36" t="s">
        <v>5317</v>
      </c>
      <c r="G319" s="36" t="s">
        <v>5317</v>
      </c>
      <c r="J319" s="36" t="s">
        <v>4472</v>
      </c>
      <c r="N319" s="86"/>
      <c r="O319" s="88"/>
      <c r="P319" s="89"/>
      <c r="Q319" s="90"/>
      <c r="U319" s="88"/>
      <c r="V319" s="91"/>
      <c r="W319" s="92"/>
      <c r="X319" s="93"/>
      <c r="AA319" s="94"/>
      <c r="AE319" s="36"/>
      <c r="AF319" s="36" t="s">
        <v>5318</v>
      </c>
      <c r="AI319" s="36" t="s">
        <v>5317</v>
      </c>
      <c r="AL319" s="36" t="s">
        <v>4472</v>
      </c>
      <c r="AP319" s="86"/>
      <c r="AQ319" s="88"/>
      <c r="AR319" s="89"/>
      <c r="AS319" s="90"/>
      <c r="AV319" s="88"/>
      <c r="AW319" s="96"/>
      <c r="AX319" s="97"/>
      <c r="AY319" s="93"/>
      <c r="BB319" s="94"/>
      <c r="BG319" s="36" t="s">
        <v>5319</v>
      </c>
    </row>
    <row r="320" spans="1:59" ht="72">
      <c r="A320" s="36" t="s">
        <v>5157</v>
      </c>
      <c r="B320" s="36" t="s">
        <v>5320</v>
      </c>
      <c r="C320" s="36" t="s">
        <v>5161</v>
      </c>
      <c r="D320" s="36">
        <v>42</v>
      </c>
      <c r="E320" s="36">
        <v>1</v>
      </c>
      <c r="F320" s="36" t="s">
        <v>5317</v>
      </c>
      <c r="G320" s="36" t="s">
        <v>5321</v>
      </c>
      <c r="J320" s="36" t="s">
        <v>4473</v>
      </c>
      <c r="L320" s="36">
        <v>1</v>
      </c>
      <c r="N320" s="86"/>
      <c r="O320" s="88"/>
      <c r="P320" s="89"/>
      <c r="Q320" s="90"/>
      <c r="U320" s="88"/>
      <c r="V320" s="91"/>
      <c r="W320" s="92"/>
      <c r="X320" s="93"/>
      <c r="Z320" s="81">
        <v>7</v>
      </c>
      <c r="AA320" s="94"/>
      <c r="AE320" s="36"/>
      <c r="AI320" s="36" t="s">
        <v>5321</v>
      </c>
      <c r="AL320" s="36" t="s">
        <v>4473</v>
      </c>
      <c r="AN320" s="36">
        <v>1</v>
      </c>
      <c r="AP320" s="86"/>
      <c r="AQ320" s="88"/>
      <c r="AR320" s="89"/>
      <c r="AS320" s="90"/>
      <c r="AV320" s="88"/>
      <c r="AW320" s="96"/>
      <c r="AX320" s="97"/>
      <c r="AY320" s="93"/>
      <c r="BB320" s="94"/>
      <c r="BG320" s="36" t="s">
        <v>5322</v>
      </c>
    </row>
    <row r="321" spans="1:59" ht="36">
      <c r="A321" s="36" t="s">
        <v>5157</v>
      </c>
      <c r="B321" s="36" t="s">
        <v>5323</v>
      </c>
      <c r="C321" s="36" t="s">
        <v>5161</v>
      </c>
      <c r="D321" s="36">
        <v>43</v>
      </c>
      <c r="E321" s="36">
        <v>1</v>
      </c>
      <c r="F321" s="36" t="s">
        <v>5317</v>
      </c>
      <c r="G321" s="36" t="s">
        <v>5324</v>
      </c>
      <c r="J321" s="36" t="s">
        <v>4473</v>
      </c>
      <c r="L321" s="36">
        <v>2</v>
      </c>
      <c r="N321" s="86"/>
      <c r="O321" s="88"/>
      <c r="P321" s="89"/>
      <c r="Q321" s="90"/>
      <c r="U321" s="88"/>
      <c r="V321" s="91"/>
      <c r="W321" s="92"/>
      <c r="X321" s="93"/>
      <c r="Z321" s="81">
        <v>3</v>
      </c>
      <c r="AA321" s="94"/>
      <c r="AE321" s="36"/>
      <c r="AF321" s="36" t="s">
        <v>5325</v>
      </c>
      <c r="AI321" s="36" t="s">
        <v>5324</v>
      </c>
      <c r="AL321" s="36" t="s">
        <v>4473</v>
      </c>
      <c r="AN321" s="36">
        <v>2</v>
      </c>
      <c r="AP321" s="86"/>
      <c r="AQ321" s="88"/>
      <c r="AR321" s="89"/>
      <c r="AS321" s="90"/>
      <c r="AV321" s="88"/>
      <c r="AW321" s="96"/>
      <c r="AX321" s="97"/>
      <c r="AY321" s="93"/>
      <c r="BB321" s="94"/>
      <c r="BG321" s="36" t="s">
        <v>5326</v>
      </c>
    </row>
    <row r="322" spans="1:59" ht="60">
      <c r="A322" s="36" t="s">
        <v>5157</v>
      </c>
      <c r="B322" s="36" t="s">
        <v>5327</v>
      </c>
      <c r="C322" s="36" t="s">
        <v>5161</v>
      </c>
      <c r="D322" s="36">
        <v>44</v>
      </c>
      <c r="E322" s="36">
        <v>1</v>
      </c>
      <c r="F322" s="36" t="s">
        <v>5317</v>
      </c>
      <c r="G322" s="36" t="s">
        <v>5328</v>
      </c>
      <c r="J322" s="36" t="s">
        <v>4473</v>
      </c>
      <c r="L322" s="36">
        <v>3</v>
      </c>
      <c r="N322" s="86"/>
      <c r="O322" s="88"/>
      <c r="P322" s="89"/>
      <c r="Q322" s="90"/>
      <c r="U322" s="88"/>
      <c r="V322" s="91"/>
      <c r="W322" s="92"/>
      <c r="X322" s="93"/>
      <c r="Z322" s="81">
        <v>2</v>
      </c>
      <c r="AA322" s="94"/>
      <c r="AE322" s="36"/>
      <c r="AF322" s="36" t="s">
        <v>5329</v>
      </c>
      <c r="AI322" s="36" t="s">
        <v>5328</v>
      </c>
      <c r="AL322" s="36" t="s">
        <v>4473</v>
      </c>
      <c r="AN322" s="36">
        <v>3</v>
      </c>
      <c r="AP322" s="86"/>
      <c r="AQ322" s="88"/>
      <c r="AR322" s="89"/>
      <c r="AS322" s="90"/>
      <c r="AV322" s="88"/>
      <c r="AW322" s="96"/>
      <c r="AX322" s="97"/>
      <c r="AY322" s="93"/>
      <c r="BB322" s="94"/>
      <c r="BG322" s="36" t="s">
        <v>5330</v>
      </c>
    </row>
    <row r="323" spans="1:59" ht="24">
      <c r="A323" s="36" t="s">
        <v>5157</v>
      </c>
      <c r="B323" s="36" t="s">
        <v>5331</v>
      </c>
      <c r="C323" s="36" t="s">
        <v>5161</v>
      </c>
      <c r="D323" s="36">
        <v>45</v>
      </c>
      <c r="E323" s="36">
        <v>1</v>
      </c>
      <c r="F323" s="36" t="s">
        <v>5317</v>
      </c>
      <c r="G323" s="36" t="s">
        <v>5332</v>
      </c>
      <c r="J323" s="36" t="s">
        <v>4475</v>
      </c>
      <c r="L323" s="36">
        <v>1</v>
      </c>
      <c r="N323" s="86"/>
      <c r="O323" s="88"/>
      <c r="P323" s="89"/>
      <c r="Q323" s="90"/>
      <c r="U323" s="88"/>
      <c r="V323" s="91"/>
      <c r="W323" s="92"/>
      <c r="X323" s="93"/>
      <c r="Y323" s="79" t="s">
        <v>5550</v>
      </c>
      <c r="AA323" s="94"/>
      <c r="AE323" s="36"/>
      <c r="AI323" s="36" t="s">
        <v>5332</v>
      </c>
      <c r="AL323" s="36" t="s">
        <v>4475</v>
      </c>
      <c r="AN323" s="36">
        <v>1</v>
      </c>
      <c r="AP323" s="86"/>
      <c r="AQ323" s="88"/>
      <c r="AR323" s="89"/>
      <c r="AS323" s="90"/>
      <c r="AV323" s="88"/>
      <c r="AW323" s="96"/>
      <c r="AX323" s="97"/>
      <c r="AY323" s="93"/>
      <c r="BB323" s="94"/>
      <c r="BG323" s="36" t="s">
        <v>5333</v>
      </c>
    </row>
    <row r="324" spans="1:59" ht="72">
      <c r="A324" s="36" t="s">
        <v>5157</v>
      </c>
      <c r="B324" s="36" t="s">
        <v>5334</v>
      </c>
      <c r="C324" s="36" t="s">
        <v>5161</v>
      </c>
      <c r="D324" s="36">
        <v>46</v>
      </c>
      <c r="E324" s="36">
        <v>1</v>
      </c>
      <c r="F324" s="36" t="s">
        <v>5317</v>
      </c>
      <c r="G324" s="36" t="s">
        <v>5335</v>
      </c>
      <c r="J324" s="36" t="s">
        <v>4475</v>
      </c>
      <c r="L324" s="36">
        <v>2</v>
      </c>
      <c r="N324" s="86"/>
      <c r="O324" s="88"/>
      <c r="P324" s="89"/>
      <c r="Q324" s="90"/>
      <c r="U324" s="88"/>
      <c r="V324" s="91"/>
      <c r="W324" s="92"/>
      <c r="X324" s="93"/>
      <c r="Y324" s="79">
        <v>0</v>
      </c>
      <c r="AA324" s="94"/>
      <c r="AE324" s="36"/>
      <c r="AF324" s="36" t="s">
        <v>5336</v>
      </c>
      <c r="AI324" s="36" t="s">
        <v>5335</v>
      </c>
      <c r="AL324" s="36" t="s">
        <v>4475</v>
      </c>
      <c r="AN324" s="36">
        <v>2</v>
      </c>
      <c r="AP324" s="86"/>
      <c r="AQ324" s="88"/>
      <c r="AR324" s="89"/>
      <c r="AS324" s="90"/>
      <c r="AV324" s="88"/>
      <c r="AW324" s="96"/>
      <c r="AX324" s="97"/>
      <c r="AY324" s="93"/>
      <c r="BB324" s="94"/>
      <c r="BG324" s="36" t="s">
        <v>5337</v>
      </c>
    </row>
    <row r="325" spans="1:59" ht="24">
      <c r="A325" s="36" t="s">
        <v>5157</v>
      </c>
      <c r="B325" s="36" t="s">
        <v>5338</v>
      </c>
      <c r="C325" s="36" t="s">
        <v>5161</v>
      </c>
      <c r="D325" s="36">
        <v>47</v>
      </c>
      <c r="E325" s="36">
        <v>1</v>
      </c>
      <c r="F325" s="36" t="s">
        <v>5317</v>
      </c>
      <c r="G325" s="36" t="s">
        <v>5339</v>
      </c>
      <c r="J325" s="36" t="s">
        <v>4475</v>
      </c>
      <c r="L325" s="36">
        <v>3</v>
      </c>
      <c r="N325" s="86"/>
      <c r="O325" s="88"/>
      <c r="P325" s="89"/>
      <c r="Q325" s="90"/>
      <c r="U325" s="88"/>
      <c r="V325" s="91"/>
      <c r="W325" s="92"/>
      <c r="X325" s="93"/>
      <c r="Y325" s="79">
        <v>0</v>
      </c>
      <c r="AA325" s="94"/>
      <c r="AE325" s="36"/>
      <c r="AF325" s="36" t="s">
        <v>5340</v>
      </c>
      <c r="AI325" s="36" t="s">
        <v>5339</v>
      </c>
      <c r="AL325" s="36" t="s">
        <v>4475</v>
      </c>
      <c r="AN325" s="36">
        <v>3</v>
      </c>
      <c r="AP325" s="86"/>
      <c r="AQ325" s="88"/>
      <c r="AR325" s="89"/>
      <c r="AS325" s="90"/>
      <c r="AV325" s="88"/>
      <c r="AW325" s="96"/>
      <c r="AX325" s="97"/>
      <c r="AY325" s="93"/>
      <c r="BB325" s="94"/>
      <c r="BG325" s="36" t="s">
        <v>5341</v>
      </c>
    </row>
    <row r="326" spans="1:59" ht="24">
      <c r="A326" s="36" t="s">
        <v>5157</v>
      </c>
      <c r="B326" s="36" t="s">
        <v>5342</v>
      </c>
      <c r="C326" s="36" t="s">
        <v>5161</v>
      </c>
      <c r="D326" s="36">
        <v>48</v>
      </c>
      <c r="E326" s="36">
        <v>1</v>
      </c>
      <c r="F326" s="36" t="s">
        <v>5317</v>
      </c>
      <c r="G326" s="36" t="s">
        <v>5343</v>
      </c>
      <c r="J326" s="36" t="s">
        <v>31</v>
      </c>
      <c r="N326" s="86"/>
      <c r="O326" s="88"/>
      <c r="P326" s="89"/>
      <c r="Q326" s="90"/>
      <c r="U326" s="88"/>
      <c r="V326" s="91"/>
      <c r="W326" s="92"/>
      <c r="X326" s="93"/>
      <c r="AA326" s="94"/>
      <c r="AD326" s="36" t="s">
        <v>4096</v>
      </c>
      <c r="AE326" s="36"/>
      <c r="AI326" s="36" t="s">
        <v>5343</v>
      </c>
      <c r="AL326" s="36" t="s">
        <v>31</v>
      </c>
      <c r="AP326" s="86"/>
      <c r="AQ326" s="88"/>
      <c r="AR326" s="89"/>
      <c r="AS326" s="90"/>
      <c r="AV326" s="88"/>
      <c r="AW326" s="96"/>
      <c r="AX326" s="97"/>
      <c r="AY326" s="93">
        <v>3</v>
      </c>
      <c r="AZ326" s="79">
        <v>0</v>
      </c>
      <c r="BB326" s="94"/>
      <c r="BE326" s="36" t="s">
        <v>4096</v>
      </c>
      <c r="BG326" s="36" t="s">
        <v>5344</v>
      </c>
    </row>
    <row r="327" spans="1:59" ht="24">
      <c r="A327" s="36" t="s">
        <v>5157</v>
      </c>
      <c r="B327" s="36" t="s">
        <v>5345</v>
      </c>
      <c r="C327" s="36" t="s">
        <v>5161</v>
      </c>
      <c r="D327" s="36">
        <v>49</v>
      </c>
      <c r="E327" s="36">
        <v>1</v>
      </c>
      <c r="F327" s="36" t="s">
        <v>5317</v>
      </c>
      <c r="G327" s="36" t="s">
        <v>5346</v>
      </c>
      <c r="J327" s="36" t="s">
        <v>31</v>
      </c>
      <c r="N327" s="86"/>
      <c r="O327" s="88"/>
      <c r="P327" s="89"/>
      <c r="Q327" s="90"/>
      <c r="U327" s="88"/>
      <c r="V327" s="91"/>
      <c r="W327" s="92"/>
      <c r="X327" s="93"/>
      <c r="AA327" s="94"/>
      <c r="AD327" s="36" t="s">
        <v>4096</v>
      </c>
      <c r="AE327" s="36"/>
      <c r="AI327" s="36" t="s">
        <v>5346</v>
      </c>
      <c r="AL327" s="36" t="s">
        <v>31</v>
      </c>
      <c r="AP327" s="86"/>
      <c r="AQ327" s="88"/>
      <c r="AR327" s="89"/>
      <c r="AS327" s="90"/>
      <c r="AV327" s="88"/>
      <c r="AW327" s="96"/>
      <c r="AX327" s="97"/>
      <c r="AY327" s="93">
        <v>3</v>
      </c>
      <c r="AZ327" s="79" t="s">
        <v>5551</v>
      </c>
      <c r="BB327" s="94"/>
      <c r="BE327" s="36" t="s">
        <v>4096</v>
      </c>
      <c r="BG327" s="36" t="s">
        <v>5347</v>
      </c>
    </row>
    <row r="328" spans="1:59" ht="24">
      <c r="A328" s="36" t="s">
        <v>5157</v>
      </c>
      <c r="B328" s="36" t="s">
        <v>5348</v>
      </c>
      <c r="C328" s="36" t="s">
        <v>5161</v>
      </c>
      <c r="D328" s="36">
        <v>50</v>
      </c>
      <c r="E328" s="36">
        <v>1</v>
      </c>
      <c r="F328" s="36" t="s">
        <v>5317</v>
      </c>
      <c r="G328" s="36" t="s">
        <v>5349</v>
      </c>
      <c r="J328" s="36" t="s">
        <v>31</v>
      </c>
      <c r="N328" s="86"/>
      <c r="O328" s="88"/>
      <c r="P328" s="89"/>
      <c r="Q328" s="90"/>
      <c r="U328" s="88"/>
      <c r="V328" s="91"/>
      <c r="W328" s="92"/>
      <c r="X328" s="93"/>
      <c r="AA328" s="94"/>
      <c r="AD328" s="36" t="s">
        <v>4096</v>
      </c>
      <c r="AE328" s="36"/>
      <c r="AI328" s="36" t="s">
        <v>5349</v>
      </c>
      <c r="AL328" s="36" t="s">
        <v>31</v>
      </c>
      <c r="AP328" s="86"/>
      <c r="AQ328" s="88"/>
      <c r="AR328" s="89"/>
      <c r="AS328" s="90"/>
      <c r="AV328" s="88"/>
      <c r="AW328" s="96"/>
      <c r="AX328" s="97"/>
      <c r="AY328" s="93">
        <v>3</v>
      </c>
      <c r="AZ328" s="79" t="s">
        <v>4925</v>
      </c>
      <c r="BB328" s="94">
        <v>1</v>
      </c>
      <c r="BE328" s="36" t="s">
        <v>4096</v>
      </c>
      <c r="BG328" s="36" t="s">
        <v>5350</v>
      </c>
    </row>
    <row r="329" spans="1:59" ht="36">
      <c r="A329" s="36" t="s">
        <v>5157</v>
      </c>
      <c r="B329" s="36" t="s">
        <v>5351</v>
      </c>
      <c r="C329" s="36" t="s">
        <v>5161</v>
      </c>
      <c r="D329" s="36">
        <v>51</v>
      </c>
      <c r="E329" s="36">
        <v>1</v>
      </c>
      <c r="F329" s="36" t="s">
        <v>5317</v>
      </c>
      <c r="G329" s="36" t="s">
        <v>5352</v>
      </c>
      <c r="J329" s="36" t="s">
        <v>31</v>
      </c>
      <c r="N329" s="86"/>
      <c r="O329" s="88"/>
      <c r="P329" s="89"/>
      <c r="Q329" s="90"/>
      <c r="U329" s="88"/>
      <c r="V329" s="91"/>
      <c r="W329" s="92"/>
      <c r="X329" s="93"/>
      <c r="AA329" s="94"/>
      <c r="AD329" s="36" t="s">
        <v>4096</v>
      </c>
      <c r="AE329" s="36"/>
      <c r="AI329" s="36" t="s">
        <v>5352</v>
      </c>
      <c r="AL329" s="36" t="s">
        <v>31</v>
      </c>
      <c r="AP329" s="86"/>
      <c r="AQ329" s="88"/>
      <c r="AR329" s="89"/>
      <c r="AS329" s="90"/>
      <c r="AV329" s="88"/>
      <c r="AW329" s="96"/>
      <c r="AX329" s="97"/>
      <c r="AY329" s="93">
        <v>1</v>
      </c>
      <c r="AZ329" s="79">
        <v>2</v>
      </c>
      <c r="BB329" s="94"/>
      <c r="BE329" s="36" t="s">
        <v>4096</v>
      </c>
      <c r="BG329" s="36" t="s">
        <v>5353</v>
      </c>
    </row>
    <row r="330" spans="1:59" ht="24">
      <c r="A330" s="36" t="s">
        <v>5157</v>
      </c>
      <c r="B330" s="36" t="s">
        <v>5354</v>
      </c>
      <c r="C330" s="36" t="s">
        <v>5161</v>
      </c>
      <c r="D330" s="36">
        <v>52</v>
      </c>
      <c r="E330" s="36">
        <v>1</v>
      </c>
      <c r="F330" s="36" t="s">
        <v>5317</v>
      </c>
      <c r="G330" s="36" t="s">
        <v>5355</v>
      </c>
      <c r="J330" s="36" t="s">
        <v>31</v>
      </c>
      <c r="N330" s="86"/>
      <c r="O330" s="88"/>
      <c r="P330" s="89"/>
      <c r="Q330" s="90"/>
      <c r="U330" s="88"/>
      <c r="V330" s="91"/>
      <c r="W330" s="92"/>
      <c r="X330" s="93"/>
      <c r="AA330" s="94"/>
      <c r="AD330" s="36" t="s">
        <v>4096</v>
      </c>
      <c r="AE330" s="36"/>
      <c r="AF330" s="36" t="s">
        <v>5356</v>
      </c>
      <c r="AI330" s="36" t="s">
        <v>5355</v>
      </c>
      <c r="AL330" s="36" t="s">
        <v>31</v>
      </c>
      <c r="AP330" s="86"/>
      <c r="AQ330" s="88"/>
      <c r="AR330" s="89"/>
      <c r="AS330" s="90"/>
      <c r="AV330" s="88"/>
      <c r="AW330" s="96"/>
      <c r="AX330" s="97"/>
      <c r="AY330" s="93">
        <v>1</v>
      </c>
      <c r="AZ330" s="79" t="s">
        <v>5550</v>
      </c>
      <c r="BB330" s="94">
        <v>1</v>
      </c>
      <c r="BE330" s="36" t="s">
        <v>4096</v>
      </c>
      <c r="BG330" s="36" t="s">
        <v>5357</v>
      </c>
    </row>
    <row r="331" spans="1:59" ht="48">
      <c r="A331" s="36" t="s">
        <v>5157</v>
      </c>
      <c r="B331" s="36" t="s">
        <v>5358</v>
      </c>
      <c r="C331" s="36" t="s">
        <v>5161</v>
      </c>
      <c r="D331" s="36">
        <v>53</v>
      </c>
      <c r="E331" s="36">
        <v>1</v>
      </c>
      <c r="F331" s="36" t="s">
        <v>5317</v>
      </c>
      <c r="G331" s="36" t="s">
        <v>5554</v>
      </c>
      <c r="J331" s="36" t="s">
        <v>31</v>
      </c>
      <c r="N331" s="86"/>
      <c r="O331" s="88"/>
      <c r="P331" s="89"/>
      <c r="Q331" s="90"/>
      <c r="U331" s="88"/>
      <c r="V331" s="91"/>
      <c r="W331" s="92"/>
      <c r="X331" s="93"/>
      <c r="AA331" s="94"/>
      <c r="AD331" s="36" t="s">
        <v>4096</v>
      </c>
      <c r="AE331" s="36"/>
      <c r="AI331" s="36" t="s">
        <v>5554</v>
      </c>
      <c r="AL331" s="36" t="s">
        <v>31</v>
      </c>
      <c r="AP331" s="86"/>
      <c r="AQ331" s="88"/>
      <c r="AR331" s="89"/>
      <c r="AS331" s="90"/>
      <c r="AV331" s="88"/>
      <c r="AW331" s="96"/>
      <c r="AX331" s="97"/>
      <c r="AY331" s="93">
        <v>4</v>
      </c>
      <c r="AZ331" s="79" t="s">
        <v>4925</v>
      </c>
      <c r="BB331" s="94"/>
      <c r="BE331" s="36" t="s">
        <v>4096</v>
      </c>
      <c r="BG331" s="36" t="s">
        <v>5359</v>
      </c>
    </row>
    <row r="332" spans="1:59" ht="60">
      <c r="A332" s="36" t="s">
        <v>5157</v>
      </c>
      <c r="B332" s="36" t="s">
        <v>5360</v>
      </c>
      <c r="C332" s="36" t="s">
        <v>5161</v>
      </c>
      <c r="D332" s="36">
        <v>54</v>
      </c>
      <c r="E332" s="36">
        <v>1</v>
      </c>
      <c r="F332" s="36" t="s">
        <v>5317</v>
      </c>
      <c r="G332" s="36" t="s">
        <v>5361</v>
      </c>
      <c r="J332" s="36" t="s">
        <v>31</v>
      </c>
      <c r="N332" s="86"/>
      <c r="O332" s="88"/>
      <c r="P332" s="89"/>
      <c r="Q332" s="90"/>
      <c r="U332" s="88"/>
      <c r="V332" s="91"/>
      <c r="W332" s="92"/>
      <c r="X332" s="93"/>
      <c r="AA332" s="94"/>
      <c r="AD332" s="36" t="s">
        <v>4096</v>
      </c>
      <c r="AE332" s="36"/>
      <c r="AF332" s="36" t="s">
        <v>5362</v>
      </c>
      <c r="AI332" s="36" t="s">
        <v>5361</v>
      </c>
      <c r="AJ332" s="36" t="s">
        <v>5363</v>
      </c>
      <c r="AL332" s="36" t="s">
        <v>31</v>
      </c>
      <c r="AP332" s="86"/>
      <c r="AQ332" s="88"/>
      <c r="AR332" s="89"/>
      <c r="AS332" s="90"/>
      <c r="AV332" s="88"/>
      <c r="AW332" s="96"/>
      <c r="AX332" s="97"/>
      <c r="AY332" s="93">
        <v>2</v>
      </c>
      <c r="AZ332" s="79" t="s">
        <v>5551</v>
      </c>
      <c r="BB332" s="94">
        <v>1</v>
      </c>
      <c r="BE332" s="36" t="s">
        <v>4096</v>
      </c>
      <c r="BG332" s="36" t="s">
        <v>5364</v>
      </c>
    </row>
    <row r="333" spans="1:59" ht="24">
      <c r="A333" s="36" t="s">
        <v>5157</v>
      </c>
      <c r="B333" s="36" t="s">
        <v>5365</v>
      </c>
      <c r="C333" s="36" t="s">
        <v>5161</v>
      </c>
      <c r="D333" s="36">
        <v>55</v>
      </c>
      <c r="E333" s="36">
        <v>1</v>
      </c>
      <c r="F333" s="36" t="s">
        <v>5317</v>
      </c>
      <c r="G333" s="36" t="s">
        <v>5361</v>
      </c>
      <c r="J333" s="36" t="s">
        <v>31</v>
      </c>
      <c r="N333" s="86"/>
      <c r="O333" s="88"/>
      <c r="P333" s="89"/>
      <c r="Q333" s="90"/>
      <c r="U333" s="88"/>
      <c r="V333" s="91"/>
      <c r="W333" s="92"/>
      <c r="X333" s="93"/>
      <c r="AA333" s="94"/>
      <c r="AD333" s="36" t="s">
        <v>4096</v>
      </c>
      <c r="AE333" s="36"/>
      <c r="AF333" s="36" t="s">
        <v>5362</v>
      </c>
      <c r="AI333" s="36" t="s">
        <v>5361</v>
      </c>
      <c r="AJ333" s="36" t="s">
        <v>5366</v>
      </c>
      <c r="AL333" s="36" t="s">
        <v>31</v>
      </c>
      <c r="AP333" s="86"/>
      <c r="AQ333" s="88"/>
      <c r="AR333" s="89"/>
      <c r="AS333" s="90"/>
      <c r="AV333" s="88"/>
      <c r="AW333" s="96"/>
      <c r="AX333" s="97"/>
      <c r="AY333" s="93">
        <v>2</v>
      </c>
      <c r="AZ333" s="79">
        <v>0</v>
      </c>
      <c r="BB333" s="94"/>
      <c r="BE333" s="36" t="s">
        <v>4096</v>
      </c>
    </row>
    <row r="334" spans="1:59" ht="36">
      <c r="A334" s="36" t="s">
        <v>5157</v>
      </c>
      <c r="B334" s="36" t="s">
        <v>5367</v>
      </c>
      <c r="C334" s="36" t="s">
        <v>5161</v>
      </c>
      <c r="D334" s="36">
        <v>56</v>
      </c>
      <c r="E334" s="36">
        <v>1</v>
      </c>
      <c r="F334" s="36" t="s">
        <v>5317</v>
      </c>
      <c r="G334" s="36" t="s">
        <v>5368</v>
      </c>
      <c r="J334" s="36" t="s">
        <v>31</v>
      </c>
      <c r="N334" s="86"/>
      <c r="O334" s="88"/>
      <c r="P334" s="89"/>
      <c r="Q334" s="90"/>
      <c r="U334" s="88"/>
      <c r="V334" s="91"/>
      <c r="W334" s="92"/>
      <c r="X334" s="93"/>
      <c r="AA334" s="94"/>
      <c r="AD334" s="36" t="s">
        <v>4096</v>
      </c>
      <c r="AE334" s="36"/>
      <c r="AI334" s="36" t="s">
        <v>5368</v>
      </c>
      <c r="AL334" s="36" t="s">
        <v>31</v>
      </c>
      <c r="AP334" s="86"/>
      <c r="AQ334" s="88"/>
      <c r="AR334" s="89"/>
      <c r="AS334" s="90"/>
      <c r="AV334" s="88"/>
      <c r="AW334" s="96"/>
      <c r="AX334" s="97"/>
      <c r="AY334" s="93">
        <v>2</v>
      </c>
      <c r="AZ334" s="79" t="s">
        <v>4925</v>
      </c>
      <c r="BB334" s="94"/>
      <c r="BE334" s="36" t="s">
        <v>4096</v>
      </c>
      <c r="BG334" s="36" t="s">
        <v>5369</v>
      </c>
    </row>
    <row r="335" spans="1:59" ht="24">
      <c r="A335" s="36" t="s">
        <v>5157</v>
      </c>
      <c r="B335" s="36" t="s">
        <v>5370</v>
      </c>
      <c r="C335" s="36" t="s">
        <v>5161</v>
      </c>
      <c r="D335" s="36">
        <v>57</v>
      </c>
      <c r="E335" s="36">
        <v>1</v>
      </c>
      <c r="F335" s="36" t="s">
        <v>5317</v>
      </c>
      <c r="G335" s="36" t="s">
        <v>5371</v>
      </c>
      <c r="J335" s="36" t="s">
        <v>31</v>
      </c>
      <c r="N335" s="86"/>
      <c r="O335" s="88"/>
      <c r="P335" s="89"/>
      <c r="Q335" s="90"/>
      <c r="U335" s="88"/>
      <c r="V335" s="91"/>
      <c r="W335" s="92"/>
      <c r="X335" s="93"/>
      <c r="AA335" s="94"/>
      <c r="AD335" s="36" t="s">
        <v>4096</v>
      </c>
      <c r="AE335" s="36"/>
      <c r="AF335" s="36" t="s">
        <v>5372</v>
      </c>
      <c r="AI335" s="36" t="s">
        <v>5371</v>
      </c>
      <c r="AL335" s="36" t="s">
        <v>31</v>
      </c>
      <c r="AP335" s="86"/>
      <c r="AQ335" s="88"/>
      <c r="AR335" s="89"/>
      <c r="AS335" s="90"/>
      <c r="AV335" s="88"/>
      <c r="AW335" s="96"/>
      <c r="AX335" s="97"/>
      <c r="AY335" s="93">
        <v>5</v>
      </c>
      <c r="AZ335" s="79">
        <v>0</v>
      </c>
      <c r="BB335" s="94"/>
      <c r="BE335" s="36" t="s">
        <v>4096</v>
      </c>
      <c r="BG335" s="36" t="s">
        <v>5373</v>
      </c>
    </row>
    <row r="336" spans="1:59" ht="60">
      <c r="A336" s="36" t="s">
        <v>5157</v>
      </c>
      <c r="B336" s="36" t="s">
        <v>5374</v>
      </c>
      <c r="C336" s="36" t="s">
        <v>5161</v>
      </c>
      <c r="D336" s="36">
        <v>58</v>
      </c>
      <c r="E336" s="36">
        <v>1</v>
      </c>
      <c r="F336" s="36" t="s">
        <v>5317</v>
      </c>
      <c r="G336" s="36" t="s">
        <v>5375</v>
      </c>
      <c r="H336" s="36" t="s">
        <v>5376</v>
      </c>
      <c r="I336" s="36" t="s">
        <v>4077</v>
      </c>
      <c r="J336" s="36" t="s">
        <v>29</v>
      </c>
      <c r="N336" s="86"/>
      <c r="O336" s="88"/>
      <c r="P336" s="89"/>
      <c r="Q336" s="90">
        <v>4</v>
      </c>
      <c r="R336" s="79">
        <v>2</v>
      </c>
      <c r="T336" s="81">
        <v>7</v>
      </c>
      <c r="U336" s="88"/>
      <c r="V336" s="91">
        <v>2</v>
      </c>
      <c r="W336" s="92">
        <v>2</v>
      </c>
      <c r="X336" s="93"/>
      <c r="AA336" s="94">
        <v>2</v>
      </c>
      <c r="AD336" s="36" t="s">
        <v>5377</v>
      </c>
      <c r="AE336" s="36"/>
      <c r="AF336" s="36" t="s">
        <v>5378</v>
      </c>
      <c r="AP336" s="86"/>
      <c r="AQ336" s="88"/>
      <c r="AR336" s="89"/>
      <c r="AS336" s="90"/>
      <c r="AV336" s="88"/>
      <c r="AW336" s="96"/>
      <c r="AX336" s="97"/>
      <c r="AY336" s="93"/>
      <c r="BB336" s="94"/>
    </row>
    <row r="337" spans="1:62" ht="36">
      <c r="A337" s="36" t="s">
        <v>5157</v>
      </c>
      <c r="B337" s="36" t="s">
        <v>5379</v>
      </c>
      <c r="C337" s="36" t="s">
        <v>5161</v>
      </c>
      <c r="D337" s="36">
        <v>59</v>
      </c>
      <c r="E337" s="36">
        <v>1</v>
      </c>
      <c r="F337" s="36" t="s">
        <v>5317</v>
      </c>
      <c r="G337" s="36" t="s">
        <v>5380</v>
      </c>
      <c r="J337" s="36" t="s">
        <v>4111</v>
      </c>
      <c r="K337" s="36" t="s">
        <v>26</v>
      </c>
      <c r="N337" s="86"/>
      <c r="O337" s="88"/>
      <c r="P337" s="89"/>
      <c r="Q337" s="90"/>
      <c r="U337" s="88"/>
      <c r="V337" s="91"/>
      <c r="W337" s="92"/>
      <c r="X337" s="93"/>
      <c r="AA337" s="94"/>
      <c r="AD337" s="36" t="s">
        <v>5252</v>
      </c>
      <c r="AE337" s="36"/>
      <c r="AF337" s="36" t="s">
        <v>5381</v>
      </c>
      <c r="AP337" s="86"/>
      <c r="AQ337" s="88"/>
      <c r="AR337" s="89"/>
      <c r="AS337" s="90"/>
      <c r="AV337" s="88"/>
      <c r="AW337" s="96"/>
      <c r="AX337" s="97"/>
      <c r="AY337" s="93"/>
      <c r="BB337" s="94"/>
      <c r="BJ337" s="36" t="s">
        <v>5837</v>
      </c>
    </row>
    <row r="338" spans="1:62" ht="72">
      <c r="A338" s="36" t="s">
        <v>5157</v>
      </c>
      <c r="B338" s="36" t="s">
        <v>5382</v>
      </c>
      <c r="C338" s="36" t="s">
        <v>5161</v>
      </c>
      <c r="D338" s="36">
        <v>60</v>
      </c>
      <c r="E338" s="36">
        <v>1</v>
      </c>
      <c r="F338" s="36" t="s">
        <v>5317</v>
      </c>
      <c r="G338" s="36" t="s">
        <v>5383</v>
      </c>
      <c r="H338" s="36" t="s">
        <v>5384</v>
      </c>
      <c r="I338" s="36" t="s">
        <v>4077</v>
      </c>
      <c r="J338" s="36" t="s">
        <v>4111</v>
      </c>
      <c r="K338" s="36" t="s">
        <v>26</v>
      </c>
      <c r="N338" s="86"/>
      <c r="O338" s="88"/>
      <c r="P338" s="89"/>
      <c r="Q338" s="90"/>
      <c r="T338" s="81">
        <v>2</v>
      </c>
      <c r="U338" s="88">
        <v>2</v>
      </c>
      <c r="V338" s="91"/>
      <c r="W338" s="92"/>
      <c r="X338" s="93"/>
      <c r="AA338" s="94"/>
      <c r="AD338" s="36" t="s">
        <v>4184</v>
      </c>
      <c r="AE338" s="36"/>
      <c r="AF338" s="36" t="s">
        <v>5385</v>
      </c>
      <c r="AP338" s="86"/>
      <c r="AQ338" s="88"/>
      <c r="AR338" s="89"/>
      <c r="AS338" s="90"/>
      <c r="AV338" s="88"/>
      <c r="AW338" s="96"/>
      <c r="AX338" s="97"/>
      <c r="AY338" s="93"/>
      <c r="BB338" s="94"/>
      <c r="BJ338" s="36" t="s">
        <v>5837</v>
      </c>
    </row>
    <row r="339" spans="1:62" ht="36">
      <c r="A339" s="36" t="s">
        <v>5157</v>
      </c>
      <c r="B339" s="36" t="s">
        <v>5386</v>
      </c>
      <c r="C339" s="36" t="s">
        <v>5161</v>
      </c>
      <c r="D339" s="36">
        <v>61</v>
      </c>
      <c r="E339" s="36">
        <v>1</v>
      </c>
      <c r="F339" s="36" t="s">
        <v>5317</v>
      </c>
      <c r="G339" s="36" t="s">
        <v>5387</v>
      </c>
      <c r="H339" s="36" t="s">
        <v>5388</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5389</v>
      </c>
      <c r="AP339" s="86"/>
      <c r="AQ339" s="88"/>
      <c r="AR339" s="89"/>
      <c r="AS339" s="90"/>
      <c r="AV339" s="88"/>
      <c r="AW339" s="96"/>
      <c r="AX339" s="97"/>
      <c r="AY339" s="93"/>
      <c r="BB339" s="94"/>
    </row>
    <row r="340" spans="1:62" ht="60">
      <c r="A340" s="36" t="s">
        <v>5157</v>
      </c>
      <c r="B340" s="36" t="s">
        <v>5390</v>
      </c>
      <c r="C340" s="36" t="s">
        <v>5161</v>
      </c>
      <c r="D340" s="36">
        <v>62</v>
      </c>
      <c r="E340" s="36">
        <v>1</v>
      </c>
      <c r="F340" s="36" t="s">
        <v>5391</v>
      </c>
      <c r="G340" s="36" t="s">
        <v>5391</v>
      </c>
      <c r="J340" s="36" t="s">
        <v>4472</v>
      </c>
      <c r="N340" s="86"/>
      <c r="O340" s="88"/>
      <c r="P340" s="89"/>
      <c r="Q340" s="90"/>
      <c r="U340" s="88"/>
      <c r="V340" s="91"/>
      <c r="W340" s="92"/>
      <c r="X340" s="93"/>
      <c r="AA340" s="94"/>
      <c r="AE340" s="36"/>
      <c r="AF340" s="36" t="s">
        <v>5392</v>
      </c>
      <c r="AI340" s="36" t="s">
        <v>5391</v>
      </c>
      <c r="AL340" s="36" t="s">
        <v>4472</v>
      </c>
      <c r="AP340" s="86"/>
      <c r="AQ340" s="88"/>
      <c r="AR340" s="89"/>
      <c r="AS340" s="90"/>
      <c r="AV340" s="88"/>
      <c r="AW340" s="96"/>
      <c r="AX340" s="97"/>
      <c r="AY340" s="93"/>
      <c r="BB340" s="94"/>
      <c r="BG340" s="36" t="s">
        <v>5393</v>
      </c>
    </row>
    <row r="341" spans="1:62" ht="48">
      <c r="A341" s="36" t="s">
        <v>5157</v>
      </c>
      <c r="B341" s="36" t="s">
        <v>5394</v>
      </c>
      <c r="C341" s="36" t="s">
        <v>5161</v>
      </c>
      <c r="D341" s="36">
        <v>63</v>
      </c>
      <c r="E341" s="36">
        <v>1</v>
      </c>
      <c r="F341" s="36" t="s">
        <v>5391</v>
      </c>
      <c r="G341" s="36" t="s">
        <v>5395</v>
      </c>
      <c r="J341" s="36" t="s">
        <v>4473</v>
      </c>
      <c r="L341" s="36">
        <v>1</v>
      </c>
      <c r="N341" s="86"/>
      <c r="O341" s="88"/>
      <c r="P341" s="89"/>
      <c r="Q341" s="90"/>
      <c r="U341" s="88"/>
      <c r="V341" s="91"/>
      <c r="W341" s="92"/>
      <c r="X341" s="93"/>
      <c r="Z341" s="81">
        <v>4</v>
      </c>
      <c r="AA341" s="94"/>
      <c r="AE341" s="36"/>
      <c r="AF341" s="36" t="s">
        <v>5396</v>
      </c>
      <c r="AI341" s="36" t="s">
        <v>5555</v>
      </c>
      <c r="AL341" s="36" t="s">
        <v>4473</v>
      </c>
      <c r="AN341" s="36">
        <v>1</v>
      </c>
      <c r="AP341" s="86"/>
      <c r="AQ341" s="88"/>
      <c r="AR341" s="89"/>
      <c r="AS341" s="90"/>
      <c r="AV341" s="88"/>
      <c r="AW341" s="96"/>
      <c r="AX341" s="97"/>
      <c r="AY341" s="93"/>
      <c r="BB341" s="94"/>
      <c r="BG341" s="36" t="s">
        <v>5397</v>
      </c>
    </row>
    <row r="342" spans="1:62" ht="72">
      <c r="A342" s="36" t="s">
        <v>5157</v>
      </c>
      <c r="B342" s="36" t="s">
        <v>5398</v>
      </c>
      <c r="C342" s="36" t="s">
        <v>5161</v>
      </c>
      <c r="D342" s="36">
        <v>64</v>
      </c>
      <c r="E342" s="36">
        <v>1</v>
      </c>
      <c r="F342" s="36" t="s">
        <v>5391</v>
      </c>
      <c r="G342" s="36" t="s">
        <v>5399</v>
      </c>
      <c r="J342" s="36" t="s">
        <v>4473</v>
      </c>
      <c r="L342" s="36">
        <v>2</v>
      </c>
      <c r="N342" s="86"/>
      <c r="O342" s="88"/>
      <c r="P342" s="89"/>
      <c r="Q342" s="90"/>
      <c r="U342" s="88"/>
      <c r="V342" s="91"/>
      <c r="W342" s="92"/>
      <c r="X342" s="93"/>
      <c r="Z342" s="81">
        <v>3</v>
      </c>
      <c r="AA342" s="94"/>
      <c r="AE342" s="36"/>
      <c r="AI342" s="36" t="s">
        <v>5556</v>
      </c>
      <c r="AL342" s="36" t="s">
        <v>4473</v>
      </c>
      <c r="AN342" s="36">
        <v>2</v>
      </c>
      <c r="AP342" s="86"/>
      <c r="AQ342" s="88"/>
      <c r="AR342" s="89"/>
      <c r="AS342" s="90"/>
      <c r="AV342" s="88"/>
      <c r="AW342" s="96"/>
      <c r="AX342" s="97"/>
      <c r="AY342" s="93"/>
      <c r="BB342" s="94"/>
      <c r="BG342" s="36" t="s">
        <v>5400</v>
      </c>
    </row>
    <row r="343" spans="1:62" ht="36">
      <c r="A343" s="36" t="s">
        <v>5157</v>
      </c>
      <c r="B343" s="36" t="s">
        <v>5401</v>
      </c>
      <c r="C343" s="36" t="s">
        <v>5161</v>
      </c>
      <c r="D343" s="36">
        <v>65</v>
      </c>
      <c r="E343" s="36">
        <v>1</v>
      </c>
      <c r="F343" s="36" t="s">
        <v>5391</v>
      </c>
      <c r="G343" s="36" t="s">
        <v>5402</v>
      </c>
      <c r="J343" s="36" t="s">
        <v>4473</v>
      </c>
      <c r="L343" s="36">
        <v>3</v>
      </c>
      <c r="N343" s="86"/>
      <c r="O343" s="88"/>
      <c r="P343" s="89"/>
      <c r="Q343" s="90"/>
      <c r="U343" s="88"/>
      <c r="V343" s="91"/>
      <c r="W343" s="92"/>
      <c r="X343" s="93"/>
      <c r="Z343" s="81">
        <v>7</v>
      </c>
      <c r="AA343" s="94"/>
      <c r="AE343" s="36"/>
      <c r="AF343" s="36" t="s">
        <v>5403</v>
      </c>
      <c r="AI343" s="36" t="s">
        <v>5557</v>
      </c>
      <c r="AL343" s="36" t="s">
        <v>4473</v>
      </c>
      <c r="AN343" s="36">
        <v>3</v>
      </c>
      <c r="AP343" s="86"/>
      <c r="AQ343" s="88"/>
      <c r="AR343" s="89"/>
      <c r="AS343" s="90"/>
      <c r="AV343" s="88"/>
      <c r="AW343" s="96"/>
      <c r="AX343" s="97"/>
      <c r="AY343" s="93"/>
      <c r="BB343" s="94"/>
      <c r="BG343" s="36" t="s">
        <v>5404</v>
      </c>
    </row>
    <row r="344" spans="1:62" ht="84">
      <c r="A344" s="36" t="s">
        <v>5157</v>
      </c>
      <c r="B344" s="36" t="s">
        <v>5405</v>
      </c>
      <c r="C344" s="36" t="s">
        <v>5161</v>
      </c>
      <c r="D344" s="36">
        <v>66</v>
      </c>
      <c r="E344" s="36">
        <v>1</v>
      </c>
      <c r="F344" s="36" t="s">
        <v>5391</v>
      </c>
      <c r="G344" s="36" t="s">
        <v>5406</v>
      </c>
      <c r="J344" s="36" t="s">
        <v>4475</v>
      </c>
      <c r="L344" s="36">
        <v>1</v>
      </c>
      <c r="N344" s="86"/>
      <c r="O344" s="88"/>
      <c r="P344" s="89"/>
      <c r="Q344" s="90"/>
      <c r="U344" s="88"/>
      <c r="V344" s="91"/>
      <c r="W344" s="92"/>
      <c r="X344" s="93"/>
      <c r="Y344" s="79" t="s">
        <v>5552</v>
      </c>
      <c r="AA344" s="94"/>
      <c r="AE344" s="36"/>
      <c r="AF344" s="36" t="s">
        <v>5407</v>
      </c>
      <c r="AI344" s="36" t="s">
        <v>5558</v>
      </c>
      <c r="AL344" s="36" t="s">
        <v>4475</v>
      </c>
      <c r="AN344" s="36">
        <v>1</v>
      </c>
      <c r="AP344" s="86"/>
      <c r="AQ344" s="88"/>
      <c r="AR344" s="89"/>
      <c r="AS344" s="90"/>
      <c r="AV344" s="88"/>
      <c r="AW344" s="96"/>
      <c r="AX344" s="97"/>
      <c r="AY344" s="93"/>
      <c r="BB344" s="94"/>
      <c r="BG344" s="36" t="s">
        <v>5408</v>
      </c>
    </row>
    <row r="345" spans="1:62" ht="144">
      <c r="A345" s="36" t="s">
        <v>5157</v>
      </c>
      <c r="B345" s="36" t="s">
        <v>5409</v>
      </c>
      <c r="C345" s="36" t="s">
        <v>5161</v>
      </c>
      <c r="D345" s="36">
        <v>67</v>
      </c>
      <c r="E345" s="36">
        <v>1</v>
      </c>
      <c r="F345" s="36" t="s">
        <v>5391</v>
      </c>
      <c r="G345" s="36" t="s">
        <v>5410</v>
      </c>
      <c r="J345" s="36" t="s">
        <v>4475</v>
      </c>
      <c r="L345" s="36">
        <v>2</v>
      </c>
      <c r="N345" s="86"/>
      <c r="O345" s="88"/>
      <c r="P345" s="89"/>
      <c r="Q345" s="90"/>
      <c r="U345" s="88"/>
      <c r="V345" s="91"/>
      <c r="W345" s="92"/>
      <c r="X345" s="93"/>
      <c r="Y345" s="79" t="s">
        <v>5551</v>
      </c>
      <c r="AA345" s="94"/>
      <c r="AE345" s="36"/>
      <c r="AF345" s="36" t="s">
        <v>5411</v>
      </c>
      <c r="AI345" s="36" t="s">
        <v>5559</v>
      </c>
      <c r="AL345" s="36" t="s">
        <v>4475</v>
      </c>
      <c r="AN345" s="36">
        <v>2</v>
      </c>
      <c r="AP345" s="86"/>
      <c r="AQ345" s="88"/>
      <c r="AR345" s="89"/>
      <c r="AS345" s="90"/>
      <c r="AV345" s="88"/>
      <c r="AW345" s="96"/>
      <c r="AX345" s="97"/>
      <c r="AY345" s="93"/>
      <c r="BB345" s="94"/>
      <c r="BG345" s="36" t="s">
        <v>5412</v>
      </c>
    </row>
    <row r="346" spans="1:62" ht="84">
      <c r="A346" s="36" t="s">
        <v>5157</v>
      </c>
      <c r="B346" s="36" t="s">
        <v>5413</v>
      </c>
      <c r="C346" s="36" t="s">
        <v>5161</v>
      </c>
      <c r="D346" s="36">
        <v>68</v>
      </c>
      <c r="E346" s="36">
        <v>1</v>
      </c>
      <c r="F346" s="36" t="s">
        <v>5391</v>
      </c>
      <c r="G346" s="36" t="s">
        <v>5414</v>
      </c>
      <c r="J346" s="36" t="s">
        <v>4475</v>
      </c>
      <c r="L346" s="36">
        <v>3</v>
      </c>
      <c r="N346" s="86"/>
      <c r="O346" s="88"/>
      <c r="P346" s="89"/>
      <c r="Q346" s="90"/>
      <c r="U346" s="88"/>
      <c r="V346" s="91"/>
      <c r="W346" s="92"/>
      <c r="X346" s="93"/>
      <c r="Y346" s="79">
        <v>0</v>
      </c>
      <c r="AA346" s="94"/>
      <c r="AE346" s="36"/>
      <c r="AF346" s="36" t="s">
        <v>5415</v>
      </c>
      <c r="AI346" s="36" t="s">
        <v>5560</v>
      </c>
      <c r="AL346" s="36" t="s">
        <v>4475</v>
      </c>
      <c r="AN346" s="36">
        <v>3</v>
      </c>
      <c r="AP346" s="86"/>
      <c r="AQ346" s="88"/>
      <c r="AR346" s="89"/>
      <c r="AS346" s="90"/>
      <c r="AV346" s="88"/>
      <c r="AW346" s="96"/>
      <c r="AX346" s="97"/>
      <c r="AY346" s="93"/>
      <c r="BB346" s="94"/>
      <c r="BG346" s="36" t="s">
        <v>5416</v>
      </c>
    </row>
    <row r="347" spans="1:62" ht="84">
      <c r="A347" s="36" t="s">
        <v>5157</v>
      </c>
      <c r="B347" s="36" t="s">
        <v>5417</v>
      </c>
      <c r="C347" s="36" t="s">
        <v>5161</v>
      </c>
      <c r="D347" s="36">
        <v>69</v>
      </c>
      <c r="E347" s="36">
        <v>1</v>
      </c>
      <c r="F347" s="36" t="s">
        <v>5391</v>
      </c>
      <c r="G347" s="36" t="s">
        <v>5418</v>
      </c>
      <c r="J347" s="36" t="s">
        <v>4475</v>
      </c>
      <c r="L347" s="36">
        <v>3</v>
      </c>
      <c r="N347" s="86"/>
      <c r="O347" s="88"/>
      <c r="P347" s="89"/>
      <c r="Q347" s="90"/>
      <c r="U347" s="88"/>
      <c r="V347" s="91"/>
      <c r="W347" s="92"/>
      <c r="X347" s="93"/>
      <c r="Y347" s="79">
        <v>0</v>
      </c>
      <c r="AA347" s="94"/>
      <c r="AE347" s="36"/>
      <c r="AF347" s="36" t="s">
        <v>5419</v>
      </c>
      <c r="AI347" s="36" t="s">
        <v>5561</v>
      </c>
      <c r="AL347" s="36" t="s">
        <v>4475</v>
      </c>
      <c r="AN347" s="36">
        <v>3</v>
      </c>
      <c r="AP347" s="86"/>
      <c r="AQ347" s="88"/>
      <c r="AR347" s="89"/>
      <c r="AS347" s="90"/>
      <c r="AV347" s="88"/>
      <c r="AW347" s="96"/>
      <c r="AX347" s="97"/>
      <c r="AY347" s="93"/>
      <c r="BB347" s="94"/>
      <c r="BG347" s="36" t="s">
        <v>5420</v>
      </c>
    </row>
    <row r="348" spans="1:62" ht="24">
      <c r="A348" s="36" t="s">
        <v>5157</v>
      </c>
      <c r="B348" s="36" t="s">
        <v>5421</v>
      </c>
      <c r="C348" s="36" t="s">
        <v>5161</v>
      </c>
      <c r="D348" s="37">
        <v>70</v>
      </c>
      <c r="E348" s="36">
        <v>1</v>
      </c>
      <c r="F348" s="36" t="s">
        <v>5391</v>
      </c>
      <c r="G348" s="36" t="s">
        <v>5422</v>
      </c>
      <c r="J348" s="36" t="s">
        <v>31</v>
      </c>
      <c r="AD348" s="36" t="s">
        <v>4317</v>
      </c>
      <c r="AI348" s="36" t="s">
        <v>5422</v>
      </c>
      <c r="AL348" s="36" t="s">
        <v>31</v>
      </c>
      <c r="AP348" s="86"/>
      <c r="AQ348" s="88"/>
      <c r="AR348" s="89"/>
      <c r="AS348" s="90"/>
      <c r="AV348" s="88"/>
      <c r="AW348" s="96"/>
      <c r="AX348" s="97"/>
      <c r="AY348" s="93">
        <v>2</v>
      </c>
      <c r="AZ348" s="79" t="s">
        <v>4925</v>
      </c>
      <c r="BB348" s="94"/>
      <c r="BE348" s="36" t="s">
        <v>4317</v>
      </c>
      <c r="BG348" s="36" t="s">
        <v>5423</v>
      </c>
    </row>
    <row r="349" spans="1:62" ht="36">
      <c r="A349" s="36" t="s">
        <v>5157</v>
      </c>
      <c r="B349" s="36" t="s">
        <v>5424</v>
      </c>
      <c r="C349" s="36" t="s">
        <v>5161</v>
      </c>
      <c r="D349" s="37">
        <v>71</v>
      </c>
      <c r="E349" s="36">
        <v>1</v>
      </c>
      <c r="F349" s="36" t="s">
        <v>5391</v>
      </c>
      <c r="G349" s="36" t="s">
        <v>5425</v>
      </c>
      <c r="J349" s="36" t="s">
        <v>31</v>
      </c>
      <c r="AD349" s="36" t="s">
        <v>5426</v>
      </c>
      <c r="AI349" s="36" t="s">
        <v>5425</v>
      </c>
      <c r="AL349" s="36" t="s">
        <v>31</v>
      </c>
      <c r="AP349" s="86"/>
      <c r="AQ349" s="88"/>
      <c r="AR349" s="89"/>
      <c r="AS349" s="90"/>
      <c r="AV349" s="88"/>
      <c r="AW349" s="96"/>
      <c r="AX349" s="97"/>
      <c r="AY349" s="93">
        <v>2</v>
      </c>
      <c r="AZ349" s="79">
        <v>0</v>
      </c>
      <c r="BB349" s="94"/>
      <c r="BE349" s="36" t="s">
        <v>5426</v>
      </c>
      <c r="BG349" s="36" t="s">
        <v>5427</v>
      </c>
    </row>
    <row r="350" spans="1:62" ht="36">
      <c r="A350" s="36" t="s">
        <v>5157</v>
      </c>
      <c r="B350" s="36" t="s">
        <v>5428</v>
      </c>
      <c r="C350" s="36" t="s">
        <v>5161</v>
      </c>
      <c r="D350" s="37">
        <v>72</v>
      </c>
      <c r="E350" s="36">
        <v>1</v>
      </c>
      <c r="F350" s="36" t="s">
        <v>5391</v>
      </c>
      <c r="G350" s="36" t="s">
        <v>5429</v>
      </c>
      <c r="J350" s="36" t="s">
        <v>31</v>
      </c>
      <c r="AD350" s="36" t="s">
        <v>5426</v>
      </c>
      <c r="AI350" s="36" t="s">
        <v>5429</v>
      </c>
      <c r="AL350" s="36" t="s">
        <v>31</v>
      </c>
      <c r="AP350" s="86"/>
      <c r="AQ350" s="88"/>
      <c r="AR350" s="89"/>
      <c r="AS350" s="90"/>
      <c r="AV350" s="88"/>
      <c r="AW350" s="96"/>
      <c r="AX350" s="97"/>
      <c r="AY350" s="93">
        <v>3</v>
      </c>
      <c r="AZ350" s="79">
        <v>0</v>
      </c>
      <c r="BB350" s="94"/>
      <c r="BE350" s="36" t="s">
        <v>5426</v>
      </c>
      <c r="BG350" s="36" t="s">
        <v>5430</v>
      </c>
    </row>
    <row r="351" spans="1:62" ht="60">
      <c r="A351" s="36" t="s">
        <v>5157</v>
      </c>
      <c r="B351" s="36" t="s">
        <v>5431</v>
      </c>
      <c r="C351" s="36" t="s">
        <v>5161</v>
      </c>
      <c r="D351" s="37">
        <v>73</v>
      </c>
      <c r="E351" s="36">
        <v>1</v>
      </c>
      <c r="F351" s="36" t="s">
        <v>5391</v>
      </c>
      <c r="G351" s="36" t="s">
        <v>5432</v>
      </c>
      <c r="J351" s="36" t="s">
        <v>31</v>
      </c>
      <c r="AD351" s="36" t="s">
        <v>5426</v>
      </c>
      <c r="AI351" s="36" t="s">
        <v>5432</v>
      </c>
      <c r="AL351" s="36" t="s">
        <v>31</v>
      </c>
      <c r="AP351" s="86"/>
      <c r="AQ351" s="88"/>
      <c r="AR351" s="89"/>
      <c r="AS351" s="90"/>
      <c r="AV351" s="88"/>
      <c r="AW351" s="96"/>
      <c r="AX351" s="97"/>
      <c r="AY351" s="93">
        <v>3</v>
      </c>
      <c r="AZ351" s="79">
        <v>0</v>
      </c>
      <c r="BB351" s="94"/>
      <c r="BE351" s="36" t="s">
        <v>5426</v>
      </c>
      <c r="BG351" s="36" t="s">
        <v>5433</v>
      </c>
    </row>
    <row r="352" spans="1:62" ht="24">
      <c r="A352" s="36" t="s">
        <v>5157</v>
      </c>
      <c r="B352" s="36" t="s">
        <v>5434</v>
      </c>
      <c r="C352" s="36" t="s">
        <v>5161</v>
      </c>
      <c r="D352" s="37">
        <v>74</v>
      </c>
      <c r="E352" s="36">
        <v>1</v>
      </c>
      <c r="F352" s="36" t="s">
        <v>5391</v>
      </c>
      <c r="G352" s="36" t="s">
        <v>5435</v>
      </c>
      <c r="J352" s="36" t="s">
        <v>31</v>
      </c>
      <c r="AD352" s="36" t="s">
        <v>5426</v>
      </c>
      <c r="AI352" s="36" t="s">
        <v>5435</v>
      </c>
      <c r="AL352" s="36" t="s">
        <v>31</v>
      </c>
      <c r="AP352" s="86"/>
      <c r="AQ352" s="88"/>
      <c r="AR352" s="89"/>
      <c r="AS352" s="90"/>
      <c r="AV352" s="88"/>
      <c r="AW352" s="96"/>
      <c r="AX352" s="97"/>
      <c r="AY352" s="93">
        <v>4</v>
      </c>
      <c r="AZ352" s="79">
        <v>0</v>
      </c>
      <c r="BB352" s="94"/>
      <c r="BE352" s="36" t="s">
        <v>5426</v>
      </c>
      <c r="BG352" s="36" t="s">
        <v>5436</v>
      </c>
    </row>
    <row r="353" spans="1:62" ht="24">
      <c r="A353" s="36" t="s">
        <v>5157</v>
      </c>
      <c r="B353" s="36" t="s">
        <v>5437</v>
      </c>
      <c r="C353" s="36" t="s">
        <v>5161</v>
      </c>
      <c r="D353" s="37">
        <v>75</v>
      </c>
      <c r="E353" s="36">
        <v>1</v>
      </c>
      <c r="F353" s="36" t="s">
        <v>5391</v>
      </c>
      <c r="G353" s="36" t="s">
        <v>5553</v>
      </c>
      <c r="J353" s="36" t="s">
        <v>31</v>
      </c>
      <c r="AD353" s="36" t="s">
        <v>5426</v>
      </c>
      <c r="AI353" s="36" t="s">
        <v>5438</v>
      </c>
      <c r="AL353" s="36" t="s">
        <v>31</v>
      </c>
      <c r="AP353" s="86"/>
      <c r="AQ353" s="88"/>
      <c r="AR353" s="89"/>
      <c r="AS353" s="90"/>
      <c r="AV353" s="88"/>
      <c r="AW353" s="96"/>
      <c r="AX353" s="97"/>
      <c r="AY353" s="93">
        <v>2</v>
      </c>
      <c r="AZ353" s="79" t="s">
        <v>4925</v>
      </c>
      <c r="BB353" s="94">
        <v>1</v>
      </c>
      <c r="BE353" s="36" t="s">
        <v>5426</v>
      </c>
      <c r="BG353" s="36" t="s">
        <v>5439</v>
      </c>
    </row>
    <row r="354" spans="1:62" ht="24">
      <c r="A354" s="36" t="s">
        <v>5157</v>
      </c>
      <c r="B354" s="36" t="s">
        <v>5440</v>
      </c>
      <c r="C354" s="36" t="s">
        <v>5161</v>
      </c>
      <c r="D354" s="37">
        <v>76</v>
      </c>
      <c r="E354" s="36">
        <v>1</v>
      </c>
      <c r="F354" s="36" t="s">
        <v>5391</v>
      </c>
      <c r="G354" s="36" t="s">
        <v>5553</v>
      </c>
      <c r="J354" s="36" t="s">
        <v>31</v>
      </c>
      <c r="AD354" s="36" t="s">
        <v>5426</v>
      </c>
      <c r="AI354" s="36" t="s">
        <v>5441</v>
      </c>
      <c r="AL354" s="36" t="s">
        <v>31</v>
      </c>
      <c r="AP354" s="86"/>
      <c r="AQ354" s="88"/>
      <c r="AR354" s="89"/>
      <c r="AS354" s="90"/>
      <c r="AV354" s="88"/>
      <c r="AW354" s="96"/>
      <c r="AX354" s="97"/>
      <c r="AY354" s="93">
        <v>3</v>
      </c>
      <c r="AZ354" s="79" t="s">
        <v>4925</v>
      </c>
      <c r="BB354" s="94">
        <v>1</v>
      </c>
      <c r="BE354" s="36" t="s">
        <v>5426</v>
      </c>
      <c r="BG354" s="36" t="s">
        <v>5442</v>
      </c>
    </row>
    <row r="355" spans="1:62" ht="24">
      <c r="A355" s="36" t="s">
        <v>5157</v>
      </c>
      <c r="B355" s="36" t="s">
        <v>5443</v>
      </c>
      <c r="C355" s="36" t="s">
        <v>5161</v>
      </c>
      <c r="D355" s="37">
        <v>77</v>
      </c>
      <c r="E355" s="36">
        <v>1</v>
      </c>
      <c r="F355" s="36" t="s">
        <v>5391</v>
      </c>
      <c r="G355" s="36" t="s">
        <v>5553</v>
      </c>
      <c r="J355" s="36" t="s">
        <v>31</v>
      </c>
      <c r="AD355" s="36" t="s">
        <v>5426</v>
      </c>
      <c r="AI355" s="36" t="s">
        <v>5444</v>
      </c>
      <c r="AL355" s="36" t="s">
        <v>31</v>
      </c>
      <c r="AP355" s="86"/>
      <c r="AQ355" s="88"/>
      <c r="AR355" s="89"/>
      <c r="AS355" s="90"/>
      <c r="AV355" s="88"/>
      <c r="AW355" s="96"/>
      <c r="AX355" s="97"/>
      <c r="AY355" s="93">
        <v>1</v>
      </c>
      <c r="AZ355" s="79" t="s">
        <v>4925</v>
      </c>
      <c r="BB355" s="94">
        <v>1</v>
      </c>
      <c r="BE355" s="36" t="s">
        <v>5426</v>
      </c>
      <c r="BG355" s="36" t="s">
        <v>5445</v>
      </c>
    </row>
    <row r="356" spans="1:62" ht="72">
      <c r="A356" s="36" t="s">
        <v>5157</v>
      </c>
      <c r="B356" s="36" t="s">
        <v>5446</v>
      </c>
      <c r="C356" s="36" t="s">
        <v>5161</v>
      </c>
      <c r="D356" s="37">
        <v>78</v>
      </c>
      <c r="E356" s="36">
        <v>1</v>
      </c>
      <c r="F356" s="36" t="s">
        <v>5391</v>
      </c>
      <c r="G356" s="36" t="s">
        <v>5447</v>
      </c>
      <c r="J356" s="36" t="s">
        <v>29</v>
      </c>
      <c r="Q356" s="78">
        <v>3</v>
      </c>
      <c r="R356" s="79">
        <v>3</v>
      </c>
      <c r="T356" s="81">
        <v>4</v>
      </c>
      <c r="V356" s="82">
        <v>2</v>
      </c>
      <c r="W356" s="83">
        <v>0</v>
      </c>
      <c r="AA356" s="85">
        <v>1</v>
      </c>
      <c r="AD356" s="36" t="s">
        <v>5448</v>
      </c>
      <c r="AF356" s="36" t="s">
        <v>5449</v>
      </c>
      <c r="AP356" s="86"/>
      <c r="AQ356" s="88"/>
      <c r="AR356" s="89"/>
      <c r="AS356" s="90"/>
      <c r="AV356" s="88"/>
      <c r="AW356" s="96"/>
      <c r="AX356" s="97"/>
      <c r="AY356" s="93"/>
      <c r="BB356" s="94"/>
    </row>
    <row r="357" spans="1:62" ht="48">
      <c r="A357" s="36" t="s">
        <v>5157</v>
      </c>
      <c r="B357" s="36" t="s">
        <v>5450</v>
      </c>
      <c r="C357" s="36" t="s">
        <v>5161</v>
      </c>
      <c r="D357" s="37">
        <v>79</v>
      </c>
      <c r="E357" s="36">
        <v>1</v>
      </c>
      <c r="F357" s="36" t="s">
        <v>5391</v>
      </c>
      <c r="G357" s="36" t="s">
        <v>5451</v>
      </c>
      <c r="H357" s="36" t="s">
        <v>5452</v>
      </c>
      <c r="I357" s="36" t="s">
        <v>4077</v>
      </c>
      <c r="J357" s="36" t="s">
        <v>4111</v>
      </c>
      <c r="K357" s="36" t="s">
        <v>26</v>
      </c>
      <c r="T357" s="81">
        <v>3</v>
      </c>
      <c r="U357" s="76">
        <v>2</v>
      </c>
      <c r="AD357" s="36" t="s">
        <v>5453</v>
      </c>
      <c r="AF357" s="36" t="s">
        <v>5454</v>
      </c>
      <c r="AP357" s="86"/>
      <c r="AQ357" s="88"/>
      <c r="AR357" s="89"/>
      <c r="AS357" s="90"/>
      <c r="AV357" s="88"/>
      <c r="AW357" s="96"/>
      <c r="AX357" s="97"/>
      <c r="AY357" s="93"/>
      <c r="BB357" s="94"/>
      <c r="BJ357" s="36" t="s">
        <v>5837</v>
      </c>
    </row>
    <row r="358" spans="1:62" ht="36">
      <c r="A358" s="36" t="s">
        <v>5157</v>
      </c>
      <c r="B358" s="36" t="s">
        <v>5455</v>
      </c>
      <c r="C358" s="36" t="s">
        <v>5161</v>
      </c>
      <c r="D358" s="37">
        <v>80</v>
      </c>
      <c r="E358" s="36">
        <v>1</v>
      </c>
      <c r="F358" s="36" t="s">
        <v>5391</v>
      </c>
      <c r="G358" s="36" t="s">
        <v>5456</v>
      </c>
      <c r="H358" s="36" t="s">
        <v>5457</v>
      </c>
      <c r="I358" s="36" t="s">
        <v>4077</v>
      </c>
      <c r="J358" s="36" t="s">
        <v>4111</v>
      </c>
      <c r="K358" s="36" t="s">
        <v>26</v>
      </c>
      <c r="N358" s="75">
        <v>3</v>
      </c>
      <c r="Q358" s="78">
        <v>1</v>
      </c>
      <c r="S358" s="126">
        <v>1</v>
      </c>
      <c r="T358" s="81">
        <v>4</v>
      </c>
      <c r="U358" s="76">
        <v>1</v>
      </c>
      <c r="AB358" s="36" t="s">
        <v>4947</v>
      </c>
      <c r="AC358" s="36" t="s">
        <v>25</v>
      </c>
      <c r="AD358" s="36" t="s">
        <v>4184</v>
      </c>
      <c r="AF358" s="36" t="s">
        <v>5458</v>
      </c>
      <c r="AP358" s="86"/>
      <c r="AQ358" s="88"/>
      <c r="AR358" s="89"/>
      <c r="AS358" s="90"/>
      <c r="AV358" s="88"/>
      <c r="AW358" s="96"/>
      <c r="AX358" s="97"/>
      <c r="AY358" s="93"/>
      <c r="BB358" s="94"/>
    </row>
    <row r="359" spans="1:62" ht="36">
      <c r="A359" s="36" t="s">
        <v>5157</v>
      </c>
      <c r="B359" s="36" t="s">
        <v>5459</v>
      </c>
      <c r="C359" s="36" t="s">
        <v>5161</v>
      </c>
      <c r="D359" s="37">
        <v>81</v>
      </c>
      <c r="E359" s="36">
        <v>2</v>
      </c>
      <c r="F359" s="36" t="s">
        <v>5391</v>
      </c>
      <c r="G359" s="36" t="s">
        <v>5460</v>
      </c>
      <c r="J359" s="36" t="s">
        <v>28</v>
      </c>
      <c r="AD359" s="36" t="s">
        <v>5461</v>
      </c>
      <c r="AF359" s="36" t="s">
        <v>5462</v>
      </c>
      <c r="AP359" s="86"/>
      <c r="AQ359" s="88"/>
      <c r="AR359" s="89"/>
      <c r="AS359" s="90"/>
      <c r="AV359" s="88"/>
      <c r="AW359" s="96"/>
      <c r="AX359" s="97"/>
      <c r="AY359" s="93"/>
      <c r="BB359" s="94"/>
    </row>
    <row r="360" spans="1:62" ht="36">
      <c r="A360" s="36" t="s">
        <v>5157</v>
      </c>
      <c r="B360" s="36" t="s">
        <v>5463</v>
      </c>
      <c r="C360" s="36" t="s">
        <v>5161</v>
      </c>
      <c r="D360" s="37">
        <v>82</v>
      </c>
      <c r="E360" s="36">
        <v>2</v>
      </c>
      <c r="F360" s="36" t="s">
        <v>5391</v>
      </c>
      <c r="G360" s="36" t="s">
        <v>5464</v>
      </c>
      <c r="J360" s="36" t="s">
        <v>28</v>
      </c>
      <c r="AF360" s="36" t="s">
        <v>5465</v>
      </c>
      <c r="AP360" s="86"/>
      <c r="AQ360" s="88"/>
      <c r="AR360" s="89"/>
      <c r="AS360" s="90"/>
      <c r="AV360" s="88"/>
      <c r="AW360" s="96"/>
      <c r="AX360" s="97"/>
      <c r="AY360" s="93"/>
      <c r="BB360" s="94"/>
    </row>
    <row r="361" spans="1:62" ht="24">
      <c r="A361" s="36" t="s">
        <v>5157</v>
      </c>
      <c r="B361" s="36" t="s">
        <v>5466</v>
      </c>
      <c r="C361" s="36" t="s">
        <v>5161</v>
      </c>
      <c r="D361" s="37">
        <v>83</v>
      </c>
      <c r="E361" s="36">
        <v>3</v>
      </c>
      <c r="F361" s="36" t="s">
        <v>5467</v>
      </c>
      <c r="G361" s="36" t="s">
        <v>5468</v>
      </c>
      <c r="J361" s="36" t="s">
        <v>28</v>
      </c>
      <c r="AD361" s="36" t="s">
        <v>4340</v>
      </c>
      <c r="AF361" s="36" t="s">
        <v>5469</v>
      </c>
      <c r="AP361" s="86"/>
      <c r="AQ361" s="88"/>
      <c r="AR361" s="89"/>
      <c r="AS361" s="90"/>
      <c r="AV361" s="88"/>
      <c r="AW361" s="96"/>
      <c r="AX361" s="97"/>
      <c r="AY361" s="93"/>
      <c r="BB361" s="94"/>
    </row>
    <row r="362" spans="1:62" ht="60">
      <c r="A362" s="36" t="s">
        <v>5157</v>
      </c>
      <c r="B362" s="36" t="s">
        <v>5470</v>
      </c>
      <c r="C362" s="36" t="s">
        <v>5161</v>
      </c>
      <c r="D362" s="37">
        <v>84</v>
      </c>
      <c r="E362" s="36">
        <v>3</v>
      </c>
      <c r="F362" s="36" t="s">
        <v>5467</v>
      </c>
      <c r="G362" s="36" t="s">
        <v>5471</v>
      </c>
      <c r="J362" s="36" t="s">
        <v>28</v>
      </c>
      <c r="AD362" s="36" t="s">
        <v>4340</v>
      </c>
      <c r="AF362" s="36" t="s">
        <v>5472</v>
      </c>
      <c r="AP362" s="86"/>
      <c r="AQ362" s="88"/>
      <c r="AR362" s="89"/>
      <c r="AS362" s="90"/>
      <c r="AV362" s="88"/>
      <c r="AW362" s="96"/>
      <c r="AX362" s="97"/>
      <c r="AY362" s="93"/>
      <c r="BB362" s="94"/>
    </row>
    <row r="363" spans="1:62" ht="60">
      <c r="A363" s="36" t="s">
        <v>5157</v>
      </c>
      <c r="B363" s="36" t="s">
        <v>5473</v>
      </c>
      <c r="C363" s="36" t="s">
        <v>5161</v>
      </c>
      <c r="D363" s="37">
        <v>85</v>
      </c>
      <c r="E363" s="36">
        <v>2</v>
      </c>
      <c r="F363" s="36" t="s">
        <v>5474</v>
      </c>
      <c r="G363" s="36" t="s">
        <v>5475</v>
      </c>
      <c r="J363" s="36" t="s">
        <v>28</v>
      </c>
      <c r="AD363" s="36" t="s">
        <v>5476</v>
      </c>
      <c r="AF363" s="36" t="s">
        <v>5477</v>
      </c>
      <c r="AP363" s="86"/>
      <c r="AQ363" s="88"/>
      <c r="AR363" s="89"/>
      <c r="AS363" s="90"/>
      <c r="AV363" s="88"/>
      <c r="AW363" s="96"/>
      <c r="AX363" s="97"/>
      <c r="AY363" s="93"/>
      <c r="BB363" s="94"/>
    </row>
    <row r="364" spans="1:62" ht="36">
      <c r="A364" s="36" t="s">
        <v>5157</v>
      </c>
      <c r="B364" s="36" t="s">
        <v>5478</v>
      </c>
      <c r="C364" s="36" t="s">
        <v>5161</v>
      </c>
      <c r="D364" s="37">
        <v>86</v>
      </c>
      <c r="E364" s="36">
        <v>3</v>
      </c>
      <c r="F364" s="36" t="s">
        <v>5474</v>
      </c>
      <c r="G364" s="36" t="s">
        <v>5479</v>
      </c>
      <c r="J364" s="36" t="s">
        <v>29</v>
      </c>
      <c r="Q364" s="78">
        <v>2</v>
      </c>
      <c r="R364" s="79">
        <v>2</v>
      </c>
      <c r="T364" s="81">
        <v>2</v>
      </c>
      <c r="V364" s="82">
        <v>1</v>
      </c>
      <c r="W364" s="83">
        <v>1</v>
      </c>
      <c r="AD364" s="36" t="s">
        <v>5480</v>
      </c>
      <c r="AF364" s="36" t="s">
        <v>5481</v>
      </c>
      <c r="AP364" s="86"/>
      <c r="AQ364" s="88"/>
      <c r="AR364" s="89"/>
      <c r="AS364" s="90"/>
      <c r="AV364" s="88"/>
      <c r="AW364" s="96"/>
      <c r="AX364" s="97"/>
      <c r="AY364" s="93"/>
      <c r="BB364" s="94"/>
    </row>
    <row r="365" spans="1:62" ht="48">
      <c r="A365" s="36" t="s">
        <v>5157</v>
      </c>
      <c r="B365" s="36" t="s">
        <v>5482</v>
      </c>
      <c r="C365" s="36" t="s">
        <v>5161</v>
      </c>
      <c r="D365" s="37">
        <v>87</v>
      </c>
      <c r="E365" s="36">
        <v>1</v>
      </c>
      <c r="F365" s="36" t="s">
        <v>5474</v>
      </c>
      <c r="G365" s="36" t="s">
        <v>5483</v>
      </c>
      <c r="J365" s="36" t="s">
        <v>29</v>
      </c>
      <c r="Q365" s="78">
        <v>4</v>
      </c>
      <c r="R365" s="79">
        <v>3</v>
      </c>
      <c r="T365" s="81">
        <v>3</v>
      </c>
      <c r="V365" s="82">
        <v>1</v>
      </c>
      <c r="W365" s="83">
        <v>2</v>
      </c>
      <c r="AA365" s="85">
        <v>1</v>
      </c>
      <c r="AD365" s="36" t="s">
        <v>5484</v>
      </c>
      <c r="AF365" s="36" t="s">
        <v>5485</v>
      </c>
      <c r="AP365" s="86"/>
      <c r="AQ365" s="88"/>
      <c r="AR365" s="89"/>
      <c r="AS365" s="90"/>
      <c r="AV365" s="88"/>
      <c r="AW365" s="96"/>
      <c r="AX365" s="97"/>
      <c r="AY365" s="93"/>
      <c r="BB365" s="94"/>
    </row>
    <row r="366" spans="1:62" ht="72">
      <c r="A366" s="36" t="s">
        <v>5157</v>
      </c>
      <c r="B366" s="36" t="s">
        <v>5486</v>
      </c>
      <c r="C366" s="36" t="s">
        <v>5161</v>
      </c>
      <c r="D366" s="37">
        <v>88</v>
      </c>
      <c r="E366" s="36">
        <v>2</v>
      </c>
      <c r="F366" s="36" t="s">
        <v>5487</v>
      </c>
      <c r="G366" s="36" t="s">
        <v>5488</v>
      </c>
      <c r="J366" s="36" t="s">
        <v>28</v>
      </c>
      <c r="AD366" s="36" t="s">
        <v>4335</v>
      </c>
      <c r="AF366" s="36" t="s">
        <v>5489</v>
      </c>
      <c r="AP366" s="86"/>
      <c r="AQ366" s="88"/>
      <c r="AR366" s="89"/>
      <c r="AS366" s="90"/>
      <c r="AV366" s="88"/>
      <c r="AW366" s="96"/>
      <c r="AX366" s="97"/>
      <c r="AY366" s="93"/>
      <c r="BB366" s="94"/>
    </row>
    <row r="367" spans="1:62" ht="60">
      <c r="A367" s="36" t="s">
        <v>5157</v>
      </c>
      <c r="B367" s="36" t="s">
        <v>5490</v>
      </c>
      <c r="C367" s="36" t="s">
        <v>5161</v>
      </c>
      <c r="D367" s="37">
        <v>89</v>
      </c>
      <c r="E367" s="36">
        <v>2</v>
      </c>
      <c r="F367" s="36" t="s">
        <v>5487</v>
      </c>
      <c r="G367" s="36" t="s">
        <v>5491</v>
      </c>
      <c r="J367" s="36" t="s">
        <v>28</v>
      </c>
      <c r="AD367" s="36" t="s">
        <v>4335</v>
      </c>
      <c r="AF367" s="36" t="s">
        <v>5492</v>
      </c>
      <c r="AP367" s="86"/>
      <c r="AQ367" s="88"/>
      <c r="AR367" s="89"/>
      <c r="AS367" s="90"/>
      <c r="AV367" s="88"/>
      <c r="AW367" s="96"/>
      <c r="AX367" s="97"/>
      <c r="AY367" s="93"/>
      <c r="BB367" s="94"/>
    </row>
    <row r="368" spans="1:62" ht="36">
      <c r="A368" s="36" t="s">
        <v>5157</v>
      </c>
      <c r="B368" s="36" t="s">
        <v>5493</v>
      </c>
      <c r="C368" s="36" t="s">
        <v>5161</v>
      </c>
      <c r="D368" s="37">
        <v>90</v>
      </c>
      <c r="E368" s="36">
        <v>3</v>
      </c>
      <c r="F368" s="36" t="s">
        <v>5494</v>
      </c>
      <c r="G368" s="36" t="s">
        <v>5495</v>
      </c>
      <c r="J368" s="36" t="s">
        <v>29</v>
      </c>
      <c r="Q368" s="78">
        <v>2</v>
      </c>
      <c r="R368" s="79">
        <v>4</v>
      </c>
      <c r="T368" s="81">
        <v>1</v>
      </c>
      <c r="V368" s="82">
        <v>0</v>
      </c>
      <c r="W368" s="83">
        <v>1</v>
      </c>
      <c r="AD368" s="36" t="s">
        <v>30</v>
      </c>
      <c r="AF368" s="36" t="s">
        <v>5496</v>
      </c>
      <c r="AP368" s="86"/>
      <c r="AQ368" s="88"/>
      <c r="AR368" s="89"/>
      <c r="AS368" s="90"/>
      <c r="AV368" s="88"/>
      <c r="AW368" s="96"/>
      <c r="AX368" s="97"/>
      <c r="AY368" s="93"/>
      <c r="BB368" s="94"/>
    </row>
    <row r="369" spans="1:54" ht="24">
      <c r="A369" s="36" t="s">
        <v>5157</v>
      </c>
      <c r="B369" s="36" t="s">
        <v>5497</v>
      </c>
      <c r="C369" s="36" t="s">
        <v>5161</v>
      </c>
      <c r="D369" s="37">
        <v>91</v>
      </c>
      <c r="E369" s="36">
        <v>2</v>
      </c>
      <c r="F369" s="36" t="s">
        <v>5494</v>
      </c>
      <c r="G369" s="36" t="s">
        <v>5498</v>
      </c>
      <c r="J369" s="36" t="s">
        <v>28</v>
      </c>
      <c r="AD369" s="36" t="s">
        <v>4346</v>
      </c>
      <c r="AF369" s="36" t="s">
        <v>5499</v>
      </c>
      <c r="AP369" s="86"/>
      <c r="AQ369" s="88"/>
      <c r="AR369" s="89"/>
      <c r="AS369" s="90"/>
      <c r="AV369" s="88"/>
      <c r="AW369" s="96"/>
      <c r="AX369" s="97"/>
      <c r="AY369" s="93"/>
      <c r="BB369" s="94"/>
    </row>
    <row r="370" spans="1:54" ht="48">
      <c r="A370" s="36" t="s">
        <v>5157</v>
      </c>
      <c r="B370" s="36" t="s">
        <v>5500</v>
      </c>
      <c r="C370" s="36" t="s">
        <v>5161</v>
      </c>
      <c r="D370" s="37">
        <v>92</v>
      </c>
      <c r="E370" s="36">
        <v>3</v>
      </c>
      <c r="F370" s="36" t="s">
        <v>5501</v>
      </c>
      <c r="G370" s="36" t="s">
        <v>5502</v>
      </c>
      <c r="J370" s="36" t="s">
        <v>28</v>
      </c>
      <c r="AD370" s="36" t="s">
        <v>4346</v>
      </c>
      <c r="AF370" s="36" t="s">
        <v>5503</v>
      </c>
      <c r="AP370" s="86"/>
      <c r="AQ370" s="88"/>
      <c r="AR370" s="89"/>
      <c r="AS370" s="90"/>
      <c r="AV370" s="88"/>
      <c r="AW370" s="96"/>
      <c r="AX370" s="97"/>
      <c r="AY370" s="93"/>
      <c r="BB370" s="94"/>
    </row>
    <row r="371" spans="1:54" ht="48">
      <c r="A371" s="36" t="s">
        <v>5157</v>
      </c>
      <c r="B371" s="36" t="s">
        <v>5504</v>
      </c>
      <c r="C371" s="36" t="s">
        <v>5161</v>
      </c>
      <c r="D371" s="37">
        <v>93</v>
      </c>
      <c r="E371" s="36">
        <v>3</v>
      </c>
      <c r="F371" s="36" t="s">
        <v>5501</v>
      </c>
      <c r="G371" s="36" t="s">
        <v>5505</v>
      </c>
      <c r="J371" s="36" t="s">
        <v>28</v>
      </c>
      <c r="AD371" s="36" t="s">
        <v>4346</v>
      </c>
      <c r="AF371" s="36" t="s">
        <v>5506</v>
      </c>
      <c r="AP371" s="86"/>
      <c r="AQ371" s="88"/>
      <c r="AR371" s="89"/>
      <c r="AS371" s="90"/>
      <c r="AV371" s="88"/>
      <c r="AW371" s="96"/>
      <c r="AX371" s="97"/>
      <c r="AY371" s="93"/>
      <c r="BB371" s="94"/>
    </row>
    <row r="372" spans="1:54" ht="48">
      <c r="A372" s="36" t="s">
        <v>5157</v>
      </c>
      <c r="B372" s="36" t="s">
        <v>5507</v>
      </c>
      <c r="C372" s="36" t="s">
        <v>5161</v>
      </c>
      <c r="D372" s="37">
        <v>94</v>
      </c>
      <c r="E372" s="36">
        <v>2</v>
      </c>
      <c r="F372" s="36" t="s">
        <v>5508</v>
      </c>
      <c r="G372" s="36" t="s">
        <v>5509</v>
      </c>
      <c r="J372" s="36" t="s">
        <v>29</v>
      </c>
      <c r="Q372" s="78">
        <v>5</v>
      </c>
      <c r="R372" s="79">
        <v>3</v>
      </c>
      <c r="T372" s="81">
        <v>4</v>
      </c>
      <c r="V372" s="82">
        <v>1</v>
      </c>
      <c r="W372" s="83">
        <v>1</v>
      </c>
      <c r="AD372" s="36" t="s">
        <v>5510</v>
      </c>
      <c r="AF372" s="36" t="s">
        <v>5511</v>
      </c>
      <c r="AP372" s="86"/>
      <c r="AQ372" s="88"/>
      <c r="AR372" s="89"/>
      <c r="AS372" s="90"/>
      <c r="AV372" s="88"/>
      <c r="AW372" s="96"/>
      <c r="AX372" s="97"/>
      <c r="AY372" s="93"/>
      <c r="BB372" s="94"/>
    </row>
    <row r="373" spans="1:54" ht="36">
      <c r="A373" s="36" t="s">
        <v>5157</v>
      </c>
      <c r="B373" s="36" t="s">
        <v>5512</v>
      </c>
      <c r="C373" s="36" t="s">
        <v>5161</v>
      </c>
      <c r="D373" s="37">
        <v>95</v>
      </c>
      <c r="E373" s="36">
        <v>2</v>
      </c>
      <c r="F373" s="36" t="s">
        <v>5508</v>
      </c>
      <c r="G373" s="36" t="s">
        <v>5513</v>
      </c>
      <c r="J373" s="36" t="s">
        <v>29</v>
      </c>
      <c r="Q373" s="78">
        <v>4</v>
      </c>
      <c r="R373" s="79">
        <v>4</v>
      </c>
      <c r="T373" s="81">
        <v>3</v>
      </c>
      <c r="V373" s="82">
        <v>1</v>
      </c>
      <c r="W373" s="83">
        <v>1</v>
      </c>
      <c r="AD373" s="36" t="s">
        <v>5510</v>
      </c>
      <c r="AF373" s="36" t="s">
        <v>5514</v>
      </c>
      <c r="AP373" s="86"/>
      <c r="AQ373" s="88"/>
      <c r="AR373" s="89"/>
      <c r="AS373" s="90"/>
      <c r="AV373" s="88"/>
      <c r="AW373" s="96"/>
      <c r="AX373" s="97"/>
      <c r="AY373" s="93"/>
      <c r="BB373" s="94"/>
    </row>
    <row r="374" spans="1:54" ht="72">
      <c r="A374" s="36" t="s">
        <v>5157</v>
      </c>
      <c r="B374" s="36" t="s">
        <v>5515</v>
      </c>
      <c r="C374" s="36" t="s">
        <v>5161</v>
      </c>
      <c r="D374" s="37">
        <v>96</v>
      </c>
      <c r="E374" s="36">
        <v>2</v>
      </c>
      <c r="F374" s="36" t="s">
        <v>5508</v>
      </c>
      <c r="G374" s="36" t="s">
        <v>5516</v>
      </c>
      <c r="J374" s="36" t="s">
        <v>28</v>
      </c>
      <c r="AD374" s="36" t="s">
        <v>5517</v>
      </c>
      <c r="AF374" s="36" t="s">
        <v>5518</v>
      </c>
      <c r="AP374" s="86"/>
      <c r="AQ374" s="88"/>
      <c r="AR374" s="89"/>
      <c r="AS374" s="90"/>
      <c r="AV374" s="88"/>
      <c r="AW374" s="96"/>
      <c r="AX374" s="97"/>
      <c r="AY374" s="93"/>
      <c r="BB374" s="94"/>
    </row>
    <row r="375" spans="1:54" ht="24">
      <c r="A375" s="36" t="s">
        <v>5157</v>
      </c>
      <c r="B375" s="36" t="s">
        <v>5519</v>
      </c>
      <c r="C375" s="36" t="s">
        <v>5161</v>
      </c>
      <c r="D375" s="37">
        <v>97</v>
      </c>
      <c r="E375" s="36">
        <v>2</v>
      </c>
      <c r="F375" s="36" t="s">
        <v>5520</v>
      </c>
      <c r="G375" s="36" t="s">
        <v>5521</v>
      </c>
      <c r="J375" s="36" t="s">
        <v>29</v>
      </c>
      <c r="Q375" s="78">
        <v>4</v>
      </c>
      <c r="R375" s="79">
        <v>2</v>
      </c>
      <c r="T375" s="81">
        <v>2</v>
      </c>
      <c r="V375" s="82">
        <v>2</v>
      </c>
      <c r="W375" s="83">
        <v>0</v>
      </c>
      <c r="AD375" s="36" t="s">
        <v>5522</v>
      </c>
      <c r="AF375" s="36" t="s">
        <v>5523</v>
      </c>
      <c r="AP375" s="86"/>
      <c r="AQ375" s="88"/>
      <c r="AR375" s="89"/>
      <c r="AS375" s="90"/>
      <c r="AV375" s="88"/>
      <c r="AW375" s="96"/>
      <c r="AX375" s="97"/>
      <c r="AY375" s="93"/>
      <c r="BB375" s="94"/>
    </row>
    <row r="376" spans="1:54" ht="24">
      <c r="A376" s="36" t="s">
        <v>5157</v>
      </c>
      <c r="B376" s="36" t="s">
        <v>5524</v>
      </c>
      <c r="C376" s="36" t="s">
        <v>5161</v>
      </c>
      <c r="D376" s="37">
        <v>98</v>
      </c>
      <c r="E376" s="36">
        <v>2</v>
      </c>
      <c r="F376" s="36" t="s">
        <v>5520</v>
      </c>
      <c r="G376" s="36" t="s">
        <v>5525</v>
      </c>
      <c r="J376" s="36" t="s">
        <v>29</v>
      </c>
      <c r="Q376" s="78">
        <v>2</v>
      </c>
      <c r="R376" s="79">
        <v>2</v>
      </c>
      <c r="T376" s="81">
        <v>2</v>
      </c>
      <c r="V376" s="82">
        <v>1</v>
      </c>
      <c r="W376" s="83">
        <v>0</v>
      </c>
      <c r="AD376" s="36" t="s">
        <v>5522</v>
      </c>
      <c r="AF376" s="36" t="s">
        <v>5526</v>
      </c>
      <c r="AP376" s="86"/>
      <c r="AQ376" s="88"/>
      <c r="AR376" s="89"/>
      <c r="AS376" s="90"/>
      <c r="AV376" s="88"/>
      <c r="AW376" s="96"/>
      <c r="AX376" s="97"/>
      <c r="AY376" s="93"/>
      <c r="BB376" s="94"/>
    </row>
    <row r="377" spans="1:54" ht="60">
      <c r="A377" s="36" t="s">
        <v>5157</v>
      </c>
      <c r="B377" s="36" t="s">
        <v>5527</v>
      </c>
      <c r="C377" s="36" t="s">
        <v>5161</v>
      </c>
      <c r="D377" s="37">
        <v>99</v>
      </c>
      <c r="E377" s="36">
        <v>2</v>
      </c>
      <c r="F377" s="36" t="s">
        <v>5520</v>
      </c>
      <c r="G377" s="36" t="s">
        <v>5528</v>
      </c>
      <c r="J377" s="36" t="s">
        <v>28</v>
      </c>
      <c r="AD377" s="36" t="s">
        <v>4161</v>
      </c>
      <c r="AF377" s="36" t="s">
        <v>5529</v>
      </c>
      <c r="AP377" s="86"/>
      <c r="AQ377" s="88"/>
      <c r="AR377" s="89"/>
      <c r="AS377" s="90"/>
      <c r="AV377" s="88"/>
      <c r="AW377" s="96"/>
      <c r="AX377" s="97"/>
      <c r="AY377" s="93"/>
      <c r="BB377" s="94"/>
    </row>
    <row r="378" spans="1:54" ht="36">
      <c r="A378" s="36" t="s">
        <v>5157</v>
      </c>
      <c r="B378" s="36" t="s">
        <v>5530</v>
      </c>
      <c r="C378" s="36" t="s">
        <v>5161</v>
      </c>
      <c r="D378" s="37">
        <v>100</v>
      </c>
      <c r="E378" s="36">
        <v>2</v>
      </c>
      <c r="F378" s="36" t="s">
        <v>5531</v>
      </c>
      <c r="G378" s="36" t="s">
        <v>5532</v>
      </c>
      <c r="J378" s="36" t="s">
        <v>28</v>
      </c>
      <c r="AD378" s="36" t="s">
        <v>4340</v>
      </c>
      <c r="AF378" s="36" t="s">
        <v>5533</v>
      </c>
      <c r="AP378" s="86"/>
      <c r="AQ378" s="88"/>
      <c r="AR378" s="89"/>
      <c r="AS378" s="90"/>
      <c r="AV378" s="88"/>
      <c r="AW378" s="96"/>
      <c r="AX378" s="97"/>
      <c r="AY378" s="93"/>
      <c r="BB378" s="94"/>
    </row>
    <row r="379" spans="1:54" ht="72">
      <c r="A379" s="36" t="s">
        <v>5157</v>
      </c>
      <c r="B379" s="36" t="s">
        <v>5534</v>
      </c>
      <c r="C379" s="36" t="s">
        <v>5161</v>
      </c>
      <c r="D379" s="37">
        <v>101</v>
      </c>
      <c r="E379" s="36">
        <v>2</v>
      </c>
      <c r="F379" s="36" t="s">
        <v>5531</v>
      </c>
      <c r="G379" s="36" t="s">
        <v>5535</v>
      </c>
      <c r="J379" s="36" t="s">
        <v>28</v>
      </c>
      <c r="AD379" s="36" t="s">
        <v>5536</v>
      </c>
      <c r="AF379" s="36" t="s">
        <v>5537</v>
      </c>
      <c r="AP379" s="86"/>
      <c r="AQ379" s="88"/>
      <c r="AR379" s="89"/>
      <c r="AS379" s="90"/>
      <c r="AV379" s="88"/>
      <c r="AW379" s="96"/>
      <c r="AX379" s="97"/>
      <c r="AY379" s="93"/>
      <c r="BB379" s="94"/>
    </row>
    <row r="380" spans="1:54" ht="60">
      <c r="A380" s="36" t="s">
        <v>5157</v>
      </c>
      <c r="B380" s="36" t="s">
        <v>5538</v>
      </c>
      <c r="C380" s="36" t="s">
        <v>5161</v>
      </c>
      <c r="D380" s="37">
        <v>102</v>
      </c>
      <c r="E380" s="36">
        <v>2</v>
      </c>
      <c r="F380" s="36" t="s">
        <v>5531</v>
      </c>
      <c r="G380" s="36" t="s">
        <v>5539</v>
      </c>
      <c r="J380" s="36" t="s">
        <v>28</v>
      </c>
      <c r="AD380" s="36" t="s">
        <v>5540</v>
      </c>
      <c r="AF380" s="36" t="s">
        <v>5541</v>
      </c>
      <c r="AP380" s="86"/>
      <c r="AQ380" s="88"/>
      <c r="AR380" s="89"/>
      <c r="AS380" s="90"/>
      <c r="AV380" s="88"/>
      <c r="AW380" s="96"/>
      <c r="AX380" s="97"/>
      <c r="AY380" s="93"/>
      <c r="BB380" s="94"/>
    </row>
    <row r="381" spans="1:54" ht="60">
      <c r="A381" s="36" t="s">
        <v>5157</v>
      </c>
      <c r="B381" s="36" t="s">
        <v>5542</v>
      </c>
      <c r="C381" s="36" t="s">
        <v>5161</v>
      </c>
      <c r="D381" s="37">
        <v>103</v>
      </c>
      <c r="E381" s="36">
        <v>2</v>
      </c>
      <c r="F381" s="36" t="s">
        <v>5543</v>
      </c>
      <c r="G381" s="36" t="s">
        <v>5544</v>
      </c>
      <c r="J381" s="36" t="s">
        <v>29</v>
      </c>
      <c r="Q381" s="78">
        <v>1</v>
      </c>
      <c r="R381" s="79">
        <v>4</v>
      </c>
      <c r="T381" s="81">
        <v>6</v>
      </c>
      <c r="V381" s="82">
        <v>1</v>
      </c>
      <c r="W381" s="83">
        <v>1</v>
      </c>
      <c r="AD381" s="36" t="s">
        <v>5545</v>
      </c>
      <c r="AF381" s="36" t="s">
        <v>5546</v>
      </c>
      <c r="AP381" s="86"/>
      <c r="AQ381" s="88"/>
      <c r="AR381" s="89"/>
      <c r="AS381" s="90"/>
      <c r="AV381" s="88"/>
      <c r="AW381" s="96"/>
      <c r="AX381" s="97"/>
      <c r="AY381" s="93"/>
      <c r="BB381" s="94"/>
    </row>
    <row r="382" spans="1:54" ht="48">
      <c r="A382" s="36" t="s">
        <v>5157</v>
      </c>
      <c r="B382" s="36" t="s">
        <v>5547</v>
      </c>
      <c r="C382" s="36" t="s">
        <v>5161</v>
      </c>
      <c r="D382" s="37">
        <v>104</v>
      </c>
      <c r="E382" s="36">
        <v>1</v>
      </c>
      <c r="F382" s="36" t="s">
        <v>5543</v>
      </c>
      <c r="G382" s="36" t="s">
        <v>5548</v>
      </c>
      <c r="J382" s="36" t="s">
        <v>29</v>
      </c>
      <c r="Q382" s="78">
        <v>4</v>
      </c>
      <c r="R382" s="79">
        <v>2</v>
      </c>
      <c r="T382" s="81">
        <v>5</v>
      </c>
      <c r="V382" s="82">
        <v>2</v>
      </c>
      <c r="W382" s="83">
        <v>2</v>
      </c>
      <c r="AA382" s="85">
        <v>1</v>
      </c>
      <c r="AD382" s="36" t="s">
        <v>5545</v>
      </c>
      <c r="AF382" s="36" t="s">
        <v>5549</v>
      </c>
      <c r="AP382" s="86"/>
      <c r="AQ382" s="88"/>
      <c r="AR382" s="89"/>
      <c r="AS382" s="90"/>
      <c r="AV382" s="88"/>
      <c r="AW382" s="96"/>
      <c r="AX382" s="97"/>
      <c r="AY382" s="93"/>
      <c r="BB382" s="94"/>
    </row>
    <row r="383" spans="1:54" ht="24">
      <c r="A383" s="36" t="s">
        <v>5157</v>
      </c>
      <c r="B383" s="41" t="s">
        <v>5562</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24">
      <c r="A384" s="36" t="s">
        <v>5157</v>
      </c>
      <c r="B384" s="36" t="s">
        <v>5563</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24">
      <c r="A385" s="36" t="s">
        <v>5157</v>
      </c>
      <c r="B385" s="36" t="s">
        <v>5564</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24">
      <c r="A386" s="36" t="s">
        <v>5157</v>
      </c>
      <c r="B386" s="43" t="s">
        <v>5565</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ht="24">
      <c r="A387" s="36" t="s">
        <v>5157</v>
      </c>
      <c r="B387" s="45" t="s">
        <v>5566</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c r="A388" s="54" t="s">
        <v>5568</v>
      </c>
      <c r="B388" s="54" t="s">
        <v>5751</v>
      </c>
      <c r="C388" s="54" t="s">
        <v>5830</v>
      </c>
      <c r="D388" s="66">
        <v>105</v>
      </c>
      <c r="E388" s="67">
        <v>2</v>
      </c>
      <c r="F388" s="67"/>
      <c r="G388" s="67" t="s">
        <v>5574</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5575</v>
      </c>
      <c r="AF388" s="36" t="s">
        <v>5576</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5568</v>
      </c>
      <c r="B389" s="36" t="s">
        <v>5752</v>
      </c>
      <c r="C389" s="36" t="s">
        <v>5830</v>
      </c>
      <c r="D389" s="68">
        <v>106</v>
      </c>
      <c r="E389" s="46">
        <v>2</v>
      </c>
      <c r="F389" s="46"/>
      <c r="G389" s="46" t="s">
        <v>5577</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5578</v>
      </c>
      <c r="AF389" s="36" t="s">
        <v>5579</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5568</v>
      </c>
      <c r="B390" s="36" t="s">
        <v>5753</v>
      </c>
      <c r="C390" s="36" t="s">
        <v>5830</v>
      </c>
      <c r="D390" s="68">
        <v>107</v>
      </c>
      <c r="E390" s="46">
        <v>2</v>
      </c>
      <c r="F390" s="46"/>
      <c r="G390" s="46" t="s">
        <v>5580</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5581</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5568</v>
      </c>
      <c r="B391" s="36" t="s">
        <v>5754</v>
      </c>
      <c r="C391" s="36" t="s">
        <v>5830</v>
      </c>
      <c r="D391" s="68">
        <v>108</v>
      </c>
      <c r="E391" s="46">
        <v>2</v>
      </c>
      <c r="F391" s="46"/>
      <c r="G391" s="46" t="s">
        <v>5582</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5583</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5568</v>
      </c>
      <c r="B392" s="36" t="s">
        <v>5755</v>
      </c>
      <c r="C392" s="36" t="s">
        <v>5830</v>
      </c>
      <c r="D392" s="68">
        <v>109</v>
      </c>
      <c r="E392" s="46">
        <v>2</v>
      </c>
      <c r="F392" s="46"/>
      <c r="G392" s="46" t="s">
        <v>5584</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5585</v>
      </c>
      <c r="AF392" s="36" t="s">
        <v>5586</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5568</v>
      </c>
      <c r="B393" s="36" t="s">
        <v>5756</v>
      </c>
      <c r="C393" s="36" t="s">
        <v>5830</v>
      </c>
      <c r="D393" s="68">
        <v>110</v>
      </c>
      <c r="E393" s="46">
        <v>2</v>
      </c>
      <c r="F393" s="46"/>
      <c r="G393" s="46" t="s">
        <v>5587</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5588</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5568</v>
      </c>
      <c r="B394" s="36" t="s">
        <v>5757</v>
      </c>
      <c r="C394" s="36" t="s">
        <v>5830</v>
      </c>
      <c r="D394" s="68">
        <v>111</v>
      </c>
      <c r="E394" s="46">
        <v>2</v>
      </c>
      <c r="F394" s="46"/>
      <c r="G394" s="46" t="s">
        <v>5589</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5590</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5568</v>
      </c>
      <c r="B395" s="36" t="s">
        <v>5758</v>
      </c>
      <c r="C395" s="36" t="s">
        <v>5830</v>
      </c>
      <c r="D395" s="68">
        <v>112</v>
      </c>
      <c r="E395" s="46">
        <v>2</v>
      </c>
      <c r="F395" s="46"/>
      <c r="G395" s="46" t="s">
        <v>5591</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5592</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5568</v>
      </c>
      <c r="B396" s="36" t="s">
        <v>5759</v>
      </c>
      <c r="C396" s="36" t="s">
        <v>5830</v>
      </c>
      <c r="D396" s="68">
        <v>113</v>
      </c>
      <c r="E396" s="46">
        <v>2</v>
      </c>
      <c r="F396" s="46"/>
      <c r="G396" s="46" t="s">
        <v>5593</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5594</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5568</v>
      </c>
      <c r="B397" s="36" t="s">
        <v>5760</v>
      </c>
      <c r="C397" s="36" t="s">
        <v>5830</v>
      </c>
      <c r="D397" s="68">
        <v>114</v>
      </c>
      <c r="E397" s="46">
        <v>2</v>
      </c>
      <c r="F397" s="46"/>
      <c r="G397" s="46" t="s">
        <v>5595</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5596</v>
      </c>
      <c r="AF397" s="36" t="s">
        <v>5597</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5568</v>
      </c>
      <c r="B398" s="36" t="s">
        <v>5761</v>
      </c>
      <c r="C398" s="36" t="s">
        <v>5830</v>
      </c>
      <c r="D398" s="68">
        <v>115</v>
      </c>
      <c r="E398" s="46">
        <v>2</v>
      </c>
      <c r="F398" s="46"/>
      <c r="G398" s="46" t="s">
        <v>5598</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5599</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5568</v>
      </c>
      <c r="B399" s="36" t="s">
        <v>5762</v>
      </c>
      <c r="C399" s="36" t="s">
        <v>5830</v>
      </c>
      <c r="D399" s="68">
        <v>116</v>
      </c>
      <c r="E399" s="46">
        <v>2</v>
      </c>
      <c r="F399" s="46"/>
      <c r="G399" s="46" t="s">
        <v>5600</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5601</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5568</v>
      </c>
      <c r="B400" s="36" t="s">
        <v>5763</v>
      </c>
      <c r="C400" s="36" t="s">
        <v>5830</v>
      </c>
      <c r="D400" s="68">
        <v>117</v>
      </c>
      <c r="E400" s="46">
        <v>2</v>
      </c>
      <c r="F400" s="46"/>
      <c r="G400" s="46" t="s">
        <v>5602</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5603</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72">
      <c r="A401" s="36" t="s">
        <v>5568</v>
      </c>
      <c r="B401" s="36" t="s">
        <v>5764</v>
      </c>
      <c r="C401" s="36" t="s">
        <v>5830</v>
      </c>
      <c r="D401" s="68">
        <v>118</v>
      </c>
      <c r="E401" s="46">
        <v>1</v>
      </c>
      <c r="F401" s="46" t="s">
        <v>5569</v>
      </c>
      <c r="G401" s="46" t="s">
        <v>5569</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5604</v>
      </c>
      <c r="AH401" s="46"/>
      <c r="AI401" s="46" t="s">
        <v>5569</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5717</v>
      </c>
      <c r="BI401" s="46"/>
      <c r="BJ401" s="46"/>
      <c r="BK401" s="46"/>
      <c r="BL401" s="46"/>
      <c r="BM401" s="46"/>
      <c r="BN401" s="46"/>
      <c r="BO401" s="46"/>
      <c r="BP401" s="46"/>
    </row>
    <row r="402" spans="1:68" ht="60">
      <c r="A402" s="36" t="s">
        <v>5568</v>
      </c>
      <c r="B402" s="36" t="s">
        <v>5765</v>
      </c>
      <c r="C402" s="36" t="s">
        <v>5830</v>
      </c>
      <c r="D402" s="68">
        <v>119</v>
      </c>
      <c r="E402" s="46">
        <v>1</v>
      </c>
      <c r="F402" s="46" t="s">
        <v>5569</v>
      </c>
      <c r="G402" s="46" t="s">
        <v>5605</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5606</v>
      </c>
      <c r="AH402" s="46"/>
      <c r="AI402" s="46" t="s">
        <v>5718</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5719</v>
      </c>
      <c r="BI402" s="46"/>
      <c r="BJ402" s="46"/>
      <c r="BK402" s="46"/>
      <c r="BL402" s="46"/>
      <c r="BM402" s="46"/>
      <c r="BN402" s="46"/>
      <c r="BO402" s="46"/>
      <c r="BP402" s="46"/>
    </row>
    <row r="403" spans="1:68" ht="60">
      <c r="A403" s="36" t="s">
        <v>5568</v>
      </c>
      <c r="B403" s="36" t="s">
        <v>5766</v>
      </c>
      <c r="C403" s="36" t="s">
        <v>5830</v>
      </c>
      <c r="D403" s="68">
        <v>120</v>
      </c>
      <c r="E403" s="46">
        <v>1</v>
      </c>
      <c r="F403" s="46" t="s">
        <v>5569</v>
      </c>
      <c r="G403" s="46" t="s">
        <v>5607</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5606</v>
      </c>
      <c r="AH403" s="46"/>
      <c r="AI403" s="46" t="s">
        <v>5528</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5719</v>
      </c>
      <c r="BI403" s="46"/>
      <c r="BJ403" s="46"/>
      <c r="BK403" s="46"/>
      <c r="BL403" s="46"/>
      <c r="BM403" s="46"/>
      <c r="BN403" s="46"/>
      <c r="BO403" s="46"/>
      <c r="BP403" s="46"/>
    </row>
    <row r="404" spans="1:68" ht="36">
      <c r="A404" s="36" t="s">
        <v>5568</v>
      </c>
      <c r="B404" s="36" t="s">
        <v>5767</v>
      </c>
      <c r="C404" s="36" t="s">
        <v>5830</v>
      </c>
      <c r="D404" s="68">
        <v>121</v>
      </c>
      <c r="E404" s="46">
        <v>1</v>
      </c>
      <c r="F404" s="46" t="s">
        <v>5569</v>
      </c>
      <c r="G404" s="46" t="s">
        <v>5608</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5606</v>
      </c>
      <c r="AH404" s="46"/>
      <c r="AI404" s="46" t="s">
        <v>5721</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5722</v>
      </c>
      <c r="BI404" s="46"/>
      <c r="BJ404" s="46"/>
      <c r="BK404" s="46"/>
      <c r="BL404" s="46"/>
      <c r="BM404" s="46"/>
      <c r="BN404" s="46"/>
      <c r="BO404" s="46"/>
      <c r="BP404" s="46"/>
    </row>
    <row r="405" spans="1:68" ht="96">
      <c r="A405" s="36" t="s">
        <v>5568</v>
      </c>
      <c r="B405" s="36" t="s">
        <v>5768</v>
      </c>
      <c r="C405" s="36" t="s">
        <v>5830</v>
      </c>
      <c r="D405" s="68">
        <v>122</v>
      </c>
      <c r="E405" s="46">
        <v>1</v>
      </c>
      <c r="F405" s="46" t="s">
        <v>5569</v>
      </c>
      <c r="G405" s="46" t="s">
        <v>5609</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5720</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5723</v>
      </c>
      <c r="BI405" s="46"/>
      <c r="BJ405" s="46"/>
      <c r="BK405" s="46"/>
      <c r="BL405" s="46"/>
      <c r="BM405" s="46"/>
      <c r="BN405" s="46"/>
      <c r="BO405" s="46"/>
      <c r="BP405" s="46"/>
    </row>
    <row r="406" spans="1:68" ht="36">
      <c r="A406" s="36" t="s">
        <v>5568</v>
      </c>
      <c r="B406" s="36" t="s">
        <v>5769</v>
      </c>
      <c r="C406" s="36" t="s">
        <v>5830</v>
      </c>
      <c r="D406" s="68">
        <v>123</v>
      </c>
      <c r="E406" s="46">
        <v>1</v>
      </c>
      <c r="F406" s="46" t="s">
        <v>5569</v>
      </c>
      <c r="G406" s="46" t="s">
        <v>5610</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5611</v>
      </c>
      <c r="AH406" s="46"/>
      <c r="AI406" s="46" t="s">
        <v>5724</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5725</v>
      </c>
      <c r="BI406" s="46"/>
      <c r="BJ406" s="46"/>
      <c r="BK406" s="46"/>
      <c r="BL406" s="46"/>
      <c r="BM406" s="46"/>
      <c r="BN406" s="46"/>
      <c r="BO406" s="46"/>
      <c r="BP406" s="46"/>
    </row>
    <row r="407" spans="1:68" ht="48">
      <c r="A407" s="36" t="s">
        <v>5568</v>
      </c>
      <c r="B407" s="36" t="s">
        <v>5770</v>
      </c>
      <c r="C407" s="36" t="s">
        <v>5830</v>
      </c>
      <c r="D407" s="68">
        <v>124</v>
      </c>
      <c r="E407" s="46">
        <v>1</v>
      </c>
      <c r="F407" s="46" t="s">
        <v>5569</v>
      </c>
      <c r="G407" s="46" t="s">
        <v>5612</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5611</v>
      </c>
      <c r="AH407" s="46"/>
      <c r="AI407" s="46" t="s">
        <v>5726</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5727</v>
      </c>
      <c r="BI407" s="46"/>
      <c r="BJ407" s="46"/>
      <c r="BK407" s="46"/>
      <c r="BL407" s="46"/>
      <c r="BM407" s="46"/>
      <c r="BN407" s="46"/>
      <c r="BO407" s="46"/>
      <c r="BP407" s="46"/>
    </row>
    <row r="408" spans="1:68" ht="36">
      <c r="A408" s="36" t="s">
        <v>5568</v>
      </c>
      <c r="B408" s="36" t="s">
        <v>5771</v>
      </c>
      <c r="C408" s="36" t="s">
        <v>5830</v>
      </c>
      <c r="D408" s="68">
        <v>125</v>
      </c>
      <c r="E408" s="46">
        <v>1</v>
      </c>
      <c r="F408" s="46" t="s">
        <v>5569</v>
      </c>
      <c r="G408" s="46" t="s">
        <v>5613</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5614</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5728</v>
      </c>
      <c r="BI408" s="46"/>
      <c r="BJ408" s="46"/>
      <c r="BK408" s="46"/>
      <c r="BL408" s="46"/>
      <c r="BM408" s="46"/>
      <c r="BN408" s="46"/>
      <c r="BO408" s="46"/>
      <c r="BP408" s="46"/>
    </row>
    <row r="409" spans="1:68" ht="24">
      <c r="A409" s="36" t="s">
        <v>5568</v>
      </c>
      <c r="B409" s="36" t="s">
        <v>5772</v>
      </c>
      <c r="C409" s="36" t="s">
        <v>5830</v>
      </c>
      <c r="D409" s="68">
        <v>126</v>
      </c>
      <c r="E409" s="46">
        <v>1</v>
      </c>
      <c r="F409" s="46" t="s">
        <v>5569</v>
      </c>
      <c r="G409" s="46" t="s">
        <v>5615</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5615</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5616</v>
      </c>
      <c r="BI409" s="46"/>
      <c r="BJ409" s="46"/>
      <c r="BK409" s="46"/>
      <c r="BL409" s="46"/>
      <c r="BM409" s="46"/>
      <c r="BN409" s="46"/>
      <c r="BO409" s="46"/>
      <c r="BP409" s="46"/>
    </row>
    <row r="410" spans="1:68" ht="36">
      <c r="A410" s="36" t="s">
        <v>5568</v>
      </c>
      <c r="B410" s="36" t="s">
        <v>5773</v>
      </c>
      <c r="C410" s="36" t="s">
        <v>5830</v>
      </c>
      <c r="D410" s="68">
        <v>127</v>
      </c>
      <c r="E410" s="46">
        <v>1</v>
      </c>
      <c r="F410" s="46" t="s">
        <v>5569</v>
      </c>
      <c r="G410" s="46" t="s">
        <v>5617</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5617</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5618</v>
      </c>
      <c r="BI410" s="46"/>
      <c r="BJ410" s="46"/>
      <c r="BK410" s="46"/>
      <c r="BL410" s="46"/>
      <c r="BM410" s="46"/>
      <c r="BN410" s="46"/>
      <c r="BO410" s="46"/>
      <c r="BP410" s="46"/>
    </row>
    <row r="411" spans="1:68" ht="24">
      <c r="A411" s="36" t="s">
        <v>5568</v>
      </c>
      <c r="B411" s="36" t="s">
        <v>5774</v>
      </c>
      <c r="C411" s="36" t="s">
        <v>5830</v>
      </c>
      <c r="D411" s="68">
        <v>128</v>
      </c>
      <c r="E411" s="46">
        <v>1</v>
      </c>
      <c r="F411" s="46" t="s">
        <v>5569</v>
      </c>
      <c r="G411" s="46" t="s">
        <v>5619</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5619</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5620</v>
      </c>
      <c r="BI411" s="46"/>
      <c r="BJ411" s="46"/>
      <c r="BK411" s="46"/>
      <c r="BL411" s="46"/>
      <c r="BM411" s="46"/>
      <c r="BN411" s="46"/>
      <c r="BO411" s="46"/>
      <c r="BP411" s="46"/>
    </row>
    <row r="412" spans="1:68" ht="24">
      <c r="A412" s="36" t="s">
        <v>5568</v>
      </c>
      <c r="B412" s="36" t="s">
        <v>5775</v>
      </c>
      <c r="C412" s="36" t="s">
        <v>5830</v>
      </c>
      <c r="D412" s="68">
        <v>129</v>
      </c>
      <c r="E412" s="46">
        <v>1</v>
      </c>
      <c r="F412" s="46" t="s">
        <v>5569</v>
      </c>
      <c r="G412" s="46" t="s">
        <v>5619</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5619</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5621</v>
      </c>
      <c r="BI412" s="46"/>
      <c r="BJ412" s="46"/>
      <c r="BK412" s="46"/>
      <c r="BL412" s="46"/>
      <c r="BM412" s="46"/>
      <c r="BN412" s="46"/>
      <c r="BO412" s="46"/>
      <c r="BP412" s="46"/>
    </row>
    <row r="413" spans="1:68" ht="24">
      <c r="A413" s="36" t="s">
        <v>5568</v>
      </c>
      <c r="B413" s="36" t="s">
        <v>5776</v>
      </c>
      <c r="C413" s="36" t="s">
        <v>5830</v>
      </c>
      <c r="D413" s="68">
        <v>130</v>
      </c>
      <c r="E413" s="46">
        <v>1</v>
      </c>
      <c r="F413" s="46" t="s">
        <v>5569</v>
      </c>
      <c r="G413" s="46" t="s">
        <v>5622</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5622</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5623</v>
      </c>
      <c r="BI413" s="46"/>
      <c r="BJ413" s="46"/>
      <c r="BK413" s="46"/>
      <c r="BL413" s="46"/>
      <c r="BM413" s="46"/>
      <c r="BN413" s="46"/>
      <c r="BO413" s="46"/>
      <c r="BP413" s="46"/>
    </row>
    <row r="414" spans="1:68" ht="24">
      <c r="A414" s="36" t="s">
        <v>5568</v>
      </c>
      <c r="B414" s="36" t="s">
        <v>5777</v>
      </c>
      <c r="C414" s="36" t="s">
        <v>5830</v>
      </c>
      <c r="D414" s="68">
        <v>131</v>
      </c>
      <c r="E414" s="46">
        <v>1</v>
      </c>
      <c r="F414" s="46" t="s">
        <v>5569</v>
      </c>
      <c r="G414" s="46" t="s">
        <v>5622</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5622</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5624</v>
      </c>
      <c r="BI414" s="46"/>
      <c r="BJ414" s="46"/>
      <c r="BK414" s="46"/>
      <c r="BL414" s="46"/>
      <c r="BM414" s="46"/>
      <c r="BN414" s="46"/>
      <c r="BO414" s="46"/>
      <c r="BP414" s="46"/>
    </row>
    <row r="415" spans="1:68" ht="24">
      <c r="A415" s="36" t="s">
        <v>5568</v>
      </c>
      <c r="B415" s="36" t="s">
        <v>5778</v>
      </c>
      <c r="C415" s="36" t="s">
        <v>5830</v>
      </c>
      <c r="D415" s="68">
        <v>132</v>
      </c>
      <c r="E415" s="46">
        <v>1</v>
      </c>
      <c r="F415" s="46" t="s">
        <v>5569</v>
      </c>
      <c r="G415" s="46" t="s">
        <v>5625</v>
      </c>
      <c r="I415" s="46"/>
      <c r="J415" s="46" t="s">
        <v>31</v>
      </c>
      <c r="K415" s="46"/>
      <c r="L415" s="46"/>
      <c r="M415" s="46"/>
      <c r="N415" s="117"/>
      <c r="O415" s="118"/>
      <c r="P415" s="119"/>
      <c r="Q415" s="120"/>
      <c r="R415" s="80"/>
      <c r="U415" s="118"/>
      <c r="V415" s="121"/>
      <c r="W415" s="122"/>
      <c r="X415" s="123"/>
      <c r="Y415" s="80"/>
      <c r="AA415" s="124"/>
      <c r="AB415" s="65"/>
      <c r="AC415" s="46"/>
      <c r="AD415" s="46" t="s">
        <v>5627</v>
      </c>
      <c r="AH415" s="46"/>
      <c r="AI415" s="46" t="s">
        <v>5625</v>
      </c>
      <c r="AJ415" s="46" t="s">
        <v>5626</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5627</v>
      </c>
      <c r="BG415" s="36" t="s">
        <v>5628</v>
      </c>
      <c r="BI415" s="46"/>
      <c r="BJ415" s="46"/>
      <c r="BK415" s="46"/>
      <c r="BL415" s="46"/>
      <c r="BM415" s="46"/>
      <c r="BN415" s="46"/>
      <c r="BO415" s="46"/>
      <c r="BP415" s="46"/>
    </row>
    <row r="416" spans="1:68" ht="24">
      <c r="A416" s="36" t="s">
        <v>5568</v>
      </c>
      <c r="B416" s="36" t="s">
        <v>5779</v>
      </c>
      <c r="C416" s="36" t="s">
        <v>5830</v>
      </c>
      <c r="D416" s="68">
        <v>133</v>
      </c>
      <c r="E416" s="46">
        <v>1</v>
      </c>
      <c r="F416" s="46" t="s">
        <v>5569</v>
      </c>
      <c r="G416" s="46" t="s">
        <v>5625</v>
      </c>
      <c r="I416" s="46"/>
      <c r="J416" s="46" t="s">
        <v>31</v>
      </c>
      <c r="K416" s="46"/>
      <c r="L416" s="46"/>
      <c r="M416" s="46"/>
      <c r="N416" s="117"/>
      <c r="O416" s="118"/>
      <c r="P416" s="119"/>
      <c r="Q416" s="120"/>
      <c r="R416" s="80"/>
      <c r="U416" s="118"/>
      <c r="V416" s="121"/>
      <c r="W416" s="122"/>
      <c r="X416" s="123"/>
      <c r="Y416" s="80"/>
      <c r="AA416" s="124"/>
      <c r="AB416" s="65"/>
      <c r="AC416" s="46"/>
      <c r="AD416" s="46" t="s">
        <v>5627</v>
      </c>
      <c r="AH416" s="46"/>
      <c r="AI416" s="46" t="s">
        <v>5625</v>
      </c>
      <c r="AJ416" s="46" t="s">
        <v>5629</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5627</v>
      </c>
      <c r="BG416" s="36" t="s">
        <v>5630</v>
      </c>
      <c r="BI416" s="46"/>
      <c r="BJ416" s="46"/>
      <c r="BK416" s="46"/>
      <c r="BL416" s="46"/>
      <c r="BM416" s="46"/>
      <c r="BN416" s="46"/>
      <c r="BO416" s="46"/>
      <c r="BP416" s="46"/>
    </row>
    <row r="417" spans="1:68" ht="24">
      <c r="A417" s="36" t="s">
        <v>5568</v>
      </c>
      <c r="B417" s="36" t="s">
        <v>5780</v>
      </c>
      <c r="C417" s="36" t="s">
        <v>5830</v>
      </c>
      <c r="D417" s="68">
        <v>134</v>
      </c>
      <c r="E417" s="46">
        <v>1</v>
      </c>
      <c r="F417" s="46" t="s">
        <v>5569</v>
      </c>
      <c r="G417" s="46" t="s">
        <v>5625</v>
      </c>
      <c r="I417" s="46"/>
      <c r="J417" s="46" t="s">
        <v>31</v>
      </c>
      <c r="K417" s="46"/>
      <c r="L417" s="46"/>
      <c r="M417" s="46"/>
      <c r="N417" s="117"/>
      <c r="O417" s="118"/>
      <c r="P417" s="119"/>
      <c r="Q417" s="120"/>
      <c r="R417" s="80"/>
      <c r="U417" s="118"/>
      <c r="V417" s="121"/>
      <c r="W417" s="122"/>
      <c r="X417" s="123"/>
      <c r="Y417" s="80"/>
      <c r="AA417" s="124"/>
      <c r="AB417" s="65"/>
      <c r="AC417" s="46"/>
      <c r="AD417" s="46" t="s">
        <v>5627</v>
      </c>
      <c r="AH417" s="46"/>
      <c r="AI417" s="46" t="s">
        <v>5625</v>
      </c>
      <c r="AJ417" s="46" t="s">
        <v>5631</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5627</v>
      </c>
      <c r="BG417" s="36" t="s">
        <v>5632</v>
      </c>
      <c r="BI417" s="46"/>
      <c r="BJ417" s="46"/>
      <c r="BK417" s="46"/>
      <c r="BL417" s="46"/>
      <c r="BM417" s="46"/>
      <c r="BN417" s="46"/>
      <c r="BO417" s="46"/>
      <c r="BP417" s="46"/>
    </row>
    <row r="418" spans="1:68" ht="24">
      <c r="A418" s="36" t="s">
        <v>5568</v>
      </c>
      <c r="B418" s="36" t="s">
        <v>5781</v>
      </c>
      <c r="C418" s="36" t="s">
        <v>5830</v>
      </c>
      <c r="D418" s="68">
        <v>135</v>
      </c>
      <c r="E418" s="46">
        <v>1</v>
      </c>
      <c r="F418" s="46" t="s">
        <v>5569</v>
      </c>
      <c r="G418" s="46" t="s">
        <v>5625</v>
      </c>
      <c r="I418" s="46"/>
      <c r="J418" s="46" t="s">
        <v>31</v>
      </c>
      <c r="K418" s="46"/>
      <c r="L418" s="46"/>
      <c r="M418" s="46"/>
      <c r="N418" s="117"/>
      <c r="O418" s="118"/>
      <c r="P418" s="119"/>
      <c r="Q418" s="120"/>
      <c r="R418" s="80"/>
      <c r="U418" s="118"/>
      <c r="V418" s="121"/>
      <c r="W418" s="122"/>
      <c r="X418" s="123"/>
      <c r="Y418" s="80"/>
      <c r="AA418" s="124"/>
      <c r="AB418" s="65"/>
      <c r="AC418" s="46"/>
      <c r="AD418" s="46" t="s">
        <v>5627</v>
      </c>
      <c r="AH418" s="46"/>
      <c r="AI418" s="46" t="s">
        <v>5625</v>
      </c>
      <c r="AJ418" s="46" t="s">
        <v>5633</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5627</v>
      </c>
      <c r="BG418" s="36" t="s">
        <v>5634</v>
      </c>
      <c r="BI418" s="46"/>
      <c r="BJ418" s="46"/>
      <c r="BK418" s="46"/>
      <c r="BL418" s="46"/>
      <c r="BM418" s="46"/>
      <c r="BN418" s="46"/>
      <c r="BO418" s="46"/>
      <c r="BP418" s="46"/>
    </row>
    <row r="419" spans="1:68" ht="24">
      <c r="A419" s="36" t="s">
        <v>5568</v>
      </c>
      <c r="B419" s="36" t="s">
        <v>5782</v>
      </c>
      <c r="C419" s="36" t="s">
        <v>5830</v>
      </c>
      <c r="D419" s="68">
        <v>136</v>
      </c>
      <c r="E419" s="46">
        <v>1</v>
      </c>
      <c r="F419" s="46" t="s">
        <v>5569</v>
      </c>
      <c r="G419" s="46" t="s">
        <v>5625</v>
      </c>
      <c r="I419" s="46"/>
      <c r="J419" s="46" t="s">
        <v>31</v>
      </c>
      <c r="K419" s="46"/>
      <c r="L419" s="46"/>
      <c r="M419" s="46"/>
      <c r="N419" s="117"/>
      <c r="O419" s="118"/>
      <c r="P419" s="119"/>
      <c r="Q419" s="120"/>
      <c r="R419" s="80"/>
      <c r="U419" s="118"/>
      <c r="V419" s="121"/>
      <c r="W419" s="122"/>
      <c r="X419" s="123"/>
      <c r="Y419" s="80"/>
      <c r="AA419" s="124"/>
      <c r="AB419" s="65"/>
      <c r="AC419" s="46"/>
      <c r="AD419" s="46" t="s">
        <v>5627</v>
      </c>
      <c r="AH419" s="46"/>
      <c r="AI419" s="46" t="s">
        <v>5625</v>
      </c>
      <c r="AJ419" s="46" t="s">
        <v>5635</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5627</v>
      </c>
      <c r="BG419" s="36" t="s">
        <v>5636</v>
      </c>
      <c r="BI419" s="46"/>
      <c r="BJ419" s="46"/>
      <c r="BK419" s="46"/>
      <c r="BL419" s="46"/>
      <c r="BM419" s="46"/>
      <c r="BN419" s="46"/>
      <c r="BO419" s="46"/>
      <c r="BP419" s="46"/>
    </row>
    <row r="420" spans="1:68" ht="24">
      <c r="A420" s="36" t="s">
        <v>5568</v>
      </c>
      <c r="B420" s="36" t="s">
        <v>5783</v>
      </c>
      <c r="C420" s="36" t="s">
        <v>5830</v>
      </c>
      <c r="D420" s="68">
        <v>137</v>
      </c>
      <c r="E420" s="46">
        <v>1</v>
      </c>
      <c r="F420" s="46" t="s">
        <v>5569</v>
      </c>
      <c r="G420" s="46" t="s">
        <v>5625</v>
      </c>
      <c r="I420" s="46"/>
      <c r="J420" s="46" t="s">
        <v>31</v>
      </c>
      <c r="K420" s="46"/>
      <c r="L420" s="46"/>
      <c r="M420" s="46"/>
      <c r="N420" s="117"/>
      <c r="O420" s="118"/>
      <c r="P420" s="119"/>
      <c r="Q420" s="120"/>
      <c r="R420" s="80"/>
      <c r="U420" s="118"/>
      <c r="V420" s="121"/>
      <c r="W420" s="122"/>
      <c r="X420" s="123"/>
      <c r="Y420" s="80"/>
      <c r="AA420" s="124"/>
      <c r="AB420" s="65"/>
      <c r="AC420" s="46"/>
      <c r="AD420" s="46" t="s">
        <v>5627</v>
      </c>
      <c r="AH420" s="46"/>
      <c r="AI420" s="46" t="s">
        <v>5625</v>
      </c>
      <c r="AJ420" s="46" t="s">
        <v>5637</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5627</v>
      </c>
      <c r="BG420" s="36" t="s">
        <v>5638</v>
      </c>
      <c r="BI420" s="46"/>
      <c r="BJ420" s="46"/>
      <c r="BK420" s="46"/>
      <c r="BL420" s="46"/>
      <c r="BM420" s="46"/>
      <c r="BN420" s="46"/>
      <c r="BO420" s="46"/>
      <c r="BP420" s="46"/>
    </row>
    <row r="421" spans="1:68" ht="48">
      <c r="A421" s="36" t="s">
        <v>5568</v>
      </c>
      <c r="B421" s="36" t="s">
        <v>5784</v>
      </c>
      <c r="C421" s="36" t="s">
        <v>5830</v>
      </c>
      <c r="D421" s="68">
        <v>138</v>
      </c>
      <c r="E421" s="46">
        <v>1</v>
      </c>
      <c r="F421" s="46" t="s">
        <v>5569</v>
      </c>
      <c r="G421" s="46" t="s">
        <v>5639</v>
      </c>
      <c r="H421" s="46" t="s">
        <v>5640</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5641</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60">
      <c r="A422" s="36" t="s">
        <v>5568</v>
      </c>
      <c r="B422" s="36" t="s">
        <v>5785</v>
      </c>
      <c r="C422" s="36" t="s">
        <v>5830</v>
      </c>
      <c r="D422" s="68">
        <v>139</v>
      </c>
      <c r="E422" s="46">
        <v>1</v>
      </c>
      <c r="F422" s="46" t="s">
        <v>5569</v>
      </c>
      <c r="G422" s="46" t="s">
        <v>5642</v>
      </c>
      <c r="H422" s="46" t="s">
        <v>5643</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5644</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24">
      <c r="A423" s="36" t="s">
        <v>5568</v>
      </c>
      <c r="B423" s="36" t="s">
        <v>5786</v>
      </c>
      <c r="C423" s="36" t="s">
        <v>5830</v>
      </c>
      <c r="D423" s="68">
        <v>140</v>
      </c>
      <c r="E423" s="46">
        <v>1</v>
      </c>
      <c r="F423" s="46" t="s">
        <v>5569</v>
      </c>
      <c r="G423" s="46" t="s">
        <v>4121</v>
      </c>
      <c r="H423" s="46" t="s">
        <v>5645</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5646</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5568</v>
      </c>
      <c r="B424" s="36" t="s">
        <v>5787</v>
      </c>
      <c r="C424" s="36" t="s">
        <v>5830</v>
      </c>
      <c r="D424" s="68">
        <v>141</v>
      </c>
      <c r="E424" s="46">
        <v>1</v>
      </c>
      <c r="F424" s="46" t="s">
        <v>5569</v>
      </c>
      <c r="G424" s="46" t="s">
        <v>5647</v>
      </c>
      <c r="H424" s="46" t="s">
        <v>5648</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5649</v>
      </c>
      <c r="AE424" s="37" t="s">
        <v>4707</v>
      </c>
      <c r="AF424" s="36" t="s">
        <v>5836</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5568</v>
      </c>
      <c r="B425" s="36" t="s">
        <v>5788</v>
      </c>
      <c r="C425" s="36" t="s">
        <v>5830</v>
      </c>
      <c r="D425" s="68">
        <v>142</v>
      </c>
      <c r="E425" s="46">
        <v>1</v>
      </c>
      <c r="F425" s="46" t="s">
        <v>5569</v>
      </c>
      <c r="G425" s="46" t="s">
        <v>5650</v>
      </c>
      <c r="H425" s="46"/>
      <c r="I425" s="46"/>
      <c r="J425" s="46" t="s">
        <v>28</v>
      </c>
      <c r="K425" s="46"/>
      <c r="L425" s="46"/>
      <c r="M425" s="46"/>
      <c r="N425" s="117"/>
      <c r="O425" s="118"/>
      <c r="P425" s="119"/>
      <c r="Q425" s="120"/>
      <c r="R425" s="80"/>
      <c r="U425" s="118"/>
      <c r="V425" s="121"/>
      <c r="W425" s="122"/>
      <c r="X425" s="123"/>
      <c r="Y425" s="80"/>
      <c r="AA425" s="124"/>
      <c r="AB425" s="65"/>
      <c r="AC425" s="46"/>
      <c r="AD425" s="46" t="s">
        <v>5517</v>
      </c>
      <c r="AF425" s="36" t="s">
        <v>5651</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5568</v>
      </c>
      <c r="B426" s="36" t="s">
        <v>5789</v>
      </c>
      <c r="C426" s="36" t="s">
        <v>5830</v>
      </c>
      <c r="D426" s="68">
        <v>143</v>
      </c>
      <c r="E426" s="46">
        <v>2</v>
      </c>
      <c r="F426" s="46" t="s">
        <v>5569</v>
      </c>
      <c r="G426" s="46" t="s">
        <v>5652</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5653</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5568</v>
      </c>
      <c r="B427" s="36" t="s">
        <v>5790</v>
      </c>
      <c r="C427" s="36" t="s">
        <v>5830</v>
      </c>
      <c r="D427" s="68">
        <v>144</v>
      </c>
      <c r="E427" s="46">
        <v>3</v>
      </c>
      <c r="F427" s="46" t="s">
        <v>5569</v>
      </c>
      <c r="G427" s="46" t="s">
        <v>5654</v>
      </c>
      <c r="H427" s="46"/>
      <c r="I427" s="46"/>
      <c r="J427" s="46" t="s">
        <v>28</v>
      </c>
      <c r="K427" s="46"/>
      <c r="L427" s="46"/>
      <c r="M427" s="46"/>
      <c r="N427" s="117"/>
      <c r="O427" s="118"/>
      <c r="P427" s="119"/>
      <c r="Q427" s="120"/>
      <c r="R427" s="80"/>
      <c r="U427" s="118"/>
      <c r="V427" s="121"/>
      <c r="W427" s="122"/>
      <c r="X427" s="123"/>
      <c r="Y427" s="80"/>
      <c r="AA427" s="124"/>
      <c r="AB427" s="65"/>
      <c r="AC427" s="46"/>
      <c r="AD427" s="46" t="s">
        <v>5517</v>
      </c>
      <c r="AF427" s="36" t="s">
        <v>5655</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5568</v>
      </c>
      <c r="B428" s="36" t="s">
        <v>5791</v>
      </c>
      <c r="C428" s="36" t="s">
        <v>5830</v>
      </c>
      <c r="D428" s="68">
        <v>145</v>
      </c>
      <c r="E428" s="46">
        <v>2</v>
      </c>
      <c r="F428" s="46" t="s">
        <v>5569</v>
      </c>
      <c r="G428" s="46" t="s">
        <v>5656</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5657</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5568</v>
      </c>
      <c r="B429" s="36" t="s">
        <v>5792</v>
      </c>
      <c r="C429" s="36" t="s">
        <v>5830</v>
      </c>
      <c r="D429" s="68">
        <v>146</v>
      </c>
      <c r="E429" s="46">
        <v>2</v>
      </c>
      <c r="F429" s="46" t="s">
        <v>5569</v>
      </c>
      <c r="G429" s="46" t="s">
        <v>5658</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5659</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5571</v>
      </c>
      <c r="B430" s="127" t="s">
        <v>5793</v>
      </c>
      <c r="C430" s="67" t="s">
        <v>5831</v>
      </c>
      <c r="D430" s="66">
        <v>147</v>
      </c>
      <c r="E430" s="67">
        <v>2</v>
      </c>
      <c r="F430" s="67"/>
      <c r="G430" s="67" t="s">
        <v>5667</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5694</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5571</v>
      </c>
      <c r="B431" s="46" t="s">
        <v>5794</v>
      </c>
      <c r="C431" s="46" t="s">
        <v>5831</v>
      </c>
      <c r="D431" s="68">
        <v>148</v>
      </c>
      <c r="E431" s="46">
        <v>2</v>
      </c>
      <c r="G431" s="46" t="s">
        <v>5661</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5660</v>
      </c>
      <c r="AE431" s="37"/>
      <c r="AF431" s="36" t="s">
        <v>5662</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5571</v>
      </c>
      <c r="B432" s="46" t="s">
        <v>5795</v>
      </c>
      <c r="C432" s="46" t="s">
        <v>5831</v>
      </c>
      <c r="D432" s="68">
        <v>149</v>
      </c>
      <c r="E432" s="46">
        <v>2</v>
      </c>
      <c r="G432" s="46" t="s">
        <v>5668</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5695</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5571</v>
      </c>
      <c r="B433" s="46" t="s">
        <v>5796</v>
      </c>
      <c r="C433" s="46" t="s">
        <v>5831</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5669</v>
      </c>
      <c r="AE433" s="37"/>
      <c r="AF433" s="36" t="s">
        <v>5670</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5571</v>
      </c>
      <c r="B434" s="46" t="s">
        <v>5797</v>
      </c>
      <c r="C434" s="46" t="s">
        <v>5831</v>
      </c>
      <c r="D434" s="68">
        <v>151</v>
      </c>
      <c r="E434" s="46">
        <v>2</v>
      </c>
      <c r="G434" s="46" t="s">
        <v>5663</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5664</v>
      </c>
      <c r="AE434" s="37"/>
      <c r="AF434" s="36" t="s">
        <v>5665</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5571</v>
      </c>
      <c r="B435" s="46" t="s">
        <v>5798</v>
      </c>
      <c r="C435" s="46" t="s">
        <v>5831</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5696</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5571</v>
      </c>
      <c r="B436" s="46" t="s">
        <v>5799</v>
      </c>
      <c r="C436" s="46" t="s">
        <v>5831</v>
      </c>
      <c r="D436" s="68">
        <v>153</v>
      </c>
      <c r="E436" s="46">
        <v>2</v>
      </c>
      <c r="G436" s="46" t="s">
        <v>5671</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5697</v>
      </c>
      <c r="AG436" s="36"/>
      <c r="AP436" s="125"/>
      <c r="AQ436" s="118"/>
      <c r="AR436" s="119"/>
      <c r="AS436" s="120"/>
      <c r="AT436" s="80"/>
      <c r="AU436" s="81"/>
      <c r="AV436" s="118"/>
      <c r="AW436" s="121"/>
      <c r="AX436" s="122"/>
      <c r="AY436" s="123"/>
      <c r="AZ436" s="80"/>
      <c r="BA436" s="81"/>
      <c r="BB436" s="124"/>
      <c r="BF436" s="37"/>
      <c r="BG436" s="36"/>
      <c r="BH436" s="36"/>
    </row>
    <row r="437" spans="1:60" s="46" customFormat="1" ht="48">
      <c r="A437" s="46" t="s">
        <v>5571</v>
      </c>
      <c r="B437" s="46" t="s">
        <v>5800</v>
      </c>
      <c r="C437" s="46" t="s">
        <v>5831</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5698</v>
      </c>
      <c r="AG437" s="36"/>
      <c r="AP437" s="125"/>
      <c r="AQ437" s="118"/>
      <c r="AR437" s="119"/>
      <c r="AS437" s="120"/>
      <c r="AT437" s="80"/>
      <c r="AU437" s="81"/>
      <c r="AV437" s="118"/>
      <c r="AW437" s="121"/>
      <c r="AX437" s="122"/>
      <c r="AY437" s="123"/>
      <c r="AZ437" s="80"/>
      <c r="BA437" s="81"/>
      <c r="BB437" s="124"/>
      <c r="BF437" s="37"/>
      <c r="BG437" s="36"/>
      <c r="BH437" s="36"/>
    </row>
    <row r="438" spans="1:60" s="46" customFormat="1" ht="15">
      <c r="A438" s="46" t="s">
        <v>5571</v>
      </c>
      <c r="B438" s="46" t="s">
        <v>5801</v>
      </c>
      <c r="C438" s="46" t="s">
        <v>5831</v>
      </c>
      <c r="D438" s="68">
        <v>155</v>
      </c>
      <c r="E438" s="46">
        <v>2</v>
      </c>
      <c r="G438" s="46" t="s">
        <v>5672</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5699</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5571</v>
      </c>
      <c r="B439" s="46" t="s">
        <v>5802</v>
      </c>
      <c r="C439" s="46" t="s">
        <v>5831</v>
      </c>
      <c r="D439" s="68">
        <v>156</v>
      </c>
      <c r="E439" s="46">
        <v>2</v>
      </c>
      <c r="G439" s="46" t="s">
        <v>5673</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5700</v>
      </c>
      <c r="AG439" s="36"/>
      <c r="AP439" s="125"/>
      <c r="AQ439" s="118"/>
      <c r="AR439" s="119"/>
      <c r="AS439" s="120"/>
      <c r="AT439" s="80"/>
      <c r="AU439" s="81"/>
      <c r="AV439" s="118"/>
      <c r="AW439" s="121"/>
      <c r="AX439" s="122"/>
      <c r="AY439" s="123"/>
      <c r="AZ439" s="80"/>
      <c r="BA439" s="81"/>
      <c r="BB439" s="124"/>
      <c r="BF439" s="37"/>
      <c r="BG439" s="36"/>
      <c r="BH439" s="36"/>
    </row>
    <row r="440" spans="1:60" s="46" customFormat="1" ht="15">
      <c r="A440" s="46" t="s">
        <v>5571</v>
      </c>
      <c r="B440" s="46" t="s">
        <v>5803</v>
      </c>
      <c r="C440" s="46" t="s">
        <v>5831</v>
      </c>
      <c r="D440" s="68">
        <v>157</v>
      </c>
      <c r="E440" s="46">
        <v>2</v>
      </c>
      <c r="G440" s="46" t="s">
        <v>5674</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5833</v>
      </c>
      <c r="AF440" s="36" t="s">
        <v>5832</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5571</v>
      </c>
      <c r="B441" s="46" t="s">
        <v>5804</v>
      </c>
      <c r="C441" s="46" t="s">
        <v>5831</v>
      </c>
      <c r="D441" s="68">
        <v>158</v>
      </c>
      <c r="E441" s="46">
        <v>2</v>
      </c>
      <c r="G441" s="46" t="s">
        <v>5666</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5834</v>
      </c>
      <c r="AF441" s="36" t="s">
        <v>5835</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5571</v>
      </c>
      <c r="B442" s="46" t="s">
        <v>5805</v>
      </c>
      <c r="C442" s="46" t="s">
        <v>5831</v>
      </c>
      <c r="D442" s="68">
        <v>159</v>
      </c>
      <c r="E442" s="46">
        <v>1</v>
      </c>
      <c r="F442" s="46" t="s">
        <v>5572</v>
      </c>
      <c r="G442" s="46" t="s">
        <v>5572</v>
      </c>
      <c r="H442" s="46" t="s">
        <v>4563</v>
      </c>
      <c r="J442" s="46" t="s">
        <v>4472</v>
      </c>
      <c r="N442" s="117"/>
      <c r="O442" s="118"/>
      <c r="P442" s="119"/>
      <c r="Q442" s="120"/>
      <c r="R442" s="80"/>
      <c r="S442" s="126"/>
      <c r="T442" s="81"/>
      <c r="U442" s="118"/>
      <c r="V442" s="121"/>
      <c r="W442" s="122"/>
      <c r="X442" s="123"/>
      <c r="Y442" s="80"/>
      <c r="Z442" s="81"/>
      <c r="AA442" s="124"/>
      <c r="AB442" s="65"/>
      <c r="AE442" s="37"/>
      <c r="AF442" s="36" t="s">
        <v>5701</v>
      </c>
      <c r="AG442" s="36"/>
      <c r="AI442" s="46" t="s">
        <v>5572</v>
      </c>
      <c r="AJ442" s="46" t="s">
        <v>4564</v>
      </c>
      <c r="AL442" s="46" t="s">
        <v>4472</v>
      </c>
      <c r="AP442" s="125"/>
      <c r="AQ442" s="118"/>
      <c r="AR442" s="119"/>
      <c r="AS442" s="120"/>
      <c r="AT442" s="80"/>
      <c r="AU442" s="81"/>
      <c r="AV442" s="118"/>
      <c r="AW442" s="121"/>
      <c r="AX442" s="122"/>
      <c r="AY442" s="123"/>
      <c r="AZ442" s="80"/>
      <c r="BA442" s="81"/>
      <c r="BB442" s="124"/>
      <c r="BF442" s="37"/>
      <c r="BG442" s="36" t="s">
        <v>5729</v>
      </c>
      <c r="BH442" s="36"/>
    </row>
    <row r="443" spans="1:60" s="46" customFormat="1" ht="48">
      <c r="A443" s="46" t="s">
        <v>5571</v>
      </c>
      <c r="B443" s="46" t="s">
        <v>5806</v>
      </c>
      <c r="C443" s="46" t="s">
        <v>5831</v>
      </c>
      <c r="D443" s="68">
        <v>160</v>
      </c>
      <c r="E443" s="46">
        <v>1</v>
      </c>
      <c r="F443" s="46" t="s">
        <v>5572</v>
      </c>
      <c r="G443" s="46" t="s">
        <v>5675</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5730</v>
      </c>
      <c r="AL443" s="46" t="s">
        <v>4473</v>
      </c>
      <c r="AN443" s="46">
        <v>1</v>
      </c>
      <c r="AP443" s="125"/>
      <c r="AQ443" s="118"/>
      <c r="AR443" s="119"/>
      <c r="AS443" s="120"/>
      <c r="AT443" s="80"/>
      <c r="AU443" s="81"/>
      <c r="AV443" s="118"/>
      <c r="AW443" s="121"/>
      <c r="AX443" s="122"/>
      <c r="AY443" s="123"/>
      <c r="AZ443" s="80"/>
      <c r="BA443" s="81"/>
      <c r="BB443" s="124"/>
      <c r="BF443" s="37"/>
      <c r="BG443" s="36" t="s">
        <v>5731</v>
      </c>
      <c r="BH443" s="36"/>
    </row>
    <row r="444" spans="1:60" s="46" customFormat="1" ht="48">
      <c r="A444" s="46" t="s">
        <v>5571</v>
      </c>
      <c r="B444" s="46" t="s">
        <v>5807</v>
      </c>
      <c r="C444" s="46" t="s">
        <v>5831</v>
      </c>
      <c r="D444" s="68">
        <v>161</v>
      </c>
      <c r="E444" s="46">
        <v>1</v>
      </c>
      <c r="F444" s="46" t="s">
        <v>5572</v>
      </c>
      <c r="G444" s="46" t="s">
        <v>5676</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5732</v>
      </c>
      <c r="AL444" s="46" t="s">
        <v>4473</v>
      </c>
      <c r="AN444" s="46">
        <v>2</v>
      </c>
      <c r="AP444" s="125"/>
      <c r="AQ444" s="118"/>
      <c r="AR444" s="119"/>
      <c r="AS444" s="120"/>
      <c r="AT444" s="80"/>
      <c r="AU444" s="81"/>
      <c r="AV444" s="118"/>
      <c r="AW444" s="121"/>
      <c r="AX444" s="122"/>
      <c r="AY444" s="123"/>
      <c r="AZ444" s="80"/>
      <c r="BA444" s="81"/>
      <c r="BB444" s="124"/>
      <c r="BF444" s="37"/>
      <c r="BG444" s="36" t="s">
        <v>5731</v>
      </c>
      <c r="BH444" s="36"/>
    </row>
    <row r="445" spans="1:60" s="46" customFormat="1" ht="60">
      <c r="A445" s="46" t="s">
        <v>5571</v>
      </c>
      <c r="B445" s="46" t="s">
        <v>5808</v>
      </c>
      <c r="C445" s="46" t="s">
        <v>5831</v>
      </c>
      <c r="D445" s="68">
        <v>162</v>
      </c>
      <c r="E445" s="46">
        <v>1</v>
      </c>
      <c r="F445" s="46" t="s">
        <v>5572</v>
      </c>
      <c r="G445" s="46" t="s">
        <v>5677</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5733</v>
      </c>
      <c r="AL445" s="46" t="s">
        <v>4473</v>
      </c>
      <c r="AN445" s="46">
        <v>3</v>
      </c>
      <c r="AP445" s="125"/>
      <c r="AQ445" s="118"/>
      <c r="AR445" s="119"/>
      <c r="AS445" s="120"/>
      <c r="AT445" s="80"/>
      <c r="AU445" s="81"/>
      <c r="AV445" s="118"/>
      <c r="AW445" s="121"/>
      <c r="AX445" s="122"/>
      <c r="AY445" s="123"/>
      <c r="AZ445" s="80"/>
      <c r="BA445" s="81"/>
      <c r="BB445" s="124"/>
      <c r="BF445" s="37"/>
      <c r="BG445" s="36" t="s">
        <v>5734</v>
      </c>
      <c r="BH445" s="36"/>
    </row>
    <row r="446" spans="1:60" s="46" customFormat="1" ht="60">
      <c r="A446" s="46" t="s">
        <v>5571</v>
      </c>
      <c r="B446" s="46" t="s">
        <v>5809</v>
      </c>
      <c r="C446" s="46" t="s">
        <v>5831</v>
      </c>
      <c r="D446" s="68">
        <v>163</v>
      </c>
      <c r="E446" s="46">
        <v>1</v>
      </c>
      <c r="F446" s="46" t="s">
        <v>5572</v>
      </c>
      <c r="G446" s="46" t="s">
        <v>5678</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5735</v>
      </c>
      <c r="AL446" s="46" t="s">
        <v>4473</v>
      </c>
      <c r="AN446" s="46">
        <v>4</v>
      </c>
      <c r="AP446" s="125"/>
      <c r="AQ446" s="118"/>
      <c r="AR446" s="119"/>
      <c r="AS446" s="120"/>
      <c r="AT446" s="80"/>
      <c r="AU446" s="81"/>
      <c r="AV446" s="118"/>
      <c r="AW446" s="121"/>
      <c r="AX446" s="122"/>
      <c r="AY446" s="123"/>
      <c r="AZ446" s="80"/>
      <c r="BA446" s="81"/>
      <c r="BB446" s="124"/>
      <c r="BF446" s="37"/>
      <c r="BG446" s="36" t="s">
        <v>5734</v>
      </c>
      <c r="BH446" s="36"/>
    </row>
    <row r="447" spans="1:60" s="46" customFormat="1" ht="15">
      <c r="A447" s="46" t="s">
        <v>5571</v>
      </c>
      <c r="B447" s="46" t="s">
        <v>5810</v>
      </c>
      <c r="C447" s="46" t="s">
        <v>5831</v>
      </c>
      <c r="D447" s="68">
        <v>164</v>
      </c>
      <c r="E447" s="46">
        <v>1</v>
      </c>
      <c r="F447" s="46" t="s">
        <v>5572</v>
      </c>
      <c r="G447" s="46" t="s">
        <v>5679</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5736</v>
      </c>
      <c r="AL447" s="46" t="s">
        <v>4473</v>
      </c>
      <c r="AN447" s="46">
        <v>5</v>
      </c>
      <c r="AP447" s="125"/>
      <c r="AQ447" s="118"/>
      <c r="AR447" s="119"/>
      <c r="AS447" s="120"/>
      <c r="AT447" s="80"/>
      <c r="AU447" s="81"/>
      <c r="AV447" s="118"/>
      <c r="AW447" s="121"/>
      <c r="AX447" s="122"/>
      <c r="AY447" s="123"/>
      <c r="AZ447" s="80"/>
      <c r="BA447" s="81"/>
      <c r="BB447" s="124"/>
      <c r="BF447" s="37"/>
      <c r="BG447" s="36" t="s">
        <v>5737</v>
      </c>
      <c r="BH447" s="36"/>
    </row>
    <row r="448" spans="1:60" s="46" customFormat="1" ht="96">
      <c r="A448" s="46" t="s">
        <v>5571</v>
      </c>
      <c r="B448" s="46" t="s">
        <v>5811</v>
      </c>
      <c r="C448" s="46" t="s">
        <v>5831</v>
      </c>
      <c r="D448" s="68">
        <v>165</v>
      </c>
      <c r="E448" s="46">
        <v>1</v>
      </c>
      <c r="F448" s="46" t="s">
        <v>5572</v>
      </c>
      <c r="G448" s="46" t="s">
        <v>5680</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5702</v>
      </c>
      <c r="AG448" s="36"/>
      <c r="AI448" s="46" t="s">
        <v>5738</v>
      </c>
      <c r="AL448" s="46" t="s">
        <v>4475</v>
      </c>
      <c r="AN448" s="46">
        <v>1</v>
      </c>
      <c r="AP448" s="125"/>
      <c r="AQ448" s="118"/>
      <c r="AR448" s="119"/>
      <c r="AS448" s="120"/>
      <c r="AT448" s="80"/>
      <c r="AU448" s="81"/>
      <c r="AV448" s="118"/>
      <c r="AW448" s="121"/>
      <c r="AX448" s="122"/>
      <c r="AY448" s="123"/>
      <c r="AZ448" s="80"/>
      <c r="BA448" s="81"/>
      <c r="BB448" s="124"/>
      <c r="BF448" s="37"/>
      <c r="BG448" s="36" t="s">
        <v>5739</v>
      </c>
      <c r="BH448" s="36"/>
    </row>
    <row r="449" spans="1:62" s="46" customFormat="1" ht="24">
      <c r="A449" s="46" t="s">
        <v>5571</v>
      </c>
      <c r="B449" s="46" t="s">
        <v>5812</v>
      </c>
      <c r="C449" s="46" t="s">
        <v>5831</v>
      </c>
      <c r="D449" s="68">
        <v>166</v>
      </c>
      <c r="E449" s="46">
        <v>1</v>
      </c>
      <c r="F449" s="46" t="s">
        <v>5572</v>
      </c>
      <c r="G449" s="46" t="s">
        <v>5681</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5703</v>
      </c>
      <c r="AG449" s="36"/>
      <c r="AI449" s="46" t="s">
        <v>5740</v>
      </c>
      <c r="AL449" s="46" t="s">
        <v>4475</v>
      </c>
      <c r="AN449" s="46">
        <v>2</v>
      </c>
      <c r="AP449" s="125"/>
      <c r="AQ449" s="118"/>
      <c r="AR449" s="119"/>
      <c r="AS449" s="120"/>
      <c r="AT449" s="80"/>
      <c r="AU449" s="81"/>
      <c r="AV449" s="118"/>
      <c r="AW449" s="121"/>
      <c r="AX449" s="122"/>
      <c r="AY449" s="123"/>
      <c r="AZ449" s="80"/>
      <c r="BA449" s="81"/>
      <c r="BB449" s="124"/>
      <c r="BF449" s="37"/>
      <c r="BG449" s="36" t="s">
        <v>5741</v>
      </c>
      <c r="BH449" s="36"/>
    </row>
    <row r="450" spans="1:62" s="46" customFormat="1" ht="48">
      <c r="A450" s="46" t="s">
        <v>5571</v>
      </c>
      <c r="B450" s="46" t="s">
        <v>5813</v>
      </c>
      <c r="C450" s="46" t="s">
        <v>5831</v>
      </c>
      <c r="D450" s="68">
        <v>167</v>
      </c>
      <c r="E450" s="46">
        <v>1</v>
      </c>
      <c r="F450" s="46" t="s">
        <v>5572</v>
      </c>
      <c r="G450" s="46" t="s">
        <v>5682</v>
      </c>
      <c r="J450" s="46" t="s">
        <v>31</v>
      </c>
      <c r="N450" s="117"/>
      <c r="O450" s="118"/>
      <c r="P450" s="119"/>
      <c r="Q450" s="120"/>
      <c r="R450" s="80"/>
      <c r="S450" s="126"/>
      <c r="T450" s="81"/>
      <c r="U450" s="118"/>
      <c r="V450" s="121"/>
      <c r="W450" s="122"/>
      <c r="X450" s="123"/>
      <c r="Y450" s="80"/>
      <c r="Z450" s="81"/>
      <c r="AA450" s="124"/>
      <c r="AB450" s="65"/>
      <c r="AD450" s="46" t="s">
        <v>5683</v>
      </c>
      <c r="AE450" s="37"/>
      <c r="AF450" s="36" t="s">
        <v>5742</v>
      </c>
      <c r="AG450" s="36"/>
      <c r="AI450" s="46" t="s">
        <v>5743</v>
      </c>
      <c r="AL450" s="46" t="s">
        <v>31</v>
      </c>
      <c r="AP450" s="125"/>
      <c r="AQ450" s="118"/>
      <c r="AR450" s="119"/>
      <c r="AS450" s="120"/>
      <c r="AT450" s="80"/>
      <c r="AU450" s="81"/>
      <c r="AV450" s="118"/>
      <c r="AW450" s="121"/>
      <c r="AX450" s="122"/>
      <c r="AY450" s="123">
        <v>1</v>
      </c>
      <c r="AZ450" s="80" t="s">
        <v>4966</v>
      </c>
      <c r="BA450" s="81"/>
      <c r="BB450" s="124"/>
      <c r="BF450" s="37"/>
      <c r="BG450" s="36" t="s">
        <v>5704</v>
      </c>
      <c r="BH450" s="36"/>
    </row>
    <row r="451" spans="1:62" s="46" customFormat="1" ht="48">
      <c r="A451" s="46" t="s">
        <v>5571</v>
      </c>
      <c r="B451" s="128" t="s">
        <v>5814</v>
      </c>
      <c r="C451" s="46" t="s">
        <v>5831</v>
      </c>
      <c r="D451" s="68">
        <v>168</v>
      </c>
      <c r="E451" s="46">
        <v>1</v>
      </c>
      <c r="F451" s="46" t="s">
        <v>5572</v>
      </c>
      <c r="G451" s="46" t="s">
        <v>5682</v>
      </c>
      <c r="J451" s="46" t="s">
        <v>31</v>
      </c>
      <c r="N451" s="117"/>
      <c r="O451" s="118"/>
      <c r="P451" s="119"/>
      <c r="Q451" s="120"/>
      <c r="R451" s="80"/>
      <c r="S451" s="126"/>
      <c r="T451" s="81"/>
      <c r="U451" s="118"/>
      <c r="V451" s="121"/>
      <c r="W451" s="122"/>
      <c r="X451" s="123"/>
      <c r="Y451" s="80"/>
      <c r="Z451" s="81"/>
      <c r="AA451" s="124"/>
      <c r="AB451" s="65"/>
      <c r="AD451" s="46" t="s">
        <v>5683</v>
      </c>
      <c r="AE451" s="37"/>
      <c r="AF451" s="36" t="s">
        <v>5742</v>
      </c>
      <c r="AG451" s="36"/>
      <c r="AI451" s="46" t="s">
        <v>5743</v>
      </c>
      <c r="AL451" s="46" t="s">
        <v>31</v>
      </c>
      <c r="AP451" s="125"/>
      <c r="AQ451" s="118"/>
      <c r="AR451" s="119"/>
      <c r="AS451" s="120"/>
      <c r="AT451" s="80"/>
      <c r="AU451" s="81"/>
      <c r="AV451" s="118"/>
      <c r="AW451" s="121"/>
      <c r="AX451" s="122"/>
      <c r="AY451" s="123">
        <v>4</v>
      </c>
      <c r="AZ451" s="42" t="s">
        <v>4927</v>
      </c>
      <c r="BA451" s="81"/>
      <c r="BB451" s="124"/>
      <c r="BF451" s="37"/>
      <c r="BG451" s="36" t="s">
        <v>5705</v>
      </c>
      <c r="BH451" s="36"/>
    </row>
    <row r="452" spans="1:62" s="46" customFormat="1" ht="48">
      <c r="A452" s="46" t="s">
        <v>5571</v>
      </c>
      <c r="B452" s="46" t="s">
        <v>5815</v>
      </c>
      <c r="C452" s="46" t="s">
        <v>5831</v>
      </c>
      <c r="D452" s="68">
        <v>169</v>
      </c>
      <c r="E452" s="46">
        <v>1</v>
      </c>
      <c r="F452" s="46" t="s">
        <v>5572</v>
      </c>
      <c r="G452" s="46" t="s">
        <v>5682</v>
      </c>
      <c r="J452" s="46" t="s">
        <v>31</v>
      </c>
      <c r="N452" s="117"/>
      <c r="O452" s="118"/>
      <c r="P452" s="119"/>
      <c r="Q452" s="120"/>
      <c r="R452" s="80"/>
      <c r="S452" s="126"/>
      <c r="T452" s="81"/>
      <c r="U452" s="118"/>
      <c r="V452" s="121"/>
      <c r="W452" s="122"/>
      <c r="X452" s="123"/>
      <c r="Y452" s="80"/>
      <c r="Z452" s="81"/>
      <c r="AA452" s="124"/>
      <c r="AB452" s="65"/>
      <c r="AD452" s="46" t="s">
        <v>5683</v>
      </c>
      <c r="AE452" s="37"/>
      <c r="AF452" s="36" t="s">
        <v>5742</v>
      </c>
      <c r="AG452" s="36"/>
      <c r="AI452" s="46" t="s">
        <v>5743</v>
      </c>
      <c r="AL452" s="46" t="s">
        <v>31</v>
      </c>
      <c r="AP452" s="125"/>
      <c r="AQ452" s="118"/>
      <c r="AR452" s="119"/>
      <c r="AS452" s="120"/>
      <c r="AT452" s="80"/>
      <c r="AU452" s="81"/>
      <c r="AV452" s="118"/>
      <c r="AW452" s="121"/>
      <c r="AX452" s="122"/>
      <c r="AY452" s="123">
        <v>2</v>
      </c>
      <c r="AZ452" s="80" t="s">
        <v>4965</v>
      </c>
      <c r="BA452" s="81"/>
      <c r="BB452" s="124"/>
      <c r="BF452" s="37"/>
      <c r="BG452" s="36" t="s">
        <v>5706</v>
      </c>
      <c r="BH452" s="36"/>
    </row>
    <row r="453" spans="1:62" s="46" customFormat="1" ht="48">
      <c r="A453" s="46" t="s">
        <v>5571</v>
      </c>
      <c r="B453" s="46" t="s">
        <v>5816</v>
      </c>
      <c r="C453" s="46" t="s">
        <v>5831</v>
      </c>
      <c r="D453" s="68">
        <v>170</v>
      </c>
      <c r="E453" s="46">
        <v>1</v>
      </c>
      <c r="F453" s="46" t="s">
        <v>5572</v>
      </c>
      <c r="G453" s="46" t="s">
        <v>5682</v>
      </c>
      <c r="J453" s="46" t="s">
        <v>31</v>
      </c>
      <c r="N453" s="117"/>
      <c r="O453" s="118"/>
      <c r="P453" s="119"/>
      <c r="Q453" s="120"/>
      <c r="R453" s="80"/>
      <c r="S453" s="126"/>
      <c r="T453" s="81"/>
      <c r="U453" s="118"/>
      <c r="V453" s="121"/>
      <c r="W453" s="122"/>
      <c r="X453" s="123"/>
      <c r="Y453" s="80"/>
      <c r="Z453" s="81"/>
      <c r="AA453" s="124"/>
      <c r="AB453" s="65"/>
      <c r="AD453" s="46" t="s">
        <v>5683</v>
      </c>
      <c r="AE453" s="37"/>
      <c r="AF453" s="36" t="s">
        <v>5742</v>
      </c>
      <c r="AG453" s="36"/>
      <c r="AI453" s="46" t="s">
        <v>5743</v>
      </c>
      <c r="AL453" s="46" t="s">
        <v>31</v>
      </c>
      <c r="AP453" s="125"/>
      <c r="AQ453" s="118"/>
      <c r="AR453" s="119"/>
      <c r="AS453" s="120"/>
      <c r="AT453" s="80"/>
      <c r="AU453" s="81"/>
      <c r="AV453" s="118"/>
      <c r="AW453" s="121"/>
      <c r="AX453" s="122"/>
      <c r="AY453" s="123">
        <v>3</v>
      </c>
      <c r="AZ453" s="80" t="s">
        <v>4965</v>
      </c>
      <c r="BA453" s="81"/>
      <c r="BB453" s="124"/>
      <c r="BF453" s="37"/>
      <c r="BG453" s="36" t="s">
        <v>5707</v>
      </c>
      <c r="BH453" s="36"/>
    </row>
    <row r="454" spans="1:62" s="46" customFormat="1" ht="48">
      <c r="A454" s="46" t="s">
        <v>5571</v>
      </c>
      <c r="B454" s="46" t="s">
        <v>5817</v>
      </c>
      <c r="C454" s="46" t="s">
        <v>5831</v>
      </c>
      <c r="D454" s="68">
        <v>171</v>
      </c>
      <c r="E454" s="46">
        <v>1</v>
      </c>
      <c r="F454" s="46" t="s">
        <v>5572</v>
      </c>
      <c r="G454" s="46" t="s">
        <v>5682</v>
      </c>
      <c r="J454" s="46" t="s">
        <v>31</v>
      </c>
      <c r="N454" s="117"/>
      <c r="O454" s="118"/>
      <c r="P454" s="119"/>
      <c r="Q454" s="120"/>
      <c r="R454" s="80"/>
      <c r="S454" s="126"/>
      <c r="T454" s="81"/>
      <c r="U454" s="118"/>
      <c r="V454" s="121"/>
      <c r="W454" s="122"/>
      <c r="X454" s="123"/>
      <c r="Y454" s="80"/>
      <c r="Z454" s="81"/>
      <c r="AA454" s="124"/>
      <c r="AB454" s="65"/>
      <c r="AD454" s="46" t="s">
        <v>5683</v>
      </c>
      <c r="AE454" s="37"/>
      <c r="AF454" s="36" t="s">
        <v>5742</v>
      </c>
      <c r="AG454" s="36"/>
      <c r="AI454" s="46" t="s">
        <v>5743</v>
      </c>
      <c r="AL454" s="46" t="s">
        <v>31</v>
      </c>
      <c r="AP454" s="125"/>
      <c r="AQ454" s="118"/>
      <c r="AR454" s="119"/>
      <c r="AS454" s="120"/>
      <c r="AT454" s="80"/>
      <c r="AU454" s="81"/>
      <c r="AV454" s="118"/>
      <c r="AW454" s="121"/>
      <c r="AX454" s="122"/>
      <c r="AY454" s="123">
        <v>1</v>
      </c>
      <c r="AZ454" s="80" t="s">
        <v>4927</v>
      </c>
      <c r="BA454" s="81"/>
      <c r="BB454" s="124"/>
      <c r="BF454" s="37"/>
      <c r="BG454" s="36" t="s">
        <v>5744</v>
      </c>
      <c r="BH454" s="36"/>
    </row>
    <row r="455" spans="1:62" s="46" customFormat="1" ht="48">
      <c r="A455" s="46" t="s">
        <v>5571</v>
      </c>
      <c r="B455" s="46" t="s">
        <v>5818</v>
      </c>
      <c r="C455" s="46" t="s">
        <v>5831</v>
      </c>
      <c r="D455" s="68">
        <v>172</v>
      </c>
      <c r="E455" s="46">
        <v>1</v>
      </c>
      <c r="F455" s="46" t="s">
        <v>5572</v>
      </c>
      <c r="G455" s="46" t="s">
        <v>5682</v>
      </c>
      <c r="J455" s="46" t="s">
        <v>31</v>
      </c>
      <c r="N455" s="117"/>
      <c r="O455" s="118"/>
      <c r="P455" s="119"/>
      <c r="Q455" s="120"/>
      <c r="R455" s="80"/>
      <c r="S455" s="126"/>
      <c r="T455" s="81"/>
      <c r="U455" s="118"/>
      <c r="V455" s="121"/>
      <c r="W455" s="122"/>
      <c r="X455" s="123"/>
      <c r="Y455" s="80"/>
      <c r="Z455" s="81"/>
      <c r="AA455" s="124"/>
      <c r="AB455" s="65"/>
      <c r="AD455" s="46" t="s">
        <v>5683</v>
      </c>
      <c r="AE455" s="37"/>
      <c r="AF455" s="36" t="s">
        <v>5742</v>
      </c>
      <c r="AG455" s="36"/>
      <c r="AI455" s="46" t="s">
        <v>5745</v>
      </c>
      <c r="AL455" s="46" t="s">
        <v>31</v>
      </c>
      <c r="AP455" s="125"/>
      <c r="AQ455" s="118"/>
      <c r="AR455" s="119"/>
      <c r="AS455" s="120"/>
      <c r="AT455" s="80"/>
      <c r="AU455" s="81"/>
      <c r="AV455" s="118"/>
      <c r="AW455" s="121"/>
      <c r="AX455" s="122"/>
      <c r="AY455" s="123">
        <v>4</v>
      </c>
      <c r="AZ455" s="80">
        <v>1</v>
      </c>
      <c r="BA455" s="81"/>
      <c r="BB455" s="124"/>
      <c r="BF455" s="37"/>
      <c r="BG455" s="36" t="s">
        <v>5708</v>
      </c>
      <c r="BH455" s="36"/>
    </row>
    <row r="456" spans="1:62" s="46" customFormat="1" ht="48">
      <c r="A456" s="46" t="s">
        <v>5571</v>
      </c>
      <c r="B456" s="46" t="s">
        <v>5819</v>
      </c>
      <c r="C456" s="46" t="s">
        <v>5831</v>
      </c>
      <c r="D456" s="68">
        <v>173</v>
      </c>
      <c r="E456" s="46">
        <v>1</v>
      </c>
      <c r="F456" s="46" t="s">
        <v>5572</v>
      </c>
      <c r="G456" s="46" t="s">
        <v>5682</v>
      </c>
      <c r="J456" s="46" t="s">
        <v>31</v>
      </c>
      <c r="N456" s="117"/>
      <c r="O456" s="118"/>
      <c r="P456" s="119"/>
      <c r="Q456" s="120"/>
      <c r="R456" s="80"/>
      <c r="S456" s="126"/>
      <c r="T456" s="81"/>
      <c r="U456" s="118"/>
      <c r="V456" s="121"/>
      <c r="W456" s="122"/>
      <c r="X456" s="123"/>
      <c r="Y456" s="80"/>
      <c r="Z456" s="81"/>
      <c r="AA456" s="124"/>
      <c r="AB456" s="65"/>
      <c r="AD456" s="46" t="s">
        <v>5683</v>
      </c>
      <c r="AE456" s="37"/>
      <c r="AF456" s="36" t="s">
        <v>5742</v>
      </c>
      <c r="AG456" s="36"/>
      <c r="AI456" s="46" t="s">
        <v>5746</v>
      </c>
      <c r="AL456" s="46" t="s">
        <v>31</v>
      </c>
      <c r="AP456" s="125"/>
      <c r="AQ456" s="118"/>
      <c r="AR456" s="119"/>
      <c r="AS456" s="120"/>
      <c r="AT456" s="80"/>
      <c r="AU456" s="81"/>
      <c r="AV456" s="118"/>
      <c r="AW456" s="121"/>
      <c r="AX456" s="122"/>
      <c r="AY456" s="123">
        <v>2</v>
      </c>
      <c r="AZ456" s="80">
        <v>0</v>
      </c>
      <c r="BA456" s="81"/>
      <c r="BB456" s="124"/>
      <c r="BF456" s="37"/>
      <c r="BG456" s="36" t="s">
        <v>5709</v>
      </c>
      <c r="BH456" s="36"/>
    </row>
    <row r="457" spans="1:62" s="46" customFormat="1" ht="48">
      <c r="A457" s="46" t="s">
        <v>5571</v>
      </c>
      <c r="B457" s="46" t="s">
        <v>5820</v>
      </c>
      <c r="C457" s="46" t="s">
        <v>5831</v>
      </c>
      <c r="D457" s="68">
        <v>174</v>
      </c>
      <c r="E457" s="46">
        <v>1</v>
      </c>
      <c r="F457" s="46" t="s">
        <v>5572</v>
      </c>
      <c r="G457" s="46" t="s">
        <v>5682</v>
      </c>
      <c r="J457" s="46" t="s">
        <v>31</v>
      </c>
      <c r="N457" s="117"/>
      <c r="O457" s="118"/>
      <c r="P457" s="119"/>
      <c r="Q457" s="120"/>
      <c r="R457" s="80"/>
      <c r="S457" s="126"/>
      <c r="T457" s="81"/>
      <c r="U457" s="118"/>
      <c r="V457" s="121"/>
      <c r="W457" s="122"/>
      <c r="X457" s="123"/>
      <c r="Y457" s="80"/>
      <c r="Z457" s="81"/>
      <c r="AA457" s="124"/>
      <c r="AB457" s="65"/>
      <c r="AD457" s="46" t="s">
        <v>5683</v>
      </c>
      <c r="AE457" s="37"/>
      <c r="AF457" s="36" t="s">
        <v>5742</v>
      </c>
      <c r="AG457" s="36"/>
      <c r="AI457" s="46" t="s">
        <v>5747</v>
      </c>
      <c r="AL457" s="46" t="s">
        <v>31</v>
      </c>
      <c r="AP457" s="125"/>
      <c r="AQ457" s="118"/>
      <c r="AR457" s="119"/>
      <c r="AS457" s="120"/>
      <c r="AT457" s="80"/>
      <c r="AU457" s="81"/>
      <c r="AV457" s="118"/>
      <c r="AW457" s="121"/>
      <c r="AX457" s="122"/>
      <c r="AY457" s="123">
        <v>3</v>
      </c>
      <c r="AZ457" s="80" t="s">
        <v>4927</v>
      </c>
      <c r="BA457" s="81"/>
      <c r="BB457" s="124">
        <v>1</v>
      </c>
      <c r="BF457" s="37"/>
      <c r="BG457" s="36" t="s">
        <v>5710</v>
      </c>
      <c r="BH457" s="36"/>
    </row>
    <row r="458" spans="1:62" s="46" customFormat="1" ht="36">
      <c r="A458" s="46" t="s">
        <v>5571</v>
      </c>
      <c r="B458" s="46" t="s">
        <v>5821</v>
      </c>
      <c r="C458" s="46" t="s">
        <v>5831</v>
      </c>
      <c r="D458" s="68">
        <v>175</v>
      </c>
      <c r="E458" s="46">
        <v>1</v>
      </c>
      <c r="F458" s="46" t="s">
        <v>5572</v>
      </c>
      <c r="G458" s="46" t="s">
        <v>5684</v>
      </c>
      <c r="J458" s="46" t="s">
        <v>31</v>
      </c>
      <c r="N458" s="117"/>
      <c r="O458" s="118"/>
      <c r="P458" s="119"/>
      <c r="Q458" s="120"/>
      <c r="R458" s="80"/>
      <c r="S458" s="126"/>
      <c r="T458" s="81"/>
      <c r="U458" s="118"/>
      <c r="V458" s="121"/>
      <c r="W458" s="122"/>
      <c r="X458" s="123"/>
      <c r="Y458" s="80"/>
      <c r="Z458" s="81"/>
      <c r="AA458" s="124"/>
      <c r="AB458" s="65"/>
      <c r="AD458" s="46" t="s">
        <v>5683</v>
      </c>
      <c r="AE458" s="37"/>
      <c r="AF458" s="36" t="s">
        <v>5748</v>
      </c>
      <c r="AG458" s="36"/>
      <c r="AI458" s="46" t="s">
        <v>5684</v>
      </c>
      <c r="AL458" s="46" t="s">
        <v>31</v>
      </c>
      <c r="AP458" s="125"/>
      <c r="AQ458" s="118"/>
      <c r="AR458" s="119"/>
      <c r="AS458" s="120"/>
      <c r="AT458" s="80"/>
      <c r="AU458" s="81"/>
      <c r="AV458" s="118"/>
      <c r="AW458" s="121"/>
      <c r="AX458" s="122"/>
      <c r="AY458" s="123">
        <v>4</v>
      </c>
      <c r="AZ458" s="80" t="s">
        <v>4965</v>
      </c>
      <c r="BA458" s="81"/>
      <c r="BB458" s="124">
        <v>1</v>
      </c>
      <c r="BF458" s="37"/>
      <c r="BG458" s="36" t="s">
        <v>5685</v>
      </c>
      <c r="BH458" s="36"/>
    </row>
    <row r="459" spans="1:62" s="46" customFormat="1" ht="36">
      <c r="A459" s="46" t="s">
        <v>5571</v>
      </c>
      <c r="B459" s="46" t="s">
        <v>5822</v>
      </c>
      <c r="C459" s="46" t="s">
        <v>5831</v>
      </c>
      <c r="D459" s="68">
        <v>176</v>
      </c>
      <c r="E459" s="46">
        <v>1</v>
      </c>
      <c r="F459" s="46" t="s">
        <v>5572</v>
      </c>
      <c r="G459" s="46" t="s">
        <v>5684</v>
      </c>
      <c r="J459" s="46" t="s">
        <v>31</v>
      </c>
      <c r="N459" s="117"/>
      <c r="O459" s="118"/>
      <c r="P459" s="119"/>
      <c r="Q459" s="120"/>
      <c r="R459" s="80"/>
      <c r="S459" s="126"/>
      <c r="T459" s="81"/>
      <c r="U459" s="118"/>
      <c r="V459" s="121"/>
      <c r="W459" s="122"/>
      <c r="X459" s="123"/>
      <c r="Y459" s="80"/>
      <c r="Z459" s="81"/>
      <c r="AA459" s="124"/>
      <c r="AB459" s="65"/>
      <c r="AD459" s="46" t="s">
        <v>5683</v>
      </c>
      <c r="AE459" s="37"/>
      <c r="AF459" s="36" t="s">
        <v>5748</v>
      </c>
      <c r="AG459" s="36"/>
      <c r="AI459" s="46" t="s">
        <v>5684</v>
      </c>
      <c r="AL459" s="46" t="s">
        <v>31</v>
      </c>
      <c r="AP459" s="125"/>
      <c r="AQ459" s="118"/>
      <c r="AR459" s="119"/>
      <c r="AS459" s="120"/>
      <c r="AT459" s="80"/>
      <c r="AU459" s="81"/>
      <c r="AV459" s="118"/>
      <c r="AW459" s="121"/>
      <c r="AX459" s="122"/>
      <c r="AY459" s="123">
        <v>2</v>
      </c>
      <c r="AZ459" s="80" t="s">
        <v>4965</v>
      </c>
      <c r="BA459" s="81"/>
      <c r="BB459" s="124">
        <v>1</v>
      </c>
      <c r="BF459" s="37"/>
      <c r="BG459" s="36" t="s">
        <v>5711</v>
      </c>
      <c r="BH459" s="36"/>
    </row>
    <row r="460" spans="1:62" s="46" customFormat="1" ht="36">
      <c r="A460" s="46" t="s">
        <v>5571</v>
      </c>
      <c r="B460" s="46" t="s">
        <v>5823</v>
      </c>
      <c r="C460" s="46" t="s">
        <v>5831</v>
      </c>
      <c r="D460" s="68">
        <v>177</v>
      </c>
      <c r="E460" s="46">
        <v>1</v>
      </c>
      <c r="F460" s="46" t="s">
        <v>5572</v>
      </c>
      <c r="G460" s="46" t="s">
        <v>5684</v>
      </c>
      <c r="J460" s="46" t="s">
        <v>31</v>
      </c>
      <c r="N460" s="117"/>
      <c r="O460" s="118"/>
      <c r="P460" s="119"/>
      <c r="Q460" s="120"/>
      <c r="R460" s="80"/>
      <c r="S460" s="126"/>
      <c r="T460" s="81"/>
      <c r="U460" s="118"/>
      <c r="V460" s="121"/>
      <c r="W460" s="122"/>
      <c r="X460" s="123"/>
      <c r="Y460" s="80"/>
      <c r="Z460" s="81"/>
      <c r="AA460" s="124"/>
      <c r="AB460" s="65"/>
      <c r="AD460" s="46" t="s">
        <v>5683</v>
      </c>
      <c r="AE460" s="37"/>
      <c r="AF460" s="36" t="s">
        <v>5748</v>
      </c>
      <c r="AG460" s="36"/>
      <c r="AI460" s="46" t="s">
        <v>5684</v>
      </c>
      <c r="AL460" s="46" t="s">
        <v>31</v>
      </c>
      <c r="AP460" s="125"/>
      <c r="AQ460" s="118"/>
      <c r="AR460" s="119"/>
      <c r="AS460" s="120"/>
      <c r="AT460" s="80"/>
      <c r="AU460" s="81"/>
      <c r="AV460" s="118"/>
      <c r="AW460" s="121"/>
      <c r="AX460" s="122"/>
      <c r="AY460" s="123">
        <v>1</v>
      </c>
      <c r="AZ460" s="80" t="s">
        <v>4965</v>
      </c>
      <c r="BA460" s="81"/>
      <c r="BB460" s="124">
        <v>1</v>
      </c>
      <c r="BF460" s="37"/>
      <c r="BG460" s="36" t="s">
        <v>5712</v>
      </c>
      <c r="BH460" s="36"/>
    </row>
    <row r="461" spans="1:62" s="46" customFormat="1" ht="15">
      <c r="A461" s="46" t="s">
        <v>5571</v>
      </c>
      <c r="B461" s="46" t="s">
        <v>5824</v>
      </c>
      <c r="C461" s="46" t="s">
        <v>5831</v>
      </c>
      <c r="D461" s="68">
        <v>178</v>
      </c>
      <c r="E461" s="46">
        <v>4</v>
      </c>
      <c r="F461" s="46" t="s">
        <v>5572</v>
      </c>
      <c r="G461" s="46" t="s">
        <v>5686</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5713</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5571</v>
      </c>
      <c r="B462" s="46" t="s">
        <v>5825</v>
      </c>
      <c r="C462" s="46" t="s">
        <v>5831</v>
      </c>
      <c r="D462" s="68">
        <v>179</v>
      </c>
      <c r="E462" s="46">
        <v>3</v>
      </c>
      <c r="F462" s="46" t="s">
        <v>5572</v>
      </c>
      <c r="G462" s="46" t="s">
        <v>5687</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5688</v>
      </c>
      <c r="AE462" s="37" t="s">
        <v>5750</v>
      </c>
      <c r="AF462" s="36" t="s">
        <v>5749</v>
      </c>
      <c r="AG462" s="36"/>
      <c r="AP462" s="125"/>
      <c r="AQ462" s="118"/>
      <c r="AR462" s="119"/>
      <c r="AS462" s="120"/>
      <c r="AT462" s="80"/>
      <c r="AU462" s="81"/>
      <c r="AV462" s="118"/>
      <c r="AW462" s="121"/>
      <c r="AX462" s="122"/>
      <c r="AY462" s="123"/>
      <c r="AZ462" s="80"/>
      <c r="BA462" s="81"/>
      <c r="BB462" s="124"/>
      <c r="BF462" s="37"/>
      <c r="BG462" s="36"/>
      <c r="BH462" s="36"/>
      <c r="BJ462" s="46" t="s">
        <v>5837</v>
      </c>
    </row>
    <row r="463" spans="1:62" s="46" customFormat="1" ht="36">
      <c r="A463" s="46" t="s">
        <v>5571</v>
      </c>
      <c r="B463" s="46" t="s">
        <v>5826</v>
      </c>
      <c r="C463" s="46" t="s">
        <v>5831</v>
      </c>
      <c r="D463" s="68">
        <v>180</v>
      </c>
      <c r="E463" s="46">
        <v>3</v>
      </c>
      <c r="F463" s="46" t="s">
        <v>5572</v>
      </c>
      <c r="G463" s="46" t="s">
        <v>5689</v>
      </c>
      <c r="J463" s="46" t="s">
        <v>28</v>
      </c>
      <c r="N463" s="117"/>
      <c r="O463" s="118"/>
      <c r="P463" s="119"/>
      <c r="Q463" s="120"/>
      <c r="R463" s="80"/>
      <c r="S463" s="126"/>
      <c r="T463" s="81"/>
      <c r="U463" s="118"/>
      <c r="V463" s="121"/>
      <c r="W463" s="122"/>
      <c r="X463" s="123"/>
      <c r="Y463" s="80"/>
      <c r="Z463" s="81"/>
      <c r="AA463" s="124"/>
      <c r="AB463" s="65"/>
      <c r="AD463" s="46" t="s">
        <v>5517</v>
      </c>
      <c r="AE463" s="37"/>
      <c r="AF463" s="36" t="s">
        <v>5714</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5571</v>
      </c>
      <c r="B464" s="46" t="s">
        <v>5827</v>
      </c>
      <c r="C464" s="46" t="s">
        <v>5831</v>
      </c>
      <c r="D464" s="68">
        <v>181</v>
      </c>
      <c r="E464" s="46">
        <v>3</v>
      </c>
      <c r="F464" s="46" t="s">
        <v>5572</v>
      </c>
      <c r="G464" s="46" t="s">
        <v>5690</v>
      </c>
      <c r="J464" s="46" t="s">
        <v>28</v>
      </c>
      <c r="N464" s="117"/>
      <c r="O464" s="118"/>
      <c r="P464" s="119"/>
      <c r="Q464" s="120"/>
      <c r="R464" s="80"/>
      <c r="S464" s="126"/>
      <c r="T464" s="81"/>
      <c r="U464" s="118"/>
      <c r="V464" s="121"/>
      <c r="W464" s="122"/>
      <c r="X464" s="123"/>
      <c r="Y464" s="80"/>
      <c r="Z464" s="81"/>
      <c r="AA464" s="124"/>
      <c r="AB464" s="65"/>
      <c r="AD464" s="46" t="s">
        <v>4333</v>
      </c>
      <c r="AE464" s="37"/>
      <c r="AF464" s="36" t="s">
        <v>5715</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5571</v>
      </c>
      <c r="B465" s="46" t="s">
        <v>5828</v>
      </c>
      <c r="C465" s="46" t="s">
        <v>5831</v>
      </c>
      <c r="D465" s="68">
        <v>182</v>
      </c>
      <c r="E465" s="46">
        <v>2</v>
      </c>
      <c r="F465" s="46" t="s">
        <v>5572</v>
      </c>
      <c r="G465" s="46" t="s">
        <v>5691</v>
      </c>
      <c r="J465" s="46" t="s">
        <v>29</v>
      </c>
      <c r="N465" s="117"/>
      <c r="O465" s="118"/>
      <c r="P465" s="119"/>
      <c r="Q465" s="120">
        <v>3</v>
      </c>
      <c r="R465" s="80">
        <v>2</v>
      </c>
      <c r="S465" s="126"/>
      <c r="T465" s="81">
        <v>3</v>
      </c>
      <c r="U465" s="118"/>
      <c r="V465" s="121">
        <v>1</v>
      </c>
      <c r="W465" s="122">
        <v>1</v>
      </c>
      <c r="X465" s="123"/>
      <c r="Y465" s="80"/>
      <c r="Z465" s="81"/>
      <c r="AA465" s="124"/>
      <c r="AB465" s="65"/>
      <c r="AD465" s="46" t="s">
        <v>5545</v>
      </c>
      <c r="AE465" s="37"/>
      <c r="AF465" s="36" t="s">
        <v>5692</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5571</v>
      </c>
      <c r="B466" s="46" t="s">
        <v>5829</v>
      </c>
      <c r="C466" s="46" t="s">
        <v>5831</v>
      </c>
      <c r="D466" s="68">
        <v>183</v>
      </c>
      <c r="E466" s="46">
        <v>2</v>
      </c>
      <c r="F466" s="46" t="s">
        <v>5572</v>
      </c>
      <c r="G466" s="46" t="s">
        <v>5693</v>
      </c>
      <c r="J466" s="46" t="s">
        <v>29</v>
      </c>
      <c r="N466" s="117"/>
      <c r="O466" s="118"/>
      <c r="P466" s="119"/>
      <c r="Q466" s="120">
        <v>4</v>
      </c>
      <c r="R466" s="80">
        <v>3</v>
      </c>
      <c r="S466" s="126"/>
      <c r="T466" s="81">
        <v>5</v>
      </c>
      <c r="U466" s="118"/>
      <c r="V466" s="121">
        <v>2</v>
      </c>
      <c r="W466" s="122">
        <v>2</v>
      </c>
      <c r="X466" s="123"/>
      <c r="Y466" s="80"/>
      <c r="Z466" s="81"/>
      <c r="AA466" s="124">
        <v>1</v>
      </c>
      <c r="AB466" s="65"/>
      <c r="AD466" s="46" t="s">
        <v>5545</v>
      </c>
      <c r="AE466" s="37"/>
      <c r="AF466" s="36" t="s">
        <v>5716</v>
      </c>
      <c r="AG466" s="36"/>
      <c r="AP466" s="125"/>
      <c r="AQ466" s="118"/>
      <c r="AR466" s="119"/>
      <c r="AS466" s="120"/>
      <c r="AT466" s="80"/>
      <c r="AU466" s="81"/>
      <c r="AV466" s="118"/>
      <c r="AW466" s="121"/>
      <c r="AX466" s="122"/>
      <c r="AY466" s="123"/>
      <c r="AZ466" s="80"/>
      <c r="BA466" s="81"/>
      <c r="BB466" s="124"/>
      <c r="BF466" s="37"/>
      <c r="BG466" s="36"/>
      <c r="BH466" s="36"/>
    </row>
    <row r="467" spans="1:60" ht="24">
      <c r="A467" s="36" t="s">
        <v>5900</v>
      </c>
      <c r="B467" s="36" t="s">
        <v>5901</v>
      </c>
      <c r="C467" s="36" t="s">
        <v>5942</v>
      </c>
      <c r="D467" s="37">
        <v>184</v>
      </c>
      <c r="E467" s="36">
        <v>2</v>
      </c>
      <c r="F467" s="36" t="s">
        <v>5838</v>
      </c>
      <c r="G467" s="36" t="s">
        <v>5839</v>
      </c>
      <c r="J467" s="36" t="s">
        <v>27</v>
      </c>
      <c r="K467" s="36" t="s">
        <v>4052</v>
      </c>
      <c r="L467" s="36">
        <v>0</v>
      </c>
      <c r="N467" s="75">
        <v>1</v>
      </c>
      <c r="P467" s="77">
        <v>1</v>
      </c>
      <c r="Q467" s="78">
        <v>1</v>
      </c>
      <c r="AB467" s="36" t="s">
        <v>4945</v>
      </c>
      <c r="AD467" s="36" t="s">
        <v>4161</v>
      </c>
      <c r="AF467" s="36" t="s">
        <v>5840</v>
      </c>
      <c r="AP467" s="86"/>
      <c r="AQ467" s="88"/>
      <c r="AR467" s="89"/>
      <c r="AS467" s="90"/>
      <c r="AV467" s="88"/>
      <c r="AW467" s="96"/>
      <c r="AX467" s="97"/>
      <c r="AY467" s="93"/>
      <c r="BB467" s="94"/>
    </row>
    <row r="468" spans="1:60" ht="36">
      <c r="A468" s="36" t="s">
        <v>5900</v>
      </c>
      <c r="B468" s="36" t="s">
        <v>5902</v>
      </c>
      <c r="C468" s="36" t="s">
        <v>5942</v>
      </c>
      <c r="D468" s="37">
        <v>185</v>
      </c>
      <c r="E468" s="36">
        <v>2</v>
      </c>
      <c r="F468" s="36" t="s">
        <v>5838</v>
      </c>
      <c r="G468" s="36" t="s">
        <v>5841</v>
      </c>
      <c r="J468" s="36" t="s">
        <v>4111</v>
      </c>
      <c r="K468" s="36" t="s">
        <v>4052</v>
      </c>
      <c r="L468" s="36">
        <v>3</v>
      </c>
      <c r="N468" s="75">
        <v>0</v>
      </c>
      <c r="AD468" s="36" t="s">
        <v>4143</v>
      </c>
      <c r="AF468" s="36" t="s">
        <v>5944</v>
      </c>
      <c r="AP468" s="86"/>
      <c r="AQ468" s="88"/>
      <c r="AR468" s="89"/>
      <c r="AS468" s="90"/>
      <c r="AV468" s="88"/>
      <c r="AW468" s="96"/>
      <c r="AX468" s="97"/>
      <c r="AY468" s="93"/>
      <c r="BB468" s="94"/>
    </row>
    <row r="469" spans="1:60" ht="24">
      <c r="A469" s="36" t="s">
        <v>5900</v>
      </c>
      <c r="B469" s="36" t="s">
        <v>5903</v>
      </c>
      <c r="C469" s="36" t="s">
        <v>5942</v>
      </c>
      <c r="D469" s="37">
        <v>186</v>
      </c>
      <c r="E469" s="36">
        <v>2</v>
      </c>
      <c r="F469" s="36" t="s">
        <v>5838</v>
      </c>
      <c r="G469" s="36" t="s">
        <v>5842</v>
      </c>
      <c r="J469" s="36" t="s">
        <v>27</v>
      </c>
      <c r="K469" s="36" t="s">
        <v>4053</v>
      </c>
      <c r="L469" s="36">
        <v>0</v>
      </c>
      <c r="N469" s="75">
        <v>2</v>
      </c>
      <c r="O469" s="76">
        <v>1</v>
      </c>
      <c r="P469" s="77">
        <v>1</v>
      </c>
      <c r="AB469" s="36" t="s">
        <v>4946</v>
      </c>
      <c r="AD469" s="36" t="s">
        <v>4194</v>
      </c>
      <c r="AF469" s="36" t="s">
        <v>5945</v>
      </c>
      <c r="AP469" s="86"/>
      <c r="AQ469" s="88"/>
      <c r="AR469" s="89"/>
      <c r="AS469" s="90"/>
      <c r="AV469" s="88"/>
      <c r="AW469" s="96"/>
      <c r="AX469" s="97"/>
      <c r="AY469" s="93"/>
      <c r="BB469" s="94"/>
    </row>
    <row r="470" spans="1:60" ht="48">
      <c r="A470" s="36" t="s">
        <v>5900</v>
      </c>
      <c r="B470" s="36" t="s">
        <v>5904</v>
      </c>
      <c r="C470" s="36" t="s">
        <v>5942</v>
      </c>
      <c r="D470" s="37">
        <v>187</v>
      </c>
      <c r="E470" s="36">
        <v>2</v>
      </c>
      <c r="F470" s="36" t="s">
        <v>5838</v>
      </c>
      <c r="G470" s="36" t="s">
        <v>5843</v>
      </c>
      <c r="J470" s="36" t="s">
        <v>4111</v>
      </c>
      <c r="K470" s="36" t="s">
        <v>4053</v>
      </c>
      <c r="L470" s="36">
        <v>3</v>
      </c>
      <c r="N470" s="75">
        <v>0</v>
      </c>
      <c r="AD470" s="36" t="s">
        <v>4143</v>
      </c>
      <c r="AF470" s="36" t="s">
        <v>5946</v>
      </c>
      <c r="AP470" s="86"/>
      <c r="AQ470" s="88"/>
      <c r="AR470" s="89"/>
      <c r="AS470" s="90"/>
      <c r="AV470" s="88"/>
      <c r="AW470" s="96"/>
      <c r="AX470" s="97"/>
      <c r="AY470" s="93"/>
      <c r="BB470" s="94"/>
    </row>
    <row r="471" spans="1:60" ht="24">
      <c r="A471" s="36" t="s">
        <v>5900</v>
      </c>
      <c r="B471" s="36" t="s">
        <v>5905</v>
      </c>
      <c r="C471" s="36" t="s">
        <v>5942</v>
      </c>
      <c r="D471" s="37">
        <v>188</v>
      </c>
      <c r="E471" s="36">
        <v>2</v>
      </c>
      <c r="F471" s="36" t="s">
        <v>5838</v>
      </c>
      <c r="G471" s="36" t="s">
        <v>5844</v>
      </c>
      <c r="J471" s="36" t="s">
        <v>4111</v>
      </c>
      <c r="K471" s="36" t="s">
        <v>4055</v>
      </c>
      <c r="L471" s="36">
        <v>0</v>
      </c>
      <c r="N471" s="75">
        <v>1</v>
      </c>
      <c r="R471" s="79">
        <v>1</v>
      </c>
      <c r="AB471" s="36" t="s">
        <v>4061</v>
      </c>
      <c r="AD471" s="36" t="s">
        <v>4143</v>
      </c>
      <c r="AF471" s="36" t="s">
        <v>5947</v>
      </c>
      <c r="AP471" s="86"/>
      <c r="AQ471" s="88"/>
      <c r="AR471" s="89"/>
      <c r="AS471" s="90"/>
      <c r="AV471" s="88"/>
      <c r="AW471" s="96"/>
      <c r="AX471" s="97"/>
      <c r="AY471" s="93"/>
      <c r="BB471" s="94"/>
    </row>
    <row r="472" spans="1:60" ht="24">
      <c r="A472" s="36" t="s">
        <v>5900</v>
      </c>
      <c r="B472" s="36" t="s">
        <v>5906</v>
      </c>
      <c r="C472" s="36" t="s">
        <v>5942</v>
      </c>
      <c r="D472" s="37">
        <v>189</v>
      </c>
      <c r="E472" s="36">
        <v>2</v>
      </c>
      <c r="F472" s="36" t="s">
        <v>5838</v>
      </c>
      <c r="G472" s="36" t="s">
        <v>5845</v>
      </c>
      <c r="J472" s="36" t="s">
        <v>4111</v>
      </c>
      <c r="K472" s="36" t="s">
        <v>4055</v>
      </c>
      <c r="L472" s="36">
        <v>3</v>
      </c>
      <c r="N472" s="75">
        <v>0</v>
      </c>
      <c r="AD472" s="36" t="s">
        <v>4143</v>
      </c>
      <c r="AF472" s="36" t="s">
        <v>5948</v>
      </c>
      <c r="AP472" s="86"/>
      <c r="AQ472" s="88"/>
      <c r="AR472" s="89"/>
      <c r="AS472" s="90"/>
      <c r="AV472" s="88"/>
      <c r="AW472" s="96"/>
      <c r="AX472" s="97"/>
      <c r="AY472" s="93"/>
      <c r="BB472" s="94"/>
    </row>
    <row r="473" spans="1:60" ht="36">
      <c r="A473" s="36" t="s">
        <v>5900</v>
      </c>
      <c r="B473" s="36" t="s">
        <v>5907</v>
      </c>
      <c r="C473" s="36" t="s">
        <v>5942</v>
      </c>
      <c r="D473" s="37">
        <v>190</v>
      </c>
      <c r="E473" s="36">
        <v>2</v>
      </c>
      <c r="F473" s="36" t="s">
        <v>5838</v>
      </c>
      <c r="G473" s="36" t="s">
        <v>5846</v>
      </c>
      <c r="J473" s="36" t="s">
        <v>4166</v>
      </c>
      <c r="K473" s="36" t="s">
        <v>4054</v>
      </c>
      <c r="L473" s="36">
        <v>0</v>
      </c>
      <c r="S473" s="126">
        <v>1</v>
      </c>
      <c r="AB473" s="36" t="s">
        <v>4062</v>
      </c>
      <c r="AD473" s="36" t="s">
        <v>4266</v>
      </c>
      <c r="AF473" s="36" t="s">
        <v>5847</v>
      </c>
      <c r="AP473" s="86"/>
      <c r="AQ473" s="88"/>
      <c r="AR473" s="89"/>
      <c r="AS473" s="90"/>
      <c r="AV473" s="88"/>
      <c r="AW473" s="96"/>
      <c r="AX473" s="97"/>
      <c r="AY473" s="93"/>
      <c r="BB473" s="94"/>
    </row>
    <row r="474" spans="1:60" ht="36">
      <c r="A474" s="36" t="s">
        <v>5900</v>
      </c>
      <c r="B474" s="36" t="s">
        <v>5908</v>
      </c>
      <c r="C474" s="36" t="s">
        <v>5942</v>
      </c>
      <c r="D474" s="37">
        <v>191</v>
      </c>
      <c r="E474" s="36">
        <v>2</v>
      </c>
      <c r="F474" s="36" t="s">
        <v>5838</v>
      </c>
      <c r="G474" s="36" t="s">
        <v>5848</v>
      </c>
      <c r="J474" s="36" t="s">
        <v>4111</v>
      </c>
      <c r="K474" s="36" t="s">
        <v>4054</v>
      </c>
      <c r="L474" s="36">
        <v>3</v>
      </c>
      <c r="N474" s="75">
        <v>0</v>
      </c>
      <c r="AD474" s="36" t="s">
        <v>5849</v>
      </c>
      <c r="AF474" s="36" t="s">
        <v>5949</v>
      </c>
      <c r="AP474" s="86"/>
      <c r="AQ474" s="88"/>
      <c r="AR474" s="89"/>
      <c r="AS474" s="90"/>
      <c r="AV474" s="88"/>
      <c r="AW474" s="96"/>
      <c r="AX474" s="97"/>
      <c r="AY474" s="93"/>
      <c r="BB474" s="94"/>
    </row>
    <row r="475" spans="1:60" ht="36">
      <c r="A475" s="36" t="s">
        <v>5900</v>
      </c>
      <c r="B475" s="36" t="s">
        <v>5909</v>
      </c>
      <c r="C475" s="36" t="s">
        <v>5942</v>
      </c>
      <c r="D475" s="37">
        <v>192</v>
      </c>
      <c r="E475" s="36">
        <v>2</v>
      </c>
      <c r="F475" s="36" t="s">
        <v>5838</v>
      </c>
      <c r="G475" s="36" t="s">
        <v>5850</v>
      </c>
      <c r="J475" s="36" t="s">
        <v>4166</v>
      </c>
      <c r="K475" s="36" t="s">
        <v>4056</v>
      </c>
      <c r="L475" s="36">
        <v>0</v>
      </c>
      <c r="S475" s="126">
        <v>3</v>
      </c>
      <c r="AB475" s="36" t="s">
        <v>5851</v>
      </c>
      <c r="AD475" s="36" t="s">
        <v>4266</v>
      </c>
      <c r="AF475" s="36" t="s">
        <v>5852</v>
      </c>
      <c r="AP475" s="86"/>
      <c r="AQ475" s="88"/>
      <c r="AR475" s="89"/>
      <c r="AS475" s="90"/>
      <c r="AV475" s="88"/>
      <c r="AW475" s="96"/>
      <c r="AX475" s="97"/>
      <c r="AY475" s="93"/>
      <c r="BB475" s="94"/>
    </row>
    <row r="476" spans="1:60" ht="24">
      <c r="A476" s="36" t="s">
        <v>5900</v>
      </c>
      <c r="B476" s="36" t="s">
        <v>5910</v>
      </c>
      <c r="C476" s="36" t="s">
        <v>5942</v>
      </c>
      <c r="D476" s="37">
        <v>193</v>
      </c>
      <c r="E476" s="36">
        <v>2</v>
      </c>
      <c r="F476" s="36" t="s">
        <v>5838</v>
      </c>
      <c r="G476" s="36" t="s">
        <v>5853</v>
      </c>
      <c r="J476" s="36" t="s">
        <v>4111</v>
      </c>
      <c r="K476" s="36" t="s">
        <v>4056</v>
      </c>
      <c r="L476" s="36">
        <v>3</v>
      </c>
      <c r="N476" s="75">
        <v>0</v>
      </c>
      <c r="AD476" s="36" t="s">
        <v>4143</v>
      </c>
      <c r="AF476" s="36" t="s">
        <v>5950</v>
      </c>
      <c r="AP476" s="86"/>
      <c r="AQ476" s="88"/>
      <c r="AR476" s="89"/>
      <c r="AS476" s="90"/>
      <c r="AV476" s="88"/>
      <c r="AW476" s="96"/>
      <c r="AX476" s="97"/>
      <c r="AY476" s="93"/>
      <c r="BB476" s="94"/>
    </row>
    <row r="477" spans="1:60" ht="24">
      <c r="A477" s="36" t="s">
        <v>5900</v>
      </c>
      <c r="B477" s="36" t="s">
        <v>5911</v>
      </c>
      <c r="C477" s="36" t="s">
        <v>5942</v>
      </c>
      <c r="D477" s="37">
        <v>194</v>
      </c>
      <c r="E477" s="36">
        <v>2</v>
      </c>
      <c r="F477" s="36" t="s">
        <v>5838</v>
      </c>
      <c r="G477" s="36" t="s">
        <v>4277</v>
      </c>
      <c r="J477" s="36" t="s">
        <v>27</v>
      </c>
      <c r="K477" s="36" t="s">
        <v>26</v>
      </c>
      <c r="L477" s="36">
        <v>2</v>
      </c>
      <c r="N477" s="75">
        <v>0</v>
      </c>
      <c r="AD477" s="36" t="s">
        <v>4170</v>
      </c>
      <c r="AF477" s="36" t="s">
        <v>5854</v>
      </c>
      <c r="AP477" s="86"/>
      <c r="AQ477" s="88"/>
      <c r="AR477" s="89"/>
      <c r="AS477" s="90"/>
      <c r="AV477" s="88"/>
      <c r="AW477" s="96"/>
      <c r="AX477" s="97"/>
      <c r="AY477" s="93"/>
      <c r="BB477" s="94"/>
    </row>
    <row r="478" spans="1:60" ht="60">
      <c r="A478" s="36" t="s">
        <v>5900</v>
      </c>
      <c r="B478" s="36" t="s">
        <v>5912</v>
      </c>
      <c r="C478" s="36" t="s">
        <v>5942</v>
      </c>
      <c r="D478" s="37">
        <v>195</v>
      </c>
      <c r="E478" s="36">
        <v>1</v>
      </c>
      <c r="F478" s="36" t="s">
        <v>5838</v>
      </c>
      <c r="G478" s="36" t="s">
        <v>5838</v>
      </c>
      <c r="H478" s="36" t="s">
        <v>4563</v>
      </c>
      <c r="J478" s="36" t="s">
        <v>4472</v>
      </c>
      <c r="AF478" s="36" t="s">
        <v>5951</v>
      </c>
      <c r="AI478" s="36" t="s">
        <v>5838</v>
      </c>
      <c r="AJ478" s="36" t="s">
        <v>4564</v>
      </c>
      <c r="AL478" s="36" t="s">
        <v>4472</v>
      </c>
      <c r="AP478" s="86"/>
      <c r="AQ478" s="88"/>
      <c r="AR478" s="89"/>
      <c r="AS478" s="90"/>
      <c r="AV478" s="88"/>
      <c r="AW478" s="96"/>
      <c r="AX478" s="97"/>
      <c r="AY478" s="93"/>
      <c r="BB478" s="94"/>
      <c r="BG478" s="36" t="s">
        <v>5959</v>
      </c>
    </row>
    <row r="479" spans="1:60" ht="24">
      <c r="A479" s="36" t="s">
        <v>5900</v>
      </c>
      <c r="B479" s="36" t="s">
        <v>5913</v>
      </c>
      <c r="C479" s="36" t="s">
        <v>5942</v>
      </c>
      <c r="D479" s="37">
        <v>196</v>
      </c>
      <c r="E479" s="36">
        <v>1</v>
      </c>
      <c r="F479" s="36" t="s">
        <v>5838</v>
      </c>
      <c r="G479" s="36" t="s">
        <v>5855</v>
      </c>
      <c r="J479" s="36" t="s">
        <v>4473</v>
      </c>
      <c r="L479" s="36">
        <v>1</v>
      </c>
      <c r="Z479" s="81">
        <v>6</v>
      </c>
      <c r="AI479" s="36" t="s">
        <v>5855</v>
      </c>
      <c r="AL479" s="36" t="s">
        <v>4473</v>
      </c>
      <c r="AN479" s="36">
        <v>1</v>
      </c>
      <c r="AP479" s="86"/>
      <c r="AQ479" s="88"/>
      <c r="AR479" s="89"/>
      <c r="AS479" s="90"/>
      <c r="AV479" s="88"/>
      <c r="AW479" s="96"/>
      <c r="AX479" s="97"/>
      <c r="AY479" s="93"/>
      <c r="BB479" s="94"/>
      <c r="BG479" s="36" t="s">
        <v>5856</v>
      </c>
    </row>
    <row r="480" spans="1:60" ht="24">
      <c r="A480" s="36" t="s">
        <v>5900</v>
      </c>
      <c r="B480" s="36" t="s">
        <v>5914</v>
      </c>
      <c r="C480" s="36" t="s">
        <v>5942</v>
      </c>
      <c r="D480" s="37">
        <v>197</v>
      </c>
      <c r="E480" s="36">
        <v>1</v>
      </c>
      <c r="F480" s="36" t="s">
        <v>5838</v>
      </c>
      <c r="G480" s="36" t="s">
        <v>5857</v>
      </c>
      <c r="J480" s="36" t="s">
        <v>4473</v>
      </c>
      <c r="L480" s="36">
        <v>2</v>
      </c>
      <c r="Z480" s="81">
        <v>6</v>
      </c>
      <c r="AI480" s="36" t="s">
        <v>5857</v>
      </c>
      <c r="AL480" s="36" t="s">
        <v>4473</v>
      </c>
      <c r="AN480" s="36">
        <v>2</v>
      </c>
      <c r="AP480" s="86"/>
      <c r="AQ480" s="88"/>
      <c r="AR480" s="89"/>
      <c r="AS480" s="90"/>
      <c r="AV480" s="88"/>
      <c r="AW480" s="96"/>
      <c r="AX480" s="97"/>
      <c r="AY480" s="93"/>
      <c r="BB480" s="94"/>
      <c r="BG480" s="36" t="s">
        <v>5858</v>
      </c>
    </row>
    <row r="481" spans="1:59" ht="24">
      <c r="A481" s="36" t="s">
        <v>5900</v>
      </c>
      <c r="B481" s="36" t="s">
        <v>5915</v>
      </c>
      <c r="C481" s="36" t="s">
        <v>5942</v>
      </c>
      <c r="D481" s="37">
        <v>198</v>
      </c>
      <c r="E481" s="36">
        <v>1</v>
      </c>
      <c r="F481" s="36" t="s">
        <v>5838</v>
      </c>
      <c r="G481" s="36" t="s">
        <v>5859</v>
      </c>
      <c r="J481" s="36" t="s">
        <v>4473</v>
      </c>
      <c r="L481" s="36">
        <v>3</v>
      </c>
      <c r="Z481" s="81">
        <v>7</v>
      </c>
      <c r="AI481" s="36" t="s">
        <v>5859</v>
      </c>
      <c r="AL481" s="36" t="s">
        <v>4473</v>
      </c>
      <c r="AN481" s="36">
        <v>3</v>
      </c>
      <c r="AP481" s="86"/>
      <c r="AQ481" s="88"/>
      <c r="AR481" s="89"/>
      <c r="AS481" s="90"/>
      <c r="AV481" s="88"/>
      <c r="AW481" s="96"/>
      <c r="AX481" s="97"/>
      <c r="AY481" s="93"/>
      <c r="BB481" s="94"/>
      <c r="BG481" s="36" t="s">
        <v>5860</v>
      </c>
    </row>
    <row r="482" spans="1:59" ht="36">
      <c r="A482" s="36" t="s">
        <v>5900</v>
      </c>
      <c r="B482" s="36" t="s">
        <v>5916</v>
      </c>
      <c r="C482" s="36" t="s">
        <v>5942</v>
      </c>
      <c r="D482" s="37">
        <v>199</v>
      </c>
      <c r="E482" s="36">
        <v>1</v>
      </c>
      <c r="F482" s="36" t="s">
        <v>5838</v>
      </c>
      <c r="G482" s="36" t="s">
        <v>5861</v>
      </c>
      <c r="J482" s="36" t="s">
        <v>4475</v>
      </c>
      <c r="L482" s="36">
        <v>1</v>
      </c>
      <c r="Y482" s="79" t="s">
        <v>38</v>
      </c>
      <c r="AF482" s="36" t="s">
        <v>5862</v>
      </c>
      <c r="AI482" s="36" t="s">
        <v>5861</v>
      </c>
      <c r="AL482" s="36" t="s">
        <v>4475</v>
      </c>
      <c r="AN482" s="36">
        <v>1</v>
      </c>
      <c r="AP482" s="86"/>
      <c r="AQ482" s="88"/>
      <c r="AR482" s="89"/>
      <c r="AS482" s="90"/>
      <c r="AV482" s="88"/>
      <c r="AW482" s="96"/>
      <c r="AX482" s="97"/>
      <c r="AY482" s="93"/>
      <c r="BB482" s="94"/>
      <c r="BG482" s="36" t="s">
        <v>5960</v>
      </c>
    </row>
    <row r="483" spans="1:59" ht="24">
      <c r="A483" s="36" t="s">
        <v>5900</v>
      </c>
      <c r="B483" s="36" t="s">
        <v>5917</v>
      </c>
      <c r="C483" s="36" t="s">
        <v>5942</v>
      </c>
      <c r="D483" s="37">
        <v>200</v>
      </c>
      <c r="E483" s="36">
        <v>1</v>
      </c>
      <c r="F483" s="36" t="s">
        <v>5838</v>
      </c>
      <c r="G483" s="36" t="s">
        <v>5863</v>
      </c>
      <c r="J483" s="36" t="s">
        <v>4475</v>
      </c>
      <c r="L483" s="36">
        <v>2</v>
      </c>
      <c r="Y483" s="79" t="s">
        <v>38</v>
      </c>
      <c r="AF483" s="36" t="s">
        <v>5952</v>
      </c>
      <c r="AI483" s="36" t="s">
        <v>5863</v>
      </c>
      <c r="AL483" s="36" t="s">
        <v>4475</v>
      </c>
      <c r="AN483" s="36">
        <v>2</v>
      </c>
      <c r="AP483" s="86"/>
      <c r="AQ483" s="88"/>
      <c r="AR483" s="89"/>
      <c r="AS483" s="90"/>
      <c r="AV483" s="88"/>
      <c r="AW483" s="96"/>
      <c r="AX483" s="97"/>
      <c r="AY483" s="93"/>
      <c r="BB483" s="94"/>
      <c r="BG483" s="36" t="s">
        <v>5961</v>
      </c>
    </row>
    <row r="484" spans="1:59" ht="24">
      <c r="A484" s="36" t="s">
        <v>5900</v>
      </c>
      <c r="B484" s="36" t="s">
        <v>5918</v>
      </c>
      <c r="C484" s="36" t="s">
        <v>5942</v>
      </c>
      <c r="D484" s="37">
        <v>201</v>
      </c>
      <c r="E484" s="36">
        <v>1</v>
      </c>
      <c r="F484" s="36" t="s">
        <v>5838</v>
      </c>
      <c r="G484" s="36" t="s">
        <v>5864</v>
      </c>
      <c r="J484" s="36" t="s">
        <v>31</v>
      </c>
      <c r="AD484" s="36" t="s">
        <v>5865</v>
      </c>
      <c r="AI484" s="36" t="s">
        <v>5864</v>
      </c>
      <c r="AL484" s="36" t="s">
        <v>31</v>
      </c>
      <c r="AP484" s="86"/>
      <c r="AQ484" s="88"/>
      <c r="AR484" s="89"/>
      <c r="AS484" s="90"/>
      <c r="AV484" s="88"/>
      <c r="AW484" s="96"/>
      <c r="AX484" s="97"/>
      <c r="AY484" s="93"/>
      <c r="BB484" s="94"/>
      <c r="BE484" s="36" t="s">
        <v>5865</v>
      </c>
      <c r="BG484" s="36" t="s">
        <v>5866</v>
      </c>
    </row>
    <row r="485" spans="1:59" ht="36">
      <c r="A485" s="36" t="s">
        <v>5900</v>
      </c>
      <c r="B485" s="36" t="s">
        <v>5919</v>
      </c>
      <c r="C485" s="36" t="s">
        <v>5942</v>
      </c>
      <c r="D485" s="37">
        <v>202</v>
      </c>
      <c r="E485" s="36">
        <v>1</v>
      </c>
      <c r="F485" s="36" t="s">
        <v>5838</v>
      </c>
      <c r="G485" s="36" t="s">
        <v>5867</v>
      </c>
      <c r="J485" s="36" t="s">
        <v>31</v>
      </c>
      <c r="AD485" s="36" t="s">
        <v>5868</v>
      </c>
      <c r="AI485" s="36" t="s">
        <v>5867</v>
      </c>
      <c r="AL485" s="36" t="s">
        <v>31</v>
      </c>
      <c r="AP485" s="86"/>
      <c r="AQ485" s="88"/>
      <c r="AR485" s="89"/>
      <c r="AS485" s="90"/>
      <c r="AV485" s="88"/>
      <c r="AW485" s="96"/>
      <c r="AX485" s="97"/>
      <c r="AY485" s="93">
        <v>3</v>
      </c>
      <c r="AZ485" s="79">
        <v>2</v>
      </c>
      <c r="BB485" s="94"/>
      <c r="BE485" s="36" t="s">
        <v>5868</v>
      </c>
      <c r="BG485" s="36" t="s">
        <v>5962</v>
      </c>
    </row>
    <row r="486" spans="1:59" ht="36">
      <c r="A486" s="36" t="s">
        <v>5900</v>
      </c>
      <c r="B486" s="36" t="s">
        <v>5920</v>
      </c>
      <c r="C486" s="36" t="s">
        <v>5942</v>
      </c>
      <c r="D486" s="37">
        <v>203</v>
      </c>
      <c r="E486" s="36">
        <v>1</v>
      </c>
      <c r="F486" s="36" t="s">
        <v>5838</v>
      </c>
      <c r="G486" s="36" t="s">
        <v>5867</v>
      </c>
      <c r="J486" s="36" t="s">
        <v>31</v>
      </c>
      <c r="AD486" s="36" t="s">
        <v>5868</v>
      </c>
      <c r="AI486" s="36" t="s">
        <v>5867</v>
      </c>
      <c r="AL486" s="36" t="s">
        <v>31</v>
      </c>
      <c r="AP486" s="86"/>
      <c r="AQ486" s="88"/>
      <c r="AR486" s="89"/>
      <c r="AS486" s="90"/>
      <c r="AV486" s="88"/>
      <c r="AW486" s="96"/>
      <c r="AX486" s="97"/>
      <c r="AY486" s="93">
        <v>3</v>
      </c>
      <c r="AZ486" s="79">
        <v>2</v>
      </c>
      <c r="BB486" s="94"/>
      <c r="BE486" s="36" t="s">
        <v>5868</v>
      </c>
      <c r="BG486" s="36" t="s">
        <v>5963</v>
      </c>
    </row>
    <row r="487" spans="1:59" ht="36">
      <c r="A487" s="36" t="s">
        <v>5900</v>
      </c>
      <c r="B487" s="36" t="s">
        <v>5921</v>
      </c>
      <c r="C487" s="36" t="s">
        <v>5942</v>
      </c>
      <c r="D487" s="37">
        <v>204</v>
      </c>
      <c r="E487" s="36">
        <v>1</v>
      </c>
      <c r="F487" s="36" t="s">
        <v>5838</v>
      </c>
      <c r="G487" s="36" t="s">
        <v>5869</v>
      </c>
      <c r="J487" s="36" t="s">
        <v>31</v>
      </c>
      <c r="AD487" s="36" t="s">
        <v>5868</v>
      </c>
      <c r="AI487" s="36" t="s">
        <v>5869</v>
      </c>
      <c r="AL487" s="36" t="s">
        <v>31</v>
      </c>
      <c r="AP487" s="86"/>
      <c r="AQ487" s="88"/>
      <c r="AR487" s="89"/>
      <c r="AS487" s="90"/>
      <c r="AV487" s="88"/>
      <c r="AW487" s="96"/>
      <c r="AX487" s="97"/>
      <c r="AY487" s="93">
        <v>3</v>
      </c>
      <c r="AZ487" s="79">
        <v>3</v>
      </c>
      <c r="BB487" s="94"/>
      <c r="BE487" s="36" t="s">
        <v>5868</v>
      </c>
      <c r="BG487" s="36" t="s">
        <v>5964</v>
      </c>
    </row>
    <row r="488" spans="1:59" ht="36">
      <c r="A488" s="36" t="s">
        <v>5900</v>
      </c>
      <c r="B488" s="36" t="s">
        <v>5922</v>
      </c>
      <c r="C488" s="36" t="s">
        <v>5942</v>
      </c>
      <c r="D488" s="37">
        <v>205</v>
      </c>
      <c r="E488" s="36">
        <v>1</v>
      </c>
      <c r="F488" s="36" t="s">
        <v>5838</v>
      </c>
      <c r="G488" s="36" t="s">
        <v>5869</v>
      </c>
      <c r="J488" s="36" t="s">
        <v>31</v>
      </c>
      <c r="AD488" s="36" t="s">
        <v>5868</v>
      </c>
      <c r="AI488" s="36" t="s">
        <v>5869</v>
      </c>
      <c r="AL488" s="36" t="s">
        <v>31</v>
      </c>
      <c r="AP488" s="86"/>
      <c r="AQ488" s="88"/>
      <c r="AR488" s="89"/>
      <c r="AS488" s="90"/>
      <c r="AV488" s="88"/>
      <c r="AW488" s="96"/>
      <c r="AX488" s="97"/>
      <c r="AY488" s="93">
        <v>2</v>
      </c>
      <c r="AZ488" s="79">
        <v>3</v>
      </c>
      <c r="BB488" s="94"/>
      <c r="BE488" s="36" t="s">
        <v>5868</v>
      </c>
      <c r="BG488" s="36" t="s">
        <v>5965</v>
      </c>
    </row>
    <row r="489" spans="1:59" ht="36">
      <c r="A489" s="36" t="s">
        <v>5900</v>
      </c>
      <c r="B489" s="36" t="s">
        <v>5923</v>
      </c>
      <c r="C489" s="36" t="s">
        <v>5942</v>
      </c>
      <c r="D489" s="37">
        <v>206</v>
      </c>
      <c r="E489" s="36">
        <v>1</v>
      </c>
      <c r="F489" s="36" t="s">
        <v>5838</v>
      </c>
      <c r="G489" s="36" t="s">
        <v>5870</v>
      </c>
      <c r="J489" s="36" t="s">
        <v>31</v>
      </c>
      <c r="AD489" s="36" t="s">
        <v>5868</v>
      </c>
      <c r="AI489" s="36" t="s">
        <v>5870</v>
      </c>
      <c r="AL489" s="36" t="s">
        <v>31</v>
      </c>
      <c r="AP489" s="86"/>
      <c r="AQ489" s="88"/>
      <c r="AR489" s="89"/>
      <c r="AS489" s="90"/>
      <c r="AV489" s="88"/>
      <c r="AW489" s="96"/>
      <c r="AX489" s="97"/>
      <c r="AY489" s="93">
        <v>2</v>
      </c>
      <c r="AZ489" s="79" t="s">
        <v>4927</v>
      </c>
      <c r="BB489" s="94"/>
      <c r="BE489" s="36" t="s">
        <v>5868</v>
      </c>
      <c r="BG489" s="36" t="s">
        <v>5966</v>
      </c>
    </row>
    <row r="490" spans="1:59" ht="48">
      <c r="A490" s="36" t="s">
        <v>5900</v>
      </c>
      <c r="B490" s="36" t="s">
        <v>5924</v>
      </c>
      <c r="C490" s="36" t="s">
        <v>5942</v>
      </c>
      <c r="D490" s="37">
        <v>207</v>
      </c>
      <c r="E490" s="36">
        <v>1</v>
      </c>
      <c r="F490" s="36" t="s">
        <v>5838</v>
      </c>
      <c r="G490" s="36" t="s">
        <v>5870</v>
      </c>
      <c r="J490" s="36" t="s">
        <v>31</v>
      </c>
      <c r="AD490" s="36" t="s">
        <v>5868</v>
      </c>
      <c r="AI490" s="36" t="s">
        <v>5870</v>
      </c>
      <c r="AL490" s="36" t="s">
        <v>31</v>
      </c>
      <c r="AP490" s="86"/>
      <c r="AQ490" s="88"/>
      <c r="AR490" s="89"/>
      <c r="AS490" s="90"/>
      <c r="AV490" s="88"/>
      <c r="AW490" s="96"/>
      <c r="AX490" s="97"/>
      <c r="AY490" s="93">
        <v>3</v>
      </c>
      <c r="AZ490" s="79" t="s">
        <v>4927</v>
      </c>
      <c r="BB490" s="94"/>
      <c r="BE490" s="36" t="s">
        <v>5868</v>
      </c>
      <c r="BG490" s="36" t="s">
        <v>5967</v>
      </c>
    </row>
    <row r="491" spans="1:59" ht="48">
      <c r="A491" s="36" t="s">
        <v>5900</v>
      </c>
      <c r="B491" s="36" t="s">
        <v>5925</v>
      </c>
      <c r="C491" s="36" t="s">
        <v>5942</v>
      </c>
      <c r="D491" s="37">
        <v>208</v>
      </c>
      <c r="E491" s="36">
        <v>1</v>
      </c>
      <c r="F491" s="36" t="s">
        <v>5838</v>
      </c>
      <c r="G491" s="36" t="s">
        <v>5871</v>
      </c>
      <c r="J491" s="36" t="s">
        <v>31</v>
      </c>
      <c r="AD491" s="36" t="s">
        <v>5868</v>
      </c>
      <c r="AI491" s="36" t="s">
        <v>5871</v>
      </c>
      <c r="AL491" s="36" t="s">
        <v>31</v>
      </c>
      <c r="AP491" s="86"/>
      <c r="AQ491" s="88"/>
      <c r="AR491" s="89"/>
      <c r="AS491" s="90"/>
      <c r="AV491" s="88"/>
      <c r="AW491" s="96"/>
      <c r="AX491" s="97"/>
      <c r="AY491" s="93">
        <v>1</v>
      </c>
      <c r="AZ491" s="79" t="s">
        <v>4927</v>
      </c>
      <c r="BB491" s="94"/>
      <c r="BE491" s="36" t="s">
        <v>5868</v>
      </c>
      <c r="BG491" s="36" t="s">
        <v>5968</v>
      </c>
    </row>
    <row r="492" spans="1:59" ht="36">
      <c r="A492" s="36" t="s">
        <v>5900</v>
      </c>
      <c r="B492" s="36" t="s">
        <v>5926</v>
      </c>
      <c r="C492" s="36" t="s">
        <v>5942</v>
      </c>
      <c r="D492" s="37">
        <v>209</v>
      </c>
      <c r="E492" s="36">
        <v>1</v>
      </c>
      <c r="F492" s="36" t="s">
        <v>5838</v>
      </c>
      <c r="G492" s="36" t="s">
        <v>5871</v>
      </c>
      <c r="J492" s="36" t="s">
        <v>31</v>
      </c>
      <c r="AD492" s="36" t="s">
        <v>5868</v>
      </c>
      <c r="AI492" s="36" t="s">
        <v>5871</v>
      </c>
      <c r="AL492" s="36" t="s">
        <v>31</v>
      </c>
      <c r="AP492" s="86"/>
      <c r="AQ492" s="88"/>
      <c r="AR492" s="89"/>
      <c r="AS492" s="90"/>
      <c r="AV492" s="88"/>
      <c r="AW492" s="96"/>
      <c r="AX492" s="97"/>
      <c r="AY492" s="93">
        <v>2</v>
      </c>
      <c r="AZ492" s="79" t="s">
        <v>4927</v>
      </c>
      <c r="BB492" s="94"/>
      <c r="BE492" s="36" t="s">
        <v>5868</v>
      </c>
      <c r="BG492" s="36" t="s">
        <v>5969</v>
      </c>
    </row>
    <row r="493" spans="1:59" ht="36">
      <c r="A493" s="36" t="s">
        <v>5900</v>
      </c>
      <c r="B493" s="36" t="s">
        <v>5927</v>
      </c>
      <c r="C493" s="36" t="s">
        <v>5942</v>
      </c>
      <c r="D493" s="37">
        <v>210</v>
      </c>
      <c r="E493" s="36">
        <v>1</v>
      </c>
      <c r="F493" s="36" t="s">
        <v>5838</v>
      </c>
      <c r="G493" s="36" t="s">
        <v>5872</v>
      </c>
      <c r="J493" s="36" t="s">
        <v>31</v>
      </c>
      <c r="AD493" s="36" t="s">
        <v>5868</v>
      </c>
      <c r="AI493" s="36" t="s">
        <v>5872</v>
      </c>
      <c r="AL493" s="36" t="s">
        <v>31</v>
      </c>
      <c r="AP493" s="86"/>
      <c r="AQ493" s="88"/>
      <c r="AR493" s="89"/>
      <c r="AS493" s="90"/>
      <c r="AV493" s="88"/>
      <c r="AW493" s="96"/>
      <c r="AX493" s="97"/>
      <c r="AY493" s="93">
        <v>2</v>
      </c>
      <c r="AZ493" s="79" t="s">
        <v>4927</v>
      </c>
      <c r="BB493" s="94"/>
      <c r="BE493" s="36" t="s">
        <v>5868</v>
      </c>
      <c r="BG493" s="36" t="s">
        <v>5970</v>
      </c>
    </row>
    <row r="494" spans="1:59" ht="48">
      <c r="A494" s="36" t="s">
        <v>5900</v>
      </c>
      <c r="B494" s="36" t="s">
        <v>5928</v>
      </c>
      <c r="C494" s="36" t="s">
        <v>5942</v>
      </c>
      <c r="D494" s="37">
        <v>211</v>
      </c>
      <c r="E494" s="36">
        <v>1</v>
      </c>
      <c r="F494" s="36" t="s">
        <v>5838</v>
      </c>
      <c r="G494" s="36" t="s">
        <v>5872</v>
      </c>
      <c r="J494" s="36" t="s">
        <v>31</v>
      </c>
      <c r="AD494" s="36" t="s">
        <v>5868</v>
      </c>
      <c r="AI494" s="36" t="s">
        <v>5872</v>
      </c>
      <c r="AL494" s="36" t="s">
        <v>31</v>
      </c>
      <c r="AP494" s="86"/>
      <c r="AQ494" s="88"/>
      <c r="AR494" s="89"/>
      <c r="AS494" s="90"/>
      <c r="AV494" s="88"/>
      <c r="AW494" s="96"/>
      <c r="AX494" s="97"/>
      <c r="AY494" s="93">
        <v>1</v>
      </c>
      <c r="AZ494" s="79" t="s">
        <v>4927</v>
      </c>
      <c r="BB494" s="94"/>
      <c r="BE494" s="36" t="s">
        <v>5868</v>
      </c>
      <c r="BG494" s="36" t="s">
        <v>5971</v>
      </c>
    </row>
    <row r="495" spans="1:59" ht="36">
      <c r="A495" s="36" t="s">
        <v>5900</v>
      </c>
      <c r="B495" s="36" t="s">
        <v>5929</v>
      </c>
      <c r="C495" s="36" t="s">
        <v>5942</v>
      </c>
      <c r="D495" s="37">
        <v>212</v>
      </c>
      <c r="E495" s="36">
        <v>1</v>
      </c>
      <c r="F495" s="36" t="s">
        <v>5838</v>
      </c>
      <c r="G495" s="36" t="s">
        <v>5873</v>
      </c>
      <c r="J495" s="36" t="s">
        <v>31</v>
      </c>
      <c r="AD495" s="36" t="s">
        <v>5868</v>
      </c>
      <c r="AI495" s="36" t="s">
        <v>5873</v>
      </c>
      <c r="AL495" s="36" t="s">
        <v>31</v>
      </c>
      <c r="AP495" s="86"/>
      <c r="AQ495" s="88"/>
      <c r="AR495" s="89"/>
      <c r="AS495" s="90"/>
      <c r="AV495" s="88"/>
      <c r="AW495" s="96"/>
      <c r="AX495" s="97"/>
      <c r="AY495" s="93">
        <v>4</v>
      </c>
      <c r="AZ495" s="79">
        <v>1</v>
      </c>
      <c r="BB495" s="94"/>
      <c r="BE495" s="36" t="s">
        <v>5868</v>
      </c>
      <c r="BG495" s="36" t="s">
        <v>5972</v>
      </c>
    </row>
    <row r="496" spans="1:59" ht="36">
      <c r="A496" s="36" t="s">
        <v>5900</v>
      </c>
      <c r="B496" s="36" t="s">
        <v>5930</v>
      </c>
      <c r="C496" s="36" t="s">
        <v>5942</v>
      </c>
      <c r="D496" s="37">
        <v>213</v>
      </c>
      <c r="E496" s="36">
        <v>1</v>
      </c>
      <c r="F496" s="36" t="s">
        <v>5838</v>
      </c>
      <c r="G496" s="36" t="s">
        <v>5873</v>
      </c>
      <c r="J496" s="36" t="s">
        <v>31</v>
      </c>
      <c r="AD496" s="36" t="s">
        <v>5868</v>
      </c>
      <c r="AI496" s="36" t="s">
        <v>5873</v>
      </c>
      <c r="AL496" s="36" t="s">
        <v>31</v>
      </c>
      <c r="AP496" s="86"/>
      <c r="AQ496" s="88"/>
      <c r="AR496" s="89"/>
      <c r="AS496" s="90"/>
      <c r="AV496" s="88"/>
      <c r="AW496" s="96"/>
      <c r="AX496" s="97"/>
      <c r="AY496" s="93">
        <v>4</v>
      </c>
      <c r="AZ496" s="79">
        <v>1</v>
      </c>
      <c r="BB496" s="94"/>
      <c r="BE496" s="36" t="s">
        <v>5868</v>
      </c>
      <c r="BG496" s="36" t="s">
        <v>5973</v>
      </c>
    </row>
    <row r="497" spans="1:62" ht="60">
      <c r="A497" s="36" t="s">
        <v>5900</v>
      </c>
      <c r="B497" s="36" t="s">
        <v>5931</v>
      </c>
      <c r="C497" s="36" t="s">
        <v>5942</v>
      </c>
      <c r="D497" s="37">
        <v>214</v>
      </c>
      <c r="E497" s="36">
        <v>1</v>
      </c>
      <c r="F497" s="36" t="s">
        <v>5838</v>
      </c>
      <c r="G497" s="36" t="s">
        <v>5874</v>
      </c>
      <c r="J497" s="36" t="s">
        <v>31</v>
      </c>
      <c r="X497" s="93">
        <v>3</v>
      </c>
      <c r="Y497" s="79">
        <v>0</v>
      </c>
      <c r="AD497" s="36" t="s">
        <v>5868</v>
      </c>
      <c r="AF497" s="36" t="s">
        <v>5974</v>
      </c>
      <c r="AP497" s="86"/>
      <c r="AQ497" s="88"/>
      <c r="AR497" s="89"/>
      <c r="AS497" s="90"/>
      <c r="AV497" s="88"/>
      <c r="AW497" s="96"/>
      <c r="AX497" s="97"/>
      <c r="AY497" s="93"/>
      <c r="BB497" s="94"/>
      <c r="BJ497" s="46" t="s">
        <v>5837</v>
      </c>
    </row>
    <row r="498" spans="1:62" ht="36">
      <c r="A498" s="36" t="s">
        <v>5900</v>
      </c>
      <c r="B498" s="36" t="s">
        <v>5932</v>
      </c>
      <c r="C498" s="36" t="s">
        <v>5942</v>
      </c>
      <c r="D498" s="37">
        <v>215</v>
      </c>
      <c r="E498" s="36">
        <v>1</v>
      </c>
      <c r="F498" s="36" t="s">
        <v>5838</v>
      </c>
      <c r="G498" s="36" t="s">
        <v>5875</v>
      </c>
      <c r="J498" s="36" t="s">
        <v>4111</v>
      </c>
      <c r="AD498" s="36" t="s">
        <v>5876</v>
      </c>
      <c r="AF498" s="36" t="s">
        <v>5953</v>
      </c>
      <c r="AP498" s="86"/>
      <c r="AQ498" s="88"/>
      <c r="AR498" s="89"/>
      <c r="AS498" s="90"/>
      <c r="AV498" s="88"/>
      <c r="AW498" s="96"/>
      <c r="AX498" s="97"/>
      <c r="AY498" s="93"/>
      <c r="BB498" s="94"/>
      <c r="BJ498" s="46" t="s">
        <v>5837</v>
      </c>
    </row>
    <row r="499" spans="1:62" ht="24">
      <c r="A499" s="36" t="s">
        <v>5900</v>
      </c>
      <c r="B499" s="36" t="s">
        <v>5933</v>
      </c>
      <c r="C499" s="36" t="s">
        <v>5942</v>
      </c>
      <c r="D499" s="37">
        <v>216</v>
      </c>
      <c r="E499" s="36">
        <v>1</v>
      </c>
      <c r="F499" s="36" t="s">
        <v>5838</v>
      </c>
      <c r="G499" s="36" t="s">
        <v>5877</v>
      </c>
      <c r="H499" s="36" t="s">
        <v>5878</v>
      </c>
      <c r="I499" s="36" t="s">
        <v>5879</v>
      </c>
      <c r="J499" s="36" t="s">
        <v>29</v>
      </c>
      <c r="Q499" s="78">
        <v>3</v>
      </c>
      <c r="R499" s="79">
        <v>7</v>
      </c>
      <c r="T499" s="81" t="s">
        <v>5880</v>
      </c>
      <c r="V499" s="82">
        <v>2</v>
      </c>
      <c r="W499" s="83">
        <v>2</v>
      </c>
      <c r="AA499" s="85">
        <v>2</v>
      </c>
      <c r="AD499" s="36" t="s">
        <v>5377</v>
      </c>
      <c r="AE499" s="37" t="s">
        <v>5881</v>
      </c>
      <c r="AF499" s="36" t="s">
        <v>5882</v>
      </c>
      <c r="AP499" s="86"/>
      <c r="AQ499" s="88"/>
      <c r="AR499" s="89"/>
      <c r="AS499" s="90"/>
      <c r="AV499" s="88"/>
      <c r="AW499" s="96"/>
      <c r="AX499" s="97"/>
      <c r="AY499" s="93"/>
      <c r="BB499" s="94"/>
    </row>
    <row r="500" spans="1:62" ht="24">
      <c r="A500" s="36" t="s">
        <v>5900</v>
      </c>
      <c r="B500" s="36" t="s">
        <v>5934</v>
      </c>
      <c r="C500" s="36" t="s">
        <v>5942</v>
      </c>
      <c r="D500" s="37">
        <v>217</v>
      </c>
      <c r="E500" s="36">
        <v>1</v>
      </c>
      <c r="F500" s="36" t="s">
        <v>5838</v>
      </c>
      <c r="G500" s="36" t="s">
        <v>5883</v>
      </c>
      <c r="H500" s="36" t="s">
        <v>5884</v>
      </c>
      <c r="I500" s="36" t="s">
        <v>5879</v>
      </c>
      <c r="J500" s="36" t="s">
        <v>4111</v>
      </c>
      <c r="N500" s="75">
        <v>3</v>
      </c>
      <c r="O500" s="76">
        <v>1</v>
      </c>
      <c r="S500" s="126">
        <v>1</v>
      </c>
      <c r="T500" s="81">
        <v>1</v>
      </c>
      <c r="U500" s="76">
        <v>4</v>
      </c>
      <c r="AB500" s="36" t="s">
        <v>4940</v>
      </c>
      <c r="AC500" s="36" t="s">
        <v>25</v>
      </c>
      <c r="AD500" s="36" t="s">
        <v>5885</v>
      </c>
      <c r="AF500" s="36" t="s">
        <v>5954</v>
      </c>
      <c r="AP500" s="86"/>
      <c r="AQ500" s="88"/>
      <c r="AR500" s="89"/>
      <c r="AS500" s="90"/>
      <c r="AV500" s="88"/>
      <c r="AW500" s="96"/>
      <c r="AX500" s="97"/>
      <c r="AY500" s="93"/>
      <c r="BB500" s="94"/>
    </row>
    <row r="501" spans="1:62" ht="24">
      <c r="A501" s="36" t="s">
        <v>5900</v>
      </c>
      <c r="B501" s="36" t="s">
        <v>5935</v>
      </c>
      <c r="C501" s="36" t="s">
        <v>5942</v>
      </c>
      <c r="D501" s="37">
        <v>218</v>
      </c>
      <c r="E501" s="36">
        <v>1</v>
      </c>
      <c r="F501" s="36" t="s">
        <v>5838</v>
      </c>
      <c r="G501" s="36" t="s">
        <v>5886</v>
      </c>
      <c r="H501" s="36" t="s">
        <v>5887</v>
      </c>
      <c r="I501" s="36" t="s">
        <v>5879</v>
      </c>
      <c r="J501" s="36" t="s">
        <v>4111</v>
      </c>
      <c r="N501" s="75">
        <v>3</v>
      </c>
      <c r="R501" s="79">
        <v>1</v>
      </c>
      <c r="S501" s="126">
        <v>1</v>
      </c>
      <c r="T501" s="81">
        <v>3</v>
      </c>
      <c r="U501" s="76">
        <v>2</v>
      </c>
      <c r="AB501" s="36" t="s">
        <v>5034</v>
      </c>
      <c r="AC501" s="36" t="s">
        <v>25</v>
      </c>
      <c r="AD501" s="36" t="s">
        <v>5885</v>
      </c>
      <c r="AF501" s="36" t="s">
        <v>5955</v>
      </c>
      <c r="AP501" s="86"/>
      <c r="AQ501" s="88"/>
      <c r="AR501" s="89"/>
      <c r="AS501" s="90"/>
      <c r="AV501" s="88"/>
      <c r="AW501" s="96"/>
      <c r="AX501" s="97"/>
      <c r="AY501" s="93"/>
      <c r="BB501" s="94"/>
    </row>
    <row r="502" spans="1:62" ht="48">
      <c r="A502" s="36" t="s">
        <v>5900</v>
      </c>
      <c r="B502" s="36" t="s">
        <v>5936</v>
      </c>
      <c r="C502" s="36" t="s">
        <v>5942</v>
      </c>
      <c r="D502" s="37">
        <v>219</v>
      </c>
      <c r="E502" s="36">
        <v>1</v>
      </c>
      <c r="F502" s="36" t="s">
        <v>5838</v>
      </c>
      <c r="G502" s="36" t="s">
        <v>5888</v>
      </c>
      <c r="H502" s="36" t="s">
        <v>5889</v>
      </c>
      <c r="J502" s="36" t="s">
        <v>4111</v>
      </c>
      <c r="N502" s="75">
        <v>0</v>
      </c>
      <c r="AD502" s="36" t="s">
        <v>4119</v>
      </c>
      <c r="AF502" s="36" t="s">
        <v>5956</v>
      </c>
      <c r="AP502" s="86"/>
      <c r="AQ502" s="88"/>
      <c r="AR502" s="89"/>
      <c r="AS502" s="90"/>
      <c r="AV502" s="88"/>
      <c r="AW502" s="96"/>
      <c r="AX502" s="97"/>
      <c r="AY502" s="93"/>
      <c r="BB502" s="94"/>
    </row>
    <row r="503" spans="1:62" ht="84">
      <c r="A503" s="36" t="s">
        <v>5900</v>
      </c>
      <c r="B503" s="36" t="s">
        <v>5937</v>
      </c>
      <c r="C503" s="36" t="s">
        <v>5942</v>
      </c>
      <c r="D503" s="37">
        <v>220</v>
      </c>
      <c r="E503" s="36">
        <v>3</v>
      </c>
      <c r="F503" s="36" t="s">
        <v>5838</v>
      </c>
      <c r="G503" s="36" t="s">
        <v>5890</v>
      </c>
      <c r="J503" s="36" t="s">
        <v>28</v>
      </c>
      <c r="AF503" s="36" t="s">
        <v>5957</v>
      </c>
      <c r="AP503" s="86"/>
      <c r="AQ503" s="88"/>
      <c r="AR503" s="89"/>
      <c r="AS503" s="90"/>
      <c r="AV503" s="88"/>
      <c r="AW503" s="96"/>
      <c r="AX503" s="97"/>
      <c r="AY503" s="93"/>
      <c r="BB503" s="94"/>
    </row>
    <row r="504" spans="1:62" ht="48">
      <c r="A504" s="36" t="s">
        <v>5900</v>
      </c>
      <c r="B504" s="36" t="s">
        <v>5938</v>
      </c>
      <c r="C504" s="36" t="s">
        <v>5942</v>
      </c>
      <c r="D504" s="37">
        <v>221</v>
      </c>
      <c r="E504" s="36">
        <v>2</v>
      </c>
      <c r="F504" s="36" t="s">
        <v>5838</v>
      </c>
      <c r="G504" s="36" t="s">
        <v>5891</v>
      </c>
      <c r="J504" s="36" t="s">
        <v>28</v>
      </c>
      <c r="AD504" s="36" t="s">
        <v>4346</v>
      </c>
      <c r="AE504" s="37" t="s">
        <v>5892</v>
      </c>
      <c r="AF504" s="36" t="s">
        <v>5958</v>
      </c>
      <c r="AP504" s="86"/>
      <c r="AQ504" s="88"/>
      <c r="AR504" s="89"/>
      <c r="AS504" s="90"/>
      <c r="AV504" s="88"/>
      <c r="AW504" s="96"/>
      <c r="AX504" s="97"/>
      <c r="AY504" s="93"/>
      <c r="BB504" s="94"/>
    </row>
    <row r="505" spans="1:62" ht="36">
      <c r="A505" s="36" t="s">
        <v>5900</v>
      </c>
      <c r="B505" s="36" t="s">
        <v>5939</v>
      </c>
      <c r="C505" s="36" t="s">
        <v>5942</v>
      </c>
      <c r="D505" s="37">
        <v>222</v>
      </c>
      <c r="E505" s="36">
        <v>2</v>
      </c>
      <c r="F505" s="36" t="s">
        <v>5838</v>
      </c>
      <c r="G505" s="36" t="s">
        <v>5893</v>
      </c>
      <c r="J505" s="36" t="s">
        <v>28</v>
      </c>
      <c r="AD505" s="36" t="s">
        <v>4346</v>
      </c>
      <c r="AF505" s="36" t="s">
        <v>5894</v>
      </c>
      <c r="AP505" s="86"/>
      <c r="AQ505" s="88"/>
      <c r="AR505" s="89"/>
      <c r="AS505" s="90"/>
      <c r="AV505" s="88"/>
      <c r="AW505" s="96"/>
      <c r="AX505" s="97"/>
      <c r="AY505" s="93"/>
      <c r="BB505" s="94"/>
    </row>
    <row r="506" spans="1:62" ht="24">
      <c r="A506" s="36" t="s">
        <v>5900</v>
      </c>
      <c r="B506" s="36" t="s">
        <v>5940</v>
      </c>
      <c r="C506" s="36" t="s">
        <v>5942</v>
      </c>
      <c r="D506" s="37">
        <v>223</v>
      </c>
      <c r="E506" s="36">
        <v>3</v>
      </c>
      <c r="F506" s="36" t="s">
        <v>5838</v>
      </c>
      <c r="G506" s="36" t="s">
        <v>4334</v>
      </c>
      <c r="J506" s="36" t="s">
        <v>28</v>
      </c>
      <c r="AD506" s="36" t="s">
        <v>4335</v>
      </c>
      <c r="AF506" s="36" t="s">
        <v>5895</v>
      </c>
      <c r="AP506" s="86"/>
      <c r="AQ506" s="88"/>
      <c r="AR506" s="89"/>
      <c r="AS506" s="90"/>
      <c r="AV506" s="88"/>
      <c r="AW506" s="96"/>
      <c r="AX506" s="97"/>
      <c r="AY506" s="93"/>
      <c r="BB506" s="94"/>
    </row>
    <row r="507" spans="1:62" ht="36">
      <c r="A507" s="36" t="s">
        <v>5900</v>
      </c>
      <c r="B507" s="36" t="s">
        <v>5941</v>
      </c>
      <c r="C507" s="36" t="s">
        <v>5942</v>
      </c>
      <c r="D507" s="37">
        <v>224</v>
      </c>
      <c r="E507" s="36">
        <v>3</v>
      </c>
      <c r="F507" s="36" t="s">
        <v>5838</v>
      </c>
      <c r="G507" s="36" t="s">
        <v>5896</v>
      </c>
      <c r="J507" s="36" t="s">
        <v>29</v>
      </c>
      <c r="Q507" s="78">
        <v>3</v>
      </c>
      <c r="R507" s="79">
        <v>1</v>
      </c>
      <c r="T507" s="81">
        <v>2</v>
      </c>
      <c r="V507" s="82">
        <v>2</v>
      </c>
      <c r="AD507" s="36" t="s">
        <v>5897</v>
      </c>
      <c r="AE507" s="37" t="s">
        <v>5898</v>
      </c>
      <c r="AF507" s="36" t="s">
        <v>5899</v>
      </c>
      <c r="AP507" s="86"/>
      <c r="AQ507" s="88"/>
      <c r="AR507" s="89"/>
      <c r="AS507" s="90"/>
      <c r="AV507" s="88"/>
      <c r="AW507" s="96"/>
      <c r="AX507" s="97"/>
      <c r="AY507" s="93"/>
      <c r="BB507" s="94"/>
    </row>
    <row r="508" spans="1:62" ht="36">
      <c r="A508" s="40" t="s">
        <v>6138</v>
      </c>
      <c r="B508" s="40" t="s">
        <v>6139</v>
      </c>
      <c r="C508" s="39"/>
      <c r="D508" s="40">
        <v>225</v>
      </c>
      <c r="E508" s="40">
        <v>2</v>
      </c>
      <c r="F508" s="40"/>
      <c r="G508" s="40" t="s">
        <v>5978</v>
      </c>
      <c r="H508" s="44"/>
      <c r="I508" s="37"/>
      <c r="J508" s="37" t="s">
        <v>27</v>
      </c>
      <c r="K508" s="37" t="s">
        <v>4052</v>
      </c>
      <c r="L508" s="37">
        <v>0</v>
      </c>
      <c r="M508" s="37"/>
      <c r="N508" s="75">
        <v>1</v>
      </c>
      <c r="O508" s="76">
        <v>1</v>
      </c>
      <c r="Q508" s="78">
        <v>1</v>
      </c>
      <c r="R508" s="154"/>
      <c r="S508" s="152"/>
      <c r="T508" s="156"/>
      <c r="AB508" s="153" t="s">
        <v>4058</v>
      </c>
      <c r="AC508" s="37"/>
      <c r="AD508" s="37"/>
      <c r="AF508" s="37" t="s">
        <v>6188</v>
      </c>
      <c r="AG508" s="37" t="s">
        <v>6140</v>
      </c>
      <c r="AI508" s="44"/>
      <c r="AJ508" s="41"/>
      <c r="AO508" s="37"/>
      <c r="AT508" s="154"/>
      <c r="BE508" s="37"/>
      <c r="BF508" s="36"/>
      <c r="BG508" s="37"/>
      <c r="BH508" s="37"/>
    </row>
    <row r="509" spans="1:62" ht="48">
      <c r="A509" s="37" t="s">
        <v>6138</v>
      </c>
      <c r="B509" s="37" t="s">
        <v>6141</v>
      </c>
      <c r="D509" s="37">
        <v>226</v>
      </c>
      <c r="E509" s="37">
        <v>2</v>
      </c>
      <c r="F509" s="37"/>
      <c r="G509" s="37" t="s">
        <v>5979</v>
      </c>
      <c r="H509" s="37"/>
      <c r="I509" s="37"/>
      <c r="J509" s="37" t="s">
        <v>4111</v>
      </c>
      <c r="K509" s="37" t="s">
        <v>4052</v>
      </c>
      <c r="L509" s="37">
        <v>4</v>
      </c>
      <c r="M509" s="37"/>
      <c r="N509" s="75">
        <v>4</v>
      </c>
      <c r="Q509" s="78">
        <v>1</v>
      </c>
      <c r="R509" s="154">
        <v>1</v>
      </c>
      <c r="S509" s="152"/>
      <c r="T509" s="156"/>
      <c r="AB509" s="153" t="s">
        <v>4941</v>
      </c>
      <c r="AC509" s="37" t="s">
        <v>5980</v>
      </c>
      <c r="AD509" s="37" t="s">
        <v>4113</v>
      </c>
      <c r="AF509" s="37" t="s">
        <v>6195</v>
      </c>
      <c r="AG509" s="37"/>
      <c r="AI509" s="37"/>
      <c r="AO509" s="37"/>
      <c r="AT509" s="154"/>
      <c r="BE509" s="37"/>
      <c r="BF509" s="36"/>
      <c r="BG509" s="37"/>
      <c r="BH509" s="37"/>
    </row>
    <row r="510" spans="1:62" ht="24">
      <c r="A510" s="37" t="s">
        <v>6138</v>
      </c>
      <c r="B510" s="37" t="s">
        <v>6142</v>
      </c>
      <c r="D510" s="37">
        <v>227</v>
      </c>
      <c r="E510" s="37">
        <v>2</v>
      </c>
      <c r="F510" s="37"/>
      <c r="G510" s="37" t="s">
        <v>5981</v>
      </c>
      <c r="H510" s="37"/>
      <c r="I510" s="37"/>
      <c r="J510" s="37" t="s">
        <v>4166</v>
      </c>
      <c r="K510" s="37" t="s">
        <v>4053</v>
      </c>
      <c r="L510" s="37">
        <v>0</v>
      </c>
      <c r="M510" s="37"/>
      <c r="R510" s="154"/>
      <c r="S510" s="152">
        <v>3</v>
      </c>
      <c r="T510" s="156"/>
      <c r="AB510" s="153" t="s">
        <v>5851</v>
      </c>
      <c r="AC510" s="37"/>
      <c r="AD510" s="37" t="s">
        <v>4266</v>
      </c>
      <c r="AF510" s="37" t="s">
        <v>6143</v>
      </c>
      <c r="AG510" s="37" t="s">
        <v>6144</v>
      </c>
      <c r="AI510" s="37"/>
      <c r="AO510" s="37"/>
      <c r="AT510" s="154"/>
      <c r="BE510" s="37"/>
      <c r="BF510" s="36"/>
      <c r="BG510" s="37"/>
      <c r="BH510" s="37"/>
    </row>
    <row r="511" spans="1:62" ht="60">
      <c r="A511" s="37" t="s">
        <v>6138</v>
      </c>
      <c r="B511" s="37" t="s">
        <v>6145</v>
      </c>
      <c r="D511" s="37">
        <v>228</v>
      </c>
      <c r="E511" s="37">
        <v>2</v>
      </c>
      <c r="F511" s="37"/>
      <c r="G511" s="37" t="s">
        <v>5982</v>
      </c>
      <c r="H511" s="37"/>
      <c r="I511" s="37"/>
      <c r="J511" s="37" t="s">
        <v>27</v>
      </c>
      <c r="K511" s="37" t="s">
        <v>4053</v>
      </c>
      <c r="L511" s="37">
        <v>1</v>
      </c>
      <c r="M511" s="37"/>
      <c r="N511" s="75">
        <v>0</v>
      </c>
      <c r="P511" s="77">
        <v>1</v>
      </c>
      <c r="Q511" s="78">
        <v>2</v>
      </c>
      <c r="R511" s="154"/>
      <c r="S511" s="152"/>
      <c r="T511" s="156"/>
      <c r="AB511" s="153" t="s">
        <v>4059</v>
      </c>
      <c r="AC511" s="37"/>
      <c r="AD511" s="37" t="s">
        <v>4194</v>
      </c>
      <c r="AF511" s="37" t="s">
        <v>6193</v>
      </c>
      <c r="AG511" s="37"/>
      <c r="AI511" s="37"/>
      <c r="AO511" s="37"/>
      <c r="AT511" s="154"/>
      <c r="BE511" s="37"/>
      <c r="BF511" s="36"/>
      <c r="BG511" s="37"/>
      <c r="BH511" s="37"/>
    </row>
    <row r="512" spans="1:62" ht="48">
      <c r="A512" s="37" t="s">
        <v>6138</v>
      </c>
      <c r="B512" s="37" t="s">
        <v>6146</v>
      </c>
      <c r="D512" s="37">
        <v>229</v>
      </c>
      <c r="E512" s="37">
        <v>2</v>
      </c>
      <c r="F512" s="37"/>
      <c r="G512" s="37" t="s">
        <v>5983</v>
      </c>
      <c r="H512" s="37"/>
      <c r="I512" s="37"/>
      <c r="J512" s="37" t="s">
        <v>4166</v>
      </c>
      <c r="K512" s="37" t="s">
        <v>4055</v>
      </c>
      <c r="L512" s="37">
        <v>0</v>
      </c>
      <c r="M512" s="37"/>
      <c r="R512" s="154"/>
      <c r="S512" s="152">
        <v>1</v>
      </c>
      <c r="T512" s="156"/>
      <c r="AB512" s="153" t="s">
        <v>4062</v>
      </c>
      <c r="AC512" s="37"/>
      <c r="AD512" s="37" t="s">
        <v>4266</v>
      </c>
      <c r="AE512" s="36"/>
      <c r="AF512" s="37" t="s">
        <v>6147</v>
      </c>
      <c r="AG512" s="37"/>
      <c r="AI512" s="37"/>
      <c r="AO512" s="37"/>
      <c r="AP512" s="86"/>
      <c r="AT512" s="154"/>
      <c r="BE512" s="37"/>
      <c r="BF512" s="36"/>
      <c r="BG512" s="37"/>
      <c r="BH512" s="37"/>
    </row>
    <row r="513" spans="1:60" ht="48">
      <c r="A513" s="37" t="s">
        <v>6138</v>
      </c>
      <c r="B513" s="37" t="s">
        <v>6148</v>
      </c>
      <c r="D513" s="37">
        <v>230</v>
      </c>
      <c r="E513" s="37">
        <v>2</v>
      </c>
      <c r="F513" s="37"/>
      <c r="G513" s="37" t="s">
        <v>5984</v>
      </c>
      <c r="H513" s="37"/>
      <c r="I513" s="37"/>
      <c r="J513" s="37" t="s">
        <v>4111</v>
      </c>
      <c r="K513" s="37" t="s">
        <v>4055</v>
      </c>
      <c r="L513" s="37">
        <v>2</v>
      </c>
      <c r="M513" s="37"/>
      <c r="N513" s="75">
        <v>2</v>
      </c>
      <c r="O513" s="76">
        <v>1</v>
      </c>
      <c r="R513" s="154"/>
      <c r="S513" s="152"/>
      <c r="T513" s="156"/>
      <c r="AB513" s="155" t="s">
        <v>4058</v>
      </c>
      <c r="AC513" s="37" t="s">
        <v>4129</v>
      </c>
      <c r="AD513" s="37" t="s">
        <v>4130</v>
      </c>
      <c r="AE513" s="36"/>
      <c r="AF513" s="37" t="s">
        <v>6199</v>
      </c>
      <c r="AG513" s="37"/>
      <c r="AO513" s="37"/>
      <c r="AP513" s="86"/>
      <c r="BE513" s="37"/>
      <c r="BF513" s="36"/>
    </row>
    <row r="514" spans="1:60" ht="36">
      <c r="A514" s="37" t="s">
        <v>6138</v>
      </c>
      <c r="B514" s="37" t="s">
        <v>6149</v>
      </c>
      <c r="D514" s="37">
        <v>231</v>
      </c>
      <c r="E514" s="37">
        <v>2</v>
      </c>
      <c r="F514" s="37"/>
      <c r="G514" s="37" t="s">
        <v>4224</v>
      </c>
      <c r="H514" s="37"/>
      <c r="I514" s="37"/>
      <c r="J514" s="37" t="s">
        <v>4166</v>
      </c>
      <c r="K514" s="37" t="s">
        <v>4055</v>
      </c>
      <c r="L514" s="37">
        <v>2</v>
      </c>
      <c r="M514" s="37"/>
      <c r="R514" s="154"/>
      <c r="S514" s="152">
        <v>1</v>
      </c>
      <c r="T514" s="156"/>
      <c r="AB514" s="153" t="s">
        <v>4062</v>
      </c>
      <c r="AC514" s="37"/>
      <c r="AD514" s="37" t="s">
        <v>5985</v>
      </c>
      <c r="AE514" s="36"/>
      <c r="AF514" s="37" t="s">
        <v>6150</v>
      </c>
      <c r="AG514" s="37"/>
      <c r="AO514" s="37"/>
      <c r="AP514" s="86"/>
      <c r="BE514" s="37"/>
      <c r="BF514" s="36"/>
    </row>
    <row r="515" spans="1:60" ht="60">
      <c r="A515" s="37" t="s">
        <v>6138</v>
      </c>
      <c r="B515" s="37" t="s">
        <v>6151</v>
      </c>
      <c r="D515" s="37">
        <v>232</v>
      </c>
      <c r="E515" s="37">
        <v>2</v>
      </c>
      <c r="F515" s="37"/>
      <c r="G515" s="37" t="s">
        <v>5986</v>
      </c>
      <c r="H515" s="37" t="s">
        <v>5987</v>
      </c>
      <c r="I515" s="37" t="s">
        <v>4077</v>
      </c>
      <c r="J515" s="37" t="s">
        <v>4111</v>
      </c>
      <c r="K515" s="37" t="s">
        <v>4054</v>
      </c>
      <c r="L515" s="37">
        <v>0</v>
      </c>
      <c r="M515" s="37"/>
      <c r="N515" s="75">
        <v>4</v>
      </c>
      <c r="P515" s="77">
        <v>1</v>
      </c>
      <c r="R515" s="154"/>
      <c r="S515" s="152"/>
      <c r="T515" s="156">
        <v>1</v>
      </c>
      <c r="U515" s="76">
        <v>3</v>
      </c>
      <c r="AB515" s="155" t="s">
        <v>4059</v>
      </c>
      <c r="AC515" s="37" t="s">
        <v>25</v>
      </c>
      <c r="AD515" s="37" t="s">
        <v>4524</v>
      </c>
      <c r="AE515" s="36"/>
      <c r="AF515" s="37" t="s">
        <v>6194</v>
      </c>
      <c r="AG515" s="37"/>
      <c r="AO515" s="37"/>
      <c r="AP515" s="86"/>
      <c r="BE515" s="37"/>
      <c r="BF515" s="36"/>
    </row>
    <row r="516" spans="1:60" ht="72">
      <c r="A516" s="37" t="s">
        <v>6138</v>
      </c>
      <c r="B516" s="37" t="s">
        <v>6152</v>
      </c>
      <c r="D516" s="37">
        <v>233</v>
      </c>
      <c r="E516" s="37">
        <v>2</v>
      </c>
      <c r="F516" s="37"/>
      <c r="G516" s="37" t="s">
        <v>5275</v>
      </c>
      <c r="H516" s="37"/>
      <c r="I516" s="37"/>
      <c r="J516" s="37" t="s">
        <v>4111</v>
      </c>
      <c r="K516" s="37" t="s">
        <v>4054</v>
      </c>
      <c r="L516" s="37">
        <v>4</v>
      </c>
      <c r="M516" s="37"/>
      <c r="N516" s="157">
        <v>5</v>
      </c>
      <c r="P516" s="77">
        <v>2</v>
      </c>
      <c r="R516" s="154"/>
      <c r="S516" s="152"/>
      <c r="T516" s="156"/>
      <c r="AB516" s="153" t="s">
        <v>4938</v>
      </c>
      <c r="AC516" s="37"/>
      <c r="AD516" s="37" t="s">
        <v>4133</v>
      </c>
      <c r="AE516" s="36"/>
      <c r="AF516" s="37" t="s">
        <v>6200</v>
      </c>
      <c r="AG516" s="37"/>
      <c r="AO516" s="37"/>
      <c r="AP516" s="86"/>
      <c r="BE516" s="37"/>
      <c r="BF516" s="36"/>
    </row>
    <row r="517" spans="1:60" ht="60">
      <c r="A517" s="37" t="s">
        <v>6138</v>
      </c>
      <c r="B517" s="37" t="s">
        <v>6153</v>
      </c>
      <c r="D517" s="37">
        <v>234</v>
      </c>
      <c r="E517" s="37">
        <v>2</v>
      </c>
      <c r="F517" s="37"/>
      <c r="G517" s="37" t="s">
        <v>5988</v>
      </c>
      <c r="H517" s="37"/>
      <c r="I517" s="37"/>
      <c r="J517" s="37" t="s">
        <v>4111</v>
      </c>
      <c r="K517" s="37" t="s">
        <v>4056</v>
      </c>
      <c r="L517" s="37">
        <v>0</v>
      </c>
      <c r="M517" s="37"/>
      <c r="N517" s="75">
        <v>3</v>
      </c>
      <c r="O517" s="76">
        <v>1</v>
      </c>
      <c r="R517" s="154"/>
      <c r="S517" s="152"/>
      <c r="T517" s="156"/>
      <c r="AB517" s="155" t="s">
        <v>4058</v>
      </c>
      <c r="AC517" s="37"/>
      <c r="AD517" s="37" t="s">
        <v>5989</v>
      </c>
      <c r="AE517" s="36"/>
      <c r="AF517" s="37" t="s">
        <v>6197</v>
      </c>
      <c r="AG517" s="37"/>
      <c r="AO517" s="37"/>
      <c r="AP517" s="86"/>
      <c r="BE517" s="37"/>
      <c r="BF517" s="36"/>
    </row>
    <row r="518" spans="1:60" ht="48">
      <c r="A518" s="37" t="s">
        <v>6138</v>
      </c>
      <c r="B518" s="37" t="s">
        <v>6154</v>
      </c>
      <c r="D518" s="37">
        <v>235</v>
      </c>
      <c r="E518" s="37">
        <v>2</v>
      </c>
      <c r="F518" s="37"/>
      <c r="G518" s="37" t="s">
        <v>4265</v>
      </c>
      <c r="H518" s="37"/>
      <c r="I518" s="37"/>
      <c r="J518" s="37" t="s">
        <v>4166</v>
      </c>
      <c r="K518" s="37" t="s">
        <v>4056</v>
      </c>
      <c r="L518" s="37">
        <v>2</v>
      </c>
      <c r="M518" s="37"/>
      <c r="R518" s="154">
        <v>2</v>
      </c>
      <c r="S518" s="152"/>
      <c r="T518" s="156"/>
      <c r="AB518" s="153" t="s">
        <v>4949</v>
      </c>
      <c r="AC518" s="37"/>
      <c r="AD518" s="37" t="s">
        <v>5985</v>
      </c>
      <c r="AE518" s="36"/>
      <c r="AF518" s="37" t="s">
        <v>6155</v>
      </c>
      <c r="AG518" s="37"/>
      <c r="AO518" s="37"/>
      <c r="AP518" s="86"/>
      <c r="BE518" s="37"/>
      <c r="BF518" s="36"/>
    </row>
    <row r="519" spans="1:60" ht="84">
      <c r="A519" s="37" t="s">
        <v>6138</v>
      </c>
      <c r="B519" s="37" t="s">
        <v>6156</v>
      </c>
      <c r="D519" s="37">
        <v>236</v>
      </c>
      <c r="E519" s="37">
        <v>1</v>
      </c>
      <c r="F519" s="37"/>
      <c r="G519" s="37" t="s">
        <v>5976</v>
      </c>
      <c r="H519" s="37" t="s">
        <v>6135</v>
      </c>
      <c r="I519" s="37"/>
      <c r="J519" s="37" t="s">
        <v>4472</v>
      </c>
      <c r="K519" s="37"/>
      <c r="L519" s="37"/>
      <c r="M519" s="37"/>
      <c r="R519" s="154"/>
      <c r="S519" s="152"/>
      <c r="T519" s="156"/>
      <c r="AB519" s="155"/>
      <c r="AC519" s="37"/>
      <c r="AD519" s="37"/>
      <c r="AE519" s="36"/>
      <c r="AF519" s="37" t="s">
        <v>6007</v>
      </c>
      <c r="AG519" s="37"/>
      <c r="AI519" s="37" t="s">
        <v>5976</v>
      </c>
      <c r="AJ519" s="37" t="s">
        <v>6024</v>
      </c>
      <c r="AL519" s="37" t="s">
        <v>4472</v>
      </c>
      <c r="AO519" s="37"/>
      <c r="AP519" s="86"/>
      <c r="BE519" s="37"/>
      <c r="BF519" s="36"/>
      <c r="BG519" s="37" t="s">
        <v>6044</v>
      </c>
    </row>
    <row r="520" spans="1:60" ht="84">
      <c r="A520" s="37" t="s">
        <v>6138</v>
      </c>
      <c r="B520" s="37" t="s">
        <v>6157</v>
      </c>
      <c r="D520" s="37">
        <v>237</v>
      </c>
      <c r="E520" s="37">
        <v>1</v>
      </c>
      <c r="F520" s="37" t="s">
        <v>5976</v>
      </c>
      <c r="G520" s="37" t="s">
        <v>5990</v>
      </c>
      <c r="H520" s="37"/>
      <c r="I520" s="37"/>
      <c r="J520" s="37" t="s">
        <v>4473</v>
      </c>
      <c r="K520" s="37"/>
      <c r="L520" s="37"/>
      <c r="M520" s="37"/>
      <c r="R520" s="154"/>
      <c r="S520" s="152"/>
      <c r="T520" s="156"/>
      <c r="Z520" s="156">
        <v>5</v>
      </c>
      <c r="AB520" s="153"/>
      <c r="AC520" s="37"/>
      <c r="AD520" s="37"/>
      <c r="AE520" s="36"/>
      <c r="AF520" s="37" t="s">
        <v>6008</v>
      </c>
      <c r="AG520" s="37" t="s">
        <v>6158</v>
      </c>
      <c r="AI520" s="37"/>
      <c r="AL520" s="37" t="s">
        <v>4473</v>
      </c>
      <c r="AN520" s="37"/>
      <c r="AO520" s="37"/>
      <c r="AP520" s="86"/>
      <c r="BE520" s="37"/>
      <c r="BF520" s="36"/>
      <c r="BG520" s="37" t="s">
        <v>6025</v>
      </c>
      <c r="BH520" s="37" t="s">
        <v>6026</v>
      </c>
    </row>
    <row r="521" spans="1:60" ht="156">
      <c r="A521" s="37" t="s">
        <v>6138</v>
      </c>
      <c r="B521" s="37" t="s">
        <v>6159</v>
      </c>
      <c r="D521" s="37">
        <v>238</v>
      </c>
      <c r="E521" s="37">
        <v>1</v>
      </c>
      <c r="F521" s="37" t="s">
        <v>5976</v>
      </c>
      <c r="G521" s="37" t="s">
        <v>5991</v>
      </c>
      <c r="H521" s="37"/>
      <c r="I521" s="37"/>
      <c r="J521" s="37" t="s">
        <v>4473</v>
      </c>
      <c r="K521" s="37"/>
      <c r="L521" s="37"/>
      <c r="M521" s="37"/>
      <c r="R521" s="154"/>
      <c r="S521" s="152"/>
      <c r="T521" s="156"/>
      <c r="Z521" s="156">
        <v>6</v>
      </c>
      <c r="AB521" s="155"/>
      <c r="AC521" s="37"/>
      <c r="AD521" s="37"/>
      <c r="AE521" s="36"/>
      <c r="AF521" s="37" t="s">
        <v>6008</v>
      </c>
      <c r="AG521" s="37" t="s">
        <v>6160</v>
      </c>
      <c r="AI521" s="37"/>
      <c r="AL521" s="37" t="s">
        <v>4473</v>
      </c>
      <c r="AN521" s="37"/>
      <c r="AO521" s="37"/>
      <c r="AP521" s="86"/>
      <c r="BE521" s="37"/>
      <c r="BF521" s="36"/>
      <c r="BG521" s="37" t="s">
        <v>6045</v>
      </c>
      <c r="BH521" s="37"/>
    </row>
    <row r="522" spans="1:60" ht="84">
      <c r="A522" s="37" t="s">
        <v>6138</v>
      </c>
      <c r="B522" s="37" t="s">
        <v>6161</v>
      </c>
      <c r="D522" s="37">
        <v>239</v>
      </c>
      <c r="E522" s="37">
        <v>1</v>
      </c>
      <c r="F522" s="37" t="s">
        <v>5976</v>
      </c>
      <c r="G522" s="37" t="s">
        <v>5992</v>
      </c>
      <c r="H522" s="37"/>
      <c r="I522" s="37"/>
      <c r="J522" s="37" t="s">
        <v>4473</v>
      </c>
      <c r="K522" s="37"/>
      <c r="L522" s="37"/>
      <c r="M522" s="37"/>
      <c r="N522" s="86"/>
      <c r="R522" s="154"/>
      <c r="S522" s="152"/>
      <c r="T522" s="156"/>
      <c r="Z522" s="156">
        <v>7</v>
      </c>
      <c r="AB522" s="153"/>
      <c r="AC522" s="37"/>
      <c r="AD522" s="37"/>
      <c r="AE522" s="36"/>
      <c r="AF522" s="37" t="s">
        <v>6009</v>
      </c>
      <c r="AG522" s="37" t="s">
        <v>6162</v>
      </c>
      <c r="AI522" s="37"/>
      <c r="AJ522" s="37"/>
      <c r="AL522" s="37" t="s">
        <v>4473</v>
      </c>
      <c r="AN522" s="37"/>
      <c r="AO522" s="37"/>
      <c r="AP522" s="86"/>
      <c r="BE522" s="37"/>
      <c r="BF522" s="36"/>
      <c r="BG522" s="37" t="s">
        <v>5741</v>
      </c>
      <c r="BH522" s="37" t="s">
        <v>6027</v>
      </c>
    </row>
    <row r="523" spans="1:60" ht="168">
      <c r="A523" s="37" t="s">
        <v>6138</v>
      </c>
      <c r="B523" s="37" t="s">
        <v>6163</v>
      </c>
      <c r="D523" s="37">
        <v>240</v>
      </c>
      <c r="E523" s="37">
        <v>1</v>
      </c>
      <c r="F523" s="37" t="s">
        <v>5976</v>
      </c>
      <c r="G523" s="37" t="s">
        <v>5993</v>
      </c>
      <c r="H523" s="37"/>
      <c r="I523" s="37"/>
      <c r="J523" s="37" t="s">
        <v>4475</v>
      </c>
      <c r="K523" s="37"/>
      <c r="L523" s="37"/>
      <c r="M523" s="37"/>
      <c r="R523" s="154"/>
      <c r="S523" s="152"/>
      <c r="T523" s="156"/>
      <c r="Y523" s="154" t="s">
        <v>4965</v>
      </c>
      <c r="Z523" s="156"/>
      <c r="AB523" s="155"/>
      <c r="AC523" s="37"/>
      <c r="AD523" s="37"/>
      <c r="AE523" s="36"/>
      <c r="AF523" s="37" t="s">
        <v>6010</v>
      </c>
      <c r="AG523" s="37" t="s">
        <v>6164</v>
      </c>
      <c r="AI523" s="37"/>
      <c r="AL523" s="37" t="s">
        <v>4475</v>
      </c>
      <c r="AM523" s="37"/>
      <c r="AN523" s="37"/>
      <c r="AO523" s="37"/>
      <c r="AP523" s="86"/>
      <c r="BA523" s="156"/>
      <c r="BE523" s="37"/>
      <c r="BF523" s="36"/>
      <c r="BG523" s="37" t="s">
        <v>6189</v>
      </c>
      <c r="BH523" s="37"/>
    </row>
    <row r="524" spans="1:60" ht="60">
      <c r="A524" s="37" t="s">
        <v>6138</v>
      </c>
      <c r="B524" s="37" t="s">
        <v>6165</v>
      </c>
      <c r="D524" s="37">
        <v>241</v>
      </c>
      <c r="E524" s="37">
        <v>1</v>
      </c>
      <c r="F524" s="37" t="s">
        <v>5976</v>
      </c>
      <c r="G524" s="37" t="s">
        <v>5994</v>
      </c>
      <c r="H524" s="37"/>
      <c r="I524" s="37"/>
      <c r="J524" s="37" t="s">
        <v>4475</v>
      </c>
      <c r="K524" s="37"/>
      <c r="L524" s="37"/>
      <c r="M524" s="37"/>
      <c r="R524" s="154"/>
      <c r="S524" s="152"/>
      <c r="T524" s="156"/>
      <c r="Y524" s="154" t="s">
        <v>6136</v>
      </c>
      <c r="Z524" s="156"/>
      <c r="AB524" s="155"/>
      <c r="AC524" s="37"/>
      <c r="AD524" s="37"/>
      <c r="AE524" s="36"/>
      <c r="AF524" s="37" t="s">
        <v>6011</v>
      </c>
      <c r="AG524" s="37" t="s">
        <v>6166</v>
      </c>
      <c r="AI524" s="37"/>
      <c r="AL524" s="37" t="s">
        <v>4475</v>
      </c>
      <c r="AM524" s="37"/>
      <c r="AN524" s="37"/>
      <c r="AO524" s="37"/>
      <c r="AP524" s="86"/>
      <c r="BA524" s="156"/>
      <c r="BE524" s="37"/>
      <c r="BF524" s="36"/>
      <c r="BG524" s="37" t="s">
        <v>6073</v>
      </c>
      <c r="BH524" s="37" t="s">
        <v>6028</v>
      </c>
    </row>
    <row r="525" spans="1:60" ht="60">
      <c r="A525" s="37" t="s">
        <v>6138</v>
      </c>
      <c r="B525" s="37" t="s">
        <v>6167</v>
      </c>
      <c r="D525" s="37">
        <v>242</v>
      </c>
      <c r="E525" s="37">
        <v>1</v>
      </c>
      <c r="F525" s="37" t="s">
        <v>5976</v>
      </c>
      <c r="G525" s="37" t="s">
        <v>5995</v>
      </c>
      <c r="H525" s="37"/>
      <c r="I525" s="37"/>
      <c r="J525" s="37" t="s">
        <v>31</v>
      </c>
      <c r="K525" s="37"/>
      <c r="L525" s="37"/>
      <c r="M525" s="37"/>
      <c r="R525" s="154"/>
      <c r="S525" s="152"/>
      <c r="T525" s="156"/>
      <c r="Y525" s="154"/>
      <c r="AB525" s="155"/>
      <c r="AC525" s="37"/>
      <c r="AD525" s="37" t="s">
        <v>5868</v>
      </c>
      <c r="AE525" s="36"/>
      <c r="AF525" s="37"/>
      <c r="AG525" s="37"/>
      <c r="AI525" s="37" t="s">
        <v>5995</v>
      </c>
      <c r="AJ525" s="37"/>
      <c r="AL525" s="37" t="s">
        <v>31</v>
      </c>
      <c r="AM525" s="37"/>
      <c r="AO525" s="37"/>
      <c r="AP525" s="86"/>
      <c r="AY525" s="84">
        <v>3</v>
      </c>
      <c r="AZ525" s="154">
        <v>1</v>
      </c>
      <c r="BE525" s="37" t="s">
        <v>5868</v>
      </c>
      <c r="BF525" s="36"/>
      <c r="BG525" s="37" t="s">
        <v>6012</v>
      </c>
      <c r="BH525" s="37" t="s">
        <v>6029</v>
      </c>
    </row>
    <row r="526" spans="1:60" ht="60">
      <c r="A526" s="37" t="s">
        <v>6138</v>
      </c>
      <c r="B526" s="37" t="s">
        <v>6168</v>
      </c>
      <c r="D526" s="37">
        <v>243</v>
      </c>
      <c r="E526" s="37">
        <v>1</v>
      </c>
      <c r="F526" s="37" t="s">
        <v>5976</v>
      </c>
      <c r="G526" s="37" t="s">
        <v>5995</v>
      </c>
      <c r="H526" s="37"/>
      <c r="I526" s="37"/>
      <c r="J526" s="37" t="s">
        <v>31</v>
      </c>
      <c r="K526" s="37"/>
      <c r="L526" s="37"/>
      <c r="M526" s="37"/>
      <c r="R526" s="154"/>
      <c r="S526" s="152"/>
      <c r="T526" s="156"/>
      <c r="AB526" s="155"/>
      <c r="AC526" s="37"/>
      <c r="AD526" s="37" t="s">
        <v>5868</v>
      </c>
      <c r="AE526" s="36"/>
      <c r="AF526" s="37"/>
      <c r="AG526" s="37" t="s">
        <v>6030</v>
      </c>
      <c r="AI526" s="37" t="s">
        <v>5995</v>
      </c>
      <c r="AJ526" s="37"/>
      <c r="AL526" s="37" t="s">
        <v>31</v>
      </c>
      <c r="AM526" s="37"/>
      <c r="AO526" s="37"/>
      <c r="AP526" s="86"/>
      <c r="AY526" s="84">
        <v>2</v>
      </c>
      <c r="AZ526" s="154">
        <v>3</v>
      </c>
      <c r="BE526" s="37" t="s">
        <v>5868</v>
      </c>
      <c r="BF526" s="36"/>
      <c r="BG526" s="37" t="s">
        <v>6013</v>
      </c>
      <c r="BH526" s="37" t="s">
        <v>6029</v>
      </c>
    </row>
    <row r="527" spans="1:60" ht="48">
      <c r="A527" s="37" t="s">
        <v>6138</v>
      </c>
      <c r="B527" s="37" t="s">
        <v>6169</v>
      </c>
      <c r="D527" s="37">
        <v>244</v>
      </c>
      <c r="E527" s="37">
        <v>1</v>
      </c>
      <c r="F527" s="37" t="s">
        <v>5976</v>
      </c>
      <c r="G527" s="37" t="s">
        <v>5996</v>
      </c>
      <c r="H527" s="37"/>
      <c r="I527" s="37"/>
      <c r="J527" s="37" t="s">
        <v>31</v>
      </c>
      <c r="K527" s="37"/>
      <c r="L527" s="37"/>
      <c r="M527" s="37"/>
      <c r="R527" s="154"/>
      <c r="S527" s="152"/>
      <c r="T527" s="156"/>
      <c r="AB527" s="155"/>
      <c r="AC527" s="37"/>
      <c r="AD527" s="37" t="s">
        <v>5868</v>
      </c>
      <c r="AE527" s="36"/>
      <c r="AF527" s="37"/>
      <c r="AG527" s="37"/>
      <c r="AI527" s="37" t="s">
        <v>5996</v>
      </c>
      <c r="AJ527" s="37"/>
      <c r="AL527" s="37" t="s">
        <v>31</v>
      </c>
      <c r="AM527" s="37"/>
      <c r="AO527" s="37"/>
      <c r="AP527" s="86"/>
      <c r="AY527" s="84">
        <v>3</v>
      </c>
      <c r="AZ527" s="154">
        <v>2</v>
      </c>
      <c r="BE527" s="37" t="s">
        <v>5868</v>
      </c>
      <c r="BF527" s="36"/>
      <c r="BG527" s="37" t="s">
        <v>6014</v>
      </c>
      <c r="BH527" s="37" t="s">
        <v>6031</v>
      </c>
    </row>
    <row r="528" spans="1:60" ht="48">
      <c r="A528" s="37" t="s">
        <v>6138</v>
      </c>
      <c r="B528" s="37" t="s">
        <v>6170</v>
      </c>
      <c r="D528" s="37">
        <v>245</v>
      </c>
      <c r="E528" s="37">
        <v>1</v>
      </c>
      <c r="F528" s="37" t="s">
        <v>5976</v>
      </c>
      <c r="G528" s="37" t="s">
        <v>5996</v>
      </c>
      <c r="H528" s="37"/>
      <c r="I528" s="37"/>
      <c r="J528" s="37" t="s">
        <v>31</v>
      </c>
      <c r="K528" s="37"/>
      <c r="L528" s="37"/>
      <c r="M528" s="37"/>
      <c r="R528" s="154"/>
      <c r="S528" s="152"/>
      <c r="T528" s="156"/>
      <c r="AB528" s="155"/>
      <c r="AC528" s="37"/>
      <c r="AD528" s="37" t="s">
        <v>5868</v>
      </c>
      <c r="AE528" s="36"/>
      <c r="AF528" s="37"/>
      <c r="AG528" s="37" t="s">
        <v>6032</v>
      </c>
      <c r="AI528" s="37" t="s">
        <v>5996</v>
      </c>
      <c r="AJ528" s="37"/>
      <c r="AL528" s="37" t="s">
        <v>31</v>
      </c>
      <c r="AM528" s="37"/>
      <c r="AO528" s="37"/>
      <c r="AP528" s="86"/>
      <c r="AY528" s="84">
        <v>2</v>
      </c>
      <c r="AZ528" s="154" t="s">
        <v>6137</v>
      </c>
      <c r="BE528" s="37" t="s">
        <v>5868</v>
      </c>
      <c r="BF528" s="36"/>
      <c r="BG528" s="37" t="s">
        <v>6015</v>
      </c>
      <c r="BH528" s="37" t="s">
        <v>6031</v>
      </c>
    </row>
    <row r="529" spans="1:60" ht="60">
      <c r="A529" s="37" t="s">
        <v>6138</v>
      </c>
      <c r="B529" s="37" t="s">
        <v>6171</v>
      </c>
      <c r="D529" s="37">
        <v>246</v>
      </c>
      <c r="E529" s="37">
        <v>1</v>
      </c>
      <c r="F529" s="37" t="s">
        <v>5976</v>
      </c>
      <c r="G529" s="37" t="s">
        <v>5997</v>
      </c>
      <c r="H529" s="37"/>
      <c r="I529" s="37"/>
      <c r="J529" s="37" t="s">
        <v>31</v>
      </c>
      <c r="K529" s="37"/>
      <c r="L529" s="37"/>
      <c r="M529" s="37"/>
      <c r="R529" s="154"/>
      <c r="S529" s="152"/>
      <c r="T529" s="156"/>
      <c r="Y529" s="154"/>
      <c r="AB529" s="155"/>
      <c r="AC529" s="37"/>
      <c r="AD529" s="37" t="s">
        <v>5868</v>
      </c>
      <c r="AE529" s="36"/>
      <c r="AF529" s="37"/>
      <c r="AG529" s="37"/>
      <c r="AI529" s="37" t="s">
        <v>5997</v>
      </c>
      <c r="AJ529" s="37"/>
      <c r="AL529" s="37" t="s">
        <v>31</v>
      </c>
      <c r="AM529" s="37"/>
      <c r="AO529" s="37"/>
      <c r="AP529" s="86"/>
      <c r="AY529" s="84">
        <v>3</v>
      </c>
      <c r="AZ529" s="154">
        <v>1</v>
      </c>
      <c r="BE529" s="37" t="s">
        <v>5868</v>
      </c>
      <c r="BF529" s="36"/>
      <c r="BG529" s="37" t="s">
        <v>6016</v>
      </c>
      <c r="BH529" s="37" t="s">
        <v>6033</v>
      </c>
    </row>
    <row r="530" spans="1:60" ht="60">
      <c r="A530" s="37" t="s">
        <v>6138</v>
      </c>
      <c r="B530" s="37" t="s">
        <v>6172</v>
      </c>
      <c r="D530" s="37">
        <v>247</v>
      </c>
      <c r="E530" s="37">
        <v>1</v>
      </c>
      <c r="F530" s="37" t="s">
        <v>5976</v>
      </c>
      <c r="G530" s="37" t="s">
        <v>5997</v>
      </c>
      <c r="H530" s="37"/>
      <c r="I530" s="37"/>
      <c r="J530" s="37" t="s">
        <v>31</v>
      </c>
      <c r="K530" s="37"/>
      <c r="L530" s="37"/>
      <c r="M530" s="37"/>
      <c r="R530" s="154"/>
      <c r="S530" s="152"/>
      <c r="T530" s="156"/>
      <c r="AB530" s="155"/>
      <c r="AC530" s="37"/>
      <c r="AD530" s="37" t="s">
        <v>5868</v>
      </c>
      <c r="AE530" s="36"/>
      <c r="AF530" s="37"/>
      <c r="AG530" s="37"/>
      <c r="AI530" s="37" t="s">
        <v>5997</v>
      </c>
      <c r="AJ530" s="37"/>
      <c r="AL530" s="37" t="s">
        <v>31</v>
      </c>
      <c r="AM530" s="37"/>
      <c r="AO530" s="37"/>
      <c r="AP530" s="86"/>
      <c r="AY530" s="84">
        <v>2</v>
      </c>
      <c r="AZ530" s="154">
        <v>3</v>
      </c>
      <c r="BE530" s="37" t="s">
        <v>5868</v>
      </c>
      <c r="BF530" s="36"/>
      <c r="BG530" s="37" t="s">
        <v>6017</v>
      </c>
      <c r="BH530" s="37" t="s">
        <v>6033</v>
      </c>
    </row>
    <row r="531" spans="1:60" ht="60">
      <c r="A531" s="37" t="s">
        <v>6138</v>
      </c>
      <c r="B531" s="37" t="s">
        <v>6173</v>
      </c>
      <c r="D531" s="37">
        <v>248</v>
      </c>
      <c r="E531" s="37">
        <v>1</v>
      </c>
      <c r="F531" s="37" t="s">
        <v>5976</v>
      </c>
      <c r="G531" s="37" t="s">
        <v>5998</v>
      </c>
      <c r="H531" s="37"/>
      <c r="I531" s="37"/>
      <c r="J531" s="37" t="s">
        <v>31</v>
      </c>
      <c r="K531" s="37"/>
      <c r="L531" s="37"/>
      <c r="M531" s="37"/>
      <c r="R531" s="154"/>
      <c r="S531" s="152"/>
      <c r="T531" s="156"/>
      <c r="AB531" s="155"/>
      <c r="AC531" s="37"/>
      <c r="AD531" s="37" t="s">
        <v>5868</v>
      </c>
      <c r="AE531" s="36"/>
      <c r="AF531" s="37"/>
      <c r="AG531" s="37" t="s">
        <v>6035</v>
      </c>
      <c r="AI531" s="37" t="s">
        <v>5998</v>
      </c>
      <c r="AJ531" s="37"/>
      <c r="AL531" s="37" t="s">
        <v>31</v>
      </c>
      <c r="AM531" s="37"/>
      <c r="AO531" s="37"/>
      <c r="AP531" s="86"/>
      <c r="AY531" s="84">
        <v>4</v>
      </c>
      <c r="AZ531" s="154">
        <v>3</v>
      </c>
      <c r="BE531" s="37" t="s">
        <v>5868</v>
      </c>
      <c r="BF531" s="36"/>
      <c r="BG531" s="37" t="s">
        <v>6018</v>
      </c>
      <c r="BH531" s="37" t="s">
        <v>6034</v>
      </c>
    </row>
    <row r="532" spans="1:60" ht="60">
      <c r="A532" s="37" t="s">
        <v>6138</v>
      </c>
      <c r="B532" s="37" t="s">
        <v>6174</v>
      </c>
      <c r="D532" s="37">
        <v>249</v>
      </c>
      <c r="E532" s="37">
        <v>1</v>
      </c>
      <c r="F532" s="37" t="s">
        <v>5976</v>
      </c>
      <c r="G532" s="37" t="s">
        <v>5998</v>
      </c>
      <c r="H532" s="37"/>
      <c r="I532" s="37"/>
      <c r="J532" s="37" t="s">
        <v>31</v>
      </c>
      <c r="K532" s="37"/>
      <c r="L532" s="37"/>
      <c r="M532" s="37"/>
      <c r="R532" s="154"/>
      <c r="S532" s="152"/>
      <c r="T532" s="156"/>
      <c r="AB532" s="155"/>
      <c r="AC532" s="37"/>
      <c r="AD532" s="37" t="s">
        <v>5868</v>
      </c>
      <c r="AE532" s="36"/>
      <c r="AF532" s="37"/>
      <c r="AG532" s="37" t="s">
        <v>6037</v>
      </c>
      <c r="AI532" s="37" t="s">
        <v>5998</v>
      </c>
      <c r="AJ532" s="37"/>
      <c r="AL532" s="37" t="s">
        <v>31</v>
      </c>
      <c r="AM532" s="37"/>
      <c r="AO532" s="37"/>
      <c r="AP532" s="86"/>
      <c r="AY532" s="84">
        <v>3</v>
      </c>
      <c r="AZ532" s="154">
        <v>2</v>
      </c>
      <c r="BE532" s="37" t="s">
        <v>5868</v>
      </c>
      <c r="BF532" s="36"/>
      <c r="BG532" s="37" t="s">
        <v>6019</v>
      </c>
      <c r="BH532" s="37" t="s">
        <v>6036</v>
      </c>
    </row>
    <row r="533" spans="1:60" ht="48">
      <c r="A533" s="37" t="s">
        <v>6138</v>
      </c>
      <c r="B533" s="37" t="s">
        <v>6175</v>
      </c>
      <c r="D533" s="37">
        <v>250</v>
      </c>
      <c r="E533" s="37">
        <v>1</v>
      </c>
      <c r="F533" s="37" t="s">
        <v>5976</v>
      </c>
      <c r="G533" s="37" t="s">
        <v>5999</v>
      </c>
      <c r="H533" s="37"/>
      <c r="I533" s="37"/>
      <c r="J533" s="37" t="s">
        <v>31</v>
      </c>
      <c r="K533" s="37"/>
      <c r="L533" s="37"/>
      <c r="M533" s="37"/>
      <c r="R533" s="154"/>
      <c r="S533" s="152"/>
      <c r="T533" s="156"/>
      <c r="AB533" s="155"/>
      <c r="AC533" s="37"/>
      <c r="AD533" s="37" t="s">
        <v>5868</v>
      </c>
      <c r="AE533" s="36"/>
      <c r="AF533" s="37"/>
      <c r="AG533" s="37"/>
      <c r="AI533" s="37" t="s">
        <v>5999</v>
      </c>
      <c r="AJ533" s="37"/>
      <c r="AL533" s="37" t="s">
        <v>31</v>
      </c>
      <c r="AM533" s="37"/>
      <c r="AO533" s="37"/>
      <c r="AP533" s="86"/>
      <c r="AY533" s="84">
        <v>3</v>
      </c>
      <c r="AZ533" s="154" t="s">
        <v>4965</v>
      </c>
      <c r="BE533" s="37" t="s">
        <v>5868</v>
      </c>
      <c r="BF533" s="36"/>
      <c r="BG533" s="37" t="s">
        <v>6020</v>
      </c>
      <c r="BH533" s="37" t="s">
        <v>6038</v>
      </c>
    </row>
    <row r="534" spans="1:60" ht="36">
      <c r="A534" s="37" t="s">
        <v>6138</v>
      </c>
      <c r="B534" s="37" t="s">
        <v>6176</v>
      </c>
      <c r="D534" s="37">
        <v>251</v>
      </c>
      <c r="E534" s="37">
        <v>1</v>
      </c>
      <c r="F534" s="37" t="s">
        <v>5976</v>
      </c>
      <c r="G534" s="37" t="s">
        <v>5999</v>
      </c>
      <c r="H534" s="37"/>
      <c r="I534" s="37"/>
      <c r="J534" s="37" t="s">
        <v>31</v>
      </c>
      <c r="K534" s="37"/>
      <c r="L534" s="37"/>
      <c r="M534" s="37"/>
      <c r="R534" s="154"/>
      <c r="S534" s="152"/>
      <c r="T534" s="156"/>
      <c r="AB534" s="155"/>
      <c r="AC534" s="37"/>
      <c r="AD534" s="37" t="s">
        <v>5868</v>
      </c>
      <c r="AE534" s="36"/>
      <c r="AF534" s="37"/>
      <c r="AG534" s="37" t="s">
        <v>6039</v>
      </c>
      <c r="AI534" s="37" t="s">
        <v>5999</v>
      </c>
      <c r="AJ534" s="37"/>
      <c r="AL534" s="37" t="s">
        <v>31</v>
      </c>
      <c r="AM534" s="37"/>
      <c r="AO534" s="37"/>
      <c r="AP534" s="86"/>
      <c r="AY534" s="84">
        <v>2</v>
      </c>
      <c r="AZ534" s="154" t="s">
        <v>4965</v>
      </c>
      <c r="BE534" s="37" t="s">
        <v>5868</v>
      </c>
      <c r="BF534" s="36"/>
      <c r="BG534" s="37" t="s">
        <v>6021</v>
      </c>
      <c r="BH534" s="37" t="s">
        <v>6038</v>
      </c>
    </row>
    <row r="535" spans="1:60" ht="36">
      <c r="A535" s="37" t="s">
        <v>6138</v>
      </c>
      <c r="B535" s="37" t="s">
        <v>6177</v>
      </c>
      <c r="D535" s="37">
        <v>252</v>
      </c>
      <c r="E535" s="37">
        <v>1</v>
      </c>
      <c r="F535" s="37" t="s">
        <v>5976</v>
      </c>
      <c r="G535" s="37" t="s">
        <v>6000</v>
      </c>
      <c r="H535" s="37"/>
      <c r="I535" s="37"/>
      <c r="J535" s="37" t="s">
        <v>31</v>
      </c>
      <c r="K535" s="37"/>
      <c r="L535" s="37"/>
      <c r="M535" s="37"/>
      <c r="R535" s="154"/>
      <c r="S535" s="152"/>
      <c r="T535" s="156"/>
      <c r="AB535" s="155"/>
      <c r="AC535" s="37"/>
      <c r="AD535" s="37" t="s">
        <v>5868</v>
      </c>
      <c r="AE535" s="36"/>
      <c r="AF535" s="37"/>
      <c r="AG535" s="37"/>
      <c r="AI535" s="37" t="s">
        <v>6000</v>
      </c>
      <c r="AJ535" s="37"/>
      <c r="AL535" s="37" t="s">
        <v>31</v>
      </c>
      <c r="AM535" s="37"/>
      <c r="AO535" s="37"/>
      <c r="AP535" s="86"/>
      <c r="AY535" s="84">
        <v>1</v>
      </c>
      <c r="AZ535" s="154">
        <v>2</v>
      </c>
      <c r="BE535" s="37" t="s">
        <v>5868</v>
      </c>
      <c r="BF535" s="36"/>
      <c r="BG535" s="37" t="s">
        <v>6022</v>
      </c>
      <c r="BH535" s="37" t="s">
        <v>6040</v>
      </c>
    </row>
    <row r="536" spans="1:60" ht="36">
      <c r="A536" s="37" t="s">
        <v>6138</v>
      </c>
      <c r="B536" s="37" t="s">
        <v>6178</v>
      </c>
      <c r="D536" s="37">
        <v>253</v>
      </c>
      <c r="E536" s="37">
        <v>1</v>
      </c>
      <c r="F536" s="37" t="s">
        <v>5976</v>
      </c>
      <c r="G536" s="37" t="s">
        <v>6000</v>
      </c>
      <c r="H536" s="37"/>
      <c r="I536" s="37"/>
      <c r="J536" s="37" t="s">
        <v>31</v>
      </c>
      <c r="K536" s="37"/>
      <c r="L536" s="37"/>
      <c r="M536" s="37"/>
      <c r="R536" s="154"/>
      <c r="S536" s="152"/>
      <c r="T536" s="156"/>
      <c r="AB536" s="155"/>
      <c r="AC536" s="37"/>
      <c r="AD536" s="37" t="s">
        <v>5868</v>
      </c>
      <c r="AE536" s="36"/>
      <c r="AF536" s="37"/>
      <c r="AG536" s="37" t="s">
        <v>6041</v>
      </c>
      <c r="AI536" s="37" t="s">
        <v>6000</v>
      </c>
      <c r="AJ536" s="37"/>
      <c r="AL536" s="37" t="s">
        <v>31</v>
      </c>
      <c r="AM536" s="37"/>
      <c r="AO536" s="37"/>
      <c r="AP536" s="86"/>
      <c r="AY536" s="84">
        <v>2</v>
      </c>
      <c r="AZ536" s="154" t="s">
        <v>4927</v>
      </c>
      <c r="BE536" s="37" t="s">
        <v>5868</v>
      </c>
      <c r="BF536" s="36"/>
      <c r="BG536" s="37" t="s">
        <v>6023</v>
      </c>
      <c r="BH536" s="37" t="s">
        <v>6040</v>
      </c>
    </row>
    <row r="537" spans="1:60" ht="36">
      <c r="A537" s="37" t="s">
        <v>6138</v>
      </c>
      <c r="B537" s="37" t="s">
        <v>6179</v>
      </c>
      <c r="D537" s="37">
        <v>254</v>
      </c>
      <c r="E537" s="37">
        <v>1</v>
      </c>
      <c r="F537" s="37" t="s">
        <v>5976</v>
      </c>
      <c r="G537" s="37" t="s">
        <v>6001</v>
      </c>
      <c r="H537" s="37"/>
      <c r="I537" s="37"/>
      <c r="J537" s="37" t="s">
        <v>4111</v>
      </c>
      <c r="K537" s="37" t="s">
        <v>26</v>
      </c>
      <c r="L537" s="37"/>
      <c r="M537" s="37"/>
      <c r="N537" s="75">
        <v>0</v>
      </c>
      <c r="R537" s="154"/>
      <c r="S537" s="152"/>
      <c r="T537" s="156"/>
      <c r="AB537" s="155"/>
      <c r="AC537" s="37"/>
      <c r="AD537" s="37" t="s">
        <v>4133</v>
      </c>
      <c r="AE537" s="36"/>
      <c r="AF537" s="37" t="s">
        <v>6196</v>
      </c>
      <c r="AG537" s="37" t="s">
        <v>6180</v>
      </c>
      <c r="AI537" s="37"/>
      <c r="AL537" s="37"/>
      <c r="AM537" s="37"/>
      <c r="AO537" s="37"/>
      <c r="AP537" s="86"/>
      <c r="AZ537" s="154"/>
      <c r="BE537" s="37"/>
      <c r="BF537" s="36"/>
      <c r="BG537" s="37"/>
      <c r="BH537" s="37"/>
    </row>
    <row r="538" spans="1:60" ht="48">
      <c r="A538" s="37" t="s">
        <v>6138</v>
      </c>
      <c r="B538" s="37" t="s">
        <v>6181</v>
      </c>
      <c r="D538" s="37">
        <v>255</v>
      </c>
      <c r="E538" s="37">
        <v>5</v>
      </c>
      <c r="F538" s="37" t="s">
        <v>5976</v>
      </c>
      <c r="G538" s="37" t="s">
        <v>6002</v>
      </c>
      <c r="H538" s="37"/>
      <c r="I538" s="37"/>
      <c r="J538" s="37" t="s">
        <v>29</v>
      </c>
      <c r="K538" s="37" t="s">
        <v>6046</v>
      </c>
      <c r="L538" s="37"/>
      <c r="M538" s="37"/>
      <c r="Q538" s="78">
        <v>6</v>
      </c>
      <c r="R538" s="154">
        <v>3</v>
      </c>
      <c r="S538" s="152"/>
      <c r="T538" s="156" t="s">
        <v>4927</v>
      </c>
      <c r="V538" s="82">
        <v>2</v>
      </c>
      <c r="W538" s="83">
        <v>2</v>
      </c>
      <c r="AA538" s="85">
        <v>1</v>
      </c>
      <c r="AB538" s="155"/>
      <c r="AC538" s="37"/>
      <c r="AD538" s="37" t="s">
        <v>5545</v>
      </c>
      <c r="AE538" s="36"/>
      <c r="AF538" s="37" t="s">
        <v>6182</v>
      </c>
      <c r="AG538" s="37" t="s">
        <v>6183</v>
      </c>
      <c r="AI538" s="37"/>
      <c r="AL538" s="37"/>
      <c r="AM538" s="37"/>
      <c r="AO538" s="37"/>
      <c r="AP538" s="86"/>
      <c r="AZ538" s="154"/>
      <c r="BE538" s="37"/>
      <c r="BF538" s="36"/>
      <c r="BG538" s="37"/>
      <c r="BH538" s="37"/>
    </row>
    <row r="539" spans="1:60" ht="48">
      <c r="A539" s="37" t="s">
        <v>6138</v>
      </c>
      <c r="B539" s="37" t="s">
        <v>6184</v>
      </c>
      <c r="D539" s="37">
        <v>256</v>
      </c>
      <c r="E539" s="37">
        <v>4</v>
      </c>
      <c r="F539" s="37" t="s">
        <v>5976</v>
      </c>
      <c r="G539" s="37" t="s">
        <v>6003</v>
      </c>
      <c r="H539" s="37"/>
      <c r="I539" s="37"/>
      <c r="J539" s="37" t="s">
        <v>28</v>
      </c>
      <c r="K539" s="37" t="s">
        <v>6046</v>
      </c>
      <c r="L539" s="37"/>
      <c r="M539" s="37"/>
      <c r="R539" s="154"/>
      <c r="S539" s="152"/>
      <c r="T539" s="156"/>
      <c r="AB539" s="155"/>
      <c r="AC539" s="37"/>
      <c r="AD539" s="37"/>
      <c r="AE539" s="36"/>
      <c r="AF539" s="37" t="s">
        <v>6190</v>
      </c>
      <c r="AG539" s="37"/>
      <c r="AI539" s="37"/>
      <c r="AL539" s="37"/>
      <c r="AM539" s="37"/>
      <c r="AO539" s="37"/>
      <c r="AP539" s="86"/>
      <c r="AZ539" s="154"/>
      <c r="BE539" s="37"/>
      <c r="BF539" s="36"/>
      <c r="BG539" s="37"/>
      <c r="BH539" s="37"/>
    </row>
    <row r="540" spans="1:60" ht="60">
      <c r="A540" s="37" t="s">
        <v>6138</v>
      </c>
      <c r="B540" s="37" t="s">
        <v>6185</v>
      </c>
      <c r="D540" s="37">
        <v>257</v>
      </c>
      <c r="E540" s="37">
        <v>3</v>
      </c>
      <c r="F540" s="37" t="s">
        <v>5976</v>
      </c>
      <c r="G540" s="37" t="s">
        <v>6004</v>
      </c>
      <c r="H540" s="37"/>
      <c r="I540" s="37"/>
      <c r="J540" s="37" t="s">
        <v>28</v>
      </c>
      <c r="K540" s="37" t="s">
        <v>6046</v>
      </c>
      <c r="L540" s="37"/>
      <c r="M540" s="37"/>
      <c r="R540" s="154"/>
      <c r="S540" s="152"/>
      <c r="T540" s="156"/>
      <c r="AB540" s="155"/>
      <c r="AC540" s="37"/>
      <c r="AD540" s="37" t="s">
        <v>4333</v>
      </c>
      <c r="AE540" s="36"/>
      <c r="AF540" s="37" t="s">
        <v>6198</v>
      </c>
      <c r="AG540" s="37"/>
      <c r="AI540" s="37"/>
      <c r="AL540" s="37"/>
      <c r="AM540" s="37"/>
      <c r="AO540" s="37"/>
      <c r="AP540" s="86"/>
      <c r="AZ540" s="154"/>
      <c r="BE540" s="37"/>
      <c r="BF540" s="36"/>
      <c r="BG540" s="37"/>
      <c r="BH540" s="37"/>
    </row>
    <row r="541" spans="1:60" ht="36">
      <c r="A541" s="37" t="s">
        <v>6138</v>
      </c>
      <c r="B541" s="37" t="s">
        <v>6186</v>
      </c>
      <c r="D541" s="37">
        <v>258</v>
      </c>
      <c r="E541" s="37">
        <v>2</v>
      </c>
      <c r="F541" s="37" t="s">
        <v>5976</v>
      </c>
      <c r="G541" s="37" t="s">
        <v>6005</v>
      </c>
      <c r="H541" s="37"/>
      <c r="I541" s="37"/>
      <c r="J541" s="37" t="s">
        <v>28</v>
      </c>
      <c r="K541" s="37" t="s">
        <v>6046</v>
      </c>
      <c r="L541" s="37"/>
      <c r="M541" s="37"/>
      <c r="R541" s="154"/>
      <c r="S541" s="152"/>
      <c r="T541" s="156"/>
      <c r="AB541" s="155"/>
      <c r="AC541" s="37"/>
      <c r="AD541" s="37"/>
      <c r="AE541" s="36"/>
      <c r="AF541" s="37" t="s">
        <v>6191</v>
      </c>
      <c r="AG541" s="37"/>
      <c r="AO541" s="37"/>
      <c r="AP541" s="86"/>
      <c r="BE541" s="37"/>
      <c r="BF541" s="36"/>
    </row>
    <row r="542" spans="1:60" ht="48">
      <c r="A542" s="37" t="s">
        <v>6138</v>
      </c>
      <c r="B542" s="37" t="s">
        <v>6187</v>
      </c>
      <c r="D542" s="37">
        <v>259</v>
      </c>
      <c r="E542" s="37">
        <v>2</v>
      </c>
      <c r="F542" s="37" t="s">
        <v>5976</v>
      </c>
      <c r="G542" s="37" t="s">
        <v>6006</v>
      </c>
      <c r="H542" s="37"/>
      <c r="I542" s="37"/>
      <c r="J542" s="37" t="s">
        <v>28</v>
      </c>
      <c r="K542" s="37" t="s">
        <v>6046</v>
      </c>
      <c r="L542" s="37"/>
      <c r="M542" s="37"/>
      <c r="R542" s="154"/>
      <c r="S542" s="152"/>
      <c r="T542" s="156"/>
      <c r="AB542" s="155"/>
      <c r="AC542" s="37"/>
      <c r="AD542" s="37" t="s">
        <v>4335</v>
      </c>
      <c r="AE542" s="36"/>
      <c r="AF542" s="37" t="s">
        <v>6192</v>
      </c>
      <c r="AG542" s="37"/>
      <c r="AO542" s="37"/>
      <c r="AP542" s="86"/>
      <c r="BE542" s="37"/>
      <c r="BF542" s="36"/>
    </row>
    <row r="543" spans="1:60" ht="24">
      <c r="A543" s="40" t="s">
        <v>6201</v>
      </c>
      <c r="B543" s="40" t="s">
        <v>6202</v>
      </c>
      <c r="C543" s="39"/>
      <c r="D543" s="40">
        <v>260</v>
      </c>
      <c r="E543" s="40">
        <v>2</v>
      </c>
      <c r="F543" s="40"/>
      <c r="G543" s="40" t="s">
        <v>6047</v>
      </c>
      <c r="H543" s="44"/>
      <c r="I543" s="37"/>
      <c r="J543" s="37" t="s">
        <v>4166</v>
      </c>
      <c r="K543" s="37" t="s">
        <v>4052</v>
      </c>
      <c r="L543" s="37">
        <v>0</v>
      </c>
      <c r="M543" s="37"/>
      <c r="R543" s="154"/>
      <c r="S543" s="152">
        <v>1</v>
      </c>
      <c r="T543" s="156"/>
      <c r="AB543" s="153" t="s">
        <v>4062</v>
      </c>
      <c r="AC543" s="37"/>
      <c r="AD543" s="37" t="s">
        <v>4167</v>
      </c>
      <c r="AF543" s="37" t="s">
        <v>6273</v>
      </c>
      <c r="AG543" s="37"/>
      <c r="AI543" s="44"/>
      <c r="AJ543" s="41"/>
      <c r="AO543" s="37"/>
      <c r="AT543" s="154"/>
      <c r="BE543" s="37"/>
      <c r="BF543" s="36"/>
      <c r="BG543" s="37"/>
      <c r="BH543" s="37"/>
    </row>
    <row r="544" spans="1:60" ht="36">
      <c r="A544" s="37" t="s">
        <v>6201</v>
      </c>
      <c r="B544" s="37" t="s">
        <v>6203</v>
      </c>
      <c r="D544" s="37">
        <v>261</v>
      </c>
      <c r="E544" s="37">
        <v>2</v>
      </c>
      <c r="F544" s="37"/>
      <c r="G544" s="37" t="s">
        <v>6048</v>
      </c>
      <c r="H544" s="37"/>
      <c r="I544" s="37"/>
      <c r="J544" s="37" t="s">
        <v>27</v>
      </c>
      <c r="K544" s="37" t="s">
        <v>4052</v>
      </c>
      <c r="L544" s="37">
        <v>4</v>
      </c>
      <c r="M544" s="37"/>
      <c r="N544" s="75">
        <v>0</v>
      </c>
      <c r="O544" s="76">
        <v>2</v>
      </c>
      <c r="R544" s="154">
        <v>1</v>
      </c>
      <c r="S544" s="152"/>
      <c r="T544" s="156"/>
      <c r="AB544" s="153" t="s">
        <v>6205</v>
      </c>
      <c r="AC544" s="37"/>
      <c r="AD544" s="37" t="s">
        <v>5660</v>
      </c>
      <c r="AF544" s="37" t="s">
        <v>6204</v>
      </c>
      <c r="AG544" s="37"/>
      <c r="AI544" s="37"/>
      <c r="AO544" s="37"/>
      <c r="AT544" s="154"/>
      <c r="BE544" s="37"/>
      <c r="BF544" s="36"/>
      <c r="BG544" s="37"/>
      <c r="BH544" s="37"/>
    </row>
    <row r="545" spans="1:60" ht="72">
      <c r="A545" s="37" t="s">
        <v>6201</v>
      </c>
      <c r="B545" s="37" t="s">
        <v>6206</v>
      </c>
      <c r="D545" s="37">
        <v>262</v>
      </c>
      <c r="E545" s="37">
        <v>2</v>
      </c>
      <c r="F545" s="37"/>
      <c r="G545" s="37" t="s">
        <v>5250</v>
      </c>
      <c r="H545" s="37" t="s">
        <v>6049</v>
      </c>
      <c r="I545" s="37"/>
      <c r="J545" s="37" t="s">
        <v>4111</v>
      </c>
      <c r="K545" s="37" t="s">
        <v>4053</v>
      </c>
      <c r="L545" s="37">
        <v>4</v>
      </c>
      <c r="M545" s="37"/>
      <c r="N545" s="75">
        <v>1</v>
      </c>
      <c r="O545" s="76">
        <v>2</v>
      </c>
      <c r="R545" s="154"/>
      <c r="S545" s="152"/>
      <c r="T545" s="156"/>
      <c r="AB545" s="153" t="s">
        <v>4948</v>
      </c>
      <c r="AC545" s="37"/>
      <c r="AD545" s="37" t="s">
        <v>5252</v>
      </c>
      <c r="AF545" s="37" t="s">
        <v>6267</v>
      </c>
      <c r="AG545" s="37"/>
      <c r="AI545" s="37"/>
      <c r="AO545" s="37"/>
      <c r="AT545" s="154"/>
      <c r="BE545" s="37"/>
      <c r="BF545" s="36"/>
      <c r="BG545" s="37"/>
      <c r="BH545" s="37"/>
    </row>
    <row r="546" spans="1:60" ht="72">
      <c r="A546" s="37" t="s">
        <v>6201</v>
      </c>
      <c r="B546" s="37" t="s">
        <v>6207</v>
      </c>
      <c r="D546" s="37">
        <v>263</v>
      </c>
      <c r="E546" s="37">
        <v>2</v>
      </c>
      <c r="F546" s="37"/>
      <c r="G546" s="37" t="s">
        <v>5250</v>
      </c>
      <c r="H546" s="37" t="s">
        <v>6050</v>
      </c>
      <c r="I546" s="37"/>
      <c r="J546" s="37" t="s">
        <v>4111</v>
      </c>
      <c r="K546" s="37" t="s">
        <v>4053</v>
      </c>
      <c r="L546" s="37">
        <v>4</v>
      </c>
      <c r="M546" s="37"/>
      <c r="N546" s="75">
        <v>1</v>
      </c>
      <c r="Q546" s="78">
        <v>2</v>
      </c>
      <c r="R546" s="154"/>
      <c r="S546" s="152"/>
      <c r="T546" s="156"/>
      <c r="AB546" s="153"/>
      <c r="AC546" s="37"/>
      <c r="AD546" s="37" t="s">
        <v>5252</v>
      </c>
      <c r="AF546" s="37" t="s">
        <v>6269</v>
      </c>
      <c r="AG546" s="37"/>
      <c r="AI546" s="37"/>
      <c r="AO546" s="37"/>
      <c r="AT546" s="154"/>
      <c r="BE546" s="37"/>
      <c r="BF546" s="36"/>
      <c r="BG546" s="37"/>
      <c r="BH546" s="37"/>
    </row>
    <row r="547" spans="1:60" ht="60">
      <c r="A547" s="37" t="s">
        <v>6201</v>
      </c>
      <c r="B547" s="37" t="s">
        <v>6208</v>
      </c>
      <c r="D547" s="37">
        <v>264</v>
      </c>
      <c r="E547" s="37">
        <v>2</v>
      </c>
      <c r="F547" s="37"/>
      <c r="G547" s="37" t="s">
        <v>5250</v>
      </c>
      <c r="H547" s="37" t="s">
        <v>6051</v>
      </c>
      <c r="I547" s="37"/>
      <c r="J547" s="37" t="s">
        <v>4111</v>
      </c>
      <c r="K547" s="37" t="s">
        <v>4053</v>
      </c>
      <c r="L547" s="37">
        <v>4</v>
      </c>
      <c r="M547" s="37"/>
      <c r="N547" s="75">
        <v>1</v>
      </c>
      <c r="R547" s="154">
        <v>2</v>
      </c>
      <c r="S547" s="152"/>
      <c r="T547" s="156"/>
      <c r="AB547" s="153" t="s">
        <v>4949</v>
      </c>
      <c r="AC547" s="37"/>
      <c r="AD547" s="37" t="s">
        <v>5252</v>
      </c>
      <c r="AE547" s="36"/>
      <c r="AF547" s="37" t="s">
        <v>6270</v>
      </c>
      <c r="AG547" s="37"/>
      <c r="AI547" s="37"/>
      <c r="AO547" s="37"/>
      <c r="AP547" s="86"/>
      <c r="AT547" s="154"/>
      <c r="BE547" s="37"/>
      <c r="BF547" s="36"/>
      <c r="BG547" s="37"/>
      <c r="BH547" s="37"/>
    </row>
    <row r="548" spans="1:60" ht="48">
      <c r="A548" s="37" t="s">
        <v>6201</v>
      </c>
      <c r="B548" s="43" t="s">
        <v>6209</v>
      </c>
      <c r="D548" s="37">
        <v>265</v>
      </c>
      <c r="E548" s="37">
        <v>2</v>
      </c>
      <c r="F548" s="37"/>
      <c r="G548" s="37" t="s">
        <v>6052</v>
      </c>
      <c r="H548" s="37" t="s">
        <v>6053</v>
      </c>
      <c r="I548" s="37" t="s">
        <v>4077</v>
      </c>
      <c r="J548" s="37" t="s">
        <v>4111</v>
      </c>
      <c r="K548" s="37" t="s">
        <v>4055</v>
      </c>
      <c r="L548" s="37">
        <v>0</v>
      </c>
      <c r="M548" s="37"/>
      <c r="N548" s="75">
        <v>4</v>
      </c>
      <c r="P548" s="77">
        <v>1</v>
      </c>
      <c r="R548" s="154">
        <v>1</v>
      </c>
      <c r="S548" s="152"/>
      <c r="T548" s="156">
        <v>3</v>
      </c>
      <c r="U548" s="76">
        <v>2</v>
      </c>
      <c r="AB548" s="155" t="s">
        <v>4943</v>
      </c>
      <c r="AC548" s="37"/>
      <c r="AD548" s="37" t="s">
        <v>4216</v>
      </c>
      <c r="AE548" s="36"/>
      <c r="AF548" s="37" t="s">
        <v>6261</v>
      </c>
      <c r="AG548" s="37" t="s">
        <v>6210</v>
      </c>
      <c r="AO548" s="37"/>
      <c r="AP548" s="86"/>
      <c r="BE548" s="37"/>
      <c r="BF548" s="36"/>
    </row>
    <row r="549" spans="1:60" ht="24">
      <c r="A549" s="37" t="s">
        <v>6201</v>
      </c>
      <c r="B549" s="37" t="s">
        <v>6211</v>
      </c>
      <c r="D549" s="37">
        <v>266</v>
      </c>
      <c r="E549" s="37">
        <v>2</v>
      </c>
      <c r="F549" s="37"/>
      <c r="G549" s="37" t="s">
        <v>6054</v>
      </c>
      <c r="H549" s="37"/>
      <c r="I549" s="37"/>
      <c r="J549" s="37" t="s">
        <v>27</v>
      </c>
      <c r="K549" s="37" t="s">
        <v>4055</v>
      </c>
      <c r="L549" s="37">
        <v>3</v>
      </c>
      <c r="M549" s="37"/>
      <c r="N549" s="75">
        <v>0</v>
      </c>
      <c r="R549" s="154"/>
      <c r="S549" s="152"/>
      <c r="T549" s="156"/>
      <c r="AB549" s="153"/>
      <c r="AC549" s="37"/>
      <c r="AD549" s="37" t="s">
        <v>5266</v>
      </c>
      <c r="AE549" s="36"/>
      <c r="AF549" s="37" t="s">
        <v>6212</v>
      </c>
      <c r="AG549" s="37"/>
      <c r="AO549" s="37"/>
      <c r="AP549" s="86"/>
      <c r="BE549" s="37"/>
      <c r="BF549" s="36"/>
    </row>
    <row r="550" spans="1:60" ht="24">
      <c r="A550" s="37" t="s">
        <v>6201</v>
      </c>
      <c r="B550" s="37" t="s">
        <v>6213</v>
      </c>
      <c r="D550" s="37">
        <v>267</v>
      </c>
      <c r="E550" s="37">
        <v>2</v>
      </c>
      <c r="F550" s="37"/>
      <c r="G550" s="37" t="s">
        <v>6055</v>
      </c>
      <c r="H550" s="37"/>
      <c r="I550" s="37"/>
      <c r="J550" s="37" t="s">
        <v>27</v>
      </c>
      <c r="K550" s="37" t="s">
        <v>4054</v>
      </c>
      <c r="L550" s="37">
        <v>0</v>
      </c>
      <c r="M550" s="37"/>
      <c r="N550" s="75">
        <v>0</v>
      </c>
      <c r="P550" s="77">
        <v>1</v>
      </c>
      <c r="R550" s="154">
        <v>1</v>
      </c>
      <c r="S550" s="152"/>
      <c r="T550" s="156"/>
      <c r="AB550" s="155" t="s">
        <v>4943</v>
      </c>
      <c r="AC550" s="37"/>
      <c r="AD550" s="37" t="s">
        <v>6056</v>
      </c>
      <c r="AE550" s="36"/>
      <c r="AF550" s="37" t="s">
        <v>6214</v>
      </c>
      <c r="AG550" s="37"/>
      <c r="AO550" s="37"/>
      <c r="AP550" s="86"/>
      <c r="BE550" s="37"/>
      <c r="BF550" s="36"/>
    </row>
    <row r="551" spans="1:60" ht="24">
      <c r="A551" s="37" t="s">
        <v>6201</v>
      </c>
      <c r="B551" s="43" t="s">
        <v>6215</v>
      </c>
      <c r="D551" s="37">
        <v>268</v>
      </c>
      <c r="E551" s="37">
        <v>2</v>
      </c>
      <c r="F551" s="37"/>
      <c r="G551" s="37" t="s">
        <v>4532</v>
      </c>
      <c r="H551" s="37"/>
      <c r="I551" s="37"/>
      <c r="J551" s="37" t="s">
        <v>4166</v>
      </c>
      <c r="K551" s="37" t="s">
        <v>4054</v>
      </c>
      <c r="L551" s="37">
        <v>2</v>
      </c>
      <c r="M551" s="37"/>
      <c r="N551" s="157"/>
      <c r="O551" s="76">
        <v>2</v>
      </c>
      <c r="R551" s="154"/>
      <c r="S551" s="152"/>
      <c r="T551" s="156"/>
      <c r="AB551" s="153" t="s">
        <v>4948</v>
      </c>
      <c r="AC551" s="37"/>
      <c r="AD551" s="37" t="s">
        <v>5985</v>
      </c>
      <c r="AE551" s="36"/>
      <c r="AF551" s="37" t="s">
        <v>6216</v>
      </c>
      <c r="AG551" s="37" t="s">
        <v>6134</v>
      </c>
      <c r="AO551" s="37"/>
      <c r="AP551" s="86"/>
      <c r="BE551" s="37"/>
      <c r="BF551" s="36"/>
    </row>
    <row r="552" spans="1:60" ht="36">
      <c r="A552" s="37" t="s">
        <v>6201</v>
      </c>
      <c r="B552" s="37" t="s">
        <v>6217</v>
      </c>
      <c r="D552" s="37">
        <v>269</v>
      </c>
      <c r="E552" s="37">
        <v>2</v>
      </c>
      <c r="F552" s="37"/>
      <c r="G552" s="37" t="s">
        <v>6057</v>
      </c>
      <c r="H552" s="37" t="s">
        <v>6058</v>
      </c>
      <c r="I552" s="37" t="s">
        <v>4077</v>
      </c>
      <c r="J552" s="37" t="s">
        <v>4111</v>
      </c>
      <c r="K552" s="37" t="s">
        <v>4054</v>
      </c>
      <c r="L552" s="37">
        <v>3</v>
      </c>
      <c r="M552" s="37"/>
      <c r="N552" s="75">
        <v>3</v>
      </c>
      <c r="R552" s="154"/>
      <c r="S552" s="152">
        <v>1</v>
      </c>
      <c r="T552" s="156"/>
      <c r="AB552" s="155" t="s">
        <v>4062</v>
      </c>
      <c r="AC552" s="37" t="s">
        <v>4129</v>
      </c>
      <c r="AD552" s="37" t="s">
        <v>4130</v>
      </c>
      <c r="AE552" s="36"/>
      <c r="AF552" s="37" t="s">
        <v>6271</v>
      </c>
      <c r="AG552" s="37"/>
      <c r="AO552" s="37"/>
      <c r="AP552" s="86"/>
      <c r="BE552" s="37"/>
      <c r="BF552" s="36"/>
    </row>
    <row r="553" spans="1:60" ht="36">
      <c r="A553" s="37" t="s">
        <v>6201</v>
      </c>
      <c r="B553" s="37" t="s">
        <v>6218</v>
      </c>
      <c r="D553" s="37">
        <v>270</v>
      </c>
      <c r="E553" s="37">
        <v>2</v>
      </c>
      <c r="F553" s="37"/>
      <c r="G553" s="37" t="s">
        <v>6059</v>
      </c>
      <c r="H553" s="37"/>
      <c r="I553" s="37"/>
      <c r="J553" s="37" t="s">
        <v>27</v>
      </c>
      <c r="K553" s="37" t="s">
        <v>4056</v>
      </c>
      <c r="L553" s="37">
        <v>0</v>
      </c>
      <c r="M553" s="37"/>
      <c r="N553" s="75">
        <v>1</v>
      </c>
      <c r="O553" s="76">
        <v>1</v>
      </c>
      <c r="P553" s="77">
        <v>1</v>
      </c>
      <c r="R553" s="154"/>
      <c r="S553" s="152"/>
      <c r="T553" s="156"/>
      <c r="AB553" s="153" t="s">
        <v>4946</v>
      </c>
      <c r="AC553" s="37"/>
      <c r="AD553" s="37" t="s">
        <v>4226</v>
      </c>
      <c r="AE553" s="36"/>
      <c r="AF553" s="37" t="s">
        <v>6262</v>
      </c>
      <c r="AG553" s="37"/>
      <c r="AO553" s="37"/>
      <c r="AP553" s="86"/>
      <c r="BE553" s="37"/>
      <c r="BF553" s="36"/>
    </row>
    <row r="554" spans="1:60" ht="48">
      <c r="A554" s="37" t="s">
        <v>6201</v>
      </c>
      <c r="B554" s="37" t="s">
        <v>6219</v>
      </c>
      <c r="D554" s="37">
        <v>271</v>
      </c>
      <c r="E554" s="37">
        <v>2</v>
      </c>
      <c r="F554" s="37"/>
      <c r="G554" s="37" t="s">
        <v>6060</v>
      </c>
      <c r="H554" s="37"/>
      <c r="I554" s="37"/>
      <c r="J554" s="37" t="s">
        <v>4166</v>
      </c>
      <c r="K554" s="37" t="s">
        <v>4056</v>
      </c>
      <c r="L554" s="37">
        <v>2</v>
      </c>
      <c r="M554" s="37"/>
      <c r="R554" s="154"/>
      <c r="S554" s="152">
        <v>1</v>
      </c>
      <c r="T554" s="156"/>
      <c r="AB554" s="155" t="s">
        <v>4062</v>
      </c>
      <c r="AC554" s="37"/>
      <c r="AD554" s="37" t="s">
        <v>6061</v>
      </c>
      <c r="AE554" s="36"/>
      <c r="AF554" s="37" t="s">
        <v>6272</v>
      </c>
      <c r="AG554" s="37"/>
      <c r="AI554" s="37"/>
      <c r="AJ554" s="37"/>
      <c r="AL554" s="37"/>
      <c r="AO554" s="37"/>
      <c r="AP554" s="86"/>
      <c r="BE554" s="37"/>
      <c r="BF554" s="36"/>
      <c r="BG554" s="37"/>
    </row>
    <row r="555" spans="1:60" ht="24">
      <c r="A555" s="37" t="s">
        <v>6201</v>
      </c>
      <c r="B555" s="37" t="s">
        <v>6220</v>
      </c>
      <c r="D555" s="37">
        <v>272</v>
      </c>
      <c r="E555" s="37">
        <v>2</v>
      </c>
      <c r="F555" s="37"/>
      <c r="G555" s="37" t="s">
        <v>6062</v>
      </c>
      <c r="H555" s="37"/>
      <c r="I555" s="37"/>
      <c r="J555" s="37" t="s">
        <v>4111</v>
      </c>
      <c r="K555" s="37" t="s">
        <v>26</v>
      </c>
      <c r="L555" s="37">
        <v>0</v>
      </c>
      <c r="M555" s="37"/>
      <c r="N555" s="75">
        <v>1</v>
      </c>
      <c r="R555" s="154">
        <v>1</v>
      </c>
      <c r="S555" s="152"/>
      <c r="T555" s="156">
        <v>1</v>
      </c>
      <c r="U555" s="76">
        <v>1</v>
      </c>
      <c r="Z555" s="156"/>
      <c r="AB555" s="153" t="s">
        <v>4061</v>
      </c>
      <c r="AC555" s="37" t="s">
        <v>4247</v>
      </c>
      <c r="AD555" s="37" t="s">
        <v>6063</v>
      </c>
      <c r="AE555" s="36"/>
      <c r="AF555" s="37" t="s">
        <v>6221</v>
      </c>
      <c r="AG555" s="37" t="s">
        <v>6222</v>
      </c>
      <c r="AI555" s="37"/>
      <c r="AL555" s="37"/>
      <c r="AN555" s="37"/>
      <c r="AO555" s="37"/>
      <c r="AP555" s="86"/>
      <c r="BE555" s="37"/>
      <c r="BF555" s="36"/>
      <c r="BG555" s="37"/>
      <c r="BH555" s="37"/>
    </row>
    <row r="556" spans="1:60" ht="24">
      <c r="A556" s="37" t="s">
        <v>6201</v>
      </c>
      <c r="B556" s="37" t="s">
        <v>6223</v>
      </c>
      <c r="D556" s="37">
        <v>273</v>
      </c>
      <c r="E556" s="37">
        <v>2</v>
      </c>
      <c r="F556" s="37"/>
      <c r="G556" s="37" t="s">
        <v>6064</v>
      </c>
      <c r="H556" s="37"/>
      <c r="I556" s="37"/>
      <c r="J556" s="37" t="s">
        <v>27</v>
      </c>
      <c r="K556" s="37" t="s">
        <v>26</v>
      </c>
      <c r="L556" s="37">
        <v>3</v>
      </c>
      <c r="M556" s="37"/>
      <c r="N556" s="75">
        <v>3</v>
      </c>
      <c r="O556" s="76">
        <v>2</v>
      </c>
      <c r="R556" s="154"/>
      <c r="S556" s="152"/>
      <c r="T556" s="156"/>
      <c r="Z556" s="156"/>
      <c r="AB556" s="155" t="s">
        <v>4948</v>
      </c>
      <c r="AC556" s="37"/>
      <c r="AD556" s="37" t="s">
        <v>5660</v>
      </c>
      <c r="AE556" s="36"/>
      <c r="AF556" s="37" t="s">
        <v>6224</v>
      </c>
      <c r="AG556" s="37"/>
      <c r="AI556" s="37"/>
      <c r="AL556" s="37"/>
      <c r="AN556" s="37"/>
      <c r="AO556" s="37"/>
      <c r="AP556" s="86"/>
      <c r="BE556" s="37"/>
      <c r="BF556" s="36"/>
      <c r="BG556" s="37"/>
      <c r="BH556" s="37"/>
    </row>
    <row r="557" spans="1:60" ht="84">
      <c r="A557" s="37" t="s">
        <v>6201</v>
      </c>
      <c r="B557" s="37" t="s">
        <v>6225</v>
      </c>
      <c r="D557" s="37">
        <v>274</v>
      </c>
      <c r="E557" s="37">
        <v>1</v>
      </c>
      <c r="F557" s="37" t="s">
        <v>6042</v>
      </c>
      <c r="G557" s="37" t="s">
        <v>6042</v>
      </c>
      <c r="H557" s="37" t="s">
        <v>6135</v>
      </c>
      <c r="I557" s="37"/>
      <c r="J557" s="37" t="s">
        <v>4472</v>
      </c>
      <c r="K557" s="37"/>
      <c r="L557" s="37"/>
      <c r="M557" s="37"/>
      <c r="N557" s="86"/>
      <c r="R557" s="154"/>
      <c r="S557" s="152"/>
      <c r="T557" s="156"/>
      <c r="Z557" s="156"/>
      <c r="AB557" s="153"/>
      <c r="AC557" s="37"/>
      <c r="AD557" s="37"/>
      <c r="AE557" s="36"/>
      <c r="AF557" s="37" t="s">
        <v>6065</v>
      </c>
      <c r="AG557" s="37"/>
      <c r="AI557" s="37" t="s">
        <v>6042</v>
      </c>
      <c r="AJ557" s="37" t="s">
        <v>6024</v>
      </c>
      <c r="AL557" s="37" t="s">
        <v>4472</v>
      </c>
      <c r="AN557" s="37"/>
      <c r="AO557" s="37"/>
      <c r="AP557" s="86"/>
      <c r="BE557" s="37"/>
      <c r="BF557" s="36"/>
      <c r="BG557" s="37" t="s">
        <v>6066</v>
      </c>
      <c r="BH557" s="37"/>
    </row>
    <row r="558" spans="1:60" ht="96">
      <c r="A558" s="37" t="s">
        <v>6201</v>
      </c>
      <c r="B558" s="37" t="s">
        <v>6226</v>
      </c>
      <c r="D558" s="37">
        <v>275</v>
      </c>
      <c r="E558" s="37">
        <v>1</v>
      </c>
      <c r="F558" s="37" t="s">
        <v>6042</v>
      </c>
      <c r="G558" s="37" t="s">
        <v>6067</v>
      </c>
      <c r="H558" s="37"/>
      <c r="I558" s="37"/>
      <c r="J558" s="37" t="s">
        <v>4473</v>
      </c>
      <c r="K558" s="37"/>
      <c r="L558" s="37"/>
      <c r="M558" s="37"/>
      <c r="R558" s="154"/>
      <c r="S558" s="152"/>
      <c r="T558" s="156"/>
      <c r="Y558" s="154"/>
      <c r="Z558" s="156">
        <v>12</v>
      </c>
      <c r="AB558" s="155"/>
      <c r="AC558" s="37"/>
      <c r="AD558" s="37"/>
      <c r="AE558" s="36"/>
      <c r="AF558" s="37"/>
      <c r="AG558" s="37" t="s">
        <v>6227</v>
      </c>
      <c r="AI558" s="37" t="s">
        <v>6068</v>
      </c>
      <c r="AL558" s="37" t="s">
        <v>4473</v>
      </c>
      <c r="AM558" s="37"/>
      <c r="AN558" s="37"/>
      <c r="AO558" s="37"/>
      <c r="AP558" s="86"/>
      <c r="BA558" s="156"/>
      <c r="BE558" s="37"/>
      <c r="BF558" s="36"/>
      <c r="BG558" s="37" t="s">
        <v>6069</v>
      </c>
      <c r="BH558" s="37" t="s">
        <v>6070</v>
      </c>
    </row>
    <row r="559" spans="1:60" ht="120">
      <c r="A559" s="37" t="s">
        <v>6201</v>
      </c>
      <c r="B559" s="37" t="s">
        <v>6228</v>
      </c>
      <c r="D559" s="37">
        <v>276</v>
      </c>
      <c r="E559" s="37">
        <v>1</v>
      </c>
      <c r="F559" s="37" t="s">
        <v>6042</v>
      </c>
      <c r="G559" s="37" t="s">
        <v>6071</v>
      </c>
      <c r="H559" s="37"/>
      <c r="I559" s="37"/>
      <c r="J559" s="37" t="s">
        <v>4473</v>
      </c>
      <c r="K559" s="37"/>
      <c r="L559" s="37"/>
      <c r="M559" s="37"/>
      <c r="R559" s="154"/>
      <c r="S559" s="152"/>
      <c r="T559" s="156"/>
      <c r="Y559" s="154"/>
      <c r="Z559" s="156">
        <v>10</v>
      </c>
      <c r="AB559" s="155"/>
      <c r="AC559" s="37"/>
      <c r="AD559" s="37"/>
      <c r="AE559" s="36"/>
      <c r="AF559" s="37"/>
      <c r="AG559" s="37" t="s">
        <v>6229</v>
      </c>
      <c r="AI559" s="37" t="s">
        <v>6072</v>
      </c>
      <c r="AL559" s="37" t="s">
        <v>4473</v>
      </c>
      <c r="AM559" s="37"/>
      <c r="AN559" s="37"/>
      <c r="AO559" s="37"/>
      <c r="AP559" s="86"/>
      <c r="BA559" s="156"/>
      <c r="BE559" s="37"/>
      <c r="BF559" s="36"/>
      <c r="BG559" s="37" t="s">
        <v>6073</v>
      </c>
      <c r="BH559" s="37" t="s">
        <v>6074</v>
      </c>
    </row>
    <row r="560" spans="1:60" ht="144">
      <c r="A560" s="37" t="s">
        <v>6201</v>
      </c>
      <c r="B560" s="37" t="s">
        <v>6230</v>
      </c>
      <c r="D560" s="37">
        <v>277</v>
      </c>
      <c r="E560" s="37">
        <v>1</v>
      </c>
      <c r="F560" s="37" t="s">
        <v>6042</v>
      </c>
      <c r="G560" s="37" t="s">
        <v>6075</v>
      </c>
      <c r="H560" s="37"/>
      <c r="I560" s="37"/>
      <c r="J560" s="37" t="s">
        <v>4475</v>
      </c>
      <c r="K560" s="37"/>
      <c r="L560" s="37"/>
      <c r="M560" s="37"/>
      <c r="R560" s="154"/>
      <c r="S560" s="152"/>
      <c r="T560" s="156"/>
      <c r="Y560" s="154" t="s">
        <v>4965</v>
      </c>
      <c r="AB560" s="155"/>
      <c r="AC560" s="37"/>
      <c r="AD560" s="37"/>
      <c r="AE560" s="36"/>
      <c r="AF560" s="37" t="s">
        <v>6076</v>
      </c>
      <c r="AG560" s="37" t="s">
        <v>6231</v>
      </c>
      <c r="AI560" s="37" t="s">
        <v>6077</v>
      </c>
      <c r="AJ560" s="37"/>
      <c r="AL560" s="37" t="s">
        <v>4475</v>
      </c>
      <c r="AM560" s="37"/>
      <c r="AN560" s="37"/>
      <c r="AO560" s="37"/>
      <c r="AP560" s="86"/>
      <c r="AZ560" s="154"/>
      <c r="BE560" s="37"/>
      <c r="BF560" s="36"/>
      <c r="BG560" s="37" t="s">
        <v>6232</v>
      </c>
      <c r="BH560" s="37" t="s">
        <v>6078</v>
      </c>
    </row>
    <row r="561" spans="1:60" ht="168">
      <c r="A561" s="37" t="s">
        <v>6201</v>
      </c>
      <c r="B561" s="37" t="s">
        <v>6233</v>
      </c>
      <c r="D561" s="37">
        <v>278</v>
      </c>
      <c r="E561" s="37">
        <v>1</v>
      </c>
      <c r="F561" s="37" t="s">
        <v>6042</v>
      </c>
      <c r="G561" s="37" t="s">
        <v>6079</v>
      </c>
      <c r="H561" s="37"/>
      <c r="I561" s="37"/>
      <c r="J561" s="37" t="s">
        <v>4475</v>
      </c>
      <c r="K561" s="37"/>
      <c r="L561" s="37"/>
      <c r="M561" s="37"/>
      <c r="R561" s="154"/>
      <c r="S561" s="152"/>
      <c r="T561" s="156"/>
      <c r="Y561" s="154" t="s">
        <v>6136</v>
      </c>
      <c r="AB561" s="155"/>
      <c r="AC561" s="37"/>
      <c r="AD561" s="37"/>
      <c r="AE561" s="36"/>
      <c r="AF561" s="37" t="s">
        <v>6080</v>
      </c>
      <c r="AG561" s="37" t="s">
        <v>6234</v>
      </c>
      <c r="AI561" s="37" t="s">
        <v>6081</v>
      </c>
      <c r="AJ561" s="37"/>
      <c r="AL561" s="37" t="s">
        <v>4475</v>
      </c>
      <c r="AM561" s="37"/>
      <c r="AN561" s="37"/>
      <c r="AO561" s="37"/>
      <c r="AP561" s="86"/>
      <c r="AZ561" s="154"/>
      <c r="BE561" s="37"/>
      <c r="BF561" s="36"/>
      <c r="BG561" s="37" t="s">
        <v>6235</v>
      </c>
      <c r="BH561" s="37" t="s">
        <v>6082</v>
      </c>
    </row>
    <row r="562" spans="1:60" ht="180">
      <c r="A562" s="37" t="s">
        <v>6201</v>
      </c>
      <c r="B562" s="37" t="s">
        <v>6236</v>
      </c>
      <c r="D562" s="37">
        <v>279</v>
      </c>
      <c r="E562" s="37">
        <v>1</v>
      </c>
      <c r="F562" s="37" t="s">
        <v>6042</v>
      </c>
      <c r="G562" s="37" t="s">
        <v>6083</v>
      </c>
      <c r="H562" s="37"/>
      <c r="I562" s="37"/>
      <c r="J562" s="37" t="s">
        <v>4475</v>
      </c>
      <c r="K562" s="37"/>
      <c r="L562" s="37"/>
      <c r="M562" s="37"/>
      <c r="R562" s="154"/>
      <c r="S562" s="152"/>
      <c r="T562" s="156"/>
      <c r="Y562" s="154" t="s">
        <v>6136</v>
      </c>
      <c r="AB562" s="155"/>
      <c r="AC562" s="37"/>
      <c r="AD562" s="37"/>
      <c r="AE562" s="36"/>
      <c r="AF562" s="37" t="s">
        <v>6080</v>
      </c>
      <c r="AG562" s="37" t="s">
        <v>6234</v>
      </c>
      <c r="AI562" s="37" t="s">
        <v>6084</v>
      </c>
      <c r="AJ562" s="37"/>
      <c r="AL562" s="37" t="s">
        <v>4475</v>
      </c>
      <c r="AM562" s="37"/>
      <c r="AN562" s="37"/>
      <c r="AO562" s="37"/>
      <c r="AP562" s="86"/>
      <c r="AZ562" s="154"/>
      <c r="BE562" s="37"/>
      <c r="BF562" s="36"/>
      <c r="BG562" s="37" t="s">
        <v>6237</v>
      </c>
      <c r="BH562" s="37" t="s">
        <v>6085</v>
      </c>
    </row>
    <row r="563" spans="1:60" ht="168">
      <c r="A563" s="37" t="s">
        <v>6201</v>
      </c>
      <c r="B563" s="37" t="s">
        <v>6238</v>
      </c>
      <c r="D563" s="37">
        <v>280</v>
      </c>
      <c r="E563" s="37">
        <v>1</v>
      </c>
      <c r="F563" s="37" t="s">
        <v>6042</v>
      </c>
      <c r="G563" s="37" t="s">
        <v>6086</v>
      </c>
      <c r="H563" s="37"/>
      <c r="I563" s="37"/>
      <c r="J563" s="37" t="s">
        <v>4475</v>
      </c>
      <c r="K563" s="37"/>
      <c r="L563" s="37"/>
      <c r="M563" s="37"/>
      <c r="R563" s="154"/>
      <c r="S563" s="152"/>
      <c r="T563" s="156"/>
      <c r="Y563" s="154" t="s">
        <v>6136</v>
      </c>
      <c r="AB563" s="155"/>
      <c r="AC563" s="37"/>
      <c r="AD563" s="37"/>
      <c r="AE563" s="36"/>
      <c r="AF563" s="37" t="s">
        <v>6080</v>
      </c>
      <c r="AG563" s="37" t="s">
        <v>6234</v>
      </c>
      <c r="AI563" s="37" t="s">
        <v>6087</v>
      </c>
      <c r="AJ563" s="37"/>
      <c r="AL563" s="37" t="s">
        <v>4475</v>
      </c>
      <c r="AM563" s="37"/>
      <c r="AN563" s="37"/>
      <c r="AO563" s="37"/>
      <c r="AP563" s="86"/>
      <c r="AZ563" s="154"/>
      <c r="BE563" s="37"/>
      <c r="BF563" s="36"/>
      <c r="BG563" s="37" t="s">
        <v>6239</v>
      </c>
      <c r="BH563" s="37" t="s">
        <v>6088</v>
      </c>
    </row>
    <row r="564" spans="1:60" ht="72">
      <c r="A564" s="37" t="s">
        <v>6201</v>
      </c>
      <c r="B564" s="37" t="s">
        <v>6240</v>
      </c>
      <c r="D564" s="37">
        <v>281</v>
      </c>
      <c r="E564" s="37">
        <v>1</v>
      </c>
      <c r="F564" s="37" t="s">
        <v>6042</v>
      </c>
      <c r="G564" s="37" t="s">
        <v>6089</v>
      </c>
      <c r="H564" s="37"/>
      <c r="I564" s="37"/>
      <c r="J564" s="37" t="s">
        <v>4475</v>
      </c>
      <c r="K564" s="37"/>
      <c r="L564" s="37"/>
      <c r="M564" s="37"/>
      <c r="R564" s="154"/>
      <c r="S564" s="152"/>
      <c r="T564" s="156"/>
      <c r="Y564" s="154" t="s">
        <v>4965</v>
      </c>
      <c r="AB564" s="155"/>
      <c r="AC564" s="37"/>
      <c r="AD564" s="37"/>
      <c r="AE564" s="36"/>
      <c r="AF564" s="37" t="s">
        <v>6090</v>
      </c>
      <c r="AG564" s="37" t="s">
        <v>6241</v>
      </c>
      <c r="AI564" s="37" t="s">
        <v>6091</v>
      </c>
      <c r="AJ564" s="37"/>
      <c r="AL564" s="37" t="s">
        <v>4475</v>
      </c>
      <c r="AM564" s="37"/>
      <c r="AN564" s="37"/>
      <c r="AO564" s="37"/>
      <c r="AP564" s="86"/>
      <c r="AZ564" s="154"/>
      <c r="BE564" s="37"/>
      <c r="BF564" s="36"/>
      <c r="BG564" s="37" t="s">
        <v>5741</v>
      </c>
      <c r="BH564" s="37" t="s">
        <v>6092</v>
      </c>
    </row>
    <row r="565" spans="1:60" ht="48">
      <c r="A565" s="37" t="s">
        <v>6201</v>
      </c>
      <c r="B565" s="37" t="s">
        <v>6242</v>
      </c>
      <c r="D565" s="37">
        <v>282</v>
      </c>
      <c r="E565" s="37">
        <v>1</v>
      </c>
      <c r="F565" s="37" t="s">
        <v>6042</v>
      </c>
      <c r="G565" s="37" t="s">
        <v>6093</v>
      </c>
      <c r="H565" s="37"/>
      <c r="I565" s="37"/>
      <c r="J565" s="37" t="s">
        <v>31</v>
      </c>
      <c r="K565" s="37"/>
      <c r="L565" s="37"/>
      <c r="M565" s="37"/>
      <c r="R565" s="154"/>
      <c r="S565" s="152"/>
      <c r="T565" s="156"/>
      <c r="AB565" s="155"/>
      <c r="AC565" s="37"/>
      <c r="AD565" s="37" t="s">
        <v>6094</v>
      </c>
      <c r="AE565" s="36"/>
      <c r="AF565" s="37"/>
      <c r="AG565" s="37" t="s">
        <v>6096</v>
      </c>
      <c r="AI565" s="37" t="s">
        <v>6093</v>
      </c>
      <c r="AJ565" s="37"/>
      <c r="AL565" s="37" t="s">
        <v>31</v>
      </c>
      <c r="AM565" s="37"/>
      <c r="AO565" s="37"/>
      <c r="AP565" s="86"/>
      <c r="AY565" s="84">
        <v>3</v>
      </c>
      <c r="AZ565" s="154" t="s">
        <v>6137</v>
      </c>
      <c r="BE565" s="37" t="s">
        <v>6094</v>
      </c>
      <c r="BF565" s="36"/>
      <c r="BG565" s="37" t="s">
        <v>6095</v>
      </c>
      <c r="BH565" s="37"/>
    </row>
    <row r="566" spans="1:60" ht="48">
      <c r="A566" s="37" t="s">
        <v>6201</v>
      </c>
      <c r="B566" s="37" t="s">
        <v>6243</v>
      </c>
      <c r="D566" s="37">
        <v>283</v>
      </c>
      <c r="E566" s="37">
        <v>1</v>
      </c>
      <c r="F566" s="37" t="s">
        <v>6042</v>
      </c>
      <c r="G566" s="37" t="s">
        <v>6097</v>
      </c>
      <c r="H566" s="37"/>
      <c r="I566" s="37"/>
      <c r="J566" s="37" t="s">
        <v>31</v>
      </c>
      <c r="K566" s="37"/>
      <c r="L566" s="37"/>
      <c r="M566" s="37"/>
      <c r="R566" s="154"/>
      <c r="S566" s="152"/>
      <c r="T566" s="156"/>
      <c r="AB566" s="155"/>
      <c r="AC566" s="37"/>
      <c r="AD566" s="37" t="s">
        <v>6094</v>
      </c>
      <c r="AE566" s="36"/>
      <c r="AF566" s="37"/>
      <c r="AG566" s="37" t="s">
        <v>6099</v>
      </c>
      <c r="AI566" s="37" t="s">
        <v>6097</v>
      </c>
      <c r="AJ566" s="37"/>
      <c r="AL566" s="37" t="s">
        <v>31</v>
      </c>
      <c r="AM566" s="37"/>
      <c r="AO566" s="37"/>
      <c r="AP566" s="86"/>
      <c r="AY566" s="84">
        <v>3</v>
      </c>
      <c r="AZ566" s="154" t="s">
        <v>6137</v>
      </c>
      <c r="BE566" s="37" t="s">
        <v>6094</v>
      </c>
      <c r="BF566" s="36"/>
      <c r="BG566" s="37" t="s">
        <v>6098</v>
      </c>
      <c r="BH566" s="37"/>
    </row>
    <row r="567" spans="1:60" ht="36">
      <c r="A567" s="37" t="s">
        <v>6201</v>
      </c>
      <c r="B567" s="37" t="s">
        <v>6244</v>
      </c>
      <c r="D567" s="37">
        <v>284</v>
      </c>
      <c r="E567" s="37">
        <v>1</v>
      </c>
      <c r="F567" s="37" t="s">
        <v>6042</v>
      </c>
      <c r="G567" s="37" t="s">
        <v>6100</v>
      </c>
      <c r="H567" s="37"/>
      <c r="I567" s="37"/>
      <c r="J567" s="37" t="s">
        <v>31</v>
      </c>
      <c r="K567" s="37"/>
      <c r="L567" s="37"/>
      <c r="M567" s="37"/>
      <c r="R567" s="154"/>
      <c r="S567" s="152"/>
      <c r="T567" s="156"/>
      <c r="AB567" s="155"/>
      <c r="AC567" s="37"/>
      <c r="AD567" s="37" t="s">
        <v>6094</v>
      </c>
      <c r="AE567" s="36"/>
      <c r="AF567" s="37"/>
      <c r="AG567" s="37" t="s">
        <v>6103</v>
      </c>
      <c r="AI567" s="37" t="s">
        <v>6100</v>
      </c>
      <c r="AJ567" s="37"/>
      <c r="AL567" s="37" t="s">
        <v>31</v>
      </c>
      <c r="AM567" s="37"/>
      <c r="AO567" s="37"/>
      <c r="AP567" s="86"/>
      <c r="AY567" s="84">
        <v>4</v>
      </c>
      <c r="AZ567" s="154" t="s">
        <v>4965</v>
      </c>
      <c r="BB567" s="85">
        <v>2</v>
      </c>
      <c r="BE567" s="37" t="s">
        <v>6094</v>
      </c>
      <c r="BF567" s="36"/>
      <c r="BG567" s="37" t="s">
        <v>6102</v>
      </c>
      <c r="BH567" s="37" t="s">
        <v>6101</v>
      </c>
    </row>
    <row r="568" spans="1:60" ht="24">
      <c r="A568" s="37" t="s">
        <v>6201</v>
      </c>
      <c r="B568" s="37" t="s">
        <v>6245</v>
      </c>
      <c r="D568" s="37">
        <v>285</v>
      </c>
      <c r="E568" s="37">
        <v>1</v>
      </c>
      <c r="F568" s="37" t="s">
        <v>6042</v>
      </c>
      <c r="G568" s="37" t="s">
        <v>6104</v>
      </c>
      <c r="H568" s="37"/>
      <c r="I568" s="37"/>
      <c r="J568" s="37" t="s">
        <v>31</v>
      </c>
      <c r="K568" s="37"/>
      <c r="L568" s="37"/>
      <c r="M568" s="37"/>
      <c r="R568" s="154"/>
      <c r="S568" s="152"/>
      <c r="T568" s="156"/>
      <c r="AB568" s="155"/>
      <c r="AC568" s="37"/>
      <c r="AD568" s="37" t="s">
        <v>6105</v>
      </c>
      <c r="AE568" s="36"/>
      <c r="AF568" s="37"/>
      <c r="AG568" s="37" t="s">
        <v>6107</v>
      </c>
      <c r="AI568" s="37" t="s">
        <v>6104</v>
      </c>
      <c r="AJ568" s="37"/>
      <c r="AL568" s="37" t="s">
        <v>31</v>
      </c>
      <c r="AM568" s="37"/>
      <c r="AO568" s="37"/>
      <c r="AP568" s="86"/>
      <c r="AY568" s="84">
        <v>2</v>
      </c>
      <c r="AZ568" s="154" t="s">
        <v>4927</v>
      </c>
      <c r="BE568" s="37" t="s">
        <v>6105</v>
      </c>
      <c r="BF568" s="36"/>
      <c r="BG568" s="37" t="s">
        <v>6106</v>
      </c>
      <c r="BH568" s="37"/>
    </row>
    <row r="569" spans="1:60" ht="24">
      <c r="A569" s="37" t="s">
        <v>6201</v>
      </c>
      <c r="B569" s="37" t="s">
        <v>6246</v>
      </c>
      <c r="D569" s="37">
        <v>286</v>
      </c>
      <c r="E569" s="37">
        <v>1</v>
      </c>
      <c r="F569" s="37" t="s">
        <v>6042</v>
      </c>
      <c r="G569" s="37" t="s">
        <v>6108</v>
      </c>
      <c r="H569" s="37"/>
      <c r="I569" s="37"/>
      <c r="J569" s="37" t="s">
        <v>31</v>
      </c>
      <c r="K569" s="37"/>
      <c r="L569" s="37"/>
      <c r="M569" s="37"/>
      <c r="R569" s="154"/>
      <c r="S569" s="152"/>
      <c r="T569" s="156"/>
      <c r="AB569" s="155"/>
      <c r="AC569" s="37"/>
      <c r="AD569" s="37" t="s">
        <v>6105</v>
      </c>
      <c r="AE569" s="36"/>
      <c r="AF569" s="37"/>
      <c r="AG569" s="37" t="s">
        <v>6107</v>
      </c>
      <c r="AI569" s="37" t="s">
        <v>6108</v>
      </c>
      <c r="AJ569" s="37"/>
      <c r="AL569" s="37" t="s">
        <v>31</v>
      </c>
      <c r="AM569" s="37"/>
      <c r="AO569" s="37"/>
      <c r="AP569" s="86"/>
      <c r="AY569" s="84">
        <v>4</v>
      </c>
      <c r="AZ569" s="154" t="s">
        <v>4927</v>
      </c>
      <c r="BE569" s="37" t="s">
        <v>6105</v>
      </c>
      <c r="BF569" s="36"/>
      <c r="BG569" s="37" t="s">
        <v>6110</v>
      </c>
      <c r="BH569" s="37" t="s">
        <v>6109</v>
      </c>
    </row>
    <row r="570" spans="1:60" ht="48">
      <c r="A570" s="37" t="s">
        <v>6201</v>
      </c>
      <c r="B570" s="37" t="s">
        <v>6247</v>
      </c>
      <c r="D570" s="37">
        <v>287</v>
      </c>
      <c r="E570" s="37">
        <v>1</v>
      </c>
      <c r="F570" s="37" t="s">
        <v>6042</v>
      </c>
      <c r="G570" s="37" t="s">
        <v>6111</v>
      </c>
      <c r="H570" s="37"/>
      <c r="I570" s="37"/>
      <c r="J570" s="37" t="s">
        <v>31</v>
      </c>
      <c r="K570" s="37"/>
      <c r="L570" s="37"/>
      <c r="M570" s="37"/>
      <c r="R570" s="154"/>
      <c r="S570" s="152"/>
      <c r="T570" s="156"/>
      <c r="AB570" s="155"/>
      <c r="AC570" s="37"/>
      <c r="AD570" s="37" t="s">
        <v>6105</v>
      </c>
      <c r="AE570" s="36"/>
      <c r="AF570" s="37"/>
      <c r="AG570" s="37" t="s">
        <v>6107</v>
      </c>
      <c r="AI570" s="37" t="s">
        <v>6111</v>
      </c>
      <c r="AJ570" s="37"/>
      <c r="AL570" s="37" t="s">
        <v>31</v>
      </c>
      <c r="AM570" s="37"/>
      <c r="AO570" s="37"/>
      <c r="AP570" s="86"/>
      <c r="AY570" s="84">
        <v>3</v>
      </c>
      <c r="AZ570" s="154" t="s">
        <v>6137</v>
      </c>
      <c r="BE570" s="37" t="s">
        <v>6105</v>
      </c>
      <c r="BF570" s="36"/>
      <c r="BG570" s="37" t="s">
        <v>6112</v>
      </c>
      <c r="BH570" s="37"/>
    </row>
    <row r="571" spans="1:60" ht="24">
      <c r="A571" s="37" t="s">
        <v>6201</v>
      </c>
      <c r="B571" s="37" t="s">
        <v>6248</v>
      </c>
      <c r="D571" s="37">
        <v>288</v>
      </c>
      <c r="E571" s="37">
        <v>1</v>
      </c>
      <c r="F571" s="37" t="s">
        <v>6042</v>
      </c>
      <c r="G571" s="37" t="s">
        <v>6113</v>
      </c>
      <c r="H571" s="37"/>
      <c r="I571" s="37"/>
      <c r="J571" s="37" t="s">
        <v>31</v>
      </c>
      <c r="K571" s="37"/>
      <c r="L571" s="37"/>
      <c r="M571" s="37"/>
      <c r="R571" s="154"/>
      <c r="S571" s="152"/>
      <c r="T571" s="156"/>
      <c r="AB571" s="155"/>
      <c r="AC571" s="37"/>
      <c r="AD571" s="37" t="s">
        <v>6105</v>
      </c>
      <c r="AE571" s="36"/>
      <c r="AF571" s="37"/>
      <c r="AG571" s="37" t="s">
        <v>6107</v>
      </c>
      <c r="AI571" s="37" t="s">
        <v>6113</v>
      </c>
      <c r="AJ571" s="37"/>
      <c r="AL571" s="37" t="s">
        <v>31</v>
      </c>
      <c r="AM571" s="37"/>
      <c r="AO571" s="37"/>
      <c r="AP571" s="86"/>
      <c r="AY571" s="84">
        <v>3</v>
      </c>
      <c r="AZ571" s="154" t="s">
        <v>4927</v>
      </c>
      <c r="BE571" s="37" t="s">
        <v>6105</v>
      </c>
      <c r="BF571" s="36"/>
      <c r="BG571" s="37" t="s">
        <v>6114</v>
      </c>
      <c r="BH571" s="37"/>
    </row>
    <row r="572" spans="1:60" ht="36">
      <c r="A572" s="37" t="s">
        <v>6201</v>
      </c>
      <c r="B572" s="37" t="s">
        <v>6249</v>
      </c>
      <c r="D572" s="37">
        <v>289</v>
      </c>
      <c r="E572" s="37">
        <v>1</v>
      </c>
      <c r="F572" s="37" t="s">
        <v>6042</v>
      </c>
      <c r="G572" s="37" t="s">
        <v>6115</v>
      </c>
      <c r="H572" s="37"/>
      <c r="I572" s="37"/>
      <c r="J572" s="37" t="s">
        <v>31</v>
      </c>
      <c r="K572" s="37"/>
      <c r="L572" s="37"/>
      <c r="M572" s="37"/>
      <c r="R572" s="154"/>
      <c r="S572" s="152"/>
      <c r="T572" s="156"/>
      <c r="AB572" s="155"/>
      <c r="AC572" s="37"/>
      <c r="AD572" s="37" t="s">
        <v>6116</v>
      </c>
      <c r="AE572" s="36"/>
      <c r="AF572" s="37"/>
      <c r="AG572" s="37" t="s">
        <v>6118</v>
      </c>
      <c r="AI572" s="37" t="s">
        <v>6115</v>
      </c>
      <c r="AJ572" s="37"/>
      <c r="AL572" s="37" t="s">
        <v>31</v>
      </c>
      <c r="AM572" s="37"/>
      <c r="AO572" s="37"/>
      <c r="AP572" s="86"/>
      <c r="AY572" s="84">
        <v>3</v>
      </c>
      <c r="AZ572" s="154" t="s">
        <v>4927</v>
      </c>
      <c r="BE572" s="37" t="s">
        <v>6116</v>
      </c>
      <c r="BF572" s="36"/>
      <c r="BG572" s="37" t="s">
        <v>6117</v>
      </c>
      <c r="BH572" s="37"/>
    </row>
    <row r="573" spans="1:60" ht="36">
      <c r="A573" s="37" t="s">
        <v>6201</v>
      </c>
      <c r="B573" s="37" t="s">
        <v>6250</v>
      </c>
      <c r="D573" s="37">
        <v>290</v>
      </c>
      <c r="E573" s="37">
        <v>1</v>
      </c>
      <c r="F573" s="37" t="s">
        <v>6042</v>
      </c>
      <c r="G573" s="37" t="s">
        <v>6119</v>
      </c>
      <c r="H573" s="37"/>
      <c r="I573" s="37"/>
      <c r="J573" s="37" t="s">
        <v>31</v>
      </c>
      <c r="K573" s="37"/>
      <c r="L573" s="37"/>
      <c r="M573" s="37"/>
      <c r="R573" s="154"/>
      <c r="S573" s="152"/>
      <c r="T573" s="156"/>
      <c r="AB573" s="155"/>
      <c r="AC573" s="37"/>
      <c r="AD573" s="37" t="s">
        <v>6116</v>
      </c>
      <c r="AE573" s="36"/>
      <c r="AF573" s="37"/>
      <c r="AG573" s="37" t="s">
        <v>6118</v>
      </c>
      <c r="AI573" s="37" t="s">
        <v>6119</v>
      </c>
      <c r="AJ573" s="37"/>
      <c r="AL573" s="37" t="s">
        <v>31</v>
      </c>
      <c r="AM573" s="37"/>
      <c r="AO573" s="37"/>
      <c r="AP573" s="86"/>
      <c r="AY573" s="84">
        <v>3</v>
      </c>
      <c r="AZ573" s="154" t="s">
        <v>4927</v>
      </c>
      <c r="BE573" s="37" t="s">
        <v>6116</v>
      </c>
      <c r="BF573" s="36"/>
      <c r="BG573" s="37" t="s">
        <v>6120</v>
      </c>
      <c r="BH573" s="37"/>
    </row>
    <row r="574" spans="1:60" ht="36">
      <c r="A574" s="37" t="s">
        <v>6201</v>
      </c>
      <c r="B574" s="37" t="s">
        <v>6251</v>
      </c>
      <c r="D574" s="37">
        <v>291</v>
      </c>
      <c r="E574" s="37">
        <v>1</v>
      </c>
      <c r="F574" s="37" t="s">
        <v>6042</v>
      </c>
      <c r="G574" s="37" t="s">
        <v>6121</v>
      </c>
      <c r="H574" s="37"/>
      <c r="I574" s="37"/>
      <c r="J574" s="37" t="s">
        <v>31</v>
      </c>
      <c r="K574" s="37"/>
      <c r="L574" s="37"/>
      <c r="M574" s="37"/>
      <c r="R574" s="154"/>
      <c r="S574" s="152"/>
      <c r="T574" s="156"/>
      <c r="AB574" s="155"/>
      <c r="AC574" s="37"/>
      <c r="AD574" s="37" t="s">
        <v>6116</v>
      </c>
      <c r="AE574" s="36"/>
      <c r="AF574" s="37"/>
      <c r="AG574" s="37" t="s">
        <v>6118</v>
      </c>
      <c r="AI574" s="37" t="s">
        <v>6121</v>
      </c>
      <c r="AJ574" s="37"/>
      <c r="AL574" s="37" t="s">
        <v>31</v>
      </c>
      <c r="AM574" s="37"/>
      <c r="AO574" s="37"/>
      <c r="AP574" s="86"/>
      <c r="AY574" s="84">
        <v>2</v>
      </c>
      <c r="AZ574" s="154" t="s">
        <v>4927</v>
      </c>
      <c r="BE574" s="37" t="s">
        <v>6116</v>
      </c>
      <c r="BF574" s="36"/>
      <c r="BG574" s="37" t="s">
        <v>6122</v>
      </c>
      <c r="BH574" s="37"/>
    </row>
    <row r="575" spans="1:60" ht="36">
      <c r="A575" s="37" t="s">
        <v>6201</v>
      </c>
      <c r="B575" s="37" t="s">
        <v>6252</v>
      </c>
      <c r="D575" s="37">
        <v>292</v>
      </c>
      <c r="E575" s="37">
        <v>1</v>
      </c>
      <c r="F575" s="37" t="s">
        <v>6042</v>
      </c>
      <c r="G575" s="37" t="s">
        <v>6123</v>
      </c>
      <c r="H575" s="37"/>
      <c r="I575" s="37"/>
      <c r="J575" s="37" t="s">
        <v>31</v>
      </c>
      <c r="K575" s="37"/>
      <c r="L575" s="37"/>
      <c r="M575" s="37"/>
      <c r="R575" s="154"/>
      <c r="S575" s="152"/>
      <c r="T575" s="156"/>
      <c r="AB575" s="155"/>
      <c r="AC575" s="37"/>
      <c r="AD575" s="37" t="s">
        <v>6116</v>
      </c>
      <c r="AE575" s="36"/>
      <c r="AF575" s="37"/>
      <c r="AG575" s="37" t="s">
        <v>6118</v>
      </c>
      <c r="AI575" s="37" t="s">
        <v>6123</v>
      </c>
      <c r="AJ575" s="37"/>
      <c r="AL575" s="37" t="s">
        <v>31</v>
      </c>
      <c r="AM575" s="37"/>
      <c r="AO575" s="37"/>
      <c r="AP575" s="86"/>
      <c r="AY575" s="84">
        <v>2</v>
      </c>
      <c r="AZ575" s="154" t="s">
        <v>4927</v>
      </c>
      <c r="BE575" s="37" t="s">
        <v>6116</v>
      </c>
      <c r="BF575" s="36"/>
      <c r="BG575" s="37" t="s">
        <v>6125</v>
      </c>
      <c r="BH575" s="37" t="s">
        <v>6124</v>
      </c>
    </row>
    <row r="576" spans="1:60" ht="72">
      <c r="A576" s="37" t="s">
        <v>6201</v>
      </c>
      <c r="B576" s="37" t="s">
        <v>6253</v>
      </c>
      <c r="D576" s="37">
        <v>293</v>
      </c>
      <c r="E576" s="37">
        <v>1</v>
      </c>
      <c r="F576" s="37" t="s">
        <v>6042</v>
      </c>
      <c r="G576" s="37" t="s">
        <v>6126</v>
      </c>
      <c r="H576" s="37"/>
      <c r="I576" s="37" t="s">
        <v>4077</v>
      </c>
      <c r="J576" s="37" t="s">
        <v>29</v>
      </c>
      <c r="K576" s="37" t="s">
        <v>6046</v>
      </c>
      <c r="L576" s="37"/>
      <c r="M576" s="37"/>
      <c r="Q576" s="78">
        <v>5</v>
      </c>
      <c r="R576" s="154">
        <v>5</v>
      </c>
      <c r="S576" s="152"/>
      <c r="T576" s="156">
        <v>3</v>
      </c>
      <c r="V576" s="82">
        <v>1</v>
      </c>
      <c r="W576" s="83">
        <v>1</v>
      </c>
      <c r="AA576" s="85">
        <v>1</v>
      </c>
      <c r="AB576" s="155"/>
      <c r="AC576" s="37"/>
      <c r="AD576" s="37" t="s">
        <v>5019</v>
      </c>
      <c r="AE576" s="36"/>
      <c r="AF576" s="37" t="s">
        <v>6254</v>
      </c>
      <c r="AG576" s="37" t="s">
        <v>6255</v>
      </c>
      <c r="AO576" s="37"/>
      <c r="AP576" s="86"/>
      <c r="BE576" s="37"/>
      <c r="BF576" s="36"/>
    </row>
    <row r="577" spans="1:58" ht="60">
      <c r="A577" s="37" t="s">
        <v>6201</v>
      </c>
      <c r="B577" s="37" t="s">
        <v>6256</v>
      </c>
      <c r="D577" s="37">
        <v>294</v>
      </c>
      <c r="E577" s="37">
        <v>2</v>
      </c>
      <c r="F577" s="37" t="s">
        <v>6042</v>
      </c>
      <c r="G577" s="37" t="s">
        <v>6127</v>
      </c>
      <c r="H577" s="37"/>
      <c r="I577" s="37"/>
      <c r="J577" s="37" t="s">
        <v>29</v>
      </c>
      <c r="K577" s="37" t="s">
        <v>6046</v>
      </c>
      <c r="L577" s="37"/>
      <c r="M577" s="37"/>
      <c r="Q577" s="78">
        <v>3</v>
      </c>
      <c r="R577" s="154">
        <v>3</v>
      </c>
      <c r="S577" s="152"/>
      <c r="T577" s="156" t="s">
        <v>4966</v>
      </c>
      <c r="V577" s="82">
        <v>1</v>
      </c>
      <c r="W577" s="83">
        <v>1</v>
      </c>
      <c r="AB577" s="155"/>
      <c r="AC577" s="37"/>
      <c r="AD577" s="37" t="s">
        <v>5484</v>
      </c>
      <c r="AE577" s="36"/>
      <c r="AF577" s="37" t="s">
        <v>6263</v>
      </c>
      <c r="AG577" s="37"/>
      <c r="AO577" s="37"/>
      <c r="AP577" s="86"/>
      <c r="BE577" s="37"/>
      <c r="BF577" s="36"/>
    </row>
    <row r="578" spans="1:58" ht="36">
      <c r="A578" s="37" t="s">
        <v>6201</v>
      </c>
      <c r="B578" s="37" t="s">
        <v>6257</v>
      </c>
      <c r="D578" s="37">
        <v>295</v>
      </c>
      <c r="E578" s="37">
        <v>1</v>
      </c>
      <c r="F578" s="37" t="s">
        <v>6042</v>
      </c>
      <c r="G578" s="37" t="s">
        <v>6128</v>
      </c>
      <c r="H578" s="37"/>
      <c r="I578" s="37"/>
      <c r="J578" s="37" t="s">
        <v>29</v>
      </c>
      <c r="K578" s="37" t="s">
        <v>6046</v>
      </c>
      <c r="L578" s="37"/>
      <c r="M578" s="37"/>
      <c r="Q578" s="78">
        <v>3</v>
      </c>
      <c r="R578" s="154">
        <v>4</v>
      </c>
      <c r="S578" s="152"/>
      <c r="T578" s="156" t="s">
        <v>5880</v>
      </c>
      <c r="V578" s="82">
        <v>2</v>
      </c>
      <c r="W578" s="83">
        <v>2</v>
      </c>
      <c r="AA578" s="85">
        <v>1</v>
      </c>
      <c r="AB578" s="155"/>
      <c r="AC578" s="37"/>
      <c r="AD578" s="37" t="s">
        <v>6129</v>
      </c>
      <c r="AE578" s="36"/>
      <c r="AF578" s="37" t="s">
        <v>6264</v>
      </c>
      <c r="AG578" s="37"/>
      <c r="AO578" s="37"/>
      <c r="AP578" s="86"/>
      <c r="BE578" s="37"/>
      <c r="BF578" s="36"/>
    </row>
    <row r="579" spans="1:58" ht="36">
      <c r="A579" s="37" t="s">
        <v>6201</v>
      </c>
      <c r="B579" s="37" t="s">
        <v>6258</v>
      </c>
      <c r="D579" s="37">
        <v>296</v>
      </c>
      <c r="E579" s="37">
        <v>3</v>
      </c>
      <c r="F579" s="37" t="s">
        <v>6042</v>
      </c>
      <c r="G579" s="37" t="s">
        <v>6130</v>
      </c>
      <c r="H579" s="37"/>
      <c r="I579" s="37"/>
      <c r="J579" s="37" t="s">
        <v>28</v>
      </c>
      <c r="K579" s="37" t="s">
        <v>6046</v>
      </c>
      <c r="L579" s="37"/>
      <c r="M579" s="37"/>
      <c r="R579" s="154"/>
      <c r="S579" s="152"/>
      <c r="T579" s="156"/>
      <c r="V579" s="91"/>
      <c r="W579" s="92"/>
      <c r="X579" s="93"/>
      <c r="AA579" s="94"/>
      <c r="AB579" s="155"/>
      <c r="AC579" s="37"/>
      <c r="AD579" s="37" t="s">
        <v>4340</v>
      </c>
      <c r="AE579" s="36"/>
      <c r="AF579" s="37" t="s">
        <v>6265</v>
      </c>
      <c r="AG579" s="37"/>
      <c r="AO579" s="37"/>
      <c r="AP579" s="86"/>
      <c r="AQ579" s="88"/>
      <c r="AR579" s="89"/>
      <c r="AS579" s="90"/>
      <c r="AV579" s="88"/>
      <c r="AW579" s="96"/>
      <c r="AX579" s="97"/>
      <c r="AY579" s="93"/>
      <c r="BB579" s="94"/>
      <c r="BE579" s="37"/>
      <c r="BF579" s="36"/>
    </row>
    <row r="580" spans="1:58" ht="72">
      <c r="A580" s="37" t="s">
        <v>6201</v>
      </c>
      <c r="B580" s="37" t="s">
        <v>6259</v>
      </c>
      <c r="D580" s="37">
        <v>297</v>
      </c>
      <c r="E580" s="37">
        <v>3</v>
      </c>
      <c r="F580" s="37" t="s">
        <v>6042</v>
      </c>
      <c r="G580" s="37" t="s">
        <v>6131</v>
      </c>
      <c r="H580" s="37"/>
      <c r="I580" s="37"/>
      <c r="J580" s="37" t="s">
        <v>28</v>
      </c>
      <c r="K580" s="37" t="s">
        <v>6046</v>
      </c>
      <c r="L580" s="37"/>
      <c r="M580" s="37"/>
      <c r="R580" s="154"/>
      <c r="S580" s="152"/>
      <c r="T580" s="156"/>
      <c r="V580" s="91"/>
      <c r="W580" s="92"/>
      <c r="X580" s="93"/>
      <c r="AA580" s="94"/>
      <c r="AB580" s="155"/>
      <c r="AC580" s="37"/>
      <c r="AD580" s="37" t="s">
        <v>6132</v>
      </c>
      <c r="AE580" s="36"/>
      <c r="AF580" s="37" t="s">
        <v>6266</v>
      </c>
      <c r="AG580" s="37"/>
      <c r="AO580" s="37"/>
      <c r="AP580" s="86"/>
      <c r="AQ580" s="88"/>
      <c r="AR580" s="89"/>
      <c r="AS580" s="90"/>
      <c r="AV580" s="88"/>
      <c r="AW580" s="96"/>
      <c r="AX580" s="97"/>
      <c r="AY580" s="93"/>
      <c r="BB580" s="94"/>
      <c r="BE580" s="37"/>
      <c r="BF580" s="36"/>
    </row>
    <row r="581" spans="1:58" ht="24">
      <c r="A581" s="37" t="s">
        <v>6201</v>
      </c>
      <c r="B581" s="37" t="s">
        <v>6260</v>
      </c>
      <c r="D581" s="37">
        <v>298</v>
      </c>
      <c r="E581" s="37">
        <v>3</v>
      </c>
      <c r="F581" s="37" t="s">
        <v>6042</v>
      </c>
      <c r="G581" s="37" t="s">
        <v>6133</v>
      </c>
      <c r="H581" s="37"/>
      <c r="I581" s="37"/>
      <c r="J581" s="37" t="s">
        <v>28</v>
      </c>
      <c r="K581" s="37" t="s">
        <v>6046</v>
      </c>
      <c r="L581" s="37"/>
      <c r="M581" s="37"/>
      <c r="R581" s="154"/>
      <c r="S581" s="152"/>
      <c r="T581" s="156"/>
      <c r="V581" s="91"/>
      <c r="W581" s="92"/>
      <c r="X581" s="93"/>
      <c r="AA581" s="94"/>
      <c r="AB581" s="155"/>
      <c r="AC581" s="37"/>
      <c r="AD581" s="37" t="s">
        <v>6132</v>
      </c>
      <c r="AE581" s="36"/>
      <c r="AF581" s="37" t="s">
        <v>6268</v>
      </c>
      <c r="AG581" s="37"/>
      <c r="AO581" s="37"/>
      <c r="AP581" s="86"/>
      <c r="AQ581" s="88"/>
      <c r="AR581" s="89"/>
      <c r="AS581" s="90"/>
      <c r="AV581" s="88"/>
      <c r="AW581" s="96"/>
      <c r="AX581" s="97"/>
      <c r="AY581" s="93"/>
      <c r="BB581" s="94"/>
      <c r="BE581" s="37"/>
      <c r="BF581" s="36"/>
    </row>
    <row r="582" spans="1:58">
      <c r="AP582" s="86"/>
      <c r="AQ582" s="88"/>
      <c r="AR582" s="89"/>
      <c r="AS582" s="90"/>
      <c r="AV582" s="88"/>
      <c r="AW582" s="96"/>
      <c r="AX582" s="97"/>
      <c r="AY582" s="93"/>
      <c r="BB582" s="94"/>
    </row>
    <row r="583" spans="1:58">
      <c r="AP583" s="86"/>
      <c r="AQ583" s="88"/>
      <c r="AR583" s="89"/>
      <c r="AS583" s="90"/>
      <c r="AV583" s="88"/>
      <c r="AW583" s="96"/>
      <c r="AX583" s="97"/>
      <c r="AY583" s="93"/>
      <c r="BB583" s="94"/>
    </row>
    <row r="584" spans="1:58">
      <c r="AP584" s="86"/>
      <c r="AQ584" s="88"/>
      <c r="AR584" s="89"/>
      <c r="AS584" s="90"/>
      <c r="AV584" s="88"/>
      <c r="AW584" s="96"/>
      <c r="AX584" s="97"/>
      <c r="AY584" s="93"/>
      <c r="BB584" s="94"/>
    </row>
    <row r="585" spans="1:58">
      <c r="AP585" s="86"/>
      <c r="AQ585" s="88"/>
      <c r="AR585" s="89"/>
      <c r="AS585" s="90"/>
      <c r="AV585" s="88"/>
      <c r="AW585" s="96"/>
      <c r="AX585" s="97"/>
      <c r="AY585" s="93"/>
      <c r="BB585" s="94"/>
    </row>
    <row r="586" spans="1:58">
      <c r="AP586" s="86"/>
      <c r="AQ586" s="88"/>
      <c r="AR586" s="89"/>
      <c r="AS586" s="90"/>
      <c r="AV586" s="88"/>
      <c r="AW586" s="96"/>
      <c r="AX586" s="97"/>
      <c r="AY586" s="93"/>
      <c r="BB586" s="94"/>
    </row>
    <row r="587" spans="1:58">
      <c r="AP587" s="86"/>
      <c r="AQ587" s="88"/>
      <c r="AR587" s="89"/>
      <c r="AS587" s="90"/>
      <c r="AV587" s="88"/>
      <c r="AW587" s="96"/>
      <c r="AX587" s="97"/>
      <c r="AY587" s="93"/>
      <c r="BB587" s="94"/>
    </row>
    <row r="588" spans="1:58">
      <c r="AP588" s="86"/>
      <c r="AQ588" s="88"/>
      <c r="AR588" s="89"/>
      <c r="AS588" s="90"/>
      <c r="AV588" s="88"/>
      <c r="AW588" s="96"/>
      <c r="AX588" s="97"/>
      <c r="AY588" s="93"/>
      <c r="BB588" s="94"/>
    </row>
    <row r="589" spans="1:58">
      <c r="AP589" s="86"/>
      <c r="AQ589" s="88"/>
      <c r="AR589" s="89"/>
      <c r="AS589" s="90"/>
      <c r="AV589" s="88"/>
      <c r="AW589" s="96"/>
      <c r="AX589" s="97"/>
      <c r="AY589" s="93"/>
      <c r="BB589" s="94"/>
    </row>
    <row r="590" spans="1:58">
      <c r="AP590" s="86"/>
      <c r="AQ590" s="88"/>
      <c r="AR590" s="89"/>
      <c r="AS590" s="90"/>
      <c r="AV590" s="88"/>
      <c r="AW590" s="96"/>
      <c r="AX590" s="97"/>
      <c r="AY590" s="93"/>
      <c r="BB590" s="94"/>
    </row>
    <row r="591" spans="1:58">
      <c r="AP591" s="86"/>
      <c r="AQ591" s="88"/>
      <c r="AR591" s="89"/>
      <c r="AS591" s="90"/>
      <c r="AV591" s="88"/>
      <c r="AW591" s="96"/>
      <c r="AX591" s="97"/>
      <c r="AY591" s="93"/>
      <c r="BB591" s="94"/>
    </row>
    <row r="592" spans="1:58">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autoFilter ref="A1:BP581">
    <filterColumn colId="9"/>
    <filterColumn colId="21"/>
  </autoFilter>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756" priority="433" operator="equal">
      <formula>"Seeker"</formula>
    </cfRule>
    <cfRule type="cellIs" dxfId="755" priority="434" operator="equal">
      <formula>"Neutral"</formula>
    </cfRule>
    <cfRule type="cellIs" dxfId="754" priority="435" operator="equal">
      <formula>"Rogue"</formula>
    </cfRule>
    <cfRule type="cellIs" dxfId="753" priority="436" operator="equal">
      <formula>"Guardian"</formula>
    </cfRule>
    <cfRule type="cellIs" dxfId="752" priority="437" operator="equal">
      <formula>"Survivor"</formula>
    </cfRule>
    <cfRule type="cellIs" dxfId="751" priority="438" operator="equal">
      <formula>"Mystic"</formula>
    </cfRule>
  </conditionalFormatting>
  <conditionalFormatting sqref="K2:K99 K101:K104 K234:K347">
    <cfRule type="cellIs" dxfId="750" priority="427" operator="equal">
      <formula>"seeker"</formula>
    </cfRule>
    <cfRule type="cellIs" dxfId="749" priority="428" operator="equal">
      <formula>"neutral"</formula>
    </cfRule>
    <cfRule type="cellIs" dxfId="748" priority="429" operator="equal">
      <formula>"rogue"</formula>
    </cfRule>
    <cfRule type="cellIs" dxfId="747" priority="430" operator="equal">
      <formula>"Guardian"</formula>
    </cfRule>
    <cfRule type="cellIs" dxfId="746" priority="431" operator="equal">
      <formula>"Survivor"</formula>
    </cfRule>
    <cfRule type="cellIs" dxfId="745" priority="432" operator="equal">
      <formula>"Mystic"</formula>
    </cfRule>
  </conditionalFormatting>
  <conditionalFormatting sqref="K134:K152 K158:K169 K171:K193 K105:K122 K195:K232 K124:K132">
    <cfRule type="cellIs" dxfId="744" priority="421" operator="equal">
      <formula>"seeker"</formula>
    </cfRule>
    <cfRule type="cellIs" dxfId="743" priority="422" operator="equal">
      <formula>"neutral"</formula>
    </cfRule>
    <cfRule type="cellIs" dxfId="742" priority="423" operator="equal">
      <formula>"rogue"</formula>
    </cfRule>
    <cfRule type="cellIs" dxfId="741" priority="424" operator="equal">
      <formula>"Guardian"</formula>
    </cfRule>
    <cfRule type="cellIs" dxfId="740" priority="425" operator="equal">
      <formula>"Survivor"</formula>
    </cfRule>
    <cfRule type="cellIs" dxfId="739" priority="426" operator="equal">
      <formula>"Mystic"</formula>
    </cfRule>
  </conditionalFormatting>
  <conditionalFormatting sqref="K100">
    <cfRule type="cellIs" dxfId="738" priority="415" operator="equal">
      <formula>"seeker"</formula>
    </cfRule>
    <cfRule type="cellIs" dxfId="737" priority="416" operator="equal">
      <formula>"neutral"</formula>
    </cfRule>
    <cfRule type="cellIs" dxfId="736" priority="417" operator="equal">
      <formula>"rogue"</formula>
    </cfRule>
    <cfRule type="cellIs" dxfId="735" priority="418" operator="equal">
      <formula>"Guardian"</formula>
    </cfRule>
    <cfRule type="cellIs" dxfId="734" priority="419" operator="equal">
      <formula>"Survivor"</formula>
    </cfRule>
    <cfRule type="cellIs" dxfId="733" priority="420" operator="equal">
      <formula>"Mystic"</formula>
    </cfRule>
  </conditionalFormatting>
  <conditionalFormatting sqref="AM112:AM116">
    <cfRule type="cellIs" dxfId="732" priority="409" operator="equal">
      <formula>"seeker"</formula>
    </cfRule>
    <cfRule type="cellIs" dxfId="731" priority="410" operator="equal">
      <formula>"neutral"</formula>
    </cfRule>
    <cfRule type="cellIs" dxfId="730" priority="411" operator="equal">
      <formula>"rogue"</formula>
    </cfRule>
    <cfRule type="cellIs" dxfId="729" priority="412" operator="equal">
      <formula>"Guardian"</formula>
    </cfRule>
    <cfRule type="cellIs" dxfId="728" priority="413" operator="equal">
      <formula>"Survivor"</formula>
    </cfRule>
    <cfRule type="cellIs" dxfId="727" priority="414" operator="equal">
      <formula>"Mystic"</formula>
    </cfRule>
  </conditionalFormatting>
  <conditionalFormatting sqref="AM130:AM131">
    <cfRule type="cellIs" dxfId="726" priority="403" operator="equal">
      <formula>"seeker"</formula>
    </cfRule>
    <cfRule type="cellIs" dxfId="725" priority="404" operator="equal">
      <formula>"neutral"</formula>
    </cfRule>
    <cfRule type="cellIs" dxfId="724" priority="405" operator="equal">
      <formula>"rogue"</formula>
    </cfRule>
    <cfRule type="cellIs" dxfId="723" priority="406" operator="equal">
      <formula>"Guardian"</formula>
    </cfRule>
    <cfRule type="cellIs" dxfId="722" priority="407" operator="equal">
      <formula>"Survivor"</formula>
    </cfRule>
    <cfRule type="cellIs" dxfId="721" priority="408" operator="equal">
      <formula>"Mystic"</formula>
    </cfRule>
  </conditionalFormatting>
  <conditionalFormatting sqref="AL133">
    <cfRule type="cellIs" dxfId="720" priority="397" operator="equal">
      <formula>"Seeker"</formula>
    </cfRule>
    <cfRule type="cellIs" dxfId="719" priority="398" operator="equal">
      <formula>"Neutral"</formula>
    </cfRule>
    <cfRule type="cellIs" dxfId="718" priority="399" operator="equal">
      <formula>"Rogue"</formula>
    </cfRule>
    <cfRule type="cellIs" dxfId="717" priority="400" operator="equal">
      <formula>"Guardian"</formula>
    </cfRule>
    <cfRule type="cellIs" dxfId="716" priority="401" operator="equal">
      <formula>"Survivor"</formula>
    </cfRule>
    <cfRule type="cellIs" dxfId="715" priority="402" operator="equal">
      <formula>"Mystic"</formula>
    </cfRule>
  </conditionalFormatting>
  <conditionalFormatting sqref="K133">
    <cfRule type="cellIs" dxfId="714" priority="391" operator="equal">
      <formula>"seeker"</formula>
    </cfRule>
    <cfRule type="cellIs" dxfId="713" priority="392" operator="equal">
      <formula>"neutral"</formula>
    </cfRule>
    <cfRule type="cellIs" dxfId="712" priority="393" operator="equal">
      <formula>"rogue"</formula>
    </cfRule>
    <cfRule type="cellIs" dxfId="711" priority="394" operator="equal">
      <formula>"Guardian"</formula>
    </cfRule>
    <cfRule type="cellIs" dxfId="710" priority="395" operator="equal">
      <formula>"Survivor"</formula>
    </cfRule>
    <cfRule type="cellIs" dxfId="709" priority="396" operator="equal">
      <formula>"Mystic"</formula>
    </cfRule>
  </conditionalFormatting>
  <conditionalFormatting sqref="AM151:AM152 AM158:AM159">
    <cfRule type="cellIs" dxfId="708" priority="385" operator="equal">
      <formula>"seeker"</formula>
    </cfRule>
    <cfRule type="cellIs" dxfId="707" priority="386" operator="equal">
      <formula>"neutral"</formula>
    </cfRule>
    <cfRule type="cellIs" dxfId="706" priority="387" operator="equal">
      <formula>"rogue"</formula>
    </cfRule>
    <cfRule type="cellIs" dxfId="705" priority="388" operator="equal">
      <formula>"Guardian"</formula>
    </cfRule>
    <cfRule type="cellIs" dxfId="704" priority="389" operator="equal">
      <formula>"Survivor"</formula>
    </cfRule>
    <cfRule type="cellIs" dxfId="703" priority="390" operator="equal">
      <formula>"Mystic"</formula>
    </cfRule>
  </conditionalFormatting>
  <conditionalFormatting sqref="K153">
    <cfRule type="cellIs" dxfId="702" priority="379" operator="equal">
      <formula>"seeker"</formula>
    </cfRule>
    <cfRule type="cellIs" dxfId="701" priority="380" operator="equal">
      <formula>"neutral"</formula>
    </cfRule>
    <cfRule type="cellIs" dxfId="700" priority="381" operator="equal">
      <formula>"rogue"</formula>
    </cfRule>
    <cfRule type="cellIs" dxfId="699" priority="382" operator="equal">
      <formula>"Guardian"</formula>
    </cfRule>
    <cfRule type="cellIs" dxfId="698" priority="383" operator="equal">
      <formula>"Survivor"</formula>
    </cfRule>
    <cfRule type="cellIs" dxfId="697" priority="384" operator="equal">
      <formula>"Mystic"</formula>
    </cfRule>
  </conditionalFormatting>
  <conditionalFormatting sqref="AM153">
    <cfRule type="cellIs" dxfId="696" priority="373" operator="equal">
      <formula>"seeker"</formula>
    </cfRule>
    <cfRule type="cellIs" dxfId="695" priority="374" operator="equal">
      <formula>"neutral"</formula>
    </cfRule>
    <cfRule type="cellIs" dxfId="694" priority="375" operator="equal">
      <formula>"rogue"</formula>
    </cfRule>
    <cfRule type="cellIs" dxfId="693" priority="376" operator="equal">
      <formula>"Guardian"</formula>
    </cfRule>
    <cfRule type="cellIs" dxfId="692" priority="377" operator="equal">
      <formula>"Survivor"</formula>
    </cfRule>
    <cfRule type="cellIs" dxfId="691" priority="378" operator="equal">
      <formula>"Mystic"</formula>
    </cfRule>
  </conditionalFormatting>
  <conditionalFormatting sqref="K154">
    <cfRule type="cellIs" dxfId="690" priority="367" operator="equal">
      <formula>"seeker"</formula>
    </cfRule>
    <cfRule type="cellIs" dxfId="689" priority="368" operator="equal">
      <formula>"neutral"</formula>
    </cfRule>
    <cfRule type="cellIs" dxfId="688" priority="369" operator="equal">
      <formula>"rogue"</formula>
    </cfRule>
    <cfRule type="cellIs" dxfId="687" priority="370" operator="equal">
      <formula>"Guardian"</formula>
    </cfRule>
    <cfRule type="cellIs" dxfId="686" priority="371" operator="equal">
      <formula>"Survivor"</formula>
    </cfRule>
    <cfRule type="cellIs" dxfId="685" priority="372" operator="equal">
      <formula>"Mystic"</formula>
    </cfRule>
  </conditionalFormatting>
  <conditionalFormatting sqref="AM154">
    <cfRule type="cellIs" dxfId="684" priority="361" operator="equal">
      <formula>"seeker"</formula>
    </cfRule>
    <cfRule type="cellIs" dxfId="683" priority="362" operator="equal">
      <formula>"neutral"</formula>
    </cfRule>
    <cfRule type="cellIs" dxfId="682" priority="363" operator="equal">
      <formula>"rogue"</formula>
    </cfRule>
    <cfRule type="cellIs" dxfId="681" priority="364" operator="equal">
      <formula>"Guardian"</formula>
    </cfRule>
    <cfRule type="cellIs" dxfId="680" priority="365" operator="equal">
      <formula>"Survivor"</formula>
    </cfRule>
    <cfRule type="cellIs" dxfId="679" priority="366" operator="equal">
      <formula>"Mystic"</formula>
    </cfRule>
  </conditionalFormatting>
  <conditionalFormatting sqref="K155">
    <cfRule type="cellIs" dxfId="678" priority="355" operator="equal">
      <formula>"seeker"</formula>
    </cfRule>
    <cfRule type="cellIs" dxfId="677" priority="356" operator="equal">
      <formula>"neutral"</formula>
    </cfRule>
    <cfRule type="cellIs" dxfId="676" priority="357" operator="equal">
      <formula>"rogue"</formula>
    </cfRule>
    <cfRule type="cellIs" dxfId="675" priority="358" operator="equal">
      <formula>"Guardian"</formula>
    </cfRule>
    <cfRule type="cellIs" dxfId="674" priority="359" operator="equal">
      <formula>"Survivor"</formula>
    </cfRule>
    <cfRule type="cellIs" dxfId="673" priority="360" operator="equal">
      <formula>"Mystic"</formula>
    </cfRule>
  </conditionalFormatting>
  <conditionalFormatting sqref="AM155">
    <cfRule type="cellIs" dxfId="672" priority="349" operator="equal">
      <formula>"seeker"</formula>
    </cfRule>
    <cfRule type="cellIs" dxfId="671" priority="350" operator="equal">
      <formula>"neutral"</formula>
    </cfRule>
    <cfRule type="cellIs" dxfId="670" priority="351" operator="equal">
      <formula>"rogue"</formula>
    </cfRule>
    <cfRule type="cellIs" dxfId="669" priority="352" operator="equal">
      <formula>"Guardian"</formula>
    </cfRule>
    <cfRule type="cellIs" dxfId="668" priority="353" operator="equal">
      <formula>"Survivor"</formula>
    </cfRule>
    <cfRule type="cellIs" dxfId="667" priority="354" operator="equal">
      <formula>"Mystic"</formula>
    </cfRule>
  </conditionalFormatting>
  <conditionalFormatting sqref="K156">
    <cfRule type="cellIs" dxfId="666" priority="343" operator="equal">
      <formula>"seeker"</formula>
    </cfRule>
    <cfRule type="cellIs" dxfId="665" priority="344" operator="equal">
      <formula>"neutral"</formula>
    </cfRule>
    <cfRule type="cellIs" dxfId="664" priority="345" operator="equal">
      <formula>"rogue"</formula>
    </cfRule>
    <cfRule type="cellIs" dxfId="663" priority="346" operator="equal">
      <formula>"Guardian"</formula>
    </cfRule>
    <cfRule type="cellIs" dxfId="662" priority="347" operator="equal">
      <formula>"Survivor"</formula>
    </cfRule>
    <cfRule type="cellIs" dxfId="661" priority="348" operator="equal">
      <formula>"Mystic"</formula>
    </cfRule>
  </conditionalFormatting>
  <conditionalFormatting sqref="AM156">
    <cfRule type="cellIs" dxfId="660" priority="337" operator="equal">
      <formula>"seeker"</formula>
    </cfRule>
    <cfRule type="cellIs" dxfId="659" priority="338" operator="equal">
      <formula>"neutral"</formula>
    </cfRule>
    <cfRule type="cellIs" dxfId="658" priority="339" operator="equal">
      <formula>"rogue"</formula>
    </cfRule>
    <cfRule type="cellIs" dxfId="657" priority="340" operator="equal">
      <formula>"Guardian"</formula>
    </cfRule>
    <cfRule type="cellIs" dxfId="656" priority="341" operator="equal">
      <formula>"Survivor"</formula>
    </cfRule>
    <cfRule type="cellIs" dxfId="655" priority="342" operator="equal">
      <formula>"Mystic"</formula>
    </cfRule>
  </conditionalFormatting>
  <conditionalFormatting sqref="K157">
    <cfRule type="cellIs" dxfId="654" priority="331" operator="equal">
      <formula>"seeker"</formula>
    </cfRule>
    <cfRule type="cellIs" dxfId="653" priority="332" operator="equal">
      <formula>"neutral"</formula>
    </cfRule>
    <cfRule type="cellIs" dxfId="652" priority="333" operator="equal">
      <formula>"rogue"</formula>
    </cfRule>
    <cfRule type="cellIs" dxfId="651" priority="334" operator="equal">
      <formula>"Guardian"</formula>
    </cfRule>
    <cfRule type="cellIs" dxfId="650" priority="335" operator="equal">
      <formula>"Survivor"</formula>
    </cfRule>
    <cfRule type="cellIs" dxfId="649" priority="336" operator="equal">
      <formula>"Mystic"</formula>
    </cfRule>
  </conditionalFormatting>
  <conditionalFormatting sqref="AM157">
    <cfRule type="cellIs" dxfId="648" priority="325" operator="equal">
      <formula>"seeker"</formula>
    </cfRule>
    <cfRule type="cellIs" dxfId="647" priority="326" operator="equal">
      <formula>"neutral"</formula>
    </cfRule>
    <cfRule type="cellIs" dxfId="646" priority="327" operator="equal">
      <formula>"rogue"</formula>
    </cfRule>
    <cfRule type="cellIs" dxfId="645" priority="328" operator="equal">
      <formula>"Guardian"</formula>
    </cfRule>
    <cfRule type="cellIs" dxfId="644" priority="329" operator="equal">
      <formula>"Survivor"</formula>
    </cfRule>
    <cfRule type="cellIs" dxfId="643" priority="330" operator="equal">
      <formula>"Mystic"</formula>
    </cfRule>
  </conditionalFormatting>
  <conditionalFormatting sqref="K170">
    <cfRule type="cellIs" dxfId="642" priority="319" operator="equal">
      <formula>"seeker"</formula>
    </cfRule>
    <cfRule type="cellIs" dxfId="641" priority="320" operator="equal">
      <formula>"neutral"</formula>
    </cfRule>
    <cfRule type="cellIs" dxfId="640" priority="321" operator="equal">
      <formula>"rogue"</formula>
    </cfRule>
    <cfRule type="cellIs" dxfId="639" priority="322" operator="equal">
      <formula>"Guardian"</formula>
    </cfRule>
    <cfRule type="cellIs" dxfId="638" priority="323" operator="equal">
      <formula>"Survivor"</formula>
    </cfRule>
    <cfRule type="cellIs" dxfId="637" priority="324" operator="equal">
      <formula>"Mystic"</formula>
    </cfRule>
  </conditionalFormatting>
  <conditionalFormatting sqref="AL190">
    <cfRule type="cellIs" dxfId="636" priority="307" operator="equal">
      <formula>"Seeker"</formula>
    </cfRule>
    <cfRule type="cellIs" dxfId="635" priority="308" operator="equal">
      <formula>"Neutral"</formula>
    </cfRule>
    <cfRule type="cellIs" dxfId="634" priority="309" operator="equal">
      <formula>"Rogue"</formula>
    </cfRule>
    <cfRule type="cellIs" dxfId="633" priority="310" operator="equal">
      <formula>"Guardian"</formula>
    </cfRule>
    <cfRule type="cellIs" dxfId="632" priority="311" operator="equal">
      <formula>"Survivor"</formula>
    </cfRule>
    <cfRule type="cellIs" dxfId="631" priority="312" operator="equal">
      <formula>"Mystic"</formula>
    </cfRule>
  </conditionalFormatting>
  <conditionalFormatting sqref="AM191">
    <cfRule type="cellIs" dxfId="630" priority="301" operator="equal">
      <formula>"seeker"</formula>
    </cfRule>
    <cfRule type="cellIs" dxfId="629" priority="302" operator="equal">
      <formula>"neutral"</formula>
    </cfRule>
    <cfRule type="cellIs" dxfId="628" priority="303" operator="equal">
      <formula>"rogue"</formula>
    </cfRule>
    <cfRule type="cellIs" dxfId="627" priority="304" operator="equal">
      <formula>"Guardian"</formula>
    </cfRule>
    <cfRule type="cellIs" dxfId="626" priority="305" operator="equal">
      <formula>"Survivor"</formula>
    </cfRule>
    <cfRule type="cellIs" dxfId="625" priority="306" operator="equal">
      <formula>"Mystic"</formula>
    </cfRule>
  </conditionalFormatting>
  <conditionalFormatting sqref="AM193">
    <cfRule type="cellIs" dxfId="624" priority="295" operator="equal">
      <formula>"seeker"</formula>
    </cfRule>
    <cfRule type="cellIs" dxfId="623" priority="296" operator="equal">
      <formula>"neutral"</formula>
    </cfRule>
    <cfRule type="cellIs" dxfId="622" priority="297" operator="equal">
      <formula>"rogue"</formula>
    </cfRule>
    <cfRule type="cellIs" dxfId="621" priority="298" operator="equal">
      <formula>"Guardian"</formula>
    </cfRule>
    <cfRule type="cellIs" dxfId="620" priority="299" operator="equal">
      <formula>"Survivor"</formula>
    </cfRule>
    <cfRule type="cellIs" dxfId="619" priority="300" operator="equal">
      <formula>"Mystic"</formula>
    </cfRule>
  </conditionalFormatting>
  <conditionalFormatting sqref="K194">
    <cfRule type="cellIs" dxfId="618" priority="289" operator="equal">
      <formula>"seeker"</formula>
    </cfRule>
    <cfRule type="cellIs" dxfId="617" priority="290" operator="equal">
      <formula>"neutral"</formula>
    </cfRule>
    <cfRule type="cellIs" dxfId="616" priority="291" operator="equal">
      <formula>"rogue"</formula>
    </cfRule>
    <cfRule type="cellIs" dxfId="615" priority="292" operator="equal">
      <formula>"Guardian"</formula>
    </cfRule>
    <cfRule type="cellIs" dxfId="614" priority="293" operator="equal">
      <formula>"Survivor"</formula>
    </cfRule>
    <cfRule type="cellIs" dxfId="613" priority="294" operator="equal">
      <formula>"Mystic"</formula>
    </cfRule>
  </conditionalFormatting>
  <conditionalFormatting sqref="AM195">
    <cfRule type="cellIs" dxfId="612" priority="283" operator="equal">
      <formula>"seeker"</formula>
    </cfRule>
    <cfRule type="cellIs" dxfId="611" priority="284" operator="equal">
      <formula>"neutral"</formula>
    </cfRule>
    <cfRule type="cellIs" dxfId="610" priority="285" operator="equal">
      <formula>"rogue"</formula>
    </cfRule>
    <cfRule type="cellIs" dxfId="609" priority="286" operator="equal">
      <formula>"Guardian"</formula>
    </cfRule>
    <cfRule type="cellIs" dxfId="608" priority="287" operator="equal">
      <formula>"Survivor"</formula>
    </cfRule>
    <cfRule type="cellIs" dxfId="607" priority="288" operator="equal">
      <formula>"Mystic"</formula>
    </cfRule>
  </conditionalFormatting>
  <conditionalFormatting sqref="AM194">
    <cfRule type="cellIs" dxfId="606" priority="277" operator="equal">
      <formula>"seeker"</formula>
    </cfRule>
    <cfRule type="cellIs" dxfId="605" priority="278" operator="equal">
      <formula>"neutral"</formula>
    </cfRule>
    <cfRule type="cellIs" dxfId="604" priority="279" operator="equal">
      <formula>"rogue"</formula>
    </cfRule>
    <cfRule type="cellIs" dxfId="603" priority="280" operator="equal">
      <formula>"Guardian"</formula>
    </cfRule>
    <cfRule type="cellIs" dxfId="602" priority="281" operator="equal">
      <formula>"Survivor"</formula>
    </cfRule>
    <cfRule type="cellIs" dxfId="601" priority="282" operator="equal">
      <formula>"Mystic"</formula>
    </cfRule>
  </conditionalFormatting>
  <conditionalFormatting sqref="AL3">
    <cfRule type="cellIs" dxfId="600" priority="271" operator="equal">
      <formula>"Seeker"</formula>
    </cfRule>
    <cfRule type="cellIs" dxfId="599" priority="272" operator="equal">
      <formula>"Neutral"</formula>
    </cfRule>
    <cfRule type="cellIs" dxfId="598" priority="273" operator="equal">
      <formula>"Rogue"</formula>
    </cfRule>
    <cfRule type="cellIs" dxfId="597" priority="274" operator="equal">
      <formula>"Guardian"</formula>
    </cfRule>
    <cfRule type="cellIs" dxfId="596" priority="275" operator="equal">
      <formula>"Survivor"</formula>
    </cfRule>
    <cfRule type="cellIs" dxfId="595" priority="276" operator="equal">
      <formula>"Mystic"</formula>
    </cfRule>
  </conditionalFormatting>
  <conditionalFormatting sqref="AL4">
    <cfRule type="cellIs" dxfId="594" priority="265" operator="equal">
      <formula>"Seeker"</formula>
    </cfRule>
    <cfRule type="cellIs" dxfId="593" priority="266" operator="equal">
      <formula>"Neutral"</formula>
    </cfRule>
    <cfRule type="cellIs" dxfId="592" priority="267" operator="equal">
      <formula>"Rogue"</formula>
    </cfRule>
    <cfRule type="cellIs" dxfId="591" priority="268" operator="equal">
      <formula>"Guardian"</formula>
    </cfRule>
    <cfRule type="cellIs" dxfId="590" priority="269" operator="equal">
      <formula>"Survivor"</formula>
    </cfRule>
    <cfRule type="cellIs" dxfId="589" priority="270" operator="equal">
      <formula>"Mystic"</formula>
    </cfRule>
  </conditionalFormatting>
  <conditionalFormatting sqref="AL5">
    <cfRule type="cellIs" dxfId="588" priority="259" operator="equal">
      <formula>"Seeker"</formula>
    </cfRule>
    <cfRule type="cellIs" dxfId="587" priority="260" operator="equal">
      <formula>"Neutral"</formula>
    </cfRule>
    <cfRule type="cellIs" dxfId="586" priority="261" operator="equal">
      <formula>"Rogue"</formula>
    </cfRule>
    <cfRule type="cellIs" dxfId="585" priority="262" operator="equal">
      <formula>"Guardian"</formula>
    </cfRule>
    <cfRule type="cellIs" dxfId="584" priority="263" operator="equal">
      <formula>"Survivor"</formula>
    </cfRule>
    <cfRule type="cellIs" dxfId="583" priority="264" operator="equal">
      <formula>"Mystic"</formula>
    </cfRule>
  </conditionalFormatting>
  <conditionalFormatting sqref="AL6">
    <cfRule type="cellIs" dxfId="582" priority="253" operator="equal">
      <formula>"Seeker"</formula>
    </cfRule>
    <cfRule type="cellIs" dxfId="581" priority="254" operator="equal">
      <formula>"Neutral"</formula>
    </cfRule>
    <cfRule type="cellIs" dxfId="580" priority="255" operator="equal">
      <formula>"Rogue"</formula>
    </cfRule>
    <cfRule type="cellIs" dxfId="579" priority="256" operator="equal">
      <formula>"Guardian"</formula>
    </cfRule>
    <cfRule type="cellIs" dxfId="578" priority="257" operator="equal">
      <formula>"Survivor"</formula>
    </cfRule>
    <cfRule type="cellIs" dxfId="577" priority="258" operator="equal">
      <formula>"Mystic"</formula>
    </cfRule>
  </conditionalFormatting>
  <conditionalFormatting sqref="AL122">
    <cfRule type="cellIs" dxfId="576" priority="247" operator="equal">
      <formula>"Seeker"</formula>
    </cfRule>
    <cfRule type="cellIs" dxfId="575" priority="248" operator="equal">
      <formula>"Neutral"</formula>
    </cfRule>
    <cfRule type="cellIs" dxfId="574" priority="249" operator="equal">
      <formula>"Rogue"</formula>
    </cfRule>
    <cfRule type="cellIs" dxfId="573" priority="250" operator="equal">
      <formula>"Guardian"</formula>
    </cfRule>
    <cfRule type="cellIs" dxfId="572" priority="251" operator="equal">
      <formula>"Survivor"</formula>
    </cfRule>
    <cfRule type="cellIs" dxfId="571" priority="252" operator="equal">
      <formula>"Mystic"</formula>
    </cfRule>
  </conditionalFormatting>
  <conditionalFormatting sqref="AL123">
    <cfRule type="cellIs" dxfId="570" priority="241" operator="equal">
      <formula>"Seeker"</formula>
    </cfRule>
    <cfRule type="cellIs" dxfId="569" priority="242" operator="equal">
      <formula>"Neutral"</formula>
    </cfRule>
    <cfRule type="cellIs" dxfId="568" priority="243" operator="equal">
      <formula>"Rogue"</formula>
    </cfRule>
    <cfRule type="cellIs" dxfId="567" priority="244" operator="equal">
      <formula>"Guardian"</formula>
    </cfRule>
    <cfRule type="cellIs" dxfId="566" priority="245" operator="equal">
      <formula>"Survivor"</formula>
    </cfRule>
    <cfRule type="cellIs" dxfId="565" priority="246" operator="equal">
      <formula>"Mystic"</formula>
    </cfRule>
  </conditionalFormatting>
  <conditionalFormatting sqref="J123">
    <cfRule type="cellIs" dxfId="564" priority="235" operator="equal">
      <formula>"Seeker"</formula>
    </cfRule>
    <cfRule type="cellIs" dxfId="563" priority="236" operator="equal">
      <formula>"Neutral"</formula>
    </cfRule>
    <cfRule type="cellIs" dxfId="562" priority="237" operator="equal">
      <formula>"Rogue"</formula>
    </cfRule>
    <cfRule type="cellIs" dxfId="561" priority="238" operator="equal">
      <formula>"Guardian"</formula>
    </cfRule>
    <cfRule type="cellIs" dxfId="560" priority="239" operator="equal">
      <formula>"Survivor"</formula>
    </cfRule>
    <cfRule type="cellIs" dxfId="559" priority="240" operator="equal">
      <formula>"Mystic"</formula>
    </cfRule>
  </conditionalFormatting>
  <conditionalFormatting sqref="AM253">
    <cfRule type="cellIs" dxfId="558" priority="229" operator="equal">
      <formula>"seeker"</formula>
    </cfRule>
    <cfRule type="cellIs" dxfId="557" priority="230" operator="equal">
      <formula>"neutral"</formula>
    </cfRule>
    <cfRule type="cellIs" dxfId="556" priority="231" operator="equal">
      <formula>"rogue"</formula>
    </cfRule>
    <cfRule type="cellIs" dxfId="555" priority="232" operator="equal">
      <formula>"Guardian"</formula>
    </cfRule>
    <cfRule type="cellIs" dxfId="554" priority="233" operator="equal">
      <formula>"Survivor"</formula>
    </cfRule>
    <cfRule type="cellIs" dxfId="553" priority="234" operator="equal">
      <formula>"Mystic"</formula>
    </cfRule>
  </conditionalFormatting>
  <conditionalFormatting sqref="AM254">
    <cfRule type="cellIs" dxfId="552" priority="223" operator="equal">
      <formula>"seeker"</formula>
    </cfRule>
    <cfRule type="cellIs" dxfId="551" priority="224" operator="equal">
      <formula>"neutral"</formula>
    </cfRule>
    <cfRule type="cellIs" dxfId="550" priority="225" operator="equal">
      <formula>"rogue"</formula>
    </cfRule>
    <cfRule type="cellIs" dxfId="549" priority="226" operator="equal">
      <formula>"Guardian"</formula>
    </cfRule>
    <cfRule type="cellIs" dxfId="548" priority="227" operator="equal">
      <formula>"Survivor"</formula>
    </cfRule>
    <cfRule type="cellIs" dxfId="547" priority="228" operator="equal">
      <formula>"Mystic"</formula>
    </cfRule>
  </conditionalFormatting>
  <conditionalFormatting sqref="AM255">
    <cfRule type="cellIs" dxfId="546" priority="217" operator="equal">
      <formula>"seeker"</formula>
    </cfRule>
    <cfRule type="cellIs" dxfId="545" priority="218" operator="equal">
      <formula>"neutral"</formula>
    </cfRule>
    <cfRule type="cellIs" dxfId="544" priority="219" operator="equal">
      <formula>"rogue"</formula>
    </cfRule>
    <cfRule type="cellIs" dxfId="543" priority="220" operator="equal">
      <formula>"Guardian"</formula>
    </cfRule>
    <cfRule type="cellIs" dxfId="542" priority="221" operator="equal">
      <formula>"Survivor"</formula>
    </cfRule>
    <cfRule type="cellIs" dxfId="541" priority="222" operator="equal">
      <formula>"Mystic"</formula>
    </cfRule>
  </conditionalFormatting>
  <conditionalFormatting sqref="AM256">
    <cfRule type="cellIs" dxfId="540" priority="211" operator="equal">
      <formula>"seeker"</formula>
    </cfRule>
    <cfRule type="cellIs" dxfId="539" priority="212" operator="equal">
      <formula>"neutral"</formula>
    </cfRule>
    <cfRule type="cellIs" dxfId="538" priority="213" operator="equal">
      <formula>"rogue"</formula>
    </cfRule>
    <cfRule type="cellIs" dxfId="537" priority="214" operator="equal">
      <formula>"Guardian"</formula>
    </cfRule>
    <cfRule type="cellIs" dxfId="536" priority="215" operator="equal">
      <formula>"Survivor"</formula>
    </cfRule>
    <cfRule type="cellIs" dxfId="535" priority="216" operator="equal">
      <formula>"Mystic"</formula>
    </cfRule>
  </conditionalFormatting>
  <conditionalFormatting sqref="AM252">
    <cfRule type="cellIs" dxfId="534" priority="205" operator="equal">
      <formula>"seeker"</formula>
    </cfRule>
    <cfRule type="cellIs" dxfId="533" priority="206" operator="equal">
      <formula>"neutral"</formula>
    </cfRule>
    <cfRule type="cellIs" dxfId="532" priority="207" operator="equal">
      <formula>"rogue"</formula>
    </cfRule>
    <cfRule type="cellIs" dxfId="531" priority="208" operator="equal">
      <formula>"Guardian"</formula>
    </cfRule>
    <cfRule type="cellIs" dxfId="530" priority="209" operator="equal">
      <formula>"Survivor"</formula>
    </cfRule>
    <cfRule type="cellIs" dxfId="529" priority="210" operator="equal">
      <formula>"Mystic"</formula>
    </cfRule>
  </conditionalFormatting>
  <conditionalFormatting sqref="AM383:AM387">
    <cfRule type="cellIs" dxfId="528" priority="199" operator="equal">
      <formula>"Seeker"</formula>
    </cfRule>
    <cfRule type="cellIs" dxfId="527" priority="200" operator="equal">
      <formula>"Neutral"</formula>
    </cfRule>
    <cfRule type="cellIs" dxfId="526" priority="201" operator="equal">
      <formula>"Rogue"</formula>
    </cfRule>
    <cfRule type="cellIs" dxfId="525" priority="202" operator="equal">
      <formula>"Guardian"</formula>
    </cfRule>
    <cfRule type="cellIs" dxfId="524" priority="203" operator="equal">
      <formula>"Survivor"</formula>
    </cfRule>
    <cfRule type="cellIs" dxfId="523" priority="204" operator="equal">
      <formula>"Mystic"</formula>
    </cfRule>
  </conditionalFormatting>
  <conditionalFormatting sqref="K383:K387">
    <cfRule type="cellIs" dxfId="522" priority="193" operator="equal">
      <formula>"seeker"</formula>
    </cfRule>
    <cfRule type="cellIs" dxfId="521" priority="194" operator="equal">
      <formula>"neutral"</formula>
    </cfRule>
    <cfRule type="cellIs" dxfId="520" priority="195" operator="equal">
      <formula>"rogue"</formula>
    </cfRule>
    <cfRule type="cellIs" dxfId="519" priority="196" operator="equal">
      <formula>"Guardian"</formula>
    </cfRule>
    <cfRule type="cellIs" dxfId="518" priority="197" operator="equal">
      <formula>"Survivor"</formula>
    </cfRule>
    <cfRule type="cellIs" dxfId="517" priority="198" operator="equal">
      <formula>"Mystic"</formula>
    </cfRule>
  </conditionalFormatting>
  <conditionalFormatting sqref="AM233">
    <cfRule type="cellIs" dxfId="516" priority="187" operator="equal">
      <formula>"Seeker"</formula>
    </cfRule>
    <cfRule type="cellIs" dxfId="515" priority="188" operator="equal">
      <formula>"Neutral"</formula>
    </cfRule>
    <cfRule type="cellIs" dxfId="514" priority="189" operator="equal">
      <formula>"Rogue"</formula>
    </cfRule>
    <cfRule type="cellIs" dxfId="513" priority="190" operator="equal">
      <formula>"Guardian"</formula>
    </cfRule>
    <cfRule type="cellIs" dxfId="512" priority="191" operator="equal">
      <formula>"Survivor"</formula>
    </cfRule>
    <cfRule type="cellIs" dxfId="511" priority="192" operator="equal">
      <formula>"Mystic"</formula>
    </cfRule>
  </conditionalFormatting>
  <conditionalFormatting sqref="K233">
    <cfRule type="cellIs" dxfId="510" priority="181" operator="equal">
      <formula>"seeker"</formula>
    </cfRule>
    <cfRule type="cellIs" dxfId="509" priority="182" operator="equal">
      <formula>"neutral"</formula>
    </cfRule>
    <cfRule type="cellIs" dxfId="508" priority="183" operator="equal">
      <formula>"rogue"</formula>
    </cfRule>
    <cfRule type="cellIs" dxfId="507" priority="184" operator="equal">
      <formula>"Guardian"</formula>
    </cfRule>
    <cfRule type="cellIs" dxfId="506" priority="185" operator="equal">
      <formula>"Survivor"</formula>
    </cfRule>
    <cfRule type="cellIs" dxfId="505" priority="186" operator="equal">
      <formula>"Mystic"</formula>
    </cfRule>
  </conditionalFormatting>
  <conditionalFormatting sqref="K388:K429 AM388:AM429">
    <cfRule type="cellIs" dxfId="504" priority="175" operator="equal">
      <formula>"seeker"</formula>
    </cfRule>
    <cfRule type="cellIs" dxfId="503" priority="176" operator="equal">
      <formula>"neutral"</formula>
    </cfRule>
    <cfRule type="cellIs" dxfId="502" priority="177" operator="equal">
      <formula>"rogue"</formula>
    </cfRule>
    <cfRule type="cellIs" dxfId="501" priority="178" operator="equal">
      <formula>"Guardian"</formula>
    </cfRule>
    <cfRule type="cellIs" dxfId="500" priority="179" operator="equal">
      <formula>"Survivor"</formula>
    </cfRule>
    <cfRule type="cellIs" dxfId="499" priority="180" operator="equal">
      <formula>"Mystic"</formula>
    </cfRule>
  </conditionalFormatting>
  <conditionalFormatting sqref="K430:K466 AM430:AM442 AM450:AM466">
    <cfRule type="cellIs" dxfId="498" priority="169" operator="equal">
      <formula>"seeker"</formula>
    </cfRule>
    <cfRule type="cellIs" dxfId="497" priority="170" operator="equal">
      <formula>"neutral"</formula>
    </cfRule>
    <cfRule type="cellIs" dxfId="496" priority="171" operator="equal">
      <formula>"rogue"</formula>
    </cfRule>
    <cfRule type="cellIs" dxfId="495" priority="172" operator="equal">
      <formula>"Guardian"</formula>
    </cfRule>
    <cfRule type="cellIs" dxfId="494" priority="173" operator="equal">
      <formula>"Survivor"</formula>
    </cfRule>
    <cfRule type="cellIs" dxfId="493" priority="174" operator="equal">
      <formula>"Mystic"</formula>
    </cfRule>
  </conditionalFormatting>
  <conditionalFormatting sqref="AM443:AM449">
    <cfRule type="cellIs" dxfId="492" priority="163" operator="equal">
      <formula>"seeker"</formula>
    </cfRule>
    <cfRule type="cellIs" dxfId="491" priority="164" operator="equal">
      <formula>"neutral"</formula>
    </cfRule>
    <cfRule type="cellIs" dxfId="490" priority="165" operator="equal">
      <formula>"rogue"</formula>
    </cfRule>
    <cfRule type="cellIs" dxfId="489" priority="166" operator="equal">
      <formula>"Guardian"</formula>
    </cfRule>
    <cfRule type="cellIs" dxfId="488" priority="167" operator="equal">
      <formula>"Survivor"</formula>
    </cfRule>
    <cfRule type="cellIs" dxfId="487" priority="168" operator="equal">
      <formula>"Mystic"</formula>
    </cfRule>
  </conditionalFormatting>
  <conditionalFormatting sqref="K508:K542 AM508:AM542">
    <cfRule type="cellIs" dxfId="486" priority="157" operator="equal">
      <formula>"seeker"</formula>
    </cfRule>
    <cfRule type="cellIs" dxfId="485" priority="158" operator="equal">
      <formula>"neutral"</formula>
    </cfRule>
    <cfRule type="cellIs" dxfId="484" priority="159" operator="equal">
      <formula>"rogue"</formula>
    </cfRule>
    <cfRule type="cellIs" dxfId="483" priority="160" operator="equal">
      <formula>"Guardian"</formula>
    </cfRule>
    <cfRule type="cellIs" dxfId="482" priority="161" operator="equal">
      <formula>"Survivor"</formula>
    </cfRule>
    <cfRule type="cellIs" dxfId="481" priority="162" operator="equal">
      <formula>"Mystic"</formula>
    </cfRule>
  </conditionalFormatting>
  <conditionalFormatting sqref="K508:K542 AM508:AM542">
    <cfRule type="cellIs" dxfId="480" priority="151" operator="equal">
      <formula>"seeker"</formula>
    </cfRule>
    <cfRule type="cellIs" dxfId="479" priority="152" operator="equal">
      <formula>"neutral"</formula>
    </cfRule>
    <cfRule type="cellIs" dxfId="478" priority="153" operator="equal">
      <formula>"rogue"</formula>
    </cfRule>
    <cfRule type="cellIs" dxfId="477" priority="154" operator="equal">
      <formula>"Guardian"</formula>
    </cfRule>
    <cfRule type="cellIs" dxfId="476" priority="155" operator="equal">
      <formula>"Survivor"</formula>
    </cfRule>
    <cfRule type="cellIs" dxfId="475" priority="156" operator="equal">
      <formula>"Mystic"</formula>
    </cfRule>
  </conditionalFormatting>
  <conditionalFormatting sqref="K508:K542 AM508:AM542">
    <cfRule type="cellIs" dxfId="474" priority="145" operator="equal">
      <formula>"seeker"</formula>
    </cfRule>
    <cfRule type="cellIs" dxfId="473" priority="146" operator="equal">
      <formula>"neutral"</formula>
    </cfRule>
    <cfRule type="cellIs" dxfId="472" priority="147" operator="equal">
      <formula>"rogue"</formula>
    </cfRule>
    <cfRule type="cellIs" dxfId="471" priority="148" operator="equal">
      <formula>"Guardian"</formula>
    </cfRule>
    <cfRule type="cellIs" dxfId="470" priority="149" operator="equal">
      <formula>"Survivor"</formula>
    </cfRule>
    <cfRule type="cellIs" dxfId="469" priority="150" operator="equal">
      <formula>"Mystic"</formula>
    </cfRule>
  </conditionalFormatting>
  <conditionalFormatting sqref="K543:K581 AM543:AM581">
    <cfRule type="cellIs" dxfId="468" priority="139" operator="equal">
      <formula>"seeker"</formula>
    </cfRule>
    <cfRule type="cellIs" dxfId="467" priority="140" operator="equal">
      <formula>"neutral"</formula>
    </cfRule>
    <cfRule type="cellIs" dxfId="466" priority="141" operator="equal">
      <formula>"rogue"</formula>
    </cfRule>
    <cfRule type="cellIs" dxfId="465" priority="142" operator="equal">
      <formula>"Guardian"</formula>
    </cfRule>
    <cfRule type="cellIs" dxfId="464" priority="143" operator="equal">
      <formula>"Survivor"</formula>
    </cfRule>
    <cfRule type="cellIs" dxfId="463" priority="144" operator="equal">
      <formula>"Mystic"</formula>
    </cfRule>
  </conditionalFormatting>
  <conditionalFormatting sqref="K508:K542 AM508:AM542">
    <cfRule type="cellIs" dxfId="462" priority="133" operator="equal">
      <formula>"seeker"</formula>
    </cfRule>
    <cfRule type="cellIs" dxfId="461" priority="134" operator="equal">
      <formula>"neutral"</formula>
    </cfRule>
    <cfRule type="cellIs" dxfId="460" priority="135" operator="equal">
      <formula>"rogue"</formula>
    </cfRule>
    <cfRule type="cellIs" dxfId="459" priority="136" operator="equal">
      <formula>"Guardian"</formula>
    </cfRule>
    <cfRule type="cellIs" dxfId="458" priority="137" operator="equal">
      <formula>"Survivor"</formula>
    </cfRule>
    <cfRule type="cellIs" dxfId="457" priority="138" operator="equal">
      <formula>"Mystic"</formula>
    </cfRule>
  </conditionalFormatting>
  <conditionalFormatting sqref="K508:K542 AM508:AM542">
    <cfRule type="cellIs" dxfId="456" priority="127" operator="equal">
      <formula>"seeker"</formula>
    </cfRule>
    <cfRule type="cellIs" dxfId="455" priority="128" operator="equal">
      <formula>"neutral"</formula>
    </cfRule>
    <cfRule type="cellIs" dxfId="454" priority="129" operator="equal">
      <formula>"rogue"</formula>
    </cfRule>
    <cfRule type="cellIs" dxfId="453" priority="130" operator="equal">
      <formula>"Guardian"</formula>
    </cfRule>
    <cfRule type="cellIs" dxfId="452" priority="131" operator="equal">
      <formula>"Survivor"</formula>
    </cfRule>
    <cfRule type="cellIs" dxfId="451" priority="132" operator="equal">
      <formula>"Mystic"</formula>
    </cfRule>
  </conditionalFormatting>
  <conditionalFormatting sqref="K508:K542 AM508:AM542">
    <cfRule type="cellIs" dxfId="450" priority="121" operator="equal">
      <formula>"seeker"</formula>
    </cfRule>
    <cfRule type="cellIs" dxfId="449" priority="122" operator="equal">
      <formula>"neutral"</formula>
    </cfRule>
    <cfRule type="cellIs" dxfId="448" priority="123" operator="equal">
      <formula>"rogue"</formula>
    </cfRule>
    <cfRule type="cellIs" dxfId="447" priority="124" operator="equal">
      <formula>"Guardian"</formula>
    </cfRule>
    <cfRule type="cellIs" dxfId="446" priority="125" operator="equal">
      <formula>"Survivor"</formula>
    </cfRule>
    <cfRule type="cellIs" dxfId="445" priority="126" operator="equal">
      <formula>"Mystic"</formula>
    </cfRule>
  </conditionalFormatting>
  <conditionalFormatting sqref="K508:K542 AM508:AM542">
    <cfRule type="cellIs" dxfId="444" priority="115" operator="equal">
      <formula>"seeker"</formula>
    </cfRule>
    <cfRule type="cellIs" dxfId="443" priority="116" operator="equal">
      <formula>"neutral"</formula>
    </cfRule>
    <cfRule type="cellIs" dxfId="442" priority="117" operator="equal">
      <formula>"rogue"</formula>
    </cfRule>
    <cfRule type="cellIs" dxfId="441" priority="118" operator="equal">
      <formula>"Guardian"</formula>
    </cfRule>
    <cfRule type="cellIs" dxfId="440" priority="119" operator="equal">
      <formula>"Survivor"</formula>
    </cfRule>
    <cfRule type="cellIs" dxfId="439" priority="120" operator="equal">
      <formula>"Mystic"</formula>
    </cfRule>
  </conditionalFormatting>
  <conditionalFormatting sqref="K543:K581 AM543:AM581">
    <cfRule type="cellIs" dxfId="438" priority="109" operator="equal">
      <formula>"seeker"</formula>
    </cfRule>
    <cfRule type="cellIs" dxfId="437" priority="110" operator="equal">
      <formula>"neutral"</formula>
    </cfRule>
    <cfRule type="cellIs" dxfId="436" priority="111" operator="equal">
      <formula>"rogue"</formula>
    </cfRule>
    <cfRule type="cellIs" dxfId="435" priority="112" operator="equal">
      <formula>"Guardian"</formula>
    </cfRule>
    <cfRule type="cellIs" dxfId="434" priority="113" operator="equal">
      <formula>"Survivor"</formula>
    </cfRule>
    <cfRule type="cellIs" dxfId="433" priority="114" operator="equal">
      <formula>"Mystic"</formula>
    </cfRule>
  </conditionalFormatting>
  <conditionalFormatting sqref="AL508 AL513:AL542">
    <cfRule type="cellIs" dxfId="432" priority="103" operator="equal">
      <formula>"Seeker"</formula>
    </cfRule>
    <cfRule type="cellIs" dxfId="431" priority="104" operator="equal">
      <formula>"Neutral"</formula>
    </cfRule>
    <cfRule type="cellIs" dxfId="430" priority="105" operator="equal">
      <formula>"Rogue"</formula>
    </cfRule>
    <cfRule type="cellIs" dxfId="429" priority="106" operator="equal">
      <formula>"Guardian"</formula>
    </cfRule>
    <cfRule type="cellIs" dxfId="428" priority="107" operator="equal">
      <formula>"Survivor"</formula>
    </cfRule>
    <cfRule type="cellIs" dxfId="427" priority="108" operator="equal">
      <formula>"Mystic"</formula>
    </cfRule>
  </conditionalFormatting>
  <conditionalFormatting sqref="K508:K542">
    <cfRule type="cellIs" dxfId="426" priority="97" operator="equal">
      <formula>"seeker"</formula>
    </cfRule>
    <cfRule type="cellIs" dxfId="425" priority="98" operator="equal">
      <formula>"neutral"</formula>
    </cfRule>
    <cfRule type="cellIs" dxfId="424" priority="99" operator="equal">
      <formula>"rogue"</formula>
    </cfRule>
    <cfRule type="cellIs" dxfId="423" priority="100" operator="equal">
      <formula>"Guardian"</formula>
    </cfRule>
    <cfRule type="cellIs" dxfId="422" priority="101" operator="equal">
      <formula>"Survivor"</formula>
    </cfRule>
    <cfRule type="cellIs" dxfId="421" priority="102" operator="equal">
      <formula>"Mystic"</formula>
    </cfRule>
  </conditionalFormatting>
  <conditionalFormatting sqref="AL509">
    <cfRule type="cellIs" dxfId="420" priority="91" operator="equal">
      <formula>"Seeker"</formula>
    </cfRule>
    <cfRule type="cellIs" dxfId="419" priority="92" operator="equal">
      <formula>"Neutral"</formula>
    </cfRule>
    <cfRule type="cellIs" dxfId="418" priority="93" operator="equal">
      <formula>"Rogue"</formula>
    </cfRule>
    <cfRule type="cellIs" dxfId="417" priority="94" operator="equal">
      <formula>"Guardian"</formula>
    </cfRule>
    <cfRule type="cellIs" dxfId="416" priority="95" operator="equal">
      <formula>"Survivor"</formula>
    </cfRule>
    <cfRule type="cellIs" dxfId="415" priority="96" operator="equal">
      <formula>"Mystic"</formula>
    </cfRule>
  </conditionalFormatting>
  <conditionalFormatting sqref="AL510">
    <cfRule type="cellIs" dxfId="414" priority="85" operator="equal">
      <formula>"Seeker"</formula>
    </cfRule>
    <cfRule type="cellIs" dxfId="413" priority="86" operator="equal">
      <formula>"Neutral"</formula>
    </cfRule>
    <cfRule type="cellIs" dxfId="412" priority="87" operator="equal">
      <formula>"Rogue"</formula>
    </cfRule>
    <cfRule type="cellIs" dxfId="411" priority="88" operator="equal">
      <formula>"Guardian"</formula>
    </cfRule>
    <cfRule type="cellIs" dxfId="410" priority="89" operator="equal">
      <formula>"Survivor"</formula>
    </cfRule>
    <cfRule type="cellIs" dxfId="409" priority="90" operator="equal">
      <formula>"Mystic"</formula>
    </cfRule>
  </conditionalFormatting>
  <conditionalFormatting sqref="AL511">
    <cfRule type="cellIs" dxfId="408" priority="79" operator="equal">
      <formula>"Seeker"</formula>
    </cfRule>
    <cfRule type="cellIs" dxfId="407" priority="80" operator="equal">
      <formula>"Neutral"</formula>
    </cfRule>
    <cfRule type="cellIs" dxfId="406" priority="81" operator="equal">
      <formula>"Rogue"</formula>
    </cfRule>
    <cfRule type="cellIs" dxfId="405" priority="82" operator="equal">
      <formula>"Guardian"</formula>
    </cfRule>
    <cfRule type="cellIs" dxfId="404" priority="83" operator="equal">
      <formula>"Survivor"</formula>
    </cfRule>
    <cfRule type="cellIs" dxfId="403" priority="84" operator="equal">
      <formula>"Mystic"</formula>
    </cfRule>
  </conditionalFormatting>
  <conditionalFormatting sqref="AL512">
    <cfRule type="cellIs" dxfId="402" priority="73" operator="equal">
      <formula>"Seeker"</formula>
    </cfRule>
    <cfRule type="cellIs" dxfId="401" priority="74" operator="equal">
      <formula>"Neutral"</formula>
    </cfRule>
    <cfRule type="cellIs" dxfId="400" priority="75" operator="equal">
      <formula>"Rogue"</formula>
    </cfRule>
    <cfRule type="cellIs" dxfId="399" priority="76" operator="equal">
      <formula>"Guardian"</formula>
    </cfRule>
    <cfRule type="cellIs" dxfId="398" priority="77" operator="equal">
      <formula>"Survivor"</formula>
    </cfRule>
    <cfRule type="cellIs" dxfId="397" priority="78" operator="equal">
      <formula>"Mystic"</formula>
    </cfRule>
  </conditionalFormatting>
  <conditionalFormatting sqref="AL508 AL513:AL542">
    <cfRule type="cellIs" dxfId="396" priority="67" operator="equal">
      <formula>"Seeker"</formula>
    </cfRule>
    <cfRule type="cellIs" dxfId="395" priority="68" operator="equal">
      <formula>"Neutral"</formula>
    </cfRule>
    <cfRule type="cellIs" dxfId="394" priority="69" operator="equal">
      <formula>"Rogue"</formula>
    </cfRule>
    <cfRule type="cellIs" dxfId="393" priority="70" operator="equal">
      <formula>"Guardian"</formula>
    </cfRule>
    <cfRule type="cellIs" dxfId="392" priority="71" operator="equal">
      <formula>"Survivor"</formula>
    </cfRule>
    <cfRule type="cellIs" dxfId="391" priority="72" operator="equal">
      <formula>"Mystic"</formula>
    </cfRule>
  </conditionalFormatting>
  <conditionalFormatting sqref="K508:K542">
    <cfRule type="cellIs" dxfId="390" priority="61" operator="equal">
      <formula>"seeker"</formula>
    </cfRule>
    <cfRule type="cellIs" dxfId="389" priority="62" operator="equal">
      <formula>"neutral"</formula>
    </cfRule>
    <cfRule type="cellIs" dxfId="388" priority="63" operator="equal">
      <formula>"rogue"</formula>
    </cfRule>
    <cfRule type="cellIs" dxfId="387" priority="64" operator="equal">
      <formula>"Guardian"</formula>
    </cfRule>
    <cfRule type="cellIs" dxfId="386" priority="65" operator="equal">
      <formula>"Survivor"</formula>
    </cfRule>
    <cfRule type="cellIs" dxfId="385" priority="66" operator="equal">
      <formula>"Mystic"</formula>
    </cfRule>
  </conditionalFormatting>
  <conditionalFormatting sqref="AL509">
    <cfRule type="cellIs" dxfId="384" priority="55" operator="equal">
      <formula>"Seeker"</formula>
    </cfRule>
    <cfRule type="cellIs" dxfId="383" priority="56" operator="equal">
      <formula>"Neutral"</formula>
    </cfRule>
    <cfRule type="cellIs" dxfId="382" priority="57" operator="equal">
      <formula>"Rogue"</formula>
    </cfRule>
    <cfRule type="cellIs" dxfId="381" priority="58" operator="equal">
      <formula>"Guardian"</formula>
    </cfRule>
    <cfRule type="cellIs" dxfId="380" priority="59" operator="equal">
      <formula>"Survivor"</formula>
    </cfRule>
    <cfRule type="cellIs" dxfId="379" priority="60" operator="equal">
      <formula>"Mystic"</formula>
    </cfRule>
  </conditionalFormatting>
  <conditionalFormatting sqref="AL510">
    <cfRule type="cellIs" dxfId="378" priority="49" operator="equal">
      <formula>"Seeker"</formula>
    </cfRule>
    <cfRule type="cellIs" dxfId="377" priority="50" operator="equal">
      <formula>"Neutral"</formula>
    </cfRule>
    <cfRule type="cellIs" dxfId="376" priority="51" operator="equal">
      <formula>"Rogue"</formula>
    </cfRule>
    <cfRule type="cellIs" dxfId="375" priority="52" operator="equal">
      <formula>"Guardian"</formula>
    </cfRule>
    <cfRule type="cellIs" dxfId="374" priority="53" operator="equal">
      <formula>"Survivor"</formula>
    </cfRule>
    <cfRule type="cellIs" dxfId="373" priority="54" operator="equal">
      <formula>"Mystic"</formula>
    </cfRule>
  </conditionalFormatting>
  <conditionalFormatting sqref="AL511">
    <cfRule type="cellIs" dxfId="372" priority="43" operator="equal">
      <formula>"Seeker"</formula>
    </cfRule>
    <cfRule type="cellIs" dxfId="371" priority="44" operator="equal">
      <formula>"Neutral"</formula>
    </cfRule>
    <cfRule type="cellIs" dxfId="370" priority="45" operator="equal">
      <formula>"Rogue"</formula>
    </cfRule>
    <cfRule type="cellIs" dxfId="369" priority="46" operator="equal">
      <formula>"Guardian"</formula>
    </cfRule>
    <cfRule type="cellIs" dxfId="368" priority="47" operator="equal">
      <formula>"Survivor"</formula>
    </cfRule>
    <cfRule type="cellIs" dxfId="367" priority="48" operator="equal">
      <formula>"Mystic"</formula>
    </cfRule>
  </conditionalFormatting>
  <conditionalFormatting sqref="AL512">
    <cfRule type="cellIs" dxfId="366" priority="37" operator="equal">
      <formula>"Seeker"</formula>
    </cfRule>
    <cfRule type="cellIs" dxfId="365" priority="38" operator="equal">
      <formula>"Neutral"</formula>
    </cfRule>
    <cfRule type="cellIs" dxfId="364" priority="39" operator="equal">
      <formula>"Rogue"</formula>
    </cfRule>
    <cfRule type="cellIs" dxfId="363" priority="40" operator="equal">
      <formula>"Guardian"</formula>
    </cfRule>
    <cfRule type="cellIs" dxfId="362" priority="41" operator="equal">
      <formula>"Survivor"</formula>
    </cfRule>
    <cfRule type="cellIs" dxfId="361" priority="42" operator="equal">
      <formula>"Mystic"</formula>
    </cfRule>
  </conditionalFormatting>
  <conditionalFormatting sqref="AL543 AL548:AL581">
    <cfRule type="cellIs" dxfId="360" priority="31" operator="equal">
      <formula>"Seeker"</formula>
    </cfRule>
    <cfRule type="cellIs" dxfId="359" priority="32" operator="equal">
      <formula>"Neutral"</formula>
    </cfRule>
    <cfRule type="cellIs" dxfId="358" priority="33" operator="equal">
      <formula>"Rogue"</formula>
    </cfRule>
    <cfRule type="cellIs" dxfId="357" priority="34" operator="equal">
      <formula>"Guardian"</formula>
    </cfRule>
    <cfRule type="cellIs" dxfId="356" priority="35" operator="equal">
      <formula>"Survivor"</formula>
    </cfRule>
    <cfRule type="cellIs" dxfId="355" priority="36" operator="equal">
      <formula>"Mystic"</formula>
    </cfRule>
  </conditionalFormatting>
  <conditionalFormatting sqref="K543:K581">
    <cfRule type="cellIs" dxfId="354" priority="25" operator="equal">
      <formula>"seeker"</formula>
    </cfRule>
    <cfRule type="cellIs" dxfId="353" priority="26" operator="equal">
      <formula>"neutral"</formula>
    </cfRule>
    <cfRule type="cellIs" dxfId="352" priority="27" operator="equal">
      <formula>"rogue"</formula>
    </cfRule>
    <cfRule type="cellIs" dxfId="351" priority="28" operator="equal">
      <formula>"Guardian"</formula>
    </cfRule>
    <cfRule type="cellIs" dxfId="350" priority="29" operator="equal">
      <formula>"Survivor"</formula>
    </cfRule>
    <cfRule type="cellIs" dxfId="349" priority="30" operator="equal">
      <formula>"Mystic"</formula>
    </cfRule>
  </conditionalFormatting>
  <conditionalFormatting sqref="AL544">
    <cfRule type="cellIs" dxfId="348" priority="19" operator="equal">
      <formula>"Seeker"</formula>
    </cfRule>
    <cfRule type="cellIs" dxfId="347" priority="20" operator="equal">
      <formula>"Neutral"</formula>
    </cfRule>
    <cfRule type="cellIs" dxfId="346" priority="21" operator="equal">
      <formula>"Rogue"</formula>
    </cfRule>
    <cfRule type="cellIs" dxfId="345" priority="22" operator="equal">
      <formula>"Guardian"</formula>
    </cfRule>
    <cfRule type="cellIs" dxfId="344" priority="23" operator="equal">
      <formula>"Survivor"</formula>
    </cfRule>
    <cfRule type="cellIs" dxfId="343" priority="24" operator="equal">
      <formula>"Mystic"</formula>
    </cfRule>
  </conditionalFormatting>
  <conditionalFormatting sqref="AL545">
    <cfRule type="cellIs" dxfId="342" priority="13" operator="equal">
      <formula>"Seeker"</formula>
    </cfRule>
    <cfRule type="cellIs" dxfId="341" priority="14" operator="equal">
      <formula>"Neutral"</formula>
    </cfRule>
    <cfRule type="cellIs" dxfId="340" priority="15" operator="equal">
      <formula>"Rogue"</formula>
    </cfRule>
    <cfRule type="cellIs" dxfId="339" priority="16" operator="equal">
      <formula>"Guardian"</formula>
    </cfRule>
    <cfRule type="cellIs" dxfId="338" priority="17" operator="equal">
      <formula>"Survivor"</formula>
    </cfRule>
    <cfRule type="cellIs" dxfId="337" priority="18" operator="equal">
      <formula>"Mystic"</formula>
    </cfRule>
  </conditionalFormatting>
  <conditionalFormatting sqref="AL546">
    <cfRule type="cellIs" dxfId="336" priority="7" operator="equal">
      <formula>"Seeker"</formula>
    </cfRule>
    <cfRule type="cellIs" dxfId="335" priority="8" operator="equal">
      <formula>"Neutral"</formula>
    </cfRule>
    <cfRule type="cellIs" dxfId="334" priority="9" operator="equal">
      <formula>"Rogue"</formula>
    </cfRule>
    <cfRule type="cellIs" dxfId="333" priority="10" operator="equal">
      <formula>"Guardian"</formula>
    </cfRule>
    <cfRule type="cellIs" dxfId="332" priority="11" operator="equal">
      <formula>"Survivor"</formula>
    </cfRule>
    <cfRule type="cellIs" dxfId="331" priority="12" operator="equal">
      <formula>"Mystic"</formula>
    </cfRule>
  </conditionalFormatting>
  <conditionalFormatting sqref="AL547">
    <cfRule type="cellIs" dxfId="330" priority="1" operator="equal">
      <formula>"Seeker"</formula>
    </cfRule>
    <cfRule type="cellIs" dxfId="329" priority="2" operator="equal">
      <formula>"Neutral"</formula>
    </cfRule>
    <cfRule type="cellIs" dxfId="328" priority="3" operator="equal">
      <formula>"Rogue"</formula>
    </cfRule>
    <cfRule type="cellIs" dxfId="327" priority="4" operator="equal">
      <formula>"Guardian"</formula>
    </cfRule>
    <cfRule type="cellIs" dxfId="326" priority="5" operator="equal">
      <formula>"Survivor"</formula>
    </cfRule>
    <cfRule type="cellIs" dxfId="325"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sheetPr codeName="Sheet7"/>
  <dimension ref="A1:BP1023"/>
  <sheetViews>
    <sheetView zoomScaleNormal="100" workbookViewId="0">
      <pane xSplit="7" ySplit="1" topLeftCell="BC23" activePane="bottomRight" state="frozen"/>
      <selection activeCell="E1" sqref="E1"/>
      <selection pane="topRight" activeCell="F1" sqref="F1"/>
      <selection pane="bottomLeft" activeCell="E2" sqref="E2"/>
      <selection pane="bottomRight" activeCell="A2" sqref="A2:BI40"/>
    </sheetView>
  </sheetViews>
  <sheetFormatPr baseColWidth="10"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71.1406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63.140625" style="36" customWidth="1"/>
    <col min="60" max="60" width="61.140625" style="36" customWidth="1"/>
    <col min="61" max="61" width="7.5703125" style="36" customWidth="1"/>
    <col min="62" max="62" width="13.28515625" style="36" bestFit="1" customWidth="1"/>
    <col min="63" max="16384" width="9.140625" style="36"/>
  </cols>
  <sheetData>
    <row r="1" spans="1:62" s="57" customFormat="1" ht="67.5">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24">
      <c r="A2" s="40" t="s">
        <v>6201</v>
      </c>
      <c r="B2" s="40" t="s">
        <v>6202</v>
      </c>
      <c r="C2" s="39"/>
      <c r="D2" s="40">
        <v>260</v>
      </c>
      <c r="E2" s="40">
        <v>2</v>
      </c>
      <c r="F2" s="40"/>
      <c r="G2" s="40" t="s">
        <v>6047</v>
      </c>
      <c r="H2" s="44"/>
      <c r="I2" s="37"/>
      <c r="J2" s="37" t="s">
        <v>4166</v>
      </c>
      <c r="K2" s="37" t="s">
        <v>4052</v>
      </c>
      <c r="L2" s="37">
        <v>0</v>
      </c>
      <c r="M2" s="37"/>
      <c r="R2" s="154"/>
      <c r="S2" s="152">
        <v>1</v>
      </c>
      <c r="T2" s="156"/>
      <c r="AB2" s="153" t="s">
        <v>4062</v>
      </c>
      <c r="AC2" s="37"/>
      <c r="AD2" s="37" t="s">
        <v>4167</v>
      </c>
      <c r="AF2" s="37" t="s">
        <v>6273</v>
      </c>
      <c r="AG2" s="37"/>
      <c r="AI2" s="44"/>
      <c r="AJ2" s="41"/>
      <c r="AO2" s="37"/>
      <c r="AT2" s="154"/>
      <c r="BE2" s="37"/>
      <c r="BF2" s="36"/>
      <c r="BG2" s="37"/>
      <c r="BH2" s="37"/>
    </row>
    <row r="3" spans="1:62" ht="36">
      <c r="A3" s="37" t="s">
        <v>6201</v>
      </c>
      <c r="B3" s="37" t="s">
        <v>6203</v>
      </c>
      <c r="D3" s="37">
        <v>261</v>
      </c>
      <c r="E3" s="37">
        <v>2</v>
      </c>
      <c r="F3" s="37"/>
      <c r="G3" s="37" t="s">
        <v>6048</v>
      </c>
      <c r="H3" s="37"/>
      <c r="I3" s="37"/>
      <c r="J3" s="37" t="s">
        <v>27</v>
      </c>
      <c r="K3" s="37" t="s">
        <v>4052</v>
      </c>
      <c r="L3" s="37">
        <v>4</v>
      </c>
      <c r="M3" s="37"/>
      <c r="N3" s="75">
        <v>0</v>
      </c>
      <c r="O3" s="76">
        <v>2</v>
      </c>
      <c r="R3" s="154">
        <v>1</v>
      </c>
      <c r="S3" s="152"/>
      <c r="T3" s="156"/>
      <c r="AB3" s="153" t="s">
        <v>6205</v>
      </c>
      <c r="AC3" s="37"/>
      <c r="AD3" s="37" t="s">
        <v>5660</v>
      </c>
      <c r="AF3" s="37" t="s">
        <v>6204</v>
      </c>
      <c r="AG3" s="37"/>
      <c r="AI3" s="37"/>
      <c r="AO3" s="37"/>
      <c r="AT3" s="154"/>
      <c r="BE3" s="37"/>
      <c r="BF3" s="36"/>
      <c r="BG3" s="37"/>
      <c r="BH3" s="37"/>
    </row>
    <row r="4" spans="1:62" ht="72">
      <c r="A4" s="37" t="s">
        <v>6201</v>
      </c>
      <c r="B4" s="37" t="s">
        <v>6206</v>
      </c>
      <c r="D4" s="37">
        <v>262</v>
      </c>
      <c r="E4" s="37">
        <v>2</v>
      </c>
      <c r="F4" s="37"/>
      <c r="G4" s="37" t="s">
        <v>5250</v>
      </c>
      <c r="H4" s="37" t="s">
        <v>6049</v>
      </c>
      <c r="I4" s="37"/>
      <c r="J4" s="37" t="s">
        <v>4111</v>
      </c>
      <c r="K4" s="37" t="s">
        <v>4053</v>
      </c>
      <c r="L4" s="37">
        <v>4</v>
      </c>
      <c r="M4" s="37"/>
      <c r="N4" s="75">
        <v>1</v>
      </c>
      <c r="O4" s="76">
        <v>2</v>
      </c>
      <c r="R4" s="154"/>
      <c r="S4" s="152"/>
      <c r="T4" s="156"/>
      <c r="AB4" s="153" t="s">
        <v>4948</v>
      </c>
      <c r="AC4" s="37"/>
      <c r="AD4" s="37" t="s">
        <v>5252</v>
      </c>
      <c r="AF4" s="37" t="s">
        <v>6267</v>
      </c>
      <c r="AG4" s="37"/>
      <c r="AI4" s="37"/>
      <c r="AO4" s="37"/>
      <c r="AT4" s="154"/>
      <c r="BE4" s="37"/>
      <c r="BF4" s="36"/>
      <c r="BG4" s="37"/>
      <c r="BH4" s="37"/>
    </row>
    <row r="5" spans="1:62" ht="72">
      <c r="A5" s="37" t="s">
        <v>6201</v>
      </c>
      <c r="B5" s="37" t="s">
        <v>6207</v>
      </c>
      <c r="D5" s="37">
        <v>263</v>
      </c>
      <c r="E5" s="37">
        <v>2</v>
      </c>
      <c r="F5" s="37"/>
      <c r="G5" s="37" t="s">
        <v>5250</v>
      </c>
      <c r="H5" s="37" t="s">
        <v>6050</v>
      </c>
      <c r="I5" s="37"/>
      <c r="J5" s="37" t="s">
        <v>4111</v>
      </c>
      <c r="K5" s="37" t="s">
        <v>4053</v>
      </c>
      <c r="L5" s="37">
        <v>4</v>
      </c>
      <c r="M5" s="37"/>
      <c r="N5" s="75">
        <v>1</v>
      </c>
      <c r="Q5" s="78">
        <v>2</v>
      </c>
      <c r="R5" s="154"/>
      <c r="S5" s="152"/>
      <c r="T5" s="156"/>
      <c r="AB5" s="153"/>
      <c r="AC5" s="37"/>
      <c r="AD5" s="37" t="s">
        <v>5252</v>
      </c>
      <c r="AF5" s="37" t="s">
        <v>6269</v>
      </c>
      <c r="AG5" s="37"/>
      <c r="AI5" s="37"/>
      <c r="AO5" s="37"/>
      <c r="AT5" s="154"/>
      <c r="BE5" s="37"/>
      <c r="BF5" s="36"/>
      <c r="BG5" s="37"/>
      <c r="BH5" s="37"/>
    </row>
    <row r="6" spans="1:62" ht="60">
      <c r="A6" s="37" t="s">
        <v>6201</v>
      </c>
      <c r="B6" s="37" t="s">
        <v>6208</v>
      </c>
      <c r="D6" s="37">
        <v>264</v>
      </c>
      <c r="E6" s="37">
        <v>2</v>
      </c>
      <c r="F6" s="37"/>
      <c r="G6" s="37" t="s">
        <v>5250</v>
      </c>
      <c r="H6" s="37" t="s">
        <v>6051</v>
      </c>
      <c r="I6" s="37"/>
      <c r="J6" s="37" t="s">
        <v>4111</v>
      </c>
      <c r="K6" s="37" t="s">
        <v>4053</v>
      </c>
      <c r="L6" s="37">
        <v>4</v>
      </c>
      <c r="M6" s="37"/>
      <c r="N6" s="75">
        <v>1</v>
      </c>
      <c r="R6" s="154">
        <v>2</v>
      </c>
      <c r="S6" s="152"/>
      <c r="T6" s="156"/>
      <c r="AB6" s="153" t="s">
        <v>4949</v>
      </c>
      <c r="AC6" s="37"/>
      <c r="AD6" s="37" t="s">
        <v>5252</v>
      </c>
      <c r="AE6" s="36"/>
      <c r="AF6" s="37" t="s">
        <v>6270</v>
      </c>
      <c r="AG6" s="37"/>
      <c r="AI6" s="37"/>
      <c r="AO6" s="37"/>
      <c r="AP6" s="86"/>
      <c r="AT6" s="154"/>
      <c r="BE6" s="37"/>
      <c r="BF6" s="36"/>
      <c r="BG6" s="37"/>
      <c r="BH6" s="37"/>
    </row>
    <row r="7" spans="1:62" ht="36">
      <c r="A7" s="37" t="s">
        <v>6201</v>
      </c>
      <c r="B7" s="43" t="s">
        <v>6209</v>
      </c>
      <c r="D7" s="37">
        <v>265</v>
      </c>
      <c r="E7" s="37">
        <v>2</v>
      </c>
      <c r="F7" s="37"/>
      <c r="G7" s="37" t="s">
        <v>6052</v>
      </c>
      <c r="H7" s="37" t="s">
        <v>6053</v>
      </c>
      <c r="I7" s="37" t="s">
        <v>4077</v>
      </c>
      <c r="J7" s="37" t="s">
        <v>4111</v>
      </c>
      <c r="K7" s="37" t="s">
        <v>4055</v>
      </c>
      <c r="L7" s="37">
        <v>0</v>
      </c>
      <c r="M7" s="37"/>
      <c r="N7" s="75">
        <v>4</v>
      </c>
      <c r="P7" s="77">
        <v>1</v>
      </c>
      <c r="R7" s="154">
        <v>1</v>
      </c>
      <c r="S7" s="152"/>
      <c r="T7" s="156">
        <v>3</v>
      </c>
      <c r="U7" s="76">
        <v>2</v>
      </c>
      <c r="AB7" s="155" t="s">
        <v>4943</v>
      </c>
      <c r="AC7" s="37"/>
      <c r="AD7" s="37" t="s">
        <v>4216</v>
      </c>
      <c r="AE7" s="36"/>
      <c r="AF7" s="37" t="s">
        <v>6261</v>
      </c>
      <c r="AG7" s="37" t="s">
        <v>6210</v>
      </c>
      <c r="AO7" s="37"/>
      <c r="AP7" s="86"/>
      <c r="BE7" s="37"/>
      <c r="BF7" s="36"/>
    </row>
    <row r="8" spans="1:62" ht="24">
      <c r="A8" s="37" t="s">
        <v>6201</v>
      </c>
      <c r="B8" s="37" t="s">
        <v>6211</v>
      </c>
      <c r="D8" s="37">
        <v>266</v>
      </c>
      <c r="E8" s="37">
        <v>2</v>
      </c>
      <c r="F8" s="37"/>
      <c r="G8" s="37" t="s">
        <v>6054</v>
      </c>
      <c r="H8" s="37"/>
      <c r="I8" s="37"/>
      <c r="J8" s="37" t="s">
        <v>27</v>
      </c>
      <c r="K8" s="37" t="s">
        <v>4055</v>
      </c>
      <c r="L8" s="37">
        <v>3</v>
      </c>
      <c r="M8" s="37"/>
      <c r="N8" s="75">
        <v>0</v>
      </c>
      <c r="R8" s="154"/>
      <c r="S8" s="152"/>
      <c r="T8" s="156"/>
      <c r="AB8" s="153"/>
      <c r="AC8" s="37"/>
      <c r="AD8" s="37" t="s">
        <v>5266</v>
      </c>
      <c r="AE8" s="36"/>
      <c r="AF8" s="37" t="s">
        <v>6212</v>
      </c>
      <c r="AG8" s="37"/>
      <c r="AO8" s="37"/>
      <c r="AP8" s="86"/>
      <c r="BE8" s="37"/>
      <c r="BF8" s="36"/>
    </row>
    <row r="9" spans="1:62" ht="24">
      <c r="A9" s="37" t="s">
        <v>6201</v>
      </c>
      <c r="B9" s="37" t="s">
        <v>6213</v>
      </c>
      <c r="D9" s="37">
        <v>267</v>
      </c>
      <c r="E9" s="37">
        <v>2</v>
      </c>
      <c r="F9" s="37"/>
      <c r="G9" s="37" t="s">
        <v>6055</v>
      </c>
      <c r="H9" s="37"/>
      <c r="I9" s="37"/>
      <c r="J9" s="37" t="s">
        <v>27</v>
      </c>
      <c r="K9" s="37" t="s">
        <v>4054</v>
      </c>
      <c r="L9" s="37">
        <v>0</v>
      </c>
      <c r="M9" s="37"/>
      <c r="N9" s="75">
        <v>0</v>
      </c>
      <c r="P9" s="77">
        <v>1</v>
      </c>
      <c r="R9" s="154">
        <v>1</v>
      </c>
      <c r="S9" s="152"/>
      <c r="T9" s="156"/>
      <c r="AB9" s="155" t="s">
        <v>4943</v>
      </c>
      <c r="AC9" s="37"/>
      <c r="AD9" s="37" t="s">
        <v>6056</v>
      </c>
      <c r="AE9" s="36"/>
      <c r="AF9" s="37" t="s">
        <v>6214</v>
      </c>
      <c r="AG9" s="37"/>
      <c r="AO9" s="37"/>
      <c r="AP9" s="86"/>
      <c r="BE9" s="37"/>
      <c r="BF9" s="36"/>
    </row>
    <row r="10" spans="1:62" ht="24">
      <c r="A10" s="37" t="s">
        <v>6201</v>
      </c>
      <c r="B10" s="43" t="s">
        <v>6215</v>
      </c>
      <c r="D10" s="37">
        <v>268</v>
      </c>
      <c r="E10" s="37">
        <v>2</v>
      </c>
      <c r="F10" s="37"/>
      <c r="G10" s="37" t="s">
        <v>4532</v>
      </c>
      <c r="H10" s="37"/>
      <c r="I10" s="37"/>
      <c r="J10" s="37" t="s">
        <v>4166</v>
      </c>
      <c r="K10" s="37" t="s">
        <v>4054</v>
      </c>
      <c r="L10" s="37">
        <v>2</v>
      </c>
      <c r="M10" s="37"/>
      <c r="N10" s="157"/>
      <c r="O10" s="76">
        <v>2</v>
      </c>
      <c r="R10" s="154"/>
      <c r="S10" s="152"/>
      <c r="T10" s="156"/>
      <c r="AB10" s="153" t="s">
        <v>4948</v>
      </c>
      <c r="AC10" s="37"/>
      <c r="AD10" s="37" t="s">
        <v>5985</v>
      </c>
      <c r="AE10" s="36"/>
      <c r="AF10" s="37" t="s">
        <v>6216</v>
      </c>
      <c r="AG10" s="37" t="s">
        <v>6134</v>
      </c>
      <c r="AO10" s="37"/>
      <c r="AP10" s="86"/>
      <c r="BE10" s="37"/>
      <c r="BF10" s="36"/>
    </row>
    <row r="11" spans="1:62" ht="36">
      <c r="A11" s="37" t="s">
        <v>6201</v>
      </c>
      <c r="B11" s="37" t="s">
        <v>6217</v>
      </c>
      <c r="D11" s="37">
        <v>269</v>
      </c>
      <c r="E11" s="37">
        <v>2</v>
      </c>
      <c r="F11" s="37"/>
      <c r="G11" s="37" t="s">
        <v>6057</v>
      </c>
      <c r="H11" s="37" t="s">
        <v>6058</v>
      </c>
      <c r="I11" s="37" t="s">
        <v>4077</v>
      </c>
      <c r="J11" s="37" t="s">
        <v>4111</v>
      </c>
      <c r="K11" s="37" t="s">
        <v>4054</v>
      </c>
      <c r="L11" s="37">
        <v>3</v>
      </c>
      <c r="M11" s="37"/>
      <c r="N11" s="75">
        <v>3</v>
      </c>
      <c r="R11" s="154"/>
      <c r="S11" s="152">
        <v>1</v>
      </c>
      <c r="T11" s="156"/>
      <c r="AB11" s="155" t="s">
        <v>4062</v>
      </c>
      <c r="AC11" s="37" t="s">
        <v>4129</v>
      </c>
      <c r="AD11" s="37" t="s">
        <v>4130</v>
      </c>
      <c r="AE11" s="36"/>
      <c r="AF11" s="37" t="s">
        <v>6271</v>
      </c>
      <c r="AG11" s="37"/>
      <c r="AO11" s="37"/>
      <c r="AP11" s="86"/>
      <c r="BE11" s="37"/>
      <c r="BF11" s="36"/>
    </row>
    <row r="12" spans="1:62" ht="36">
      <c r="A12" s="37" t="s">
        <v>6201</v>
      </c>
      <c r="B12" s="37" t="s">
        <v>6218</v>
      </c>
      <c r="D12" s="37">
        <v>270</v>
      </c>
      <c r="E12" s="37">
        <v>2</v>
      </c>
      <c r="F12" s="37"/>
      <c r="G12" s="37" t="s">
        <v>6059</v>
      </c>
      <c r="H12" s="37"/>
      <c r="I12" s="37"/>
      <c r="J12" s="37" t="s">
        <v>27</v>
      </c>
      <c r="K12" s="37" t="s">
        <v>4056</v>
      </c>
      <c r="L12" s="37">
        <v>0</v>
      </c>
      <c r="M12" s="37"/>
      <c r="N12" s="75">
        <v>1</v>
      </c>
      <c r="O12" s="76">
        <v>1</v>
      </c>
      <c r="P12" s="77">
        <v>1</v>
      </c>
      <c r="R12" s="154"/>
      <c r="S12" s="152"/>
      <c r="T12" s="156"/>
      <c r="AB12" s="153" t="s">
        <v>4946</v>
      </c>
      <c r="AC12" s="37"/>
      <c r="AD12" s="37" t="s">
        <v>4226</v>
      </c>
      <c r="AE12" s="36"/>
      <c r="AF12" s="37" t="s">
        <v>6262</v>
      </c>
      <c r="AG12" s="37"/>
      <c r="AO12" s="37"/>
      <c r="AP12" s="86"/>
      <c r="BE12" s="37"/>
      <c r="BF12" s="36"/>
    </row>
    <row r="13" spans="1:62" ht="48">
      <c r="A13" s="37" t="s">
        <v>6201</v>
      </c>
      <c r="B13" s="37" t="s">
        <v>6219</v>
      </c>
      <c r="D13" s="37">
        <v>271</v>
      </c>
      <c r="E13" s="37">
        <v>2</v>
      </c>
      <c r="F13" s="37"/>
      <c r="G13" s="37" t="s">
        <v>6060</v>
      </c>
      <c r="H13" s="37"/>
      <c r="I13" s="37"/>
      <c r="J13" s="37" t="s">
        <v>4166</v>
      </c>
      <c r="K13" s="37" t="s">
        <v>4056</v>
      </c>
      <c r="L13" s="37">
        <v>2</v>
      </c>
      <c r="M13" s="37"/>
      <c r="R13" s="154"/>
      <c r="S13" s="152">
        <v>1</v>
      </c>
      <c r="T13" s="156"/>
      <c r="AB13" s="155" t="s">
        <v>4062</v>
      </c>
      <c r="AC13" s="37"/>
      <c r="AD13" s="37" t="s">
        <v>6061</v>
      </c>
      <c r="AE13" s="36"/>
      <c r="AF13" s="37" t="s">
        <v>6272</v>
      </c>
      <c r="AG13" s="37"/>
      <c r="AI13" s="37"/>
      <c r="AJ13" s="37"/>
      <c r="AL13" s="37"/>
      <c r="AO13" s="37"/>
      <c r="AP13" s="86"/>
      <c r="BE13" s="37"/>
      <c r="BF13" s="36"/>
      <c r="BG13" s="37"/>
    </row>
    <row r="14" spans="1:62" ht="24">
      <c r="A14" s="37" t="s">
        <v>6201</v>
      </c>
      <c r="B14" s="37" t="s">
        <v>6220</v>
      </c>
      <c r="D14" s="37">
        <v>272</v>
      </c>
      <c r="E14" s="37">
        <v>2</v>
      </c>
      <c r="F14" s="37"/>
      <c r="G14" s="37" t="s">
        <v>6062</v>
      </c>
      <c r="H14" s="37"/>
      <c r="I14" s="37"/>
      <c r="J14" s="37" t="s">
        <v>4111</v>
      </c>
      <c r="K14" s="37" t="s">
        <v>26</v>
      </c>
      <c r="L14" s="37">
        <v>0</v>
      </c>
      <c r="M14" s="37"/>
      <c r="N14" s="75">
        <v>1</v>
      </c>
      <c r="R14" s="154">
        <v>1</v>
      </c>
      <c r="S14" s="152"/>
      <c r="T14" s="156">
        <v>1</v>
      </c>
      <c r="U14" s="76">
        <v>1</v>
      </c>
      <c r="Z14" s="156"/>
      <c r="AB14" s="153" t="s">
        <v>4061</v>
      </c>
      <c r="AC14" s="37" t="s">
        <v>4247</v>
      </c>
      <c r="AD14" s="37" t="s">
        <v>6063</v>
      </c>
      <c r="AE14" s="36"/>
      <c r="AF14" s="37" t="s">
        <v>6221</v>
      </c>
      <c r="AG14" s="37" t="s">
        <v>6222</v>
      </c>
      <c r="AI14" s="37"/>
      <c r="AL14" s="37"/>
      <c r="AN14" s="37"/>
      <c r="AO14" s="37"/>
      <c r="AP14" s="86"/>
      <c r="BE14" s="37"/>
      <c r="BF14" s="36"/>
      <c r="BG14" s="37"/>
      <c r="BH14" s="37"/>
    </row>
    <row r="15" spans="1:62" ht="24">
      <c r="A15" s="37" t="s">
        <v>6201</v>
      </c>
      <c r="B15" s="37" t="s">
        <v>6223</v>
      </c>
      <c r="D15" s="37">
        <v>273</v>
      </c>
      <c r="E15" s="37">
        <v>2</v>
      </c>
      <c r="F15" s="37"/>
      <c r="G15" s="37" t="s">
        <v>6064</v>
      </c>
      <c r="H15" s="37"/>
      <c r="I15" s="37"/>
      <c r="J15" s="37" t="s">
        <v>27</v>
      </c>
      <c r="K15" s="37" t="s">
        <v>26</v>
      </c>
      <c r="L15" s="37">
        <v>3</v>
      </c>
      <c r="M15" s="37"/>
      <c r="N15" s="75">
        <v>3</v>
      </c>
      <c r="O15" s="76">
        <v>2</v>
      </c>
      <c r="R15" s="154"/>
      <c r="S15" s="152"/>
      <c r="T15" s="156"/>
      <c r="Z15" s="156"/>
      <c r="AB15" s="155" t="s">
        <v>4948</v>
      </c>
      <c r="AC15" s="37"/>
      <c r="AD15" s="37" t="s">
        <v>5660</v>
      </c>
      <c r="AE15" s="36"/>
      <c r="AF15" s="37" t="s">
        <v>6224</v>
      </c>
      <c r="AG15" s="37"/>
      <c r="AI15" s="37"/>
      <c r="AL15" s="37"/>
      <c r="AN15" s="37"/>
      <c r="AO15" s="37"/>
      <c r="AP15" s="86"/>
      <c r="BE15" s="37"/>
      <c r="BF15" s="36"/>
      <c r="BG15" s="37"/>
      <c r="BH15" s="37"/>
    </row>
    <row r="16" spans="1:62" ht="84">
      <c r="A16" s="37" t="s">
        <v>6201</v>
      </c>
      <c r="B16" s="37" t="s">
        <v>6225</v>
      </c>
      <c r="D16" s="37">
        <v>274</v>
      </c>
      <c r="E16" s="37">
        <v>1</v>
      </c>
      <c r="F16" s="37" t="s">
        <v>6042</v>
      </c>
      <c r="G16" s="37" t="s">
        <v>6042</v>
      </c>
      <c r="H16" s="37" t="s">
        <v>6135</v>
      </c>
      <c r="I16" s="37"/>
      <c r="J16" s="37" t="s">
        <v>4472</v>
      </c>
      <c r="K16" s="37"/>
      <c r="L16" s="37"/>
      <c r="M16" s="37"/>
      <c r="N16" s="86"/>
      <c r="R16" s="154"/>
      <c r="S16" s="152"/>
      <c r="T16" s="156"/>
      <c r="Z16" s="156"/>
      <c r="AB16" s="153"/>
      <c r="AC16" s="37"/>
      <c r="AD16" s="37"/>
      <c r="AE16" s="36"/>
      <c r="AF16" s="37" t="s">
        <v>6065</v>
      </c>
      <c r="AG16" s="37"/>
      <c r="AI16" s="37" t="s">
        <v>6042</v>
      </c>
      <c r="AJ16" s="37" t="s">
        <v>6024</v>
      </c>
      <c r="AL16" s="37" t="s">
        <v>4472</v>
      </c>
      <c r="AN16" s="37"/>
      <c r="AO16" s="37"/>
      <c r="AP16" s="86"/>
      <c r="BE16" s="37"/>
      <c r="BF16" s="36"/>
      <c r="BG16" s="37" t="s">
        <v>6066</v>
      </c>
      <c r="BH16" s="37"/>
    </row>
    <row r="17" spans="1:60" ht="96">
      <c r="A17" s="37" t="s">
        <v>6201</v>
      </c>
      <c r="B17" s="37" t="s">
        <v>6226</v>
      </c>
      <c r="D17" s="37">
        <v>275</v>
      </c>
      <c r="E17" s="37">
        <v>1</v>
      </c>
      <c r="F17" s="37" t="s">
        <v>6042</v>
      </c>
      <c r="G17" s="37" t="s">
        <v>6067</v>
      </c>
      <c r="H17" s="37"/>
      <c r="I17" s="37"/>
      <c r="J17" s="37" t="s">
        <v>4473</v>
      </c>
      <c r="K17" s="37"/>
      <c r="L17" s="37"/>
      <c r="M17" s="37"/>
      <c r="R17" s="154"/>
      <c r="S17" s="152"/>
      <c r="T17" s="156"/>
      <c r="Y17" s="154"/>
      <c r="Z17" s="156">
        <v>12</v>
      </c>
      <c r="AB17" s="155"/>
      <c r="AC17" s="37"/>
      <c r="AD17" s="37"/>
      <c r="AE17" s="36"/>
      <c r="AF17" s="37"/>
      <c r="AG17" s="37" t="s">
        <v>6227</v>
      </c>
      <c r="AI17" s="37" t="s">
        <v>6068</v>
      </c>
      <c r="AL17" s="37" t="s">
        <v>4473</v>
      </c>
      <c r="AM17" s="37"/>
      <c r="AN17" s="37"/>
      <c r="AO17" s="37"/>
      <c r="AP17" s="86"/>
      <c r="BA17" s="156"/>
      <c r="BE17" s="37"/>
      <c r="BF17" s="36"/>
      <c r="BG17" s="37" t="s">
        <v>6069</v>
      </c>
      <c r="BH17" s="37" t="s">
        <v>6070</v>
      </c>
    </row>
    <row r="18" spans="1:60" ht="108">
      <c r="A18" s="37" t="s">
        <v>6201</v>
      </c>
      <c r="B18" s="37" t="s">
        <v>6228</v>
      </c>
      <c r="D18" s="37">
        <v>276</v>
      </c>
      <c r="E18" s="37">
        <v>1</v>
      </c>
      <c r="F18" s="37" t="s">
        <v>6042</v>
      </c>
      <c r="G18" s="37" t="s">
        <v>6071</v>
      </c>
      <c r="H18" s="37"/>
      <c r="I18" s="37"/>
      <c r="J18" s="37" t="s">
        <v>4473</v>
      </c>
      <c r="K18" s="37"/>
      <c r="L18" s="37"/>
      <c r="M18" s="37"/>
      <c r="R18" s="154"/>
      <c r="S18" s="152"/>
      <c r="T18" s="156"/>
      <c r="Y18" s="154"/>
      <c r="Z18" s="156">
        <v>10</v>
      </c>
      <c r="AB18" s="155"/>
      <c r="AC18" s="37"/>
      <c r="AD18" s="37"/>
      <c r="AE18" s="36"/>
      <c r="AF18" s="37"/>
      <c r="AG18" s="37" t="s">
        <v>6229</v>
      </c>
      <c r="AI18" s="37" t="s">
        <v>6072</v>
      </c>
      <c r="AL18" s="37" t="s">
        <v>4473</v>
      </c>
      <c r="AM18" s="37"/>
      <c r="AN18" s="37"/>
      <c r="AO18" s="37"/>
      <c r="AP18" s="86"/>
      <c r="BA18" s="156"/>
      <c r="BE18" s="37"/>
      <c r="BF18" s="36"/>
      <c r="BG18" s="37" t="s">
        <v>6073</v>
      </c>
      <c r="BH18" s="37" t="s">
        <v>6074</v>
      </c>
    </row>
    <row r="19" spans="1:60" ht="144">
      <c r="A19" s="37" t="s">
        <v>6201</v>
      </c>
      <c r="B19" s="37" t="s">
        <v>6230</v>
      </c>
      <c r="D19" s="37">
        <v>277</v>
      </c>
      <c r="E19" s="37">
        <v>1</v>
      </c>
      <c r="F19" s="37" t="s">
        <v>6042</v>
      </c>
      <c r="G19" s="37" t="s">
        <v>6075</v>
      </c>
      <c r="H19" s="37"/>
      <c r="I19" s="37"/>
      <c r="J19" s="37" t="s">
        <v>4475</v>
      </c>
      <c r="K19" s="37"/>
      <c r="L19" s="37"/>
      <c r="M19" s="37"/>
      <c r="R19" s="154"/>
      <c r="S19" s="152"/>
      <c r="T19" s="156"/>
      <c r="Y19" s="154" t="s">
        <v>4965</v>
      </c>
      <c r="AB19" s="155"/>
      <c r="AC19" s="37"/>
      <c r="AD19" s="37"/>
      <c r="AE19" s="36"/>
      <c r="AF19" s="37" t="s">
        <v>6076</v>
      </c>
      <c r="AG19" s="37" t="s">
        <v>6231</v>
      </c>
      <c r="AI19" s="37" t="s">
        <v>6077</v>
      </c>
      <c r="AJ19" s="37"/>
      <c r="AL19" s="37" t="s">
        <v>4475</v>
      </c>
      <c r="AM19" s="37"/>
      <c r="AN19" s="37"/>
      <c r="AO19" s="37"/>
      <c r="AP19" s="86"/>
      <c r="AZ19" s="154"/>
      <c r="BE19" s="37"/>
      <c r="BF19" s="36"/>
      <c r="BG19" s="37" t="s">
        <v>6232</v>
      </c>
      <c r="BH19" s="37" t="s">
        <v>6078</v>
      </c>
    </row>
    <row r="20" spans="1:60" ht="168">
      <c r="A20" s="37" t="s">
        <v>6201</v>
      </c>
      <c r="B20" s="37" t="s">
        <v>6233</v>
      </c>
      <c r="D20" s="37">
        <v>278</v>
      </c>
      <c r="E20" s="37">
        <v>1</v>
      </c>
      <c r="F20" s="37" t="s">
        <v>6042</v>
      </c>
      <c r="G20" s="37" t="s">
        <v>6079</v>
      </c>
      <c r="H20" s="37"/>
      <c r="I20" s="37"/>
      <c r="J20" s="37" t="s">
        <v>4475</v>
      </c>
      <c r="K20" s="37"/>
      <c r="L20" s="37"/>
      <c r="M20" s="37"/>
      <c r="R20" s="154"/>
      <c r="S20" s="152"/>
      <c r="T20" s="156"/>
      <c r="Y20" s="154" t="s">
        <v>6136</v>
      </c>
      <c r="AB20" s="155"/>
      <c r="AC20" s="37"/>
      <c r="AD20" s="37"/>
      <c r="AE20" s="36"/>
      <c r="AF20" s="37" t="s">
        <v>6080</v>
      </c>
      <c r="AG20" s="37" t="s">
        <v>6234</v>
      </c>
      <c r="AI20" s="37" t="s">
        <v>6081</v>
      </c>
      <c r="AJ20" s="37"/>
      <c r="AL20" s="37" t="s">
        <v>4475</v>
      </c>
      <c r="AM20" s="37"/>
      <c r="AN20" s="37"/>
      <c r="AO20" s="37"/>
      <c r="AP20" s="86"/>
      <c r="AZ20" s="154"/>
      <c r="BE20" s="37"/>
      <c r="BF20" s="36"/>
      <c r="BG20" s="37" t="s">
        <v>6235</v>
      </c>
      <c r="BH20" s="37" t="s">
        <v>6082</v>
      </c>
    </row>
    <row r="21" spans="1:60" ht="180">
      <c r="A21" s="37" t="s">
        <v>6201</v>
      </c>
      <c r="B21" s="37" t="s">
        <v>6236</v>
      </c>
      <c r="D21" s="37">
        <v>279</v>
      </c>
      <c r="E21" s="37">
        <v>1</v>
      </c>
      <c r="F21" s="37" t="s">
        <v>6042</v>
      </c>
      <c r="G21" s="37" t="s">
        <v>6083</v>
      </c>
      <c r="H21" s="37"/>
      <c r="I21" s="37"/>
      <c r="J21" s="37" t="s">
        <v>4475</v>
      </c>
      <c r="K21" s="37"/>
      <c r="L21" s="37"/>
      <c r="M21" s="37"/>
      <c r="R21" s="154"/>
      <c r="S21" s="152"/>
      <c r="T21" s="156"/>
      <c r="Y21" s="154" t="s">
        <v>6136</v>
      </c>
      <c r="AB21" s="155"/>
      <c r="AC21" s="37"/>
      <c r="AD21" s="37"/>
      <c r="AE21" s="36"/>
      <c r="AF21" s="37" t="s">
        <v>6080</v>
      </c>
      <c r="AG21" s="37" t="s">
        <v>6234</v>
      </c>
      <c r="AI21" s="37" t="s">
        <v>6084</v>
      </c>
      <c r="AJ21" s="37"/>
      <c r="AL21" s="37" t="s">
        <v>4475</v>
      </c>
      <c r="AM21" s="37"/>
      <c r="AN21" s="37"/>
      <c r="AO21" s="37"/>
      <c r="AP21" s="86"/>
      <c r="AZ21" s="154"/>
      <c r="BE21" s="37"/>
      <c r="BF21" s="36"/>
      <c r="BG21" s="37" t="s">
        <v>6237</v>
      </c>
      <c r="BH21" s="37" t="s">
        <v>6085</v>
      </c>
    </row>
    <row r="22" spans="1:60" ht="168">
      <c r="A22" s="37" t="s">
        <v>6201</v>
      </c>
      <c r="B22" s="37" t="s">
        <v>6238</v>
      </c>
      <c r="D22" s="37">
        <v>280</v>
      </c>
      <c r="E22" s="37">
        <v>1</v>
      </c>
      <c r="F22" s="37" t="s">
        <v>6042</v>
      </c>
      <c r="G22" s="37" t="s">
        <v>6086</v>
      </c>
      <c r="H22" s="37"/>
      <c r="I22" s="37"/>
      <c r="J22" s="37" t="s">
        <v>4475</v>
      </c>
      <c r="K22" s="37"/>
      <c r="L22" s="37"/>
      <c r="M22" s="37"/>
      <c r="R22" s="154"/>
      <c r="S22" s="152"/>
      <c r="T22" s="156"/>
      <c r="Y22" s="154" t="s">
        <v>6136</v>
      </c>
      <c r="AB22" s="155"/>
      <c r="AC22" s="37"/>
      <c r="AD22" s="37"/>
      <c r="AE22" s="36"/>
      <c r="AF22" s="37" t="s">
        <v>6080</v>
      </c>
      <c r="AG22" s="37" t="s">
        <v>6234</v>
      </c>
      <c r="AI22" s="37" t="s">
        <v>6087</v>
      </c>
      <c r="AJ22" s="37"/>
      <c r="AL22" s="37" t="s">
        <v>4475</v>
      </c>
      <c r="AM22" s="37"/>
      <c r="AN22" s="37"/>
      <c r="AO22" s="37"/>
      <c r="AP22" s="86"/>
      <c r="AZ22" s="154"/>
      <c r="BE22" s="37"/>
      <c r="BF22" s="36"/>
      <c r="BG22" s="37" t="s">
        <v>6239</v>
      </c>
      <c r="BH22" s="37" t="s">
        <v>6088</v>
      </c>
    </row>
    <row r="23" spans="1:60" ht="60">
      <c r="A23" s="37" t="s">
        <v>6201</v>
      </c>
      <c r="B23" s="37" t="s">
        <v>6240</v>
      </c>
      <c r="D23" s="37">
        <v>281</v>
      </c>
      <c r="E23" s="37">
        <v>1</v>
      </c>
      <c r="F23" s="37" t="s">
        <v>6042</v>
      </c>
      <c r="G23" s="37" t="s">
        <v>6089</v>
      </c>
      <c r="H23" s="37"/>
      <c r="I23" s="37"/>
      <c r="J23" s="37" t="s">
        <v>4475</v>
      </c>
      <c r="K23" s="37"/>
      <c r="L23" s="37"/>
      <c r="M23" s="37"/>
      <c r="R23" s="154"/>
      <c r="S23" s="152"/>
      <c r="T23" s="156"/>
      <c r="Y23" s="154" t="s">
        <v>4965</v>
      </c>
      <c r="AB23" s="155"/>
      <c r="AC23" s="37"/>
      <c r="AD23" s="37"/>
      <c r="AE23" s="36"/>
      <c r="AF23" s="37" t="s">
        <v>6090</v>
      </c>
      <c r="AG23" s="37" t="s">
        <v>6241</v>
      </c>
      <c r="AI23" s="37" t="s">
        <v>6091</v>
      </c>
      <c r="AJ23" s="37"/>
      <c r="AL23" s="37" t="s">
        <v>4475</v>
      </c>
      <c r="AM23" s="37"/>
      <c r="AN23" s="37"/>
      <c r="AO23" s="37"/>
      <c r="AP23" s="86"/>
      <c r="AZ23" s="154"/>
      <c r="BE23" s="37"/>
      <c r="BF23" s="36"/>
      <c r="BG23" s="37" t="s">
        <v>5741</v>
      </c>
      <c r="BH23" s="37" t="s">
        <v>6092</v>
      </c>
    </row>
    <row r="24" spans="1:60" ht="48">
      <c r="A24" s="37" t="s">
        <v>6201</v>
      </c>
      <c r="B24" s="37" t="s">
        <v>6242</v>
      </c>
      <c r="D24" s="37">
        <v>282</v>
      </c>
      <c r="E24" s="37">
        <v>1</v>
      </c>
      <c r="F24" s="37" t="s">
        <v>6042</v>
      </c>
      <c r="G24" s="37" t="s">
        <v>6093</v>
      </c>
      <c r="H24" s="37"/>
      <c r="I24" s="37"/>
      <c r="J24" s="37" t="s">
        <v>31</v>
      </c>
      <c r="K24" s="37"/>
      <c r="L24" s="37"/>
      <c r="M24" s="37"/>
      <c r="R24" s="154"/>
      <c r="S24" s="152"/>
      <c r="T24" s="156"/>
      <c r="AB24" s="155"/>
      <c r="AC24" s="37"/>
      <c r="AD24" s="37" t="s">
        <v>6094</v>
      </c>
      <c r="AE24" s="36"/>
      <c r="AF24" s="37"/>
      <c r="AG24" s="37" t="s">
        <v>6096</v>
      </c>
      <c r="AI24" s="37" t="s">
        <v>6093</v>
      </c>
      <c r="AJ24" s="37"/>
      <c r="AL24" s="37" t="s">
        <v>31</v>
      </c>
      <c r="AM24" s="37"/>
      <c r="AO24" s="37"/>
      <c r="AP24" s="86"/>
      <c r="AY24" s="84">
        <v>3</v>
      </c>
      <c r="AZ24" s="154" t="s">
        <v>6137</v>
      </c>
      <c r="BE24" s="37" t="s">
        <v>6094</v>
      </c>
      <c r="BF24" s="36"/>
      <c r="BG24" s="37" t="s">
        <v>6095</v>
      </c>
      <c r="BH24" s="37"/>
    </row>
    <row r="25" spans="1:60" ht="36">
      <c r="A25" s="37" t="s">
        <v>6201</v>
      </c>
      <c r="B25" s="37" t="s">
        <v>6243</v>
      </c>
      <c r="D25" s="37">
        <v>283</v>
      </c>
      <c r="E25" s="37">
        <v>1</v>
      </c>
      <c r="F25" s="37" t="s">
        <v>6042</v>
      </c>
      <c r="G25" s="37" t="s">
        <v>6097</v>
      </c>
      <c r="H25" s="37"/>
      <c r="I25" s="37"/>
      <c r="J25" s="37" t="s">
        <v>31</v>
      </c>
      <c r="K25" s="37"/>
      <c r="L25" s="37"/>
      <c r="M25" s="37"/>
      <c r="R25" s="154"/>
      <c r="S25" s="152"/>
      <c r="T25" s="156"/>
      <c r="AB25" s="155"/>
      <c r="AC25" s="37"/>
      <c r="AD25" s="37" t="s">
        <v>6094</v>
      </c>
      <c r="AE25" s="36"/>
      <c r="AF25" s="37"/>
      <c r="AG25" s="37" t="s">
        <v>6099</v>
      </c>
      <c r="AI25" s="37" t="s">
        <v>6097</v>
      </c>
      <c r="AJ25" s="37"/>
      <c r="AL25" s="37" t="s">
        <v>31</v>
      </c>
      <c r="AM25" s="37"/>
      <c r="AO25" s="37"/>
      <c r="AP25" s="86"/>
      <c r="AY25" s="84">
        <v>3</v>
      </c>
      <c r="AZ25" s="154" t="s">
        <v>6137</v>
      </c>
      <c r="BE25" s="37" t="s">
        <v>6094</v>
      </c>
      <c r="BF25" s="36"/>
      <c r="BG25" s="37" t="s">
        <v>6098</v>
      </c>
      <c r="BH25" s="37"/>
    </row>
    <row r="26" spans="1:60" ht="36">
      <c r="A26" s="37" t="s">
        <v>6201</v>
      </c>
      <c r="B26" s="37" t="s">
        <v>6244</v>
      </c>
      <c r="D26" s="37">
        <v>284</v>
      </c>
      <c r="E26" s="37">
        <v>1</v>
      </c>
      <c r="F26" s="37" t="s">
        <v>6042</v>
      </c>
      <c r="G26" s="37" t="s">
        <v>6100</v>
      </c>
      <c r="H26" s="37"/>
      <c r="I26" s="37"/>
      <c r="J26" s="37" t="s">
        <v>31</v>
      </c>
      <c r="K26" s="37"/>
      <c r="L26" s="37"/>
      <c r="M26" s="37"/>
      <c r="R26" s="154"/>
      <c r="S26" s="152"/>
      <c r="T26" s="156"/>
      <c r="AB26" s="155"/>
      <c r="AC26" s="37"/>
      <c r="AD26" s="37" t="s">
        <v>6094</v>
      </c>
      <c r="AE26" s="36"/>
      <c r="AF26" s="37"/>
      <c r="AG26" s="37" t="s">
        <v>6103</v>
      </c>
      <c r="AI26" s="37" t="s">
        <v>6100</v>
      </c>
      <c r="AJ26" s="37"/>
      <c r="AL26" s="37" t="s">
        <v>31</v>
      </c>
      <c r="AM26" s="37"/>
      <c r="AO26" s="37"/>
      <c r="AP26" s="86"/>
      <c r="AY26" s="84">
        <v>4</v>
      </c>
      <c r="AZ26" s="154" t="s">
        <v>4965</v>
      </c>
      <c r="BB26" s="85">
        <v>2</v>
      </c>
      <c r="BE26" s="37" t="s">
        <v>6094</v>
      </c>
      <c r="BF26" s="36"/>
      <c r="BG26" s="37" t="s">
        <v>6102</v>
      </c>
      <c r="BH26" s="37" t="s">
        <v>6101</v>
      </c>
    </row>
    <row r="27" spans="1:60" ht="24">
      <c r="A27" s="37" t="s">
        <v>6201</v>
      </c>
      <c r="B27" s="37" t="s">
        <v>6245</v>
      </c>
      <c r="D27" s="37">
        <v>285</v>
      </c>
      <c r="E27" s="37">
        <v>1</v>
      </c>
      <c r="F27" s="37" t="s">
        <v>6042</v>
      </c>
      <c r="G27" s="37" t="s">
        <v>6104</v>
      </c>
      <c r="H27" s="37"/>
      <c r="I27" s="37"/>
      <c r="J27" s="37" t="s">
        <v>31</v>
      </c>
      <c r="K27" s="37"/>
      <c r="L27" s="37"/>
      <c r="M27" s="37"/>
      <c r="R27" s="154"/>
      <c r="S27" s="152"/>
      <c r="T27" s="156"/>
      <c r="AB27" s="155"/>
      <c r="AC27" s="37"/>
      <c r="AD27" s="37" t="s">
        <v>6105</v>
      </c>
      <c r="AE27" s="36"/>
      <c r="AF27" s="37"/>
      <c r="AG27" s="37" t="s">
        <v>6107</v>
      </c>
      <c r="AI27" s="37" t="s">
        <v>6104</v>
      </c>
      <c r="AJ27" s="37"/>
      <c r="AL27" s="37" t="s">
        <v>31</v>
      </c>
      <c r="AM27" s="37"/>
      <c r="AO27" s="37"/>
      <c r="AP27" s="86"/>
      <c r="AY27" s="84">
        <v>2</v>
      </c>
      <c r="AZ27" s="154" t="s">
        <v>4927</v>
      </c>
      <c r="BE27" s="37" t="s">
        <v>6105</v>
      </c>
      <c r="BF27" s="36"/>
      <c r="BG27" s="37" t="s">
        <v>6106</v>
      </c>
      <c r="BH27" s="37"/>
    </row>
    <row r="28" spans="1:60" ht="24">
      <c r="A28" s="37" t="s">
        <v>6201</v>
      </c>
      <c r="B28" s="37" t="s">
        <v>6246</v>
      </c>
      <c r="D28" s="37">
        <v>286</v>
      </c>
      <c r="E28" s="37">
        <v>1</v>
      </c>
      <c r="F28" s="37" t="s">
        <v>6042</v>
      </c>
      <c r="G28" s="37" t="s">
        <v>6108</v>
      </c>
      <c r="H28" s="37"/>
      <c r="I28" s="37"/>
      <c r="J28" s="37" t="s">
        <v>31</v>
      </c>
      <c r="K28" s="37"/>
      <c r="L28" s="37"/>
      <c r="M28" s="37"/>
      <c r="R28" s="154"/>
      <c r="S28" s="152"/>
      <c r="T28" s="156"/>
      <c r="AB28" s="155"/>
      <c r="AC28" s="37"/>
      <c r="AD28" s="37" t="s">
        <v>6105</v>
      </c>
      <c r="AE28" s="36"/>
      <c r="AF28" s="37"/>
      <c r="AG28" s="37" t="s">
        <v>6107</v>
      </c>
      <c r="AI28" s="37" t="s">
        <v>6108</v>
      </c>
      <c r="AJ28" s="37"/>
      <c r="AL28" s="37" t="s">
        <v>31</v>
      </c>
      <c r="AM28" s="37"/>
      <c r="AO28" s="37"/>
      <c r="AP28" s="86"/>
      <c r="AY28" s="84">
        <v>4</v>
      </c>
      <c r="AZ28" s="154" t="s">
        <v>4927</v>
      </c>
      <c r="BE28" s="37" t="s">
        <v>6105</v>
      </c>
      <c r="BF28" s="36"/>
      <c r="BG28" s="37" t="s">
        <v>6110</v>
      </c>
      <c r="BH28" s="37" t="s">
        <v>6109</v>
      </c>
    </row>
    <row r="29" spans="1:60" ht="48">
      <c r="A29" s="37" t="s">
        <v>6201</v>
      </c>
      <c r="B29" s="37" t="s">
        <v>6247</v>
      </c>
      <c r="D29" s="37">
        <v>287</v>
      </c>
      <c r="E29" s="37">
        <v>1</v>
      </c>
      <c r="F29" s="37" t="s">
        <v>6042</v>
      </c>
      <c r="G29" s="37" t="s">
        <v>6111</v>
      </c>
      <c r="H29" s="37"/>
      <c r="I29" s="37"/>
      <c r="J29" s="37" t="s">
        <v>31</v>
      </c>
      <c r="K29" s="37"/>
      <c r="L29" s="37"/>
      <c r="M29" s="37"/>
      <c r="R29" s="154"/>
      <c r="S29" s="152"/>
      <c r="T29" s="156"/>
      <c r="AB29" s="155"/>
      <c r="AC29" s="37"/>
      <c r="AD29" s="37" t="s">
        <v>6105</v>
      </c>
      <c r="AE29" s="36"/>
      <c r="AF29" s="37"/>
      <c r="AG29" s="37" t="s">
        <v>6107</v>
      </c>
      <c r="AI29" s="37" t="s">
        <v>6111</v>
      </c>
      <c r="AJ29" s="37"/>
      <c r="AL29" s="37" t="s">
        <v>31</v>
      </c>
      <c r="AM29" s="37"/>
      <c r="AO29" s="37"/>
      <c r="AP29" s="86"/>
      <c r="AY29" s="84">
        <v>3</v>
      </c>
      <c r="AZ29" s="154" t="s">
        <v>6137</v>
      </c>
      <c r="BE29" s="37" t="s">
        <v>6105</v>
      </c>
      <c r="BF29" s="36"/>
      <c r="BG29" s="37" t="s">
        <v>6112</v>
      </c>
      <c r="BH29" s="37"/>
    </row>
    <row r="30" spans="1:60" ht="24">
      <c r="A30" s="37" t="s">
        <v>6201</v>
      </c>
      <c r="B30" s="37" t="s">
        <v>6248</v>
      </c>
      <c r="D30" s="37">
        <v>288</v>
      </c>
      <c r="E30" s="37">
        <v>1</v>
      </c>
      <c r="F30" s="37" t="s">
        <v>6042</v>
      </c>
      <c r="G30" s="37" t="s">
        <v>6113</v>
      </c>
      <c r="H30" s="37"/>
      <c r="I30" s="37"/>
      <c r="J30" s="37" t="s">
        <v>31</v>
      </c>
      <c r="K30" s="37"/>
      <c r="L30" s="37"/>
      <c r="M30" s="37"/>
      <c r="R30" s="154"/>
      <c r="S30" s="152"/>
      <c r="T30" s="156"/>
      <c r="AB30" s="155"/>
      <c r="AC30" s="37"/>
      <c r="AD30" s="37" t="s">
        <v>6105</v>
      </c>
      <c r="AE30" s="36"/>
      <c r="AF30" s="37"/>
      <c r="AG30" s="37" t="s">
        <v>6107</v>
      </c>
      <c r="AI30" s="37" t="s">
        <v>6113</v>
      </c>
      <c r="AJ30" s="37"/>
      <c r="AL30" s="37" t="s">
        <v>31</v>
      </c>
      <c r="AM30" s="37"/>
      <c r="AO30" s="37"/>
      <c r="AP30" s="86"/>
      <c r="AY30" s="84">
        <v>3</v>
      </c>
      <c r="AZ30" s="154" t="s">
        <v>4927</v>
      </c>
      <c r="BE30" s="37" t="s">
        <v>6105</v>
      </c>
      <c r="BF30" s="36"/>
      <c r="BG30" s="37" t="s">
        <v>6114</v>
      </c>
      <c r="BH30" s="37"/>
    </row>
    <row r="31" spans="1:60" ht="36">
      <c r="A31" s="37" t="s">
        <v>6201</v>
      </c>
      <c r="B31" s="37" t="s">
        <v>6249</v>
      </c>
      <c r="D31" s="37">
        <v>289</v>
      </c>
      <c r="E31" s="37">
        <v>1</v>
      </c>
      <c r="F31" s="37" t="s">
        <v>6042</v>
      </c>
      <c r="G31" s="37" t="s">
        <v>6115</v>
      </c>
      <c r="H31" s="37"/>
      <c r="I31" s="37"/>
      <c r="J31" s="37" t="s">
        <v>31</v>
      </c>
      <c r="K31" s="37"/>
      <c r="L31" s="37"/>
      <c r="M31" s="37"/>
      <c r="R31" s="154"/>
      <c r="S31" s="152"/>
      <c r="T31" s="156"/>
      <c r="AB31" s="155"/>
      <c r="AC31" s="37"/>
      <c r="AD31" s="37" t="s">
        <v>6116</v>
      </c>
      <c r="AE31" s="36"/>
      <c r="AF31" s="37"/>
      <c r="AG31" s="37" t="s">
        <v>6118</v>
      </c>
      <c r="AI31" s="37" t="s">
        <v>6115</v>
      </c>
      <c r="AJ31" s="37"/>
      <c r="AL31" s="37" t="s">
        <v>31</v>
      </c>
      <c r="AM31" s="37"/>
      <c r="AO31" s="37"/>
      <c r="AP31" s="86"/>
      <c r="AY31" s="84">
        <v>3</v>
      </c>
      <c r="AZ31" s="154" t="s">
        <v>4927</v>
      </c>
      <c r="BE31" s="37" t="s">
        <v>6116</v>
      </c>
      <c r="BF31" s="36"/>
      <c r="BG31" s="37" t="s">
        <v>6117</v>
      </c>
      <c r="BH31" s="37"/>
    </row>
    <row r="32" spans="1:60" ht="36">
      <c r="A32" s="37" t="s">
        <v>6201</v>
      </c>
      <c r="B32" s="37" t="s">
        <v>6250</v>
      </c>
      <c r="D32" s="37">
        <v>290</v>
      </c>
      <c r="E32" s="37">
        <v>1</v>
      </c>
      <c r="F32" s="37" t="s">
        <v>6042</v>
      </c>
      <c r="G32" s="37" t="s">
        <v>6119</v>
      </c>
      <c r="H32" s="37"/>
      <c r="I32" s="37"/>
      <c r="J32" s="37" t="s">
        <v>31</v>
      </c>
      <c r="K32" s="37"/>
      <c r="L32" s="37"/>
      <c r="M32" s="37"/>
      <c r="R32" s="154"/>
      <c r="S32" s="152"/>
      <c r="T32" s="156"/>
      <c r="AB32" s="155"/>
      <c r="AC32" s="37"/>
      <c r="AD32" s="37" t="s">
        <v>6116</v>
      </c>
      <c r="AE32" s="36"/>
      <c r="AF32" s="37"/>
      <c r="AG32" s="37" t="s">
        <v>6118</v>
      </c>
      <c r="AI32" s="37" t="s">
        <v>6119</v>
      </c>
      <c r="AJ32" s="37"/>
      <c r="AL32" s="37" t="s">
        <v>31</v>
      </c>
      <c r="AM32" s="37"/>
      <c r="AO32" s="37"/>
      <c r="AP32" s="86"/>
      <c r="AY32" s="84">
        <v>3</v>
      </c>
      <c r="AZ32" s="154" t="s">
        <v>4927</v>
      </c>
      <c r="BE32" s="37" t="s">
        <v>6116</v>
      </c>
      <c r="BF32" s="36"/>
      <c r="BG32" s="37" t="s">
        <v>6120</v>
      </c>
      <c r="BH32" s="37"/>
    </row>
    <row r="33" spans="1:60" ht="36">
      <c r="A33" s="37" t="s">
        <v>6201</v>
      </c>
      <c r="B33" s="37" t="s">
        <v>6251</v>
      </c>
      <c r="D33" s="37">
        <v>291</v>
      </c>
      <c r="E33" s="37">
        <v>1</v>
      </c>
      <c r="F33" s="37" t="s">
        <v>6042</v>
      </c>
      <c r="G33" s="37" t="s">
        <v>6121</v>
      </c>
      <c r="H33" s="37"/>
      <c r="I33" s="37"/>
      <c r="J33" s="37" t="s">
        <v>31</v>
      </c>
      <c r="K33" s="37"/>
      <c r="L33" s="37"/>
      <c r="M33" s="37"/>
      <c r="R33" s="154"/>
      <c r="S33" s="152"/>
      <c r="T33" s="156"/>
      <c r="AB33" s="155"/>
      <c r="AC33" s="37"/>
      <c r="AD33" s="37" t="s">
        <v>6116</v>
      </c>
      <c r="AE33" s="36"/>
      <c r="AF33" s="37"/>
      <c r="AG33" s="37" t="s">
        <v>6118</v>
      </c>
      <c r="AI33" s="37" t="s">
        <v>6121</v>
      </c>
      <c r="AJ33" s="37"/>
      <c r="AL33" s="37" t="s">
        <v>31</v>
      </c>
      <c r="AM33" s="37"/>
      <c r="AO33" s="37"/>
      <c r="AP33" s="86"/>
      <c r="AY33" s="84">
        <v>2</v>
      </c>
      <c r="AZ33" s="154" t="s">
        <v>4927</v>
      </c>
      <c r="BE33" s="37" t="s">
        <v>6116</v>
      </c>
      <c r="BF33" s="36"/>
      <c r="BG33" s="37" t="s">
        <v>6122</v>
      </c>
      <c r="BH33" s="37"/>
    </row>
    <row r="34" spans="1:60" ht="36">
      <c r="A34" s="37" t="s">
        <v>6201</v>
      </c>
      <c r="B34" s="37" t="s">
        <v>6252</v>
      </c>
      <c r="D34" s="37">
        <v>292</v>
      </c>
      <c r="E34" s="37">
        <v>1</v>
      </c>
      <c r="F34" s="37" t="s">
        <v>6042</v>
      </c>
      <c r="G34" s="37" t="s">
        <v>6123</v>
      </c>
      <c r="H34" s="37"/>
      <c r="I34" s="37"/>
      <c r="J34" s="37" t="s">
        <v>31</v>
      </c>
      <c r="K34" s="37"/>
      <c r="L34" s="37"/>
      <c r="M34" s="37"/>
      <c r="R34" s="154"/>
      <c r="S34" s="152"/>
      <c r="T34" s="156"/>
      <c r="AB34" s="155"/>
      <c r="AC34" s="37"/>
      <c r="AD34" s="37" t="s">
        <v>6116</v>
      </c>
      <c r="AE34" s="36"/>
      <c r="AF34" s="37"/>
      <c r="AG34" s="37" t="s">
        <v>6118</v>
      </c>
      <c r="AI34" s="37" t="s">
        <v>6123</v>
      </c>
      <c r="AJ34" s="37"/>
      <c r="AL34" s="37" t="s">
        <v>31</v>
      </c>
      <c r="AM34" s="37"/>
      <c r="AO34" s="37"/>
      <c r="AP34" s="86"/>
      <c r="AY34" s="84">
        <v>2</v>
      </c>
      <c r="AZ34" s="154" t="s">
        <v>4927</v>
      </c>
      <c r="BE34" s="37" t="s">
        <v>6116</v>
      </c>
      <c r="BF34" s="36"/>
      <c r="BG34" s="37" t="s">
        <v>6125</v>
      </c>
      <c r="BH34" s="37" t="s">
        <v>6124</v>
      </c>
    </row>
    <row r="35" spans="1:60" ht="60">
      <c r="A35" s="37" t="s">
        <v>6201</v>
      </c>
      <c r="B35" s="37" t="s">
        <v>6253</v>
      </c>
      <c r="D35" s="37">
        <v>293</v>
      </c>
      <c r="E35" s="37">
        <v>1</v>
      </c>
      <c r="F35" s="37" t="s">
        <v>6042</v>
      </c>
      <c r="G35" s="37" t="s">
        <v>6126</v>
      </c>
      <c r="H35" s="37"/>
      <c r="I35" s="37" t="s">
        <v>4077</v>
      </c>
      <c r="J35" s="37" t="s">
        <v>29</v>
      </c>
      <c r="K35" s="37" t="s">
        <v>6046</v>
      </c>
      <c r="L35" s="37"/>
      <c r="M35" s="37"/>
      <c r="Q35" s="78">
        <v>5</v>
      </c>
      <c r="R35" s="154">
        <v>5</v>
      </c>
      <c r="S35" s="152"/>
      <c r="T35" s="156">
        <v>3</v>
      </c>
      <c r="V35" s="82">
        <v>1</v>
      </c>
      <c r="W35" s="83">
        <v>1</v>
      </c>
      <c r="AA35" s="85">
        <v>1</v>
      </c>
      <c r="AB35" s="155"/>
      <c r="AC35" s="37"/>
      <c r="AD35" s="37" t="s">
        <v>5019</v>
      </c>
      <c r="AE35" s="36"/>
      <c r="AF35" s="37" t="s">
        <v>6254</v>
      </c>
      <c r="AG35" s="37" t="s">
        <v>6255</v>
      </c>
      <c r="AO35" s="37"/>
      <c r="AP35" s="86"/>
      <c r="BE35" s="37"/>
      <c r="BF35" s="36"/>
    </row>
    <row r="36" spans="1:60" ht="60">
      <c r="A36" s="37" t="s">
        <v>6201</v>
      </c>
      <c r="B36" s="37" t="s">
        <v>6256</v>
      </c>
      <c r="D36" s="37">
        <v>294</v>
      </c>
      <c r="E36" s="37">
        <v>2</v>
      </c>
      <c r="F36" s="37" t="s">
        <v>6042</v>
      </c>
      <c r="G36" s="37" t="s">
        <v>6127</v>
      </c>
      <c r="H36" s="37"/>
      <c r="I36" s="37"/>
      <c r="J36" s="37" t="s">
        <v>29</v>
      </c>
      <c r="K36" s="37" t="s">
        <v>6046</v>
      </c>
      <c r="L36" s="37"/>
      <c r="M36" s="37"/>
      <c r="Q36" s="78">
        <v>3</v>
      </c>
      <c r="R36" s="154">
        <v>3</v>
      </c>
      <c r="S36" s="152"/>
      <c r="T36" s="156" t="s">
        <v>4966</v>
      </c>
      <c r="V36" s="82">
        <v>1</v>
      </c>
      <c r="W36" s="83">
        <v>1</v>
      </c>
      <c r="AB36" s="155"/>
      <c r="AC36" s="37"/>
      <c r="AD36" s="37" t="s">
        <v>5484</v>
      </c>
      <c r="AE36" s="36"/>
      <c r="AF36" s="37" t="s">
        <v>6263</v>
      </c>
      <c r="AG36" s="37"/>
      <c r="AO36" s="37"/>
      <c r="AP36" s="86"/>
      <c r="BE36" s="37"/>
      <c r="BF36" s="36"/>
    </row>
    <row r="37" spans="1:60" ht="36">
      <c r="A37" s="37" t="s">
        <v>6201</v>
      </c>
      <c r="B37" s="37" t="s">
        <v>6257</v>
      </c>
      <c r="D37" s="37">
        <v>295</v>
      </c>
      <c r="E37" s="37">
        <v>1</v>
      </c>
      <c r="F37" s="37" t="s">
        <v>6042</v>
      </c>
      <c r="G37" s="37" t="s">
        <v>6128</v>
      </c>
      <c r="H37" s="37"/>
      <c r="I37" s="37"/>
      <c r="J37" s="37" t="s">
        <v>29</v>
      </c>
      <c r="K37" s="37" t="s">
        <v>6046</v>
      </c>
      <c r="L37" s="37"/>
      <c r="M37" s="37"/>
      <c r="Q37" s="78">
        <v>3</v>
      </c>
      <c r="R37" s="154">
        <v>4</v>
      </c>
      <c r="S37" s="152"/>
      <c r="T37" s="156" t="s">
        <v>5880</v>
      </c>
      <c r="V37" s="82">
        <v>2</v>
      </c>
      <c r="W37" s="83">
        <v>2</v>
      </c>
      <c r="AA37" s="85">
        <v>1</v>
      </c>
      <c r="AB37" s="155"/>
      <c r="AC37" s="37"/>
      <c r="AD37" s="37" t="s">
        <v>6129</v>
      </c>
      <c r="AE37" s="36"/>
      <c r="AF37" s="37" t="s">
        <v>6264</v>
      </c>
      <c r="AG37" s="37"/>
      <c r="AO37" s="37"/>
      <c r="AP37" s="86"/>
      <c r="BE37" s="37"/>
      <c r="BF37" s="36"/>
    </row>
    <row r="38" spans="1:60" ht="36">
      <c r="A38" s="37" t="s">
        <v>6201</v>
      </c>
      <c r="B38" s="37" t="s">
        <v>6258</v>
      </c>
      <c r="D38" s="37">
        <v>296</v>
      </c>
      <c r="E38" s="37">
        <v>3</v>
      </c>
      <c r="F38" s="37" t="s">
        <v>6042</v>
      </c>
      <c r="G38" s="37" t="s">
        <v>6130</v>
      </c>
      <c r="H38" s="37"/>
      <c r="I38" s="37"/>
      <c r="J38" s="37" t="s">
        <v>28</v>
      </c>
      <c r="K38" s="37" t="s">
        <v>6046</v>
      </c>
      <c r="L38" s="37"/>
      <c r="M38" s="37"/>
      <c r="R38" s="154"/>
      <c r="S38" s="152"/>
      <c r="T38" s="156"/>
      <c r="V38" s="91"/>
      <c r="W38" s="92"/>
      <c r="X38" s="93"/>
      <c r="AA38" s="94"/>
      <c r="AB38" s="155"/>
      <c r="AC38" s="37"/>
      <c r="AD38" s="37" t="s">
        <v>4340</v>
      </c>
      <c r="AE38" s="36"/>
      <c r="AF38" s="37" t="s">
        <v>6265</v>
      </c>
      <c r="AG38" s="37"/>
      <c r="AO38" s="37"/>
      <c r="AP38" s="86"/>
      <c r="AQ38" s="88"/>
      <c r="AR38" s="89"/>
      <c r="AS38" s="90"/>
      <c r="AV38" s="88"/>
      <c r="AW38" s="96"/>
      <c r="AX38" s="97"/>
      <c r="AY38" s="93"/>
      <c r="BB38" s="94"/>
      <c r="BE38" s="37"/>
      <c r="BF38" s="36"/>
    </row>
    <row r="39" spans="1:60" ht="72">
      <c r="A39" s="37" t="s">
        <v>6201</v>
      </c>
      <c r="B39" s="37" t="s">
        <v>6259</v>
      </c>
      <c r="D39" s="37">
        <v>297</v>
      </c>
      <c r="E39" s="37">
        <v>3</v>
      </c>
      <c r="F39" s="37" t="s">
        <v>6042</v>
      </c>
      <c r="G39" s="37" t="s">
        <v>6131</v>
      </c>
      <c r="H39" s="37"/>
      <c r="I39" s="37"/>
      <c r="J39" s="37" t="s">
        <v>28</v>
      </c>
      <c r="K39" s="37" t="s">
        <v>6046</v>
      </c>
      <c r="L39" s="37"/>
      <c r="M39" s="37"/>
      <c r="R39" s="154"/>
      <c r="S39" s="152"/>
      <c r="T39" s="156"/>
      <c r="V39" s="91"/>
      <c r="W39" s="92"/>
      <c r="X39" s="93"/>
      <c r="AA39" s="94"/>
      <c r="AB39" s="155"/>
      <c r="AC39" s="37"/>
      <c r="AD39" s="37" t="s">
        <v>6132</v>
      </c>
      <c r="AE39" s="36"/>
      <c r="AF39" s="37" t="s">
        <v>6266</v>
      </c>
      <c r="AG39" s="37"/>
      <c r="AO39" s="37"/>
      <c r="AP39" s="86"/>
      <c r="AQ39" s="88"/>
      <c r="AR39" s="89"/>
      <c r="AS39" s="90"/>
      <c r="AV39" s="88"/>
      <c r="AW39" s="96"/>
      <c r="AX39" s="97"/>
      <c r="AY39" s="93"/>
      <c r="BB39" s="94"/>
      <c r="BE39" s="37"/>
      <c r="BF39" s="36"/>
    </row>
    <row r="40" spans="1:60" ht="24">
      <c r="A40" s="37" t="s">
        <v>6201</v>
      </c>
      <c r="B40" s="37" t="s">
        <v>6260</v>
      </c>
      <c r="D40" s="37">
        <v>298</v>
      </c>
      <c r="E40" s="37">
        <v>3</v>
      </c>
      <c r="F40" s="37" t="s">
        <v>6042</v>
      </c>
      <c r="G40" s="37" t="s">
        <v>6133</v>
      </c>
      <c r="H40" s="37"/>
      <c r="I40" s="37"/>
      <c r="J40" s="37" t="s">
        <v>28</v>
      </c>
      <c r="K40" s="37" t="s">
        <v>6046</v>
      </c>
      <c r="L40" s="37"/>
      <c r="M40" s="37"/>
      <c r="R40" s="154"/>
      <c r="S40" s="152"/>
      <c r="T40" s="156"/>
      <c r="V40" s="91"/>
      <c r="W40" s="92"/>
      <c r="X40" s="93"/>
      <c r="AA40" s="94"/>
      <c r="AB40" s="155"/>
      <c r="AC40" s="37"/>
      <c r="AD40" s="37" t="s">
        <v>6132</v>
      </c>
      <c r="AE40" s="36"/>
      <c r="AF40" s="37" t="s">
        <v>6268</v>
      </c>
      <c r="AG40" s="37"/>
      <c r="AO40" s="37"/>
      <c r="AP40" s="86"/>
      <c r="AQ40" s="88"/>
      <c r="AR40" s="89"/>
      <c r="AS40" s="90"/>
      <c r="AV40" s="88"/>
      <c r="AW40" s="96"/>
      <c r="AX40" s="97"/>
      <c r="AY40" s="93"/>
      <c r="BB40" s="94"/>
      <c r="BE40" s="37"/>
      <c r="BF40" s="36"/>
    </row>
    <row r="41" spans="1:60" ht="15">
      <c r="A41" s="37"/>
      <c r="B41" s="37"/>
      <c r="E41" s="37"/>
      <c r="F41" s="37"/>
      <c r="G41" s="37"/>
      <c r="H41" s="37"/>
      <c r="I41" s="37"/>
      <c r="J41" s="37"/>
      <c r="K41" s="37"/>
      <c r="L41" s="37"/>
      <c r="M41" s="37"/>
      <c r="R41" s="154"/>
      <c r="S41" s="152"/>
      <c r="T41" s="156"/>
      <c r="V41" s="91"/>
      <c r="W41" s="92"/>
      <c r="X41" s="93"/>
      <c r="AA41" s="94"/>
      <c r="AB41" s="155"/>
      <c r="AC41" s="37"/>
      <c r="AD41" s="37"/>
      <c r="AE41" s="36"/>
      <c r="AF41" s="37"/>
      <c r="AG41" s="37"/>
      <c r="AO41" s="37"/>
      <c r="AP41" s="86"/>
      <c r="AQ41" s="88"/>
      <c r="AR41" s="89"/>
      <c r="AS41" s="90"/>
      <c r="AV41" s="88"/>
      <c r="AW41" s="96"/>
      <c r="AX41" s="97"/>
      <c r="AY41" s="93"/>
      <c r="BB41" s="94"/>
      <c r="BE41" s="37"/>
      <c r="BF41" s="36"/>
    </row>
    <row r="42" spans="1:60" ht="15">
      <c r="A42" s="37"/>
      <c r="B42" s="37"/>
      <c r="E42" s="37"/>
      <c r="F42" s="37"/>
      <c r="G42" s="37"/>
      <c r="H42" s="37"/>
      <c r="I42" s="37"/>
      <c r="J42" s="37"/>
      <c r="K42" s="37"/>
      <c r="L42" s="37"/>
      <c r="M42" s="37"/>
      <c r="R42" s="154"/>
      <c r="S42" s="152"/>
      <c r="T42" s="156"/>
      <c r="V42" s="91"/>
      <c r="W42" s="92"/>
      <c r="X42" s="93"/>
      <c r="AA42" s="94"/>
      <c r="AB42" s="155"/>
      <c r="AC42" s="37"/>
      <c r="AD42" s="37"/>
      <c r="AE42" s="36"/>
      <c r="AF42" s="37"/>
      <c r="AG42" s="37"/>
      <c r="AO42" s="37"/>
      <c r="AP42" s="86"/>
      <c r="AQ42" s="88"/>
      <c r="AR42" s="89"/>
      <c r="AS42" s="90"/>
      <c r="AV42" s="88"/>
      <c r="AW42" s="96"/>
      <c r="AX42" s="97"/>
      <c r="AY42" s="93"/>
      <c r="BB42" s="94"/>
      <c r="BE42" s="37"/>
      <c r="BF42" s="36"/>
    </row>
    <row r="43" spans="1:60" ht="15">
      <c r="A43" s="37"/>
      <c r="B43" s="37"/>
      <c r="E43" s="37"/>
      <c r="F43" s="37"/>
      <c r="G43" s="37"/>
      <c r="H43" s="37"/>
      <c r="I43" s="37"/>
      <c r="J43" s="37"/>
      <c r="K43" s="37"/>
      <c r="L43" s="37"/>
      <c r="M43" s="37"/>
      <c r="R43" s="154"/>
      <c r="S43" s="152"/>
      <c r="T43" s="156"/>
      <c r="V43" s="91"/>
      <c r="W43" s="92"/>
      <c r="X43" s="93"/>
      <c r="AA43" s="94"/>
      <c r="AB43" s="155"/>
      <c r="AC43" s="37"/>
      <c r="AD43" s="37"/>
      <c r="AE43" s="36"/>
      <c r="AF43" s="37"/>
      <c r="AG43" s="37"/>
      <c r="AO43" s="37"/>
      <c r="AP43" s="86"/>
      <c r="AQ43" s="88"/>
      <c r="AR43" s="89"/>
      <c r="AS43" s="90"/>
      <c r="AV43" s="88"/>
      <c r="AW43" s="96"/>
      <c r="AX43" s="97"/>
      <c r="AY43" s="93"/>
      <c r="BB43" s="94"/>
      <c r="BE43" s="37"/>
      <c r="BF43" s="36"/>
    </row>
    <row r="44" spans="1:60" ht="14.25">
      <c r="A44" s="37"/>
      <c r="B44" s="37"/>
      <c r="E44" s="37"/>
      <c r="F44" s="37"/>
      <c r="G44" s="37"/>
      <c r="H44" s="37"/>
      <c r="I44" s="37"/>
      <c r="J44" s="37"/>
      <c r="K44" s="37"/>
      <c r="L44" s="37"/>
      <c r="M44" s="37"/>
      <c r="R44" s="154"/>
      <c r="S44" s="152"/>
      <c r="T44" s="156"/>
      <c r="V44" s="91"/>
      <c r="W44" s="92"/>
      <c r="X44" s="93"/>
      <c r="AA44" s="94"/>
      <c r="AB44" s="153"/>
      <c r="AC44" s="37"/>
      <c r="AD44" s="37"/>
      <c r="AE44" s="36"/>
      <c r="AF44" s="37"/>
      <c r="AG44" s="37"/>
      <c r="AO44" s="37"/>
      <c r="AP44" s="86"/>
      <c r="AQ44" s="88"/>
      <c r="AR44" s="89"/>
      <c r="AS44" s="90"/>
      <c r="AV44" s="88"/>
      <c r="AW44" s="96"/>
      <c r="AX44" s="97"/>
      <c r="AY44" s="93"/>
      <c r="BB44" s="94"/>
      <c r="BE44" s="37"/>
      <c r="BF44" s="36"/>
    </row>
    <row r="45" spans="1:60" ht="15">
      <c r="A45" s="37"/>
      <c r="B45" s="37"/>
      <c r="E45" s="37"/>
      <c r="F45" s="37"/>
      <c r="G45" s="37"/>
      <c r="H45" s="37"/>
      <c r="I45" s="37"/>
      <c r="J45" s="37"/>
      <c r="K45" s="37"/>
      <c r="L45" s="37"/>
      <c r="M45" s="37"/>
      <c r="R45" s="154"/>
      <c r="S45" s="152"/>
      <c r="T45" s="156"/>
      <c r="V45" s="91"/>
      <c r="W45" s="92"/>
      <c r="X45" s="93"/>
      <c r="AA45" s="94"/>
      <c r="AB45" s="155"/>
      <c r="AC45" s="37"/>
      <c r="AD45" s="37"/>
      <c r="AE45" s="36"/>
      <c r="AF45" s="37"/>
      <c r="AG45" s="37"/>
      <c r="AO45" s="37"/>
      <c r="AP45" s="86"/>
      <c r="AQ45" s="88"/>
      <c r="AR45" s="89"/>
      <c r="AS45" s="90"/>
      <c r="AV45" s="88"/>
      <c r="AW45" s="96"/>
      <c r="AX45" s="97"/>
      <c r="AY45" s="93"/>
      <c r="BB45" s="94"/>
      <c r="BE45" s="37"/>
      <c r="BF45" s="36"/>
    </row>
    <row r="46" spans="1:60" ht="15">
      <c r="A46" s="37"/>
      <c r="B46" s="37"/>
      <c r="E46" s="37"/>
      <c r="F46" s="37"/>
      <c r="G46" s="37"/>
      <c r="H46" s="37"/>
      <c r="I46" s="37"/>
      <c r="J46" s="37"/>
      <c r="K46" s="37"/>
      <c r="L46" s="37"/>
      <c r="M46" s="37"/>
      <c r="R46" s="154"/>
      <c r="S46" s="152"/>
      <c r="T46" s="156"/>
      <c r="V46" s="91"/>
      <c r="W46" s="92"/>
      <c r="X46" s="93"/>
      <c r="AA46" s="94"/>
      <c r="AB46" s="155"/>
      <c r="AC46" s="37"/>
      <c r="AD46" s="37"/>
      <c r="AE46" s="36"/>
      <c r="AF46" s="37"/>
      <c r="AG46" s="37"/>
      <c r="AO46" s="37"/>
      <c r="AP46" s="86"/>
      <c r="AQ46" s="88"/>
      <c r="AR46" s="89"/>
      <c r="AS46" s="90"/>
      <c r="AV46" s="88"/>
      <c r="AW46" s="96"/>
      <c r="AX46" s="97"/>
      <c r="AY46" s="93"/>
      <c r="BB46" s="94"/>
      <c r="BE46" s="37"/>
      <c r="BF46" s="36"/>
    </row>
    <row r="47" spans="1:60" ht="15">
      <c r="A47" s="37"/>
      <c r="B47" s="37"/>
      <c r="E47" s="37"/>
      <c r="F47" s="37"/>
      <c r="G47" s="37"/>
      <c r="H47" s="37"/>
      <c r="I47" s="37"/>
      <c r="J47" s="37"/>
      <c r="K47" s="37"/>
      <c r="L47" s="37"/>
      <c r="M47" s="37"/>
      <c r="R47" s="154"/>
      <c r="S47" s="152"/>
      <c r="T47" s="156"/>
      <c r="V47" s="91"/>
      <c r="W47" s="92"/>
      <c r="X47" s="93"/>
      <c r="AA47" s="94"/>
      <c r="AB47" s="155"/>
      <c r="AC47" s="37"/>
      <c r="AD47" s="37"/>
      <c r="AE47" s="36"/>
      <c r="AF47" s="37"/>
      <c r="AG47" s="37"/>
      <c r="AO47" s="37"/>
      <c r="AP47" s="86"/>
      <c r="AQ47" s="88"/>
      <c r="AR47" s="89"/>
      <c r="AS47" s="90"/>
      <c r="AV47" s="88"/>
      <c r="AW47" s="96"/>
      <c r="AX47" s="97"/>
      <c r="AY47" s="93"/>
      <c r="BB47" s="94"/>
      <c r="BE47" s="37"/>
      <c r="BF47" s="36"/>
    </row>
    <row r="48" spans="1:60" ht="15">
      <c r="A48" s="37"/>
      <c r="B48" s="37"/>
      <c r="E48" s="37"/>
      <c r="F48" s="37"/>
      <c r="G48" s="37"/>
      <c r="H48" s="37"/>
      <c r="I48" s="37"/>
      <c r="J48" s="37"/>
      <c r="K48" s="37"/>
      <c r="L48" s="37"/>
      <c r="M48" s="37"/>
      <c r="R48" s="154"/>
      <c r="S48" s="152"/>
      <c r="T48" s="156"/>
      <c r="V48" s="91"/>
      <c r="W48" s="92"/>
      <c r="X48" s="93"/>
      <c r="AA48" s="94"/>
      <c r="AB48" s="155"/>
      <c r="AC48" s="37"/>
      <c r="AD48" s="37"/>
      <c r="AE48" s="36"/>
      <c r="AF48" s="37"/>
      <c r="AG48" s="37"/>
      <c r="AO48" s="37"/>
      <c r="AP48" s="86"/>
      <c r="AQ48" s="88"/>
      <c r="AR48" s="89"/>
      <c r="AS48" s="90"/>
      <c r="AV48" s="88"/>
      <c r="AW48" s="96"/>
      <c r="AX48" s="97"/>
      <c r="AY48" s="93"/>
      <c r="BB48" s="94"/>
      <c r="BE48" s="37"/>
      <c r="BF48" s="36"/>
    </row>
    <row r="49" spans="1:58" ht="15">
      <c r="A49" s="37"/>
      <c r="B49" s="37"/>
      <c r="E49" s="37"/>
      <c r="F49" s="37"/>
      <c r="G49" s="37"/>
      <c r="H49" s="37"/>
      <c r="I49" s="37"/>
      <c r="J49" s="37"/>
      <c r="K49" s="37"/>
      <c r="L49" s="37"/>
      <c r="M49" s="37"/>
      <c r="R49" s="154"/>
      <c r="S49" s="152"/>
      <c r="T49" s="156"/>
      <c r="V49" s="91"/>
      <c r="W49" s="92"/>
      <c r="X49" s="93"/>
      <c r="AA49" s="94"/>
      <c r="AB49" s="155"/>
      <c r="AC49" s="37"/>
      <c r="AD49" s="37"/>
      <c r="AE49" s="36"/>
      <c r="AF49" s="37"/>
      <c r="AG49" s="37"/>
      <c r="AO49" s="37"/>
      <c r="AP49" s="86"/>
      <c r="AQ49" s="88"/>
      <c r="AR49" s="89"/>
      <c r="AS49" s="90"/>
      <c r="AV49" s="88"/>
      <c r="AW49" s="96"/>
      <c r="AX49" s="97"/>
      <c r="AY49" s="93"/>
      <c r="BB49" s="94"/>
      <c r="BE49" s="37"/>
      <c r="BF49" s="36"/>
    </row>
    <row r="50" spans="1:58" ht="15">
      <c r="A50" s="37"/>
      <c r="B50" s="37"/>
      <c r="E50" s="37"/>
      <c r="F50" s="37"/>
      <c r="G50" s="37"/>
      <c r="H50" s="37"/>
      <c r="I50" s="37"/>
      <c r="J50" s="37"/>
      <c r="K50" s="37"/>
      <c r="L50" s="37"/>
      <c r="M50" s="37"/>
      <c r="R50" s="154"/>
      <c r="S50" s="152"/>
      <c r="T50" s="156"/>
      <c r="V50" s="91"/>
      <c r="W50" s="92"/>
      <c r="X50" s="93"/>
      <c r="AA50" s="94"/>
      <c r="AB50" s="155"/>
      <c r="AC50" s="37"/>
      <c r="AD50" s="37"/>
      <c r="AE50" s="36"/>
      <c r="AF50" s="37"/>
      <c r="AG50" s="37"/>
      <c r="AO50" s="37"/>
      <c r="AP50" s="86"/>
      <c r="AQ50" s="88"/>
      <c r="AR50" s="89"/>
      <c r="AS50" s="90"/>
      <c r="AV50" s="88"/>
      <c r="AW50" s="96"/>
      <c r="AX50" s="97"/>
      <c r="AY50" s="93"/>
      <c r="BB50" s="94"/>
      <c r="BE50" s="37"/>
      <c r="BF50" s="36"/>
    </row>
    <row r="51" spans="1:58" ht="15">
      <c r="A51" s="37"/>
      <c r="B51" s="37"/>
      <c r="E51" s="37"/>
      <c r="F51" s="37"/>
      <c r="G51" s="37"/>
      <c r="H51" s="37"/>
      <c r="I51" s="37"/>
      <c r="J51" s="37"/>
      <c r="K51" s="37"/>
      <c r="L51" s="37"/>
      <c r="M51" s="37"/>
      <c r="R51" s="154"/>
      <c r="S51" s="152"/>
      <c r="T51" s="156"/>
      <c r="V51" s="91"/>
      <c r="W51" s="92"/>
      <c r="X51" s="93"/>
      <c r="AA51" s="94"/>
      <c r="AB51" s="155"/>
      <c r="AC51" s="37"/>
      <c r="AD51" s="37"/>
      <c r="AE51" s="36"/>
      <c r="AF51" s="37"/>
      <c r="AG51" s="37"/>
      <c r="AO51" s="37"/>
      <c r="AP51" s="86"/>
      <c r="AQ51" s="88"/>
      <c r="AR51" s="89"/>
      <c r="AS51" s="90"/>
      <c r="AV51" s="88"/>
      <c r="AW51" s="96"/>
      <c r="AX51" s="97"/>
      <c r="AY51" s="93"/>
      <c r="BB51" s="94"/>
      <c r="BE51" s="37"/>
      <c r="BF51" s="36"/>
    </row>
    <row r="52" spans="1:58" ht="15">
      <c r="A52" s="37"/>
      <c r="B52" s="37"/>
      <c r="E52" s="37"/>
      <c r="F52" s="37"/>
      <c r="G52" s="37"/>
      <c r="H52" s="37"/>
      <c r="I52" s="37"/>
      <c r="J52" s="37"/>
      <c r="K52" s="37"/>
      <c r="L52" s="37"/>
      <c r="M52" s="37"/>
      <c r="R52" s="154"/>
      <c r="S52" s="152"/>
      <c r="T52" s="156"/>
      <c r="V52" s="91"/>
      <c r="W52" s="92"/>
      <c r="X52" s="93"/>
      <c r="AA52" s="94"/>
      <c r="AB52" s="155"/>
      <c r="AC52" s="37"/>
      <c r="AD52" s="37"/>
      <c r="AE52" s="36"/>
      <c r="AF52" s="37"/>
      <c r="AG52" s="37"/>
      <c r="AO52" s="37"/>
      <c r="AP52" s="86"/>
      <c r="AQ52" s="88"/>
      <c r="AR52" s="89"/>
      <c r="AS52" s="90"/>
      <c r="AV52" s="88"/>
      <c r="AW52" s="96"/>
      <c r="AX52" s="97"/>
      <c r="AY52" s="93"/>
      <c r="BB52" s="94"/>
      <c r="BE52" s="37"/>
      <c r="BF52" s="36"/>
    </row>
    <row r="53" spans="1:58" ht="15">
      <c r="A53" s="37"/>
      <c r="B53" s="37"/>
      <c r="E53" s="37"/>
      <c r="F53" s="37"/>
      <c r="G53" s="37"/>
      <c r="H53" s="37"/>
      <c r="I53" s="37"/>
      <c r="J53" s="37"/>
      <c r="K53" s="37"/>
      <c r="L53" s="37"/>
      <c r="M53" s="37"/>
      <c r="R53" s="154"/>
      <c r="S53" s="152"/>
      <c r="T53" s="156"/>
      <c r="V53" s="91"/>
      <c r="W53" s="92"/>
      <c r="X53" s="93"/>
      <c r="AA53" s="94"/>
      <c r="AB53" s="155"/>
      <c r="AC53" s="37"/>
      <c r="AD53" s="37"/>
      <c r="AE53" s="36"/>
      <c r="AF53" s="37"/>
      <c r="AG53" s="37"/>
      <c r="AO53" s="37"/>
      <c r="AP53" s="86"/>
      <c r="AQ53" s="88"/>
      <c r="AR53" s="89"/>
      <c r="AS53" s="90"/>
      <c r="AV53" s="88"/>
      <c r="AW53" s="96"/>
      <c r="AX53" s="97"/>
      <c r="AY53" s="93"/>
      <c r="BB53" s="94"/>
      <c r="BE53" s="37"/>
      <c r="BF53" s="36"/>
    </row>
    <row r="54" spans="1:58" ht="15">
      <c r="A54" s="37"/>
      <c r="B54" s="37"/>
      <c r="E54" s="37"/>
      <c r="F54" s="37"/>
      <c r="G54" s="37"/>
      <c r="H54" s="37"/>
      <c r="I54" s="37"/>
      <c r="J54" s="37"/>
      <c r="K54" s="37"/>
      <c r="L54" s="37"/>
      <c r="M54" s="37"/>
      <c r="R54" s="154"/>
      <c r="S54" s="152"/>
      <c r="T54" s="156"/>
      <c r="V54" s="91"/>
      <c r="W54" s="92"/>
      <c r="X54" s="93"/>
      <c r="AA54" s="94"/>
      <c r="AB54" s="155"/>
      <c r="AC54" s="37"/>
      <c r="AD54" s="37"/>
      <c r="AE54" s="36"/>
      <c r="AF54" s="37"/>
      <c r="AG54" s="37"/>
      <c r="AO54" s="37"/>
      <c r="AP54" s="86"/>
      <c r="AQ54" s="88"/>
      <c r="AR54" s="89"/>
      <c r="AS54" s="90"/>
      <c r="AV54" s="88"/>
      <c r="AW54" s="96"/>
      <c r="AX54" s="97"/>
      <c r="AY54" s="93"/>
      <c r="BB54" s="94"/>
      <c r="BE54" s="37"/>
      <c r="BF54" s="36"/>
    </row>
    <row r="55" spans="1:58" ht="15">
      <c r="A55" s="37"/>
      <c r="B55" s="37"/>
      <c r="E55" s="37"/>
      <c r="F55" s="37"/>
      <c r="G55" s="37"/>
      <c r="H55" s="37"/>
      <c r="I55" s="37"/>
      <c r="J55" s="37"/>
      <c r="K55" s="37"/>
      <c r="L55" s="37"/>
      <c r="M55" s="37"/>
      <c r="R55" s="154"/>
      <c r="S55" s="152"/>
      <c r="T55" s="156"/>
      <c r="V55" s="91"/>
      <c r="W55" s="92"/>
      <c r="X55" s="93"/>
      <c r="AA55" s="94"/>
      <c r="AB55" s="155"/>
      <c r="AC55" s="37"/>
      <c r="AD55" s="37"/>
      <c r="AE55" s="36"/>
      <c r="AF55" s="37"/>
      <c r="AG55" s="37"/>
      <c r="AO55" s="37"/>
      <c r="AP55" s="86"/>
      <c r="AQ55" s="88"/>
      <c r="AR55" s="89"/>
      <c r="AS55" s="90"/>
      <c r="AV55" s="88"/>
      <c r="AW55" s="96"/>
      <c r="AX55" s="97"/>
      <c r="AY55" s="93"/>
      <c r="BB55" s="94"/>
      <c r="BE55" s="37"/>
      <c r="BF55" s="36"/>
    </row>
    <row r="56" spans="1:58" ht="15">
      <c r="A56" s="37"/>
      <c r="B56" s="37"/>
      <c r="E56" s="37"/>
      <c r="F56" s="37"/>
      <c r="G56" s="37"/>
      <c r="H56" s="37"/>
      <c r="I56" s="37"/>
      <c r="J56" s="37"/>
      <c r="K56" s="37"/>
      <c r="L56" s="37"/>
      <c r="M56" s="37"/>
      <c r="R56" s="154"/>
      <c r="S56" s="152"/>
      <c r="T56" s="156"/>
      <c r="V56" s="91"/>
      <c r="W56" s="92"/>
      <c r="X56" s="93"/>
      <c r="AA56" s="94"/>
      <c r="AB56" s="155"/>
      <c r="AC56" s="37"/>
      <c r="AD56" s="37"/>
      <c r="AE56" s="36"/>
      <c r="AF56" s="37"/>
      <c r="AG56" s="37"/>
      <c r="AO56" s="37"/>
      <c r="AP56" s="86"/>
      <c r="AQ56" s="88"/>
      <c r="AR56" s="89"/>
      <c r="AS56" s="90"/>
      <c r="AV56" s="88"/>
      <c r="AW56" s="96"/>
      <c r="AX56" s="97"/>
      <c r="AY56" s="93"/>
      <c r="BB56" s="94"/>
      <c r="BE56" s="37"/>
      <c r="BF56" s="36"/>
    </row>
    <row r="57" spans="1:58" ht="14.25">
      <c r="A57" s="37"/>
      <c r="B57" s="37"/>
      <c r="E57" s="37"/>
      <c r="F57" s="37"/>
      <c r="G57" s="37"/>
      <c r="H57" s="37"/>
      <c r="I57" s="37"/>
      <c r="J57" s="37"/>
      <c r="K57" s="37"/>
      <c r="L57" s="37"/>
      <c r="M57" s="37"/>
      <c r="R57" s="154"/>
      <c r="S57" s="152"/>
      <c r="T57" s="156"/>
      <c r="V57" s="91"/>
      <c r="W57" s="92"/>
      <c r="X57" s="93"/>
      <c r="AA57" s="94"/>
      <c r="AB57" s="153"/>
      <c r="AC57" s="37"/>
      <c r="AD57" s="37"/>
      <c r="AE57" s="36"/>
      <c r="AF57" s="37"/>
      <c r="AG57" s="37"/>
      <c r="AO57" s="37"/>
      <c r="AP57" s="86"/>
      <c r="AQ57" s="88"/>
      <c r="AR57" s="89"/>
      <c r="AS57" s="90"/>
      <c r="AV57" s="88"/>
      <c r="AW57" s="96"/>
      <c r="AX57" s="97"/>
      <c r="AY57" s="93"/>
      <c r="BB57" s="94"/>
      <c r="BE57" s="37"/>
      <c r="BF57" s="36"/>
    </row>
    <row r="58" spans="1:58" ht="15">
      <c r="A58" s="37"/>
      <c r="B58" s="37"/>
      <c r="E58" s="37"/>
      <c r="F58" s="37"/>
      <c r="G58" s="37"/>
      <c r="H58" s="37"/>
      <c r="I58" s="37"/>
      <c r="J58" s="37"/>
      <c r="K58" s="37"/>
      <c r="L58" s="37"/>
      <c r="M58" s="37"/>
      <c r="R58" s="154"/>
      <c r="S58" s="152"/>
      <c r="T58" s="156"/>
      <c r="V58" s="91"/>
      <c r="W58" s="92"/>
      <c r="X58" s="93"/>
      <c r="AA58" s="94"/>
      <c r="AB58" s="155"/>
      <c r="AC58" s="37"/>
      <c r="AD58" s="37"/>
      <c r="AE58" s="36"/>
      <c r="AF58" s="37"/>
      <c r="AG58" s="37"/>
      <c r="AO58" s="37"/>
      <c r="AP58" s="86"/>
      <c r="AQ58" s="88"/>
      <c r="AR58" s="89"/>
      <c r="AS58" s="90"/>
      <c r="AV58" s="88"/>
      <c r="AW58" s="96"/>
      <c r="AX58" s="97"/>
      <c r="AY58" s="93"/>
      <c r="BB58" s="94"/>
      <c r="BE58" s="37"/>
      <c r="BF58" s="36"/>
    </row>
    <row r="59" spans="1:58" ht="15">
      <c r="A59" s="37"/>
      <c r="B59" s="37"/>
      <c r="E59" s="37"/>
      <c r="F59" s="37"/>
      <c r="G59" s="37"/>
      <c r="H59" s="37"/>
      <c r="I59" s="37"/>
      <c r="J59" s="37"/>
      <c r="K59" s="37"/>
      <c r="L59" s="37"/>
      <c r="M59" s="37"/>
      <c r="R59" s="154"/>
      <c r="S59" s="152"/>
      <c r="T59" s="156"/>
      <c r="V59" s="91"/>
      <c r="W59" s="92"/>
      <c r="X59" s="93"/>
      <c r="AA59" s="94"/>
      <c r="AB59" s="155"/>
      <c r="AC59" s="37"/>
      <c r="AD59" s="37"/>
      <c r="AE59" s="36"/>
      <c r="AF59" s="37"/>
      <c r="AG59" s="37"/>
      <c r="AO59" s="37"/>
      <c r="AP59" s="86"/>
      <c r="AQ59" s="88"/>
      <c r="AR59" s="89"/>
      <c r="AS59" s="90"/>
      <c r="AV59" s="88"/>
      <c r="AW59" s="96"/>
      <c r="AX59" s="97"/>
      <c r="AY59" s="93"/>
      <c r="BB59" s="94"/>
      <c r="BE59" s="37"/>
      <c r="BF59" s="36"/>
    </row>
    <row r="60" spans="1:58" ht="15">
      <c r="A60" s="37"/>
      <c r="B60" s="37"/>
      <c r="E60" s="37"/>
      <c r="F60" s="37"/>
      <c r="G60" s="37"/>
      <c r="H60" s="37"/>
      <c r="I60" s="37"/>
      <c r="J60" s="37"/>
      <c r="K60" s="37"/>
      <c r="L60" s="37"/>
      <c r="M60" s="37"/>
      <c r="R60" s="154"/>
      <c r="S60" s="152"/>
      <c r="T60" s="156"/>
      <c r="V60" s="91"/>
      <c r="W60" s="92"/>
      <c r="X60" s="93"/>
      <c r="AA60" s="94"/>
      <c r="AB60" s="155"/>
      <c r="AC60" s="37"/>
      <c r="AD60" s="37"/>
      <c r="AE60" s="36"/>
      <c r="AF60" s="37"/>
      <c r="AG60" s="37"/>
      <c r="AO60" s="37"/>
      <c r="AP60" s="86"/>
      <c r="AQ60" s="88"/>
      <c r="AR60" s="89"/>
      <c r="AS60" s="90"/>
      <c r="AV60" s="88"/>
      <c r="AW60" s="96"/>
      <c r="AX60" s="97"/>
      <c r="AY60" s="93"/>
      <c r="BB60" s="94"/>
      <c r="BE60" s="37"/>
      <c r="BF60" s="36"/>
    </row>
    <row r="61" spans="1:58" ht="15">
      <c r="A61" s="37"/>
      <c r="B61" s="37"/>
      <c r="E61" s="37"/>
      <c r="F61" s="37"/>
      <c r="G61" s="37"/>
      <c r="H61" s="37"/>
      <c r="I61" s="37"/>
      <c r="J61" s="37"/>
      <c r="K61" s="37"/>
      <c r="L61" s="37"/>
      <c r="M61" s="37"/>
      <c r="R61" s="154"/>
      <c r="S61" s="152"/>
      <c r="T61" s="156"/>
      <c r="V61" s="91"/>
      <c r="W61" s="92"/>
      <c r="X61" s="93"/>
      <c r="AA61" s="94"/>
      <c r="AB61" s="155"/>
      <c r="AC61" s="37"/>
      <c r="AD61" s="37"/>
      <c r="AE61" s="36"/>
      <c r="AF61" s="37"/>
      <c r="AG61" s="37"/>
      <c r="AO61" s="37"/>
      <c r="AP61" s="86"/>
      <c r="AQ61" s="88"/>
      <c r="AR61" s="89"/>
      <c r="AS61" s="90"/>
      <c r="AV61" s="88"/>
      <c r="AW61" s="96"/>
      <c r="AX61" s="97"/>
      <c r="AY61" s="93"/>
      <c r="BB61" s="94"/>
      <c r="BE61" s="37"/>
      <c r="BF61" s="36"/>
    </row>
    <row r="62" spans="1:58" ht="15">
      <c r="A62" s="37"/>
      <c r="B62" s="37"/>
      <c r="E62" s="37"/>
      <c r="F62" s="37"/>
      <c r="G62" s="37"/>
      <c r="H62" s="37"/>
      <c r="I62" s="37"/>
      <c r="J62" s="37"/>
      <c r="K62" s="37"/>
      <c r="L62" s="37"/>
      <c r="M62" s="37"/>
      <c r="R62" s="154"/>
      <c r="S62" s="152"/>
      <c r="T62" s="156"/>
      <c r="V62" s="91"/>
      <c r="W62" s="92"/>
      <c r="X62" s="93"/>
      <c r="AA62" s="94"/>
      <c r="AB62" s="155"/>
      <c r="AC62" s="37"/>
      <c r="AD62" s="37"/>
      <c r="AE62" s="36"/>
      <c r="AF62" s="37"/>
      <c r="AG62" s="37"/>
      <c r="AO62" s="37"/>
      <c r="AP62" s="86"/>
      <c r="AQ62" s="88"/>
      <c r="AR62" s="89"/>
      <c r="AS62" s="90"/>
      <c r="AV62" s="88"/>
      <c r="AW62" s="96"/>
      <c r="AX62" s="97"/>
      <c r="AY62" s="93"/>
      <c r="BB62" s="94"/>
      <c r="BE62" s="37"/>
      <c r="BF62" s="36"/>
    </row>
    <row r="63" spans="1:58" ht="15">
      <c r="A63" s="37"/>
      <c r="B63" s="37"/>
      <c r="E63" s="37"/>
      <c r="F63" s="37"/>
      <c r="G63" s="37"/>
      <c r="H63" s="37"/>
      <c r="I63" s="37"/>
      <c r="J63" s="37"/>
      <c r="K63" s="37"/>
      <c r="L63" s="37"/>
      <c r="M63" s="37"/>
      <c r="R63" s="154"/>
      <c r="S63" s="152"/>
      <c r="T63" s="156"/>
      <c r="V63" s="91"/>
      <c r="W63" s="92"/>
      <c r="X63" s="93"/>
      <c r="AA63" s="94"/>
      <c r="AB63" s="155"/>
      <c r="AC63" s="37"/>
      <c r="AD63" s="37"/>
      <c r="AE63" s="36"/>
      <c r="AF63" s="37"/>
      <c r="AG63" s="37"/>
      <c r="AO63" s="37"/>
      <c r="AP63" s="86"/>
      <c r="AQ63" s="88"/>
      <c r="AR63" s="89"/>
      <c r="AS63" s="90"/>
      <c r="AV63" s="88"/>
      <c r="AW63" s="96"/>
      <c r="AX63" s="97"/>
      <c r="AY63" s="93"/>
      <c r="BB63" s="94"/>
      <c r="BE63" s="37"/>
      <c r="BF63" s="36"/>
    </row>
    <row r="64" spans="1:58" ht="15">
      <c r="A64" s="37"/>
      <c r="B64" s="37"/>
      <c r="E64" s="37"/>
      <c r="F64" s="37"/>
      <c r="G64" s="37"/>
      <c r="H64" s="37"/>
      <c r="I64" s="37"/>
      <c r="J64" s="37"/>
      <c r="K64" s="37"/>
      <c r="L64" s="37"/>
      <c r="M64" s="37"/>
      <c r="R64" s="154"/>
      <c r="S64" s="152"/>
      <c r="T64" s="156"/>
      <c r="V64" s="91"/>
      <c r="W64" s="92"/>
      <c r="X64" s="93"/>
      <c r="AA64" s="94"/>
      <c r="AB64" s="155"/>
      <c r="AC64" s="37"/>
      <c r="AD64" s="37"/>
      <c r="AE64" s="36"/>
      <c r="AF64" s="37"/>
      <c r="AG64" s="37"/>
      <c r="AO64" s="37"/>
      <c r="AP64" s="86"/>
      <c r="AQ64" s="88"/>
      <c r="AR64" s="89"/>
      <c r="AS64" s="90"/>
      <c r="AV64" s="88"/>
      <c r="AW64" s="96"/>
      <c r="AX64" s="97"/>
      <c r="AY64" s="93"/>
      <c r="BB64" s="94"/>
      <c r="BE64" s="37"/>
      <c r="BF64" s="36"/>
    </row>
    <row r="65" spans="1:58" ht="15">
      <c r="A65" s="37"/>
      <c r="B65" s="37"/>
      <c r="E65" s="37"/>
      <c r="F65" s="37"/>
      <c r="G65" s="37"/>
      <c r="H65" s="37"/>
      <c r="I65" s="37"/>
      <c r="J65" s="37"/>
      <c r="K65" s="37"/>
      <c r="L65" s="37"/>
      <c r="M65" s="37"/>
      <c r="R65" s="154"/>
      <c r="S65" s="152"/>
      <c r="T65" s="156"/>
      <c r="V65" s="91"/>
      <c r="W65" s="92"/>
      <c r="X65" s="93"/>
      <c r="AA65" s="94"/>
      <c r="AB65" s="155"/>
      <c r="AC65" s="37"/>
      <c r="AD65" s="37"/>
      <c r="AE65" s="36"/>
      <c r="AF65" s="37"/>
      <c r="AG65" s="37"/>
      <c r="AO65" s="37"/>
      <c r="AP65" s="86"/>
      <c r="AQ65" s="88"/>
      <c r="AR65" s="89"/>
      <c r="AS65" s="90"/>
      <c r="AV65" s="88"/>
      <c r="AW65" s="96"/>
      <c r="AX65" s="97"/>
      <c r="AY65" s="93"/>
      <c r="BB65" s="94"/>
      <c r="BE65" s="37"/>
      <c r="BF65" s="36"/>
    </row>
    <row r="66" spans="1:58" ht="15">
      <c r="A66" s="37"/>
      <c r="B66" s="37"/>
      <c r="E66" s="37"/>
      <c r="F66" s="37"/>
      <c r="G66" s="37"/>
      <c r="H66" s="37"/>
      <c r="I66" s="37"/>
      <c r="J66" s="37"/>
      <c r="K66" s="37"/>
      <c r="L66" s="37"/>
      <c r="M66" s="37"/>
      <c r="R66" s="154"/>
      <c r="S66" s="152"/>
      <c r="T66" s="156"/>
      <c r="V66" s="91"/>
      <c r="W66" s="92"/>
      <c r="X66" s="93"/>
      <c r="AA66" s="94"/>
      <c r="AB66" s="155"/>
      <c r="AC66" s="37"/>
      <c r="AD66" s="37"/>
      <c r="AE66" s="36"/>
      <c r="AF66" s="37"/>
      <c r="AG66" s="37"/>
      <c r="AO66" s="37"/>
      <c r="AP66" s="86"/>
      <c r="AQ66" s="88"/>
      <c r="AR66" s="89"/>
      <c r="AS66" s="90"/>
      <c r="AV66" s="88"/>
      <c r="AW66" s="96"/>
      <c r="AX66" s="97"/>
      <c r="AY66" s="93"/>
      <c r="BB66" s="94"/>
      <c r="BE66" s="37"/>
      <c r="BF66" s="36"/>
    </row>
    <row r="67" spans="1:58" ht="15">
      <c r="A67" s="37"/>
      <c r="B67" s="37"/>
      <c r="E67" s="37"/>
      <c r="F67" s="37"/>
      <c r="G67" s="37"/>
      <c r="H67" s="37"/>
      <c r="I67" s="37"/>
      <c r="J67" s="37"/>
      <c r="K67" s="37"/>
      <c r="L67" s="37"/>
      <c r="M67" s="37"/>
      <c r="R67" s="154"/>
      <c r="S67" s="152"/>
      <c r="T67" s="156"/>
      <c r="V67" s="91"/>
      <c r="W67" s="92"/>
      <c r="X67" s="93"/>
      <c r="AA67" s="94"/>
      <c r="AB67" s="155"/>
      <c r="AC67" s="37"/>
      <c r="AD67" s="37"/>
      <c r="AE67" s="36"/>
      <c r="AF67" s="37"/>
      <c r="AG67" s="37"/>
      <c r="AO67" s="37"/>
      <c r="AP67" s="86"/>
      <c r="AQ67" s="88"/>
      <c r="AR67" s="89"/>
      <c r="AS67" s="90"/>
      <c r="AV67" s="88"/>
      <c r="AW67" s="96"/>
      <c r="AX67" s="97"/>
      <c r="AY67" s="93"/>
      <c r="BB67" s="94"/>
      <c r="BE67" s="37"/>
      <c r="BF67" s="36"/>
    </row>
    <row r="68" spans="1:58" ht="15">
      <c r="A68" s="37"/>
      <c r="B68" s="37"/>
      <c r="E68" s="37"/>
      <c r="F68" s="37"/>
      <c r="G68" s="37"/>
      <c r="H68" s="37"/>
      <c r="I68" s="37"/>
      <c r="J68" s="37"/>
      <c r="K68" s="37"/>
      <c r="L68" s="37"/>
      <c r="M68" s="37"/>
      <c r="R68" s="154"/>
      <c r="S68" s="152"/>
      <c r="T68" s="156"/>
      <c r="V68" s="91"/>
      <c r="W68" s="92"/>
      <c r="X68" s="93"/>
      <c r="AA68" s="94"/>
      <c r="AB68" s="155"/>
      <c r="AC68" s="37"/>
      <c r="AD68" s="37"/>
      <c r="AE68" s="36"/>
      <c r="AF68" s="37"/>
      <c r="AG68" s="37"/>
      <c r="AO68" s="37"/>
      <c r="AP68" s="86"/>
      <c r="AQ68" s="88"/>
      <c r="AR68" s="89"/>
      <c r="AS68" s="90"/>
      <c r="AV68" s="88"/>
      <c r="AW68" s="96"/>
      <c r="AX68" s="97"/>
      <c r="AY68" s="93"/>
      <c r="BB68" s="94"/>
      <c r="BE68" s="37"/>
      <c r="BF68" s="36"/>
    </row>
    <row r="69" spans="1:58" ht="15">
      <c r="A69" s="37"/>
      <c r="B69" s="37"/>
      <c r="E69" s="37"/>
      <c r="F69" s="37"/>
      <c r="G69" s="37"/>
      <c r="H69" s="37"/>
      <c r="I69" s="37"/>
      <c r="J69" s="37"/>
      <c r="K69" s="37"/>
      <c r="L69" s="37"/>
      <c r="M69" s="37"/>
      <c r="R69" s="154"/>
      <c r="S69" s="152"/>
      <c r="T69" s="156"/>
      <c r="V69" s="91"/>
      <c r="W69" s="92"/>
      <c r="X69" s="93"/>
      <c r="AA69" s="94"/>
      <c r="AB69" s="155"/>
      <c r="AC69" s="37"/>
      <c r="AD69" s="37"/>
      <c r="AE69" s="36"/>
      <c r="AF69" s="37"/>
      <c r="AG69" s="37"/>
      <c r="AO69" s="37"/>
      <c r="AP69" s="86"/>
      <c r="AQ69" s="88"/>
      <c r="AR69" s="89"/>
      <c r="AS69" s="90"/>
      <c r="AV69" s="88"/>
      <c r="AW69" s="96"/>
      <c r="AX69" s="97"/>
      <c r="AY69" s="93"/>
      <c r="BB69" s="94"/>
      <c r="BE69" s="37"/>
      <c r="BF69" s="36"/>
    </row>
    <row r="70" spans="1:58" ht="15">
      <c r="A70" s="37"/>
      <c r="B70" s="37"/>
      <c r="E70" s="37"/>
      <c r="F70" s="37"/>
      <c r="G70" s="37"/>
      <c r="H70" s="37"/>
      <c r="I70" s="37"/>
      <c r="J70" s="37"/>
      <c r="K70" s="37"/>
      <c r="L70" s="37"/>
      <c r="M70" s="37"/>
      <c r="R70" s="154"/>
      <c r="S70" s="152"/>
      <c r="T70" s="156"/>
      <c r="V70" s="91"/>
      <c r="W70" s="92"/>
      <c r="X70" s="93"/>
      <c r="AA70" s="94"/>
      <c r="AB70" s="155"/>
      <c r="AC70" s="37"/>
      <c r="AD70" s="37"/>
      <c r="AE70" s="36"/>
      <c r="AF70" s="37"/>
      <c r="AG70" s="37"/>
      <c r="AO70" s="37"/>
      <c r="AP70" s="86"/>
      <c r="AQ70" s="88"/>
      <c r="AR70" s="89"/>
      <c r="AS70" s="90"/>
      <c r="AV70" s="88"/>
      <c r="AW70" s="96"/>
      <c r="AX70" s="97"/>
      <c r="AY70" s="93"/>
      <c r="BB70" s="94"/>
      <c r="BE70" s="37"/>
      <c r="BF70" s="36"/>
    </row>
    <row r="71" spans="1:58" ht="15">
      <c r="A71" s="37"/>
      <c r="B71" s="37"/>
      <c r="E71" s="37"/>
      <c r="F71" s="37"/>
      <c r="G71" s="37"/>
      <c r="H71" s="37"/>
      <c r="I71" s="37"/>
      <c r="J71" s="37"/>
      <c r="K71" s="37"/>
      <c r="L71" s="37"/>
      <c r="M71" s="37"/>
      <c r="R71" s="154"/>
      <c r="S71" s="152"/>
      <c r="T71" s="156"/>
      <c r="V71" s="91"/>
      <c r="W71" s="92"/>
      <c r="X71" s="93"/>
      <c r="AA71" s="94"/>
      <c r="AB71" s="155"/>
      <c r="AC71" s="37"/>
      <c r="AD71" s="37"/>
      <c r="AE71" s="36"/>
      <c r="AF71" s="37"/>
      <c r="AG71" s="37"/>
      <c r="AO71" s="37"/>
      <c r="AP71" s="86"/>
      <c r="AQ71" s="88"/>
      <c r="AR71" s="89"/>
      <c r="AS71" s="90"/>
      <c r="AV71" s="88"/>
      <c r="AW71" s="96"/>
      <c r="AX71" s="97"/>
      <c r="AY71" s="93"/>
      <c r="BB71" s="94"/>
      <c r="BE71" s="37"/>
      <c r="BF71" s="36"/>
    </row>
    <row r="72" spans="1:58" ht="15">
      <c r="A72" s="37"/>
      <c r="B72" s="37"/>
      <c r="E72" s="37"/>
      <c r="F72" s="37"/>
      <c r="G72" s="37"/>
      <c r="H72" s="37"/>
      <c r="I72" s="37"/>
      <c r="J72" s="37"/>
      <c r="K72" s="37"/>
      <c r="L72" s="37"/>
      <c r="M72" s="37"/>
      <c r="R72" s="154"/>
      <c r="S72" s="152"/>
      <c r="T72" s="156"/>
      <c r="V72" s="91"/>
      <c r="W72" s="92"/>
      <c r="X72" s="93"/>
      <c r="AA72" s="94"/>
      <c r="AB72" s="155"/>
      <c r="AC72" s="37"/>
      <c r="AD72" s="37"/>
      <c r="AE72" s="36"/>
      <c r="AF72" s="37"/>
      <c r="AG72" s="37"/>
      <c r="AO72" s="37"/>
      <c r="AP72" s="86"/>
      <c r="AQ72" s="88"/>
      <c r="AR72" s="89"/>
      <c r="AS72" s="90"/>
      <c r="AV72" s="88"/>
      <c r="AW72" s="96"/>
      <c r="AX72" s="97"/>
      <c r="AY72" s="93"/>
      <c r="BB72" s="94"/>
      <c r="BE72" s="37"/>
      <c r="BF72" s="36"/>
    </row>
    <row r="73" spans="1:58" ht="15">
      <c r="A73" s="37"/>
      <c r="B73" s="37"/>
      <c r="E73" s="37"/>
      <c r="F73" s="37"/>
      <c r="G73" s="37"/>
      <c r="H73" s="37"/>
      <c r="I73" s="37"/>
      <c r="J73" s="37"/>
      <c r="K73" s="37"/>
      <c r="L73" s="37"/>
      <c r="M73" s="37"/>
      <c r="R73" s="154"/>
      <c r="S73" s="152"/>
      <c r="T73" s="156"/>
      <c r="V73" s="91"/>
      <c r="W73" s="92"/>
      <c r="X73" s="93"/>
      <c r="AA73" s="94"/>
      <c r="AB73" s="155"/>
      <c r="AC73" s="37"/>
      <c r="AD73" s="37"/>
      <c r="AE73" s="36"/>
      <c r="AF73" s="37"/>
      <c r="AG73" s="37"/>
      <c r="AO73" s="37"/>
      <c r="AP73" s="86"/>
      <c r="AQ73" s="88"/>
      <c r="AR73" s="89"/>
      <c r="AS73" s="90"/>
      <c r="AV73" s="88"/>
      <c r="AW73" s="96"/>
      <c r="AX73" s="97"/>
      <c r="AY73" s="93"/>
      <c r="BB73" s="94"/>
      <c r="BE73" s="37"/>
      <c r="BF73" s="36"/>
    </row>
    <row r="74" spans="1:58" ht="15">
      <c r="A74" s="37"/>
      <c r="B74" s="37"/>
      <c r="E74" s="37"/>
      <c r="F74" s="37"/>
      <c r="G74" s="37"/>
      <c r="H74" s="37"/>
      <c r="I74" s="37"/>
      <c r="J74" s="37"/>
      <c r="K74" s="37"/>
      <c r="L74" s="37"/>
      <c r="M74" s="37"/>
      <c r="R74" s="154"/>
      <c r="S74" s="152"/>
      <c r="T74" s="156"/>
      <c r="V74" s="91"/>
      <c r="W74" s="92"/>
      <c r="X74" s="93"/>
      <c r="AA74" s="94"/>
      <c r="AB74" s="155"/>
      <c r="AC74" s="37"/>
      <c r="AD74" s="37"/>
      <c r="AE74" s="36"/>
      <c r="AF74" s="37"/>
      <c r="AG74" s="37"/>
      <c r="AO74" s="37"/>
      <c r="AP74" s="86"/>
      <c r="AQ74" s="88"/>
      <c r="AR74" s="89"/>
      <c r="AS74" s="90"/>
      <c r="AV74" s="88"/>
      <c r="AW74" s="96"/>
      <c r="AX74" s="97"/>
      <c r="AY74" s="93"/>
      <c r="BB74" s="94"/>
      <c r="BE74" s="37"/>
      <c r="BF74" s="36"/>
    </row>
    <row r="75" spans="1:58" ht="15">
      <c r="A75" s="37"/>
      <c r="B75" s="37"/>
      <c r="E75" s="37"/>
      <c r="F75" s="37"/>
      <c r="G75" s="37"/>
      <c r="H75" s="37"/>
      <c r="I75" s="37"/>
      <c r="J75" s="37"/>
      <c r="K75" s="37"/>
      <c r="L75" s="37"/>
      <c r="M75" s="37"/>
      <c r="R75" s="154"/>
      <c r="S75" s="152"/>
      <c r="T75" s="156"/>
      <c r="V75" s="91"/>
      <c r="W75" s="92"/>
      <c r="X75" s="93"/>
      <c r="AA75" s="94"/>
      <c r="AB75" s="155"/>
      <c r="AC75" s="37"/>
      <c r="AD75" s="37"/>
      <c r="AE75" s="36"/>
      <c r="AF75" s="37"/>
      <c r="AG75" s="37"/>
      <c r="AO75" s="37"/>
      <c r="AP75" s="86"/>
      <c r="AQ75" s="88"/>
      <c r="AR75" s="89"/>
      <c r="AS75" s="90"/>
      <c r="AV75" s="88"/>
      <c r="AW75" s="96"/>
      <c r="AX75" s="97"/>
      <c r="AY75" s="93"/>
      <c r="BB75" s="94"/>
      <c r="BE75" s="37"/>
      <c r="BF75" s="36"/>
    </row>
    <row r="76" spans="1:58" ht="15">
      <c r="A76" s="37"/>
      <c r="B76" s="37"/>
      <c r="E76" s="37"/>
      <c r="F76" s="37"/>
      <c r="G76" s="37"/>
      <c r="H76" s="37"/>
      <c r="I76" s="37"/>
      <c r="J76" s="37"/>
      <c r="K76" s="37"/>
      <c r="L76" s="37"/>
      <c r="M76" s="37"/>
      <c r="R76" s="154"/>
      <c r="S76" s="152"/>
      <c r="T76" s="156"/>
      <c r="V76" s="91"/>
      <c r="W76" s="92"/>
      <c r="X76" s="93"/>
      <c r="AA76" s="94"/>
      <c r="AB76" s="155"/>
      <c r="AC76" s="37"/>
      <c r="AD76" s="37"/>
      <c r="AE76" s="36"/>
      <c r="AF76" s="37"/>
      <c r="AG76" s="37"/>
      <c r="AO76" s="37"/>
      <c r="AP76" s="86"/>
      <c r="AQ76" s="88"/>
      <c r="AR76" s="89"/>
      <c r="AS76" s="90"/>
      <c r="AV76" s="88"/>
      <c r="AW76" s="96"/>
      <c r="AX76" s="97"/>
      <c r="AY76" s="93"/>
      <c r="BB76" s="94"/>
      <c r="BE76" s="37"/>
      <c r="BF76" s="36"/>
    </row>
    <row r="77" spans="1:58" ht="15">
      <c r="A77" s="37"/>
      <c r="B77" s="37"/>
      <c r="E77" s="37"/>
      <c r="F77" s="37"/>
      <c r="G77" s="37"/>
      <c r="H77" s="37"/>
      <c r="I77" s="37"/>
      <c r="J77" s="37"/>
      <c r="K77" s="37"/>
      <c r="L77" s="37"/>
      <c r="M77" s="37"/>
      <c r="R77" s="154"/>
      <c r="S77" s="152"/>
      <c r="T77" s="156"/>
      <c r="V77" s="91"/>
      <c r="W77" s="92"/>
      <c r="X77" s="93"/>
      <c r="AA77" s="94"/>
      <c r="AB77" s="155"/>
      <c r="AC77" s="37"/>
      <c r="AD77" s="37"/>
      <c r="AE77" s="36"/>
      <c r="AF77" s="37"/>
      <c r="AG77" s="37"/>
      <c r="AO77" s="37"/>
      <c r="AP77" s="86"/>
      <c r="AQ77" s="88"/>
      <c r="AR77" s="89"/>
      <c r="AS77" s="90"/>
      <c r="AV77" s="88"/>
      <c r="AW77" s="96"/>
      <c r="AX77" s="97"/>
      <c r="AY77" s="93"/>
      <c r="BB77" s="94"/>
      <c r="BE77" s="37"/>
      <c r="BF77" s="36"/>
    </row>
    <row r="78" spans="1:58" ht="15">
      <c r="A78" s="37"/>
      <c r="B78" s="37"/>
      <c r="E78" s="37"/>
      <c r="F78" s="37"/>
      <c r="G78" s="37"/>
      <c r="H78" s="37"/>
      <c r="I78" s="37"/>
      <c r="J78" s="37"/>
      <c r="K78" s="37"/>
      <c r="L78" s="37"/>
      <c r="M78" s="37"/>
      <c r="R78" s="154"/>
      <c r="S78" s="152"/>
      <c r="T78" s="156"/>
      <c r="V78" s="91"/>
      <c r="W78" s="92"/>
      <c r="X78" s="93"/>
      <c r="AA78" s="94"/>
      <c r="AB78" s="155"/>
      <c r="AC78" s="37"/>
      <c r="AD78" s="37"/>
      <c r="AE78" s="36"/>
      <c r="AF78" s="37"/>
      <c r="AG78" s="37"/>
      <c r="AO78" s="37"/>
      <c r="AP78" s="86"/>
      <c r="AQ78" s="88"/>
      <c r="AR78" s="89"/>
      <c r="AS78" s="90"/>
      <c r="AV78" s="88"/>
      <c r="AW78" s="96"/>
      <c r="AX78" s="97"/>
      <c r="AY78" s="93"/>
      <c r="BB78" s="94"/>
      <c r="BE78" s="37"/>
      <c r="BF78" s="36"/>
    </row>
    <row r="79" spans="1:58" ht="15">
      <c r="A79" s="37"/>
      <c r="B79" s="37"/>
      <c r="E79" s="37"/>
      <c r="F79" s="37"/>
      <c r="G79" s="37"/>
      <c r="H79" s="37"/>
      <c r="I79" s="37"/>
      <c r="J79" s="37"/>
      <c r="K79" s="37"/>
      <c r="L79" s="37"/>
      <c r="M79" s="37"/>
      <c r="R79" s="154"/>
      <c r="S79" s="152"/>
      <c r="T79" s="156"/>
      <c r="V79" s="91"/>
      <c r="W79" s="92"/>
      <c r="X79" s="93"/>
      <c r="AA79" s="94"/>
      <c r="AB79" s="155"/>
      <c r="AC79" s="37"/>
      <c r="AD79" s="37"/>
      <c r="AE79" s="36"/>
      <c r="AF79" s="37"/>
      <c r="AG79" s="37"/>
      <c r="AO79" s="37"/>
      <c r="AP79" s="86"/>
      <c r="AQ79" s="88"/>
      <c r="AR79" s="89"/>
      <c r="AS79" s="90"/>
      <c r="AV79" s="88"/>
      <c r="AW79" s="96"/>
      <c r="AX79" s="97"/>
      <c r="AY79" s="93"/>
      <c r="BB79" s="94"/>
      <c r="BE79" s="37"/>
      <c r="BF79" s="36"/>
    </row>
    <row r="80" spans="1:58" ht="15">
      <c r="A80" s="37"/>
      <c r="B80" s="37"/>
      <c r="E80" s="37"/>
      <c r="F80" s="37"/>
      <c r="G80" s="37"/>
      <c r="H80" s="37"/>
      <c r="I80" s="37"/>
      <c r="J80" s="37"/>
      <c r="K80" s="37"/>
      <c r="L80" s="37"/>
      <c r="M80" s="37"/>
      <c r="R80" s="154"/>
      <c r="S80" s="152"/>
      <c r="T80" s="156"/>
      <c r="V80" s="91"/>
      <c r="W80" s="92"/>
      <c r="X80" s="93"/>
      <c r="AA80" s="94"/>
      <c r="AB80" s="155"/>
      <c r="AC80" s="37"/>
      <c r="AD80" s="37"/>
      <c r="AE80" s="36"/>
      <c r="AF80" s="37"/>
      <c r="AG80" s="37"/>
      <c r="AO80" s="37"/>
      <c r="AP80" s="86"/>
      <c r="AQ80" s="88"/>
      <c r="AR80" s="89"/>
      <c r="AS80" s="90"/>
      <c r="AV80" s="88"/>
      <c r="AW80" s="96"/>
      <c r="AX80" s="97"/>
      <c r="AY80" s="93"/>
      <c r="BB80" s="94"/>
      <c r="BE80" s="37"/>
      <c r="BF80" s="36"/>
    </row>
    <row r="81" spans="1:58" ht="14.25">
      <c r="A81" s="37"/>
      <c r="B81" s="37"/>
      <c r="E81" s="37"/>
      <c r="F81" s="37"/>
      <c r="G81" s="37"/>
      <c r="H81" s="37"/>
      <c r="I81" s="37"/>
      <c r="J81" s="37"/>
      <c r="K81" s="37"/>
      <c r="L81" s="37"/>
      <c r="M81" s="37"/>
      <c r="R81" s="154"/>
      <c r="S81" s="152"/>
      <c r="T81" s="156"/>
      <c r="V81" s="91"/>
      <c r="W81" s="92"/>
      <c r="X81" s="93"/>
      <c r="AA81" s="94"/>
      <c r="AB81" s="153"/>
      <c r="AC81" s="37"/>
      <c r="AD81" s="37"/>
      <c r="AE81" s="36"/>
      <c r="AF81" s="37"/>
      <c r="AG81" s="37"/>
      <c r="AO81" s="37"/>
      <c r="AP81" s="86"/>
      <c r="AQ81" s="88"/>
      <c r="AR81" s="89"/>
      <c r="AS81" s="90"/>
      <c r="AV81" s="88"/>
      <c r="AW81" s="96"/>
      <c r="AX81" s="97"/>
      <c r="AY81" s="93"/>
      <c r="BB81" s="94"/>
      <c r="BE81" s="37"/>
      <c r="BF81" s="36"/>
    </row>
    <row r="82" spans="1:58" ht="15">
      <c r="A82" s="37"/>
      <c r="B82" s="37"/>
      <c r="E82" s="37"/>
      <c r="F82" s="37"/>
      <c r="G82" s="37"/>
      <c r="H82" s="37"/>
      <c r="I82" s="37"/>
      <c r="J82" s="37"/>
      <c r="K82" s="37"/>
      <c r="L82" s="37"/>
      <c r="M82" s="37"/>
      <c r="R82" s="154"/>
      <c r="S82" s="152"/>
      <c r="T82" s="156"/>
      <c r="V82" s="91"/>
      <c r="W82" s="92"/>
      <c r="X82" s="93"/>
      <c r="AA82" s="94"/>
      <c r="AB82" s="155"/>
      <c r="AC82" s="37"/>
      <c r="AD82" s="37"/>
      <c r="AE82" s="36"/>
      <c r="AF82" s="37"/>
      <c r="AG82" s="37"/>
      <c r="AO82" s="37"/>
      <c r="AP82" s="86"/>
      <c r="AQ82" s="88"/>
      <c r="AR82" s="89"/>
      <c r="AS82" s="90"/>
      <c r="AV82" s="88"/>
      <c r="AW82" s="96"/>
      <c r="AX82" s="97"/>
      <c r="AY82" s="93"/>
      <c r="BB82" s="94"/>
      <c r="BE82" s="37"/>
      <c r="BF82" s="36"/>
    </row>
    <row r="83" spans="1:58" ht="15">
      <c r="A83" s="37"/>
      <c r="B83" s="37"/>
      <c r="E83" s="37"/>
      <c r="F83" s="37"/>
      <c r="G83" s="37"/>
      <c r="H83" s="37"/>
      <c r="I83" s="37"/>
      <c r="J83" s="37"/>
      <c r="K83" s="37"/>
      <c r="L83" s="37"/>
      <c r="M83" s="37"/>
      <c r="R83" s="154"/>
      <c r="S83" s="152"/>
      <c r="T83" s="156"/>
      <c r="V83" s="91"/>
      <c r="W83" s="92"/>
      <c r="X83" s="93"/>
      <c r="AA83" s="94"/>
      <c r="AB83" s="155"/>
      <c r="AC83" s="37"/>
      <c r="AD83" s="37"/>
      <c r="AE83" s="36"/>
      <c r="AF83" s="37"/>
      <c r="AG83" s="37"/>
      <c r="AO83" s="37"/>
      <c r="AP83" s="86"/>
      <c r="AQ83" s="88"/>
      <c r="AR83" s="89"/>
      <c r="AS83" s="90"/>
      <c r="AV83" s="88"/>
      <c r="AW83" s="96"/>
      <c r="AX83" s="97"/>
      <c r="AY83" s="93"/>
      <c r="BB83" s="94"/>
      <c r="BE83" s="37"/>
      <c r="BF83" s="36"/>
    </row>
    <row r="84" spans="1:58" ht="15">
      <c r="A84" s="37"/>
      <c r="B84" s="37"/>
      <c r="E84" s="37"/>
      <c r="F84" s="37"/>
      <c r="G84" s="37"/>
      <c r="H84" s="37"/>
      <c r="I84" s="37"/>
      <c r="J84" s="37"/>
      <c r="K84" s="37"/>
      <c r="L84" s="37"/>
      <c r="M84" s="37"/>
      <c r="R84" s="154"/>
      <c r="S84" s="152"/>
      <c r="T84" s="156"/>
      <c r="V84" s="91"/>
      <c r="W84" s="92"/>
      <c r="X84" s="93"/>
      <c r="AA84" s="94"/>
      <c r="AB84" s="155"/>
      <c r="AC84" s="37"/>
      <c r="AD84" s="37"/>
      <c r="AE84" s="36"/>
      <c r="AF84" s="37"/>
      <c r="AG84" s="37"/>
      <c r="AO84" s="37"/>
      <c r="AP84" s="86"/>
      <c r="AQ84" s="88"/>
      <c r="AR84" s="89"/>
      <c r="AS84" s="90"/>
      <c r="AV84" s="88"/>
      <c r="AW84" s="96"/>
      <c r="AX84" s="97"/>
      <c r="AY84" s="93"/>
      <c r="BB84" s="94"/>
      <c r="BE84" s="37"/>
      <c r="BF84" s="36"/>
    </row>
    <row r="85" spans="1:58" ht="14.25">
      <c r="A85" s="37"/>
      <c r="B85" s="37"/>
      <c r="E85" s="37"/>
      <c r="F85" s="37"/>
      <c r="G85" s="37"/>
      <c r="H85" s="37"/>
      <c r="I85" s="37"/>
      <c r="J85" s="37"/>
      <c r="K85" s="37"/>
      <c r="L85" s="37"/>
      <c r="M85" s="37"/>
      <c r="R85" s="154"/>
      <c r="S85" s="152"/>
      <c r="T85" s="156"/>
      <c r="V85" s="91"/>
      <c r="W85" s="92"/>
      <c r="X85" s="93"/>
      <c r="AA85" s="94"/>
      <c r="AB85" s="153"/>
      <c r="AC85" s="37"/>
      <c r="AD85" s="37"/>
      <c r="AE85" s="36"/>
      <c r="AF85" s="37"/>
      <c r="AG85" s="37"/>
      <c r="AO85" s="37"/>
      <c r="AP85" s="86"/>
      <c r="AQ85" s="88"/>
      <c r="AR85" s="89"/>
      <c r="AS85" s="90"/>
      <c r="AV85" s="88"/>
      <c r="AW85" s="96"/>
      <c r="AX85" s="97"/>
      <c r="AY85" s="93"/>
      <c r="BB85" s="94"/>
      <c r="BE85" s="37"/>
      <c r="BF85" s="36"/>
    </row>
    <row r="86" spans="1:58" ht="15">
      <c r="A86" s="37"/>
      <c r="B86" s="37"/>
      <c r="E86" s="37"/>
      <c r="F86" s="37"/>
      <c r="G86" s="37"/>
      <c r="H86" s="37"/>
      <c r="I86" s="37"/>
      <c r="J86" s="37"/>
      <c r="K86" s="37"/>
      <c r="L86" s="37"/>
      <c r="M86" s="37"/>
      <c r="R86" s="154"/>
      <c r="S86" s="152"/>
      <c r="T86" s="156"/>
      <c r="V86" s="91"/>
      <c r="W86" s="92"/>
      <c r="X86" s="93"/>
      <c r="AA86" s="94"/>
      <c r="AB86" s="155"/>
      <c r="AC86" s="37"/>
      <c r="AD86" s="37"/>
      <c r="AE86" s="36"/>
      <c r="AF86" s="37"/>
      <c r="AG86" s="37"/>
      <c r="AO86" s="37"/>
      <c r="AP86" s="86"/>
      <c r="AQ86" s="88"/>
      <c r="AR86" s="89"/>
      <c r="AS86" s="90"/>
      <c r="AV86" s="88"/>
      <c r="AW86" s="96"/>
      <c r="AX86" s="97"/>
      <c r="AY86" s="93"/>
      <c r="BB86" s="94"/>
      <c r="BE86" s="37"/>
      <c r="BF86" s="36"/>
    </row>
    <row r="87" spans="1:58" ht="15">
      <c r="A87" s="37"/>
      <c r="B87" s="37"/>
      <c r="E87" s="37"/>
      <c r="F87" s="37"/>
      <c r="G87" s="37"/>
      <c r="H87" s="37"/>
      <c r="I87" s="37"/>
      <c r="J87" s="37"/>
      <c r="K87" s="37"/>
      <c r="L87" s="37"/>
      <c r="M87" s="37"/>
      <c r="R87" s="154"/>
      <c r="S87" s="152"/>
      <c r="T87" s="156"/>
      <c r="V87" s="91"/>
      <c r="W87" s="92"/>
      <c r="X87" s="93"/>
      <c r="AA87" s="94"/>
      <c r="AB87" s="155"/>
      <c r="AC87" s="37"/>
      <c r="AD87" s="37"/>
      <c r="AE87" s="36"/>
      <c r="AF87" s="37"/>
      <c r="AG87" s="37"/>
      <c r="AO87" s="37"/>
      <c r="AP87" s="86"/>
      <c r="AQ87" s="88"/>
      <c r="AR87" s="89"/>
      <c r="AS87" s="90"/>
      <c r="AV87" s="88"/>
      <c r="AW87" s="96"/>
      <c r="AX87" s="97"/>
      <c r="AY87" s="93"/>
      <c r="BB87" s="94"/>
      <c r="BE87" s="37"/>
      <c r="BF87" s="36"/>
    </row>
    <row r="88" spans="1:58" ht="15">
      <c r="A88" s="37"/>
      <c r="B88" s="37"/>
      <c r="E88" s="37"/>
      <c r="F88" s="37"/>
      <c r="G88" s="37"/>
      <c r="H88" s="37"/>
      <c r="I88" s="37"/>
      <c r="J88" s="37"/>
      <c r="K88" s="37"/>
      <c r="L88" s="37"/>
      <c r="M88" s="37"/>
      <c r="R88" s="154"/>
      <c r="S88" s="152"/>
      <c r="T88" s="156"/>
      <c r="V88" s="91"/>
      <c r="W88" s="92"/>
      <c r="X88" s="93"/>
      <c r="AA88" s="94"/>
      <c r="AB88" s="155"/>
      <c r="AC88" s="37"/>
      <c r="AD88" s="37"/>
      <c r="AE88" s="36"/>
      <c r="AF88" s="37"/>
      <c r="AG88" s="37"/>
      <c r="AO88" s="37"/>
      <c r="AP88" s="86"/>
      <c r="AQ88" s="88"/>
      <c r="AR88" s="89"/>
      <c r="AS88" s="90"/>
      <c r="AV88" s="88"/>
      <c r="AW88" s="96"/>
      <c r="AX88" s="97"/>
      <c r="AY88" s="93"/>
      <c r="BB88" s="94"/>
      <c r="BE88" s="37"/>
      <c r="BF88" s="36"/>
    </row>
    <row r="89" spans="1:58" ht="14.25">
      <c r="A89" s="37"/>
      <c r="B89" s="37"/>
      <c r="E89" s="37"/>
      <c r="F89" s="37"/>
      <c r="G89" s="37"/>
      <c r="H89" s="37"/>
      <c r="I89" s="37"/>
      <c r="J89" s="37"/>
      <c r="K89" s="37"/>
      <c r="L89" s="37"/>
      <c r="M89" s="37"/>
      <c r="R89" s="154"/>
      <c r="S89" s="152"/>
      <c r="T89" s="156"/>
      <c r="V89" s="91"/>
      <c r="W89" s="92"/>
      <c r="X89" s="93"/>
      <c r="AA89" s="94"/>
      <c r="AB89" s="153"/>
      <c r="AC89" s="37"/>
      <c r="AD89" s="37"/>
      <c r="AE89" s="36"/>
      <c r="AF89" s="37"/>
      <c r="AG89" s="37"/>
      <c r="AO89" s="37"/>
      <c r="AP89" s="86"/>
      <c r="AQ89" s="88"/>
      <c r="AR89" s="89"/>
      <c r="AS89" s="90"/>
      <c r="AV89" s="88"/>
      <c r="AW89" s="96"/>
      <c r="AX89" s="97"/>
      <c r="AY89" s="93"/>
      <c r="BB89" s="94"/>
      <c r="BE89" s="37"/>
      <c r="BF89" s="36"/>
    </row>
    <row r="90" spans="1:58" ht="15">
      <c r="A90" s="37"/>
      <c r="B90" s="37"/>
      <c r="E90" s="37"/>
      <c r="F90" s="37"/>
      <c r="G90" s="37"/>
      <c r="H90" s="37"/>
      <c r="I90" s="37"/>
      <c r="J90" s="37"/>
      <c r="K90" s="37"/>
      <c r="L90" s="37"/>
      <c r="M90" s="37"/>
      <c r="R90" s="154"/>
      <c r="S90" s="152"/>
      <c r="T90" s="156"/>
      <c r="V90" s="91"/>
      <c r="W90" s="92"/>
      <c r="X90" s="93"/>
      <c r="AA90" s="94"/>
      <c r="AB90" s="155"/>
      <c r="AC90" s="37"/>
      <c r="AD90" s="37"/>
      <c r="AE90" s="36"/>
      <c r="AF90" s="37"/>
      <c r="AG90" s="37"/>
      <c r="AO90" s="37"/>
      <c r="AP90" s="86"/>
      <c r="AQ90" s="88"/>
      <c r="AR90" s="89"/>
      <c r="AS90" s="90"/>
      <c r="AV90" s="88"/>
      <c r="AW90" s="96"/>
      <c r="AX90" s="97"/>
      <c r="AY90" s="93"/>
      <c r="BB90" s="94"/>
      <c r="BE90" s="37"/>
      <c r="BF90" s="36"/>
    </row>
    <row r="91" spans="1:58" ht="15">
      <c r="A91" s="37"/>
      <c r="B91" s="37"/>
      <c r="E91" s="37"/>
      <c r="F91" s="37"/>
      <c r="G91" s="37"/>
      <c r="H91" s="37"/>
      <c r="I91" s="37"/>
      <c r="J91" s="37"/>
      <c r="K91" s="37"/>
      <c r="L91" s="37"/>
      <c r="M91" s="37"/>
      <c r="R91" s="154"/>
      <c r="S91" s="152"/>
      <c r="T91" s="156"/>
      <c r="V91" s="91"/>
      <c r="W91" s="92"/>
      <c r="X91" s="93"/>
      <c r="AA91" s="94"/>
      <c r="AB91" s="155"/>
      <c r="AC91" s="37"/>
      <c r="AD91" s="37"/>
      <c r="AE91" s="36"/>
      <c r="AF91" s="37"/>
      <c r="AG91" s="37"/>
      <c r="AO91" s="37"/>
      <c r="AP91" s="86"/>
      <c r="AQ91" s="88"/>
      <c r="AR91" s="89"/>
      <c r="AS91" s="90"/>
      <c r="AV91" s="88"/>
      <c r="AW91" s="96"/>
      <c r="AX91" s="97"/>
      <c r="AY91" s="93"/>
      <c r="BB91" s="94"/>
      <c r="BE91" s="37"/>
      <c r="BF91" s="36"/>
    </row>
    <row r="92" spans="1:58" ht="15">
      <c r="A92" s="37"/>
      <c r="B92" s="37"/>
      <c r="E92" s="37"/>
      <c r="F92" s="37"/>
      <c r="G92" s="37"/>
      <c r="H92" s="37"/>
      <c r="I92" s="37"/>
      <c r="J92" s="37"/>
      <c r="K92" s="37"/>
      <c r="L92" s="37"/>
      <c r="M92" s="37"/>
      <c r="R92" s="154"/>
      <c r="S92" s="152"/>
      <c r="T92" s="156"/>
      <c r="V92" s="91"/>
      <c r="W92" s="92"/>
      <c r="X92" s="93"/>
      <c r="AA92" s="94"/>
      <c r="AB92" s="155"/>
      <c r="AC92" s="37"/>
      <c r="AD92" s="37"/>
      <c r="AE92" s="36"/>
      <c r="AF92" s="37"/>
      <c r="AG92" s="37"/>
      <c r="AO92" s="37"/>
      <c r="AP92" s="86"/>
      <c r="AQ92" s="88"/>
      <c r="AR92" s="89"/>
      <c r="AS92" s="90"/>
      <c r="AV92" s="88"/>
      <c r="AW92" s="96"/>
      <c r="AX92" s="97"/>
      <c r="AY92" s="93"/>
      <c r="BB92" s="94"/>
      <c r="BE92" s="37"/>
      <c r="BF92" s="36"/>
    </row>
    <row r="93" spans="1:58" ht="15">
      <c r="A93" s="37"/>
      <c r="B93" s="37"/>
      <c r="E93" s="37"/>
      <c r="F93" s="37"/>
      <c r="G93" s="37"/>
      <c r="H93" s="37"/>
      <c r="I93" s="37"/>
      <c r="J93" s="37"/>
      <c r="K93" s="37"/>
      <c r="L93" s="37"/>
      <c r="M93" s="37"/>
      <c r="R93" s="154"/>
      <c r="S93" s="152"/>
      <c r="T93" s="156"/>
      <c r="V93" s="91"/>
      <c r="W93" s="92"/>
      <c r="X93" s="93"/>
      <c r="AA93" s="94"/>
      <c r="AB93" s="155"/>
      <c r="AC93" s="37"/>
      <c r="AD93" s="37"/>
      <c r="AE93" s="36"/>
      <c r="AF93" s="37"/>
      <c r="AG93" s="37"/>
      <c r="AO93" s="37"/>
      <c r="AP93" s="86"/>
      <c r="AQ93" s="88"/>
      <c r="AR93" s="89"/>
      <c r="AS93" s="90"/>
      <c r="AV93" s="88"/>
      <c r="AW93" s="96"/>
      <c r="AX93" s="97"/>
      <c r="AY93" s="93"/>
      <c r="BB93" s="94"/>
      <c r="BE93" s="37"/>
      <c r="BF93" s="36"/>
    </row>
    <row r="94" spans="1:58" ht="15">
      <c r="A94" s="37"/>
      <c r="B94" s="37"/>
      <c r="E94" s="37"/>
      <c r="F94" s="37"/>
      <c r="G94" s="37"/>
      <c r="H94" s="37"/>
      <c r="I94" s="37"/>
      <c r="J94" s="37"/>
      <c r="K94" s="37"/>
      <c r="L94" s="37"/>
      <c r="M94" s="37"/>
      <c r="R94" s="154"/>
      <c r="S94" s="152"/>
      <c r="T94" s="156"/>
      <c r="V94" s="91"/>
      <c r="W94" s="92"/>
      <c r="X94" s="93"/>
      <c r="AA94" s="94"/>
      <c r="AB94" s="155"/>
      <c r="AC94" s="37"/>
      <c r="AD94" s="37"/>
      <c r="AE94" s="36"/>
      <c r="AF94" s="37"/>
      <c r="AG94" s="37"/>
      <c r="AO94" s="37"/>
      <c r="AP94" s="86"/>
      <c r="AQ94" s="88"/>
      <c r="AR94" s="89"/>
      <c r="AS94" s="90"/>
      <c r="AV94" s="88"/>
      <c r="AW94" s="96"/>
      <c r="AX94" s="97"/>
      <c r="AY94" s="93"/>
      <c r="BB94" s="94"/>
      <c r="BE94" s="37"/>
      <c r="BF94" s="36"/>
    </row>
    <row r="95" spans="1:58" ht="15">
      <c r="A95" s="37"/>
      <c r="B95" s="37"/>
      <c r="E95" s="37"/>
      <c r="F95" s="37"/>
      <c r="G95" s="37"/>
      <c r="H95" s="37"/>
      <c r="I95" s="37"/>
      <c r="J95" s="37"/>
      <c r="K95" s="37"/>
      <c r="L95" s="37"/>
      <c r="M95" s="37"/>
      <c r="R95" s="154"/>
      <c r="S95" s="152"/>
      <c r="T95" s="156"/>
      <c r="V95" s="91"/>
      <c r="W95" s="92"/>
      <c r="X95" s="93"/>
      <c r="AA95" s="94"/>
      <c r="AB95" s="155"/>
      <c r="AC95" s="37"/>
      <c r="AD95" s="37"/>
      <c r="AE95" s="36"/>
      <c r="AF95" s="37"/>
      <c r="AG95" s="37"/>
      <c r="AO95" s="37"/>
      <c r="AP95" s="86"/>
      <c r="AQ95" s="88"/>
      <c r="AR95" s="89"/>
      <c r="AS95" s="90"/>
      <c r="AV95" s="88"/>
      <c r="AW95" s="96"/>
      <c r="AX95" s="97"/>
      <c r="AY95" s="93"/>
      <c r="BB95" s="94"/>
      <c r="BE95" s="37"/>
      <c r="BF95" s="36"/>
    </row>
    <row r="96" spans="1:58" ht="15">
      <c r="A96" s="37"/>
      <c r="B96" s="37"/>
      <c r="E96" s="37"/>
      <c r="F96" s="37"/>
      <c r="G96" s="37"/>
      <c r="H96" s="37"/>
      <c r="I96" s="37"/>
      <c r="J96" s="37"/>
      <c r="K96" s="37"/>
      <c r="L96" s="37"/>
      <c r="M96" s="37"/>
      <c r="R96" s="154"/>
      <c r="S96" s="152"/>
      <c r="T96" s="156"/>
      <c r="V96" s="91"/>
      <c r="W96" s="92"/>
      <c r="X96" s="93"/>
      <c r="AA96" s="94"/>
      <c r="AB96" s="155"/>
      <c r="AC96" s="37"/>
      <c r="AD96" s="37"/>
      <c r="AE96" s="36"/>
      <c r="AF96" s="37"/>
      <c r="AG96" s="37"/>
      <c r="AO96" s="37"/>
      <c r="AP96" s="86"/>
      <c r="AQ96" s="88"/>
      <c r="AR96" s="89"/>
      <c r="AS96" s="90"/>
      <c r="AV96" s="88"/>
      <c r="AW96" s="96"/>
      <c r="AX96" s="97"/>
      <c r="AY96" s="93"/>
      <c r="BB96" s="94"/>
      <c r="BE96" s="37"/>
      <c r="BF96" s="36"/>
    </row>
    <row r="97" spans="1:60" ht="14.25">
      <c r="A97" s="37"/>
      <c r="B97" s="37"/>
      <c r="E97" s="37"/>
      <c r="F97" s="37"/>
      <c r="G97" s="37"/>
      <c r="I97" s="37"/>
      <c r="J97" s="37"/>
      <c r="K97" s="37"/>
      <c r="M97" s="37"/>
      <c r="N97" s="86"/>
      <c r="R97" s="154"/>
      <c r="S97" s="152"/>
      <c r="T97" s="156"/>
      <c r="V97" s="91"/>
      <c r="W97" s="92"/>
      <c r="X97" s="93"/>
      <c r="AA97" s="94"/>
      <c r="AB97" s="153"/>
      <c r="AC97" s="37"/>
      <c r="AD97" s="37"/>
      <c r="AE97" s="36"/>
      <c r="AF97" s="37"/>
      <c r="AG97" s="37"/>
      <c r="AO97" s="37"/>
      <c r="AP97" s="86"/>
      <c r="AQ97" s="88"/>
      <c r="AR97" s="89"/>
      <c r="AS97" s="90"/>
      <c r="AV97" s="88"/>
      <c r="AW97" s="96"/>
      <c r="AX97" s="97"/>
      <c r="AY97" s="93"/>
      <c r="BB97" s="94"/>
      <c r="BE97" s="37"/>
      <c r="BF97" s="36"/>
    </row>
    <row r="98" spans="1:60" ht="14.25">
      <c r="A98" s="37"/>
      <c r="B98" s="37"/>
      <c r="E98" s="37"/>
      <c r="F98" s="37"/>
      <c r="G98" s="37"/>
      <c r="I98" s="37"/>
      <c r="J98" s="37"/>
      <c r="K98" s="37"/>
      <c r="M98" s="37"/>
      <c r="N98" s="86"/>
      <c r="R98" s="154"/>
      <c r="S98" s="152"/>
      <c r="T98" s="156"/>
      <c r="V98" s="91"/>
      <c r="W98" s="92"/>
      <c r="X98" s="93"/>
      <c r="AA98" s="94"/>
      <c r="AB98" s="153"/>
      <c r="AC98" s="37"/>
      <c r="AD98" s="37"/>
      <c r="AE98" s="36"/>
      <c r="AF98" s="37"/>
      <c r="AG98" s="37"/>
      <c r="AO98" s="37"/>
      <c r="AP98" s="86"/>
      <c r="AQ98" s="88"/>
      <c r="AR98" s="89"/>
      <c r="AS98" s="90"/>
      <c r="AV98" s="88"/>
      <c r="AW98" s="96"/>
      <c r="AX98" s="97"/>
      <c r="AY98" s="93"/>
      <c r="BB98" s="94"/>
      <c r="BE98" s="37"/>
      <c r="BF98" s="36"/>
    </row>
    <row r="99" spans="1:60" ht="14.25">
      <c r="A99" s="37"/>
      <c r="B99" s="37"/>
      <c r="E99" s="37"/>
      <c r="F99" s="37"/>
      <c r="G99" s="37"/>
      <c r="I99" s="37"/>
      <c r="J99" s="37"/>
      <c r="K99" s="37"/>
      <c r="M99" s="37"/>
      <c r="N99" s="86"/>
      <c r="R99" s="154"/>
      <c r="S99" s="152"/>
      <c r="T99" s="156"/>
      <c r="V99" s="91"/>
      <c r="W99" s="92"/>
      <c r="X99" s="93"/>
      <c r="AA99" s="94"/>
      <c r="AB99" s="153"/>
      <c r="AC99" s="37"/>
      <c r="AD99" s="37"/>
      <c r="AE99" s="36"/>
      <c r="AF99" s="37"/>
      <c r="AG99" s="37"/>
      <c r="AO99" s="37"/>
      <c r="AP99" s="86"/>
      <c r="AQ99" s="88"/>
      <c r="AR99" s="89"/>
      <c r="AS99" s="90"/>
      <c r="AV99" s="88"/>
      <c r="AW99" s="96"/>
      <c r="AX99" s="97"/>
      <c r="AY99" s="93"/>
      <c r="BB99" s="94"/>
      <c r="BE99" s="37"/>
      <c r="BF99" s="36"/>
    </row>
    <row r="100" spans="1:60" ht="14.25">
      <c r="A100" s="37"/>
      <c r="B100" s="37"/>
      <c r="E100" s="37"/>
      <c r="F100" s="37"/>
      <c r="G100" s="37"/>
      <c r="I100" s="37"/>
      <c r="J100" s="37"/>
      <c r="K100" s="37"/>
      <c r="M100" s="37"/>
      <c r="N100" s="86"/>
      <c r="R100" s="154"/>
      <c r="S100" s="152"/>
      <c r="T100" s="156"/>
      <c r="V100" s="91"/>
      <c r="W100" s="92"/>
      <c r="X100" s="93"/>
      <c r="AA100" s="94"/>
      <c r="AB100" s="153"/>
      <c r="AC100" s="37"/>
      <c r="AD100" s="37"/>
      <c r="AE100" s="36"/>
      <c r="AF100" s="37"/>
      <c r="AG100" s="37"/>
      <c r="AO100" s="37"/>
      <c r="AP100" s="86"/>
      <c r="AQ100" s="88"/>
      <c r="AR100" s="89"/>
      <c r="AS100" s="90"/>
      <c r="AV100" s="88"/>
      <c r="AW100" s="96"/>
      <c r="AX100" s="97"/>
      <c r="AY100" s="93"/>
      <c r="BB100" s="94"/>
      <c r="BE100" s="37"/>
      <c r="BF100" s="36"/>
    </row>
    <row r="101" spans="1:60" ht="14.25">
      <c r="A101" s="37"/>
      <c r="B101" s="37"/>
      <c r="E101" s="37"/>
      <c r="F101" s="37"/>
      <c r="G101" s="37"/>
      <c r="I101" s="37"/>
      <c r="J101" s="37"/>
      <c r="K101" s="37"/>
      <c r="M101" s="37"/>
      <c r="N101" s="86"/>
      <c r="R101" s="154"/>
      <c r="S101" s="152"/>
      <c r="T101" s="156"/>
      <c r="V101" s="91"/>
      <c r="W101" s="92"/>
      <c r="X101" s="93"/>
      <c r="AA101" s="94"/>
      <c r="AB101" s="153"/>
      <c r="AC101" s="37"/>
      <c r="AD101" s="37"/>
      <c r="AE101" s="36"/>
      <c r="AF101" s="37"/>
      <c r="AG101" s="37"/>
      <c r="AO101" s="37"/>
      <c r="AP101" s="86"/>
      <c r="AQ101" s="88"/>
      <c r="AR101" s="89"/>
      <c r="AS101" s="90"/>
      <c r="AV101" s="88"/>
      <c r="AW101" s="96"/>
      <c r="AX101" s="97"/>
      <c r="AY101" s="93"/>
      <c r="BB101" s="94"/>
      <c r="BE101" s="37"/>
      <c r="BF101" s="36"/>
    </row>
    <row r="102" spans="1:60" ht="14.25">
      <c r="A102" s="37"/>
      <c r="B102" s="37"/>
      <c r="E102" s="37"/>
      <c r="F102" s="37"/>
      <c r="G102" s="37"/>
      <c r="I102" s="37"/>
      <c r="J102" s="37"/>
      <c r="K102" s="37"/>
      <c r="M102" s="37"/>
      <c r="N102" s="86"/>
      <c r="O102" s="88"/>
      <c r="P102" s="89"/>
      <c r="R102" s="154"/>
      <c r="T102" s="156"/>
      <c r="U102" s="88"/>
      <c r="V102" s="158"/>
      <c r="W102" s="159"/>
      <c r="X102" s="93"/>
      <c r="AB102" s="55"/>
      <c r="AD102" s="37"/>
      <c r="AE102" s="36"/>
      <c r="AF102" s="37"/>
      <c r="AG102" s="37"/>
      <c r="AO102" s="37"/>
      <c r="AP102" s="86"/>
      <c r="AQ102" s="88"/>
      <c r="AR102" s="89"/>
      <c r="AS102" s="90"/>
      <c r="AV102" s="88"/>
      <c r="AW102" s="96"/>
      <c r="AX102" s="97"/>
      <c r="AY102" s="93"/>
      <c r="BB102" s="94"/>
      <c r="BE102" s="37"/>
      <c r="BF102" s="36"/>
    </row>
    <row r="103" spans="1:60" ht="14.25">
      <c r="A103" s="37"/>
      <c r="B103" s="37"/>
      <c r="E103" s="37"/>
      <c r="F103" s="37"/>
      <c r="G103" s="37"/>
      <c r="I103" s="37"/>
      <c r="J103" s="37"/>
      <c r="K103" s="37"/>
      <c r="M103" s="37"/>
      <c r="N103" s="86"/>
      <c r="O103" s="88"/>
      <c r="P103" s="89"/>
      <c r="R103" s="154"/>
      <c r="T103" s="156"/>
      <c r="U103" s="88"/>
      <c r="V103" s="158"/>
      <c r="W103" s="159"/>
      <c r="X103" s="93"/>
      <c r="AB103" s="55"/>
      <c r="AD103" s="37"/>
      <c r="AE103" s="36"/>
      <c r="AF103" s="37"/>
      <c r="AG103" s="37"/>
      <c r="AO103" s="37"/>
      <c r="AP103" s="86"/>
      <c r="AQ103" s="88"/>
      <c r="AR103" s="89"/>
      <c r="AS103" s="90"/>
      <c r="AV103" s="88"/>
      <c r="AW103" s="96"/>
      <c r="AX103" s="97"/>
      <c r="AY103" s="93"/>
      <c r="BB103" s="94"/>
      <c r="BE103" s="37"/>
      <c r="BF103" s="36"/>
    </row>
    <row r="104" spans="1:60" ht="14.25">
      <c r="A104" s="37"/>
      <c r="B104" s="37"/>
      <c r="E104" s="37"/>
      <c r="F104" s="37"/>
      <c r="G104" s="37"/>
      <c r="I104" s="37"/>
      <c r="J104" s="37"/>
      <c r="K104" s="37"/>
      <c r="M104" s="37"/>
      <c r="N104" s="86"/>
      <c r="O104" s="88"/>
      <c r="P104" s="89"/>
      <c r="R104" s="154"/>
      <c r="T104" s="156"/>
      <c r="U104" s="88"/>
      <c r="V104" s="158"/>
      <c r="W104" s="159"/>
      <c r="X104" s="93"/>
      <c r="AB104" s="55"/>
      <c r="AD104" s="37"/>
      <c r="AE104" s="36"/>
      <c r="AF104" s="37"/>
      <c r="AG104" s="37"/>
      <c r="AO104" s="37"/>
      <c r="AP104" s="86"/>
      <c r="AQ104" s="88"/>
      <c r="AR104" s="89"/>
      <c r="AS104" s="90"/>
      <c r="AV104" s="88"/>
      <c r="AW104" s="96"/>
      <c r="AX104" s="97"/>
      <c r="AY104" s="93"/>
      <c r="BB104" s="94"/>
      <c r="BE104" s="37"/>
      <c r="BF104" s="36"/>
    </row>
    <row r="105" spans="1:60" ht="14.25">
      <c r="A105" s="37"/>
      <c r="B105" s="37"/>
      <c r="D105" s="44"/>
      <c r="E105" s="44"/>
      <c r="F105" s="44"/>
      <c r="G105" s="44"/>
      <c r="H105" s="37"/>
      <c r="I105" s="37"/>
      <c r="J105" s="37"/>
      <c r="AB105" s="55"/>
      <c r="AF105" s="37"/>
      <c r="AI105" s="40"/>
      <c r="AJ105" s="44"/>
      <c r="AL105" s="37"/>
      <c r="AO105" s="37"/>
      <c r="AP105" s="86"/>
      <c r="AQ105" s="88"/>
      <c r="AR105" s="89"/>
      <c r="AS105" s="90"/>
      <c r="AV105" s="88"/>
      <c r="AW105" s="96"/>
      <c r="AX105" s="97"/>
      <c r="AY105" s="93"/>
      <c r="BB105" s="94"/>
      <c r="BE105" s="37"/>
      <c r="BF105" s="36"/>
      <c r="BG105" s="37"/>
    </row>
    <row r="106" spans="1:60" ht="14.25">
      <c r="A106" s="37"/>
      <c r="B106" s="37"/>
      <c r="E106" s="37"/>
      <c r="F106" s="44"/>
      <c r="G106" s="37"/>
      <c r="I106" s="37"/>
      <c r="J106" s="37"/>
      <c r="L106" s="37"/>
      <c r="Z106" s="156"/>
      <c r="AB106" s="55"/>
      <c r="AF106" s="37"/>
      <c r="AG106" s="37"/>
      <c r="AI106" s="37"/>
      <c r="AL106" s="37"/>
      <c r="AN106" s="37"/>
      <c r="AO106" s="37"/>
      <c r="AP106" s="86"/>
      <c r="AQ106" s="88"/>
      <c r="AR106" s="89"/>
      <c r="AS106" s="90"/>
      <c r="AV106" s="88"/>
      <c r="AW106" s="96"/>
      <c r="AX106" s="97"/>
      <c r="AY106" s="93"/>
      <c r="BB106" s="94"/>
      <c r="BE106" s="37"/>
      <c r="BF106" s="36"/>
      <c r="BG106" s="37"/>
      <c r="BH106" s="37"/>
    </row>
    <row r="107" spans="1:60" ht="14.25">
      <c r="A107" s="37"/>
      <c r="B107" s="37"/>
      <c r="E107" s="37"/>
      <c r="F107" s="44"/>
      <c r="G107" s="37"/>
      <c r="I107" s="37"/>
      <c r="J107" s="37"/>
      <c r="L107" s="37"/>
      <c r="Z107" s="156"/>
      <c r="AB107" s="55"/>
      <c r="AF107" s="37"/>
      <c r="AG107" s="37"/>
      <c r="AI107" s="37"/>
      <c r="AL107" s="37"/>
      <c r="AN107" s="37"/>
      <c r="AO107" s="37"/>
      <c r="AP107" s="86"/>
      <c r="AQ107" s="88"/>
      <c r="AR107" s="89"/>
      <c r="AS107" s="90"/>
      <c r="AV107" s="88"/>
      <c r="AW107" s="96"/>
      <c r="AX107" s="97"/>
      <c r="AY107" s="93"/>
      <c r="BB107" s="94"/>
      <c r="BE107" s="37"/>
      <c r="BF107" s="36"/>
      <c r="BG107" s="37"/>
      <c r="BH107" s="37"/>
    </row>
    <row r="108" spans="1:60" ht="14.25">
      <c r="A108" s="37"/>
      <c r="B108" s="37"/>
      <c r="E108" s="37"/>
      <c r="F108" s="44"/>
      <c r="G108" s="37"/>
      <c r="I108" s="37"/>
      <c r="J108" s="37"/>
      <c r="L108" s="37"/>
      <c r="Z108" s="156"/>
      <c r="AB108" s="55"/>
      <c r="AF108" s="37"/>
      <c r="AG108" s="37"/>
      <c r="AI108" s="37"/>
      <c r="AL108" s="37"/>
      <c r="AN108" s="37"/>
      <c r="AO108" s="37"/>
      <c r="AP108" s="86"/>
      <c r="AQ108" s="88"/>
      <c r="AR108" s="89"/>
      <c r="AS108" s="90"/>
      <c r="AV108" s="88"/>
      <c r="AW108" s="96"/>
      <c r="AX108" s="97"/>
      <c r="AY108" s="93"/>
      <c r="BB108" s="94"/>
      <c r="BE108" s="37"/>
      <c r="BF108" s="36"/>
      <c r="BG108" s="37"/>
      <c r="BH108" s="37"/>
    </row>
    <row r="109" spans="1:60" ht="14.25">
      <c r="A109" s="37"/>
      <c r="B109" s="37"/>
      <c r="E109" s="37"/>
      <c r="F109" s="44"/>
      <c r="G109" s="37"/>
      <c r="I109" s="37"/>
      <c r="J109" s="37"/>
      <c r="L109" s="37"/>
      <c r="N109" s="86"/>
      <c r="Y109" s="154"/>
      <c r="AB109" s="55"/>
      <c r="AE109" s="36"/>
      <c r="AF109" s="37"/>
      <c r="AG109" s="37"/>
      <c r="AI109" s="37"/>
      <c r="AL109" s="37"/>
      <c r="AN109" s="37"/>
      <c r="AO109" s="37"/>
      <c r="AP109" s="86"/>
      <c r="AQ109" s="88"/>
      <c r="AR109" s="89"/>
      <c r="AS109" s="90"/>
      <c r="AV109" s="88"/>
      <c r="AW109" s="96"/>
      <c r="AX109" s="97"/>
      <c r="AY109" s="93"/>
      <c r="BB109" s="94"/>
      <c r="BE109" s="37"/>
      <c r="BF109" s="36"/>
      <c r="BG109" s="37"/>
      <c r="BH109" s="37"/>
    </row>
    <row r="110" spans="1:60" ht="14.25">
      <c r="A110" s="37"/>
      <c r="B110" s="37"/>
      <c r="E110" s="37"/>
      <c r="F110" s="44"/>
      <c r="G110" s="37"/>
      <c r="I110" s="37"/>
      <c r="J110" s="37"/>
      <c r="L110" s="37"/>
      <c r="N110" s="86"/>
      <c r="Y110" s="154"/>
      <c r="AB110" s="55"/>
      <c r="AE110" s="36"/>
      <c r="AF110" s="37"/>
      <c r="AG110" s="37"/>
      <c r="AI110" s="37"/>
      <c r="AL110" s="37"/>
      <c r="AN110" s="37"/>
      <c r="AO110" s="37"/>
      <c r="AP110" s="86"/>
      <c r="AQ110" s="88"/>
      <c r="AR110" s="89"/>
      <c r="AS110" s="90"/>
      <c r="AV110" s="88"/>
      <c r="AW110" s="96"/>
      <c r="AX110" s="97"/>
      <c r="AY110" s="93"/>
      <c r="BB110" s="94"/>
      <c r="BE110" s="37"/>
      <c r="BF110" s="36"/>
      <c r="BG110" s="37"/>
      <c r="BH110" s="37"/>
    </row>
    <row r="111" spans="1:60" ht="14.25">
      <c r="A111" s="37"/>
      <c r="B111" s="37"/>
      <c r="E111" s="37"/>
      <c r="F111" s="44"/>
      <c r="G111" s="37"/>
      <c r="I111" s="37"/>
      <c r="J111" s="37"/>
      <c r="L111" s="37"/>
      <c r="N111" s="86"/>
      <c r="Y111" s="154"/>
      <c r="AB111" s="55"/>
      <c r="AE111" s="36"/>
      <c r="AF111" s="37"/>
      <c r="AG111" s="37"/>
      <c r="AI111" s="37"/>
      <c r="AL111" s="37"/>
      <c r="AN111" s="37"/>
      <c r="AO111" s="37"/>
      <c r="AP111" s="86"/>
      <c r="AQ111" s="88"/>
      <c r="AR111" s="89"/>
      <c r="AS111" s="90"/>
      <c r="AV111" s="88"/>
      <c r="AW111" s="96"/>
      <c r="AX111" s="97"/>
      <c r="AY111" s="93"/>
      <c r="BB111" s="94"/>
      <c r="BE111" s="37"/>
      <c r="BF111" s="36"/>
      <c r="BG111" s="37"/>
      <c r="BH111" s="37"/>
    </row>
    <row r="112" spans="1:60" ht="14.25">
      <c r="A112" s="37"/>
      <c r="B112" s="37"/>
      <c r="E112" s="37"/>
      <c r="F112" s="44"/>
      <c r="G112" s="37"/>
      <c r="I112" s="37"/>
      <c r="J112" s="37"/>
      <c r="N112" s="86"/>
      <c r="AB112" s="55"/>
      <c r="AD112" s="37"/>
      <c r="AE112" s="36"/>
      <c r="AG112" s="37"/>
      <c r="AI112" s="37"/>
      <c r="AJ112" s="37"/>
      <c r="AL112" s="37"/>
      <c r="AP112" s="86"/>
      <c r="AZ112" s="154"/>
      <c r="BE112" s="37"/>
      <c r="BF112" s="36"/>
      <c r="BG112" s="37"/>
      <c r="BH112" s="37"/>
    </row>
    <row r="113" spans="1:60" ht="14.25">
      <c r="A113" s="37"/>
      <c r="B113" s="37"/>
      <c r="E113" s="37"/>
      <c r="F113" s="44"/>
      <c r="G113" s="37"/>
      <c r="I113" s="37"/>
      <c r="J113" s="37"/>
      <c r="N113" s="86"/>
      <c r="AB113" s="55"/>
      <c r="AD113" s="37"/>
      <c r="AE113" s="36"/>
      <c r="AG113" s="37"/>
      <c r="AI113" s="37"/>
      <c r="AJ113" s="37"/>
      <c r="AL113" s="37"/>
      <c r="AP113" s="86"/>
      <c r="AZ113" s="154"/>
      <c r="BE113" s="37"/>
      <c r="BF113" s="36"/>
      <c r="BG113" s="37"/>
      <c r="BH113" s="37"/>
    </row>
    <row r="114" spans="1:60" ht="14.25">
      <c r="A114" s="37"/>
      <c r="B114" s="37"/>
      <c r="E114" s="37"/>
      <c r="F114" s="44"/>
      <c r="G114" s="37"/>
      <c r="I114" s="37"/>
      <c r="J114" s="37"/>
      <c r="N114" s="86"/>
      <c r="AB114" s="55"/>
      <c r="AD114" s="37"/>
      <c r="AE114" s="36"/>
      <c r="AG114" s="37"/>
      <c r="AI114" s="37"/>
      <c r="AJ114" s="37"/>
      <c r="AL114" s="37"/>
      <c r="AP114" s="86"/>
      <c r="AZ114" s="154"/>
      <c r="BE114" s="37"/>
      <c r="BF114" s="36"/>
      <c r="BG114" s="37"/>
      <c r="BH114" s="37"/>
    </row>
    <row r="115" spans="1:60" ht="14.25">
      <c r="A115" s="37"/>
      <c r="B115" s="37"/>
      <c r="E115" s="37"/>
      <c r="F115" s="44"/>
      <c r="G115" s="37"/>
      <c r="I115" s="37"/>
      <c r="J115" s="37"/>
      <c r="N115" s="86"/>
      <c r="AB115" s="55"/>
      <c r="AD115" s="37"/>
      <c r="AE115" s="36"/>
      <c r="AG115" s="37"/>
      <c r="AI115" s="37"/>
      <c r="AJ115" s="37"/>
      <c r="AL115" s="37"/>
      <c r="AP115" s="86"/>
      <c r="AZ115" s="154"/>
      <c r="BE115" s="37"/>
      <c r="BF115" s="36"/>
      <c r="BG115" s="37"/>
      <c r="BH115" s="37"/>
    </row>
    <row r="116" spans="1:60" ht="14.25">
      <c r="A116" s="37"/>
      <c r="B116" s="37"/>
      <c r="E116" s="37"/>
      <c r="F116" s="44"/>
      <c r="G116" s="37"/>
      <c r="I116" s="37"/>
      <c r="J116" s="37"/>
      <c r="N116" s="86"/>
      <c r="AB116" s="55"/>
      <c r="AD116" s="37"/>
      <c r="AE116" s="36"/>
      <c r="AG116" s="37"/>
      <c r="AI116" s="37"/>
      <c r="AJ116" s="37"/>
      <c r="AL116" s="37"/>
      <c r="AP116" s="86"/>
      <c r="AZ116" s="154"/>
      <c r="BE116" s="37"/>
      <c r="BF116" s="36"/>
      <c r="BG116" s="37"/>
      <c r="BH116" s="37"/>
    </row>
    <row r="117" spans="1:60" ht="14.25">
      <c r="A117" s="37"/>
      <c r="B117" s="37"/>
      <c r="E117" s="37"/>
      <c r="F117" s="44"/>
      <c r="G117" s="37"/>
      <c r="I117" s="37"/>
      <c r="J117" s="37"/>
      <c r="K117" s="37"/>
      <c r="M117" s="37"/>
      <c r="N117" s="86"/>
      <c r="R117" s="154"/>
      <c r="T117" s="156"/>
      <c r="AB117" s="55"/>
      <c r="AD117" s="37"/>
      <c r="AE117" s="36"/>
      <c r="AF117" s="37"/>
      <c r="AG117" s="37"/>
      <c r="AO117" s="37"/>
      <c r="AP117" s="86"/>
      <c r="AQ117" s="88"/>
      <c r="AR117" s="89"/>
      <c r="AS117" s="90"/>
      <c r="AV117" s="88"/>
      <c r="AW117" s="96"/>
      <c r="AX117" s="97"/>
      <c r="AY117" s="93"/>
      <c r="BB117" s="94"/>
      <c r="BE117" s="37"/>
      <c r="BF117" s="36"/>
    </row>
    <row r="118" spans="1:60" ht="14.25">
      <c r="A118" s="37"/>
      <c r="B118" s="37"/>
      <c r="E118" s="37"/>
      <c r="F118" s="44"/>
      <c r="G118" s="37"/>
      <c r="H118" s="37"/>
      <c r="I118" s="37"/>
      <c r="J118" s="37"/>
      <c r="K118" s="37"/>
      <c r="L118" s="37"/>
      <c r="M118" s="37"/>
      <c r="R118" s="154"/>
      <c r="S118" s="152"/>
      <c r="T118" s="156"/>
      <c r="AB118" s="153"/>
      <c r="AC118" s="37"/>
      <c r="AD118" s="37"/>
      <c r="AE118" s="36"/>
      <c r="AF118" s="37"/>
      <c r="AG118" s="37"/>
      <c r="AO118" s="37"/>
      <c r="AP118" s="86"/>
      <c r="AQ118" s="88"/>
      <c r="AR118" s="89"/>
      <c r="AS118" s="90"/>
      <c r="AV118" s="88"/>
      <c r="AW118" s="96"/>
      <c r="AX118" s="97"/>
      <c r="AY118" s="93"/>
      <c r="BB118" s="94"/>
      <c r="BE118" s="37"/>
      <c r="BF118" s="36"/>
    </row>
    <row r="119" spans="1:60" ht="14.25">
      <c r="A119" s="37"/>
      <c r="B119" s="37"/>
      <c r="E119" s="37"/>
      <c r="F119" s="44"/>
      <c r="G119" s="37"/>
      <c r="I119" s="37"/>
      <c r="J119" s="37"/>
      <c r="K119" s="37"/>
      <c r="M119" s="37"/>
      <c r="N119" s="86"/>
      <c r="R119" s="154"/>
      <c r="T119" s="156"/>
      <c r="AB119" s="55"/>
      <c r="AD119" s="37"/>
      <c r="AE119" s="36"/>
      <c r="AF119" s="37"/>
      <c r="AG119" s="37"/>
      <c r="AO119" s="37"/>
      <c r="AP119" s="86"/>
      <c r="AQ119" s="88"/>
      <c r="AR119" s="89"/>
      <c r="AS119" s="90"/>
      <c r="AV119" s="88"/>
      <c r="AW119" s="96"/>
      <c r="AX119" s="97"/>
      <c r="AY119" s="93"/>
      <c r="BB119" s="94"/>
      <c r="BE119" s="37"/>
      <c r="BF119" s="36"/>
    </row>
    <row r="120" spans="1:60" ht="14.25">
      <c r="A120" s="37"/>
      <c r="B120" s="37"/>
      <c r="E120" s="37"/>
      <c r="F120" s="44"/>
      <c r="G120" s="37"/>
      <c r="I120" s="37"/>
      <c r="J120" s="37"/>
      <c r="K120" s="37"/>
      <c r="M120" s="37"/>
      <c r="N120" s="86"/>
      <c r="R120" s="154"/>
      <c r="T120" s="156"/>
      <c r="AB120" s="55"/>
      <c r="AD120" s="37"/>
      <c r="AE120" s="36"/>
      <c r="AF120" s="37"/>
      <c r="AG120" s="37"/>
      <c r="AO120" s="37"/>
      <c r="AP120" s="86"/>
      <c r="AQ120" s="88"/>
      <c r="AR120" s="89"/>
      <c r="AS120" s="90"/>
      <c r="AV120" s="88"/>
      <c r="AW120" s="96"/>
      <c r="AX120" s="97"/>
      <c r="AY120" s="93"/>
      <c r="BB120" s="94"/>
      <c r="BE120" s="37"/>
      <c r="BF120" s="36"/>
    </row>
    <row r="121" spans="1:60" ht="14.25">
      <c r="A121" s="37"/>
      <c r="B121" s="37"/>
      <c r="E121" s="37"/>
      <c r="F121" s="37"/>
      <c r="G121" s="37"/>
      <c r="H121" s="37"/>
      <c r="I121" s="37"/>
      <c r="J121" s="37"/>
      <c r="N121" s="86"/>
      <c r="AB121" s="55"/>
      <c r="AE121" s="36"/>
      <c r="AF121" s="37"/>
      <c r="AI121" s="37"/>
      <c r="AJ121" s="37"/>
      <c r="AL121" s="37"/>
      <c r="AO121" s="37"/>
      <c r="AP121" s="86"/>
      <c r="AQ121" s="88"/>
      <c r="AR121" s="89"/>
      <c r="AS121" s="90"/>
      <c r="AV121" s="88"/>
      <c r="AW121" s="96"/>
      <c r="AX121" s="97"/>
      <c r="AY121" s="93"/>
      <c r="BB121" s="94"/>
      <c r="BE121" s="37"/>
      <c r="BF121" s="36"/>
      <c r="BG121" s="37"/>
    </row>
    <row r="122" spans="1:60" ht="14.25">
      <c r="A122" s="37"/>
      <c r="B122" s="37"/>
      <c r="E122" s="37"/>
      <c r="F122" s="37"/>
      <c r="G122" s="37"/>
      <c r="I122" s="37"/>
      <c r="J122" s="37"/>
      <c r="L122" s="37"/>
      <c r="N122" s="86"/>
      <c r="Z122" s="156"/>
      <c r="AB122" s="55"/>
      <c r="AE122" s="36"/>
      <c r="AF122" s="37"/>
      <c r="AG122" s="37"/>
      <c r="AI122" s="37"/>
      <c r="AJ122" s="37"/>
      <c r="AK122" s="37"/>
      <c r="AL122" s="37"/>
      <c r="AN122" s="37"/>
      <c r="AO122" s="37"/>
      <c r="AP122" s="86"/>
      <c r="AQ122" s="88"/>
      <c r="AR122" s="89"/>
      <c r="AT122" s="154"/>
      <c r="AU122" s="156"/>
      <c r="AV122" s="88"/>
      <c r="AY122" s="93"/>
      <c r="BE122" s="37"/>
      <c r="BF122" s="36"/>
      <c r="BG122" s="37"/>
      <c r="BH122" s="37"/>
    </row>
    <row r="123" spans="1:60">
      <c r="A123" s="37"/>
      <c r="B123" s="37"/>
      <c r="E123" s="37"/>
      <c r="F123" s="37"/>
      <c r="G123" s="37"/>
      <c r="I123" s="37"/>
      <c r="J123" s="37"/>
      <c r="L123" s="37"/>
      <c r="M123" s="37"/>
      <c r="N123" s="86"/>
      <c r="O123" s="88"/>
      <c r="P123" s="89"/>
      <c r="Q123" s="90"/>
      <c r="U123" s="88"/>
      <c r="V123" s="96"/>
      <c r="W123" s="97"/>
      <c r="X123" s="93"/>
      <c r="Z123" s="156"/>
      <c r="AA123" s="94"/>
      <c r="AD123" s="37"/>
      <c r="AE123" s="36"/>
      <c r="AF123" s="37"/>
      <c r="AG123" s="37"/>
      <c r="AI123" s="37"/>
      <c r="AL123" s="37"/>
      <c r="AN123" s="37"/>
      <c r="AO123" s="37"/>
      <c r="AP123" s="86"/>
      <c r="AQ123" s="88"/>
      <c r="AR123" s="89"/>
      <c r="AS123" s="90"/>
      <c r="AV123" s="88"/>
      <c r="AW123" s="96"/>
      <c r="AX123" s="97"/>
      <c r="AY123" s="93"/>
      <c r="BB123" s="94"/>
      <c r="BE123" s="37"/>
      <c r="BF123" s="36"/>
      <c r="BG123" s="37"/>
      <c r="BH123" s="37"/>
    </row>
    <row r="124" spans="1:60" ht="14.25">
      <c r="A124" s="37"/>
      <c r="B124" s="37"/>
      <c r="E124" s="37"/>
      <c r="F124" s="37"/>
      <c r="G124" s="37"/>
      <c r="I124" s="37"/>
      <c r="J124" s="37"/>
      <c r="L124" s="37"/>
      <c r="N124" s="86"/>
      <c r="Y124" s="154"/>
      <c r="AB124" s="55"/>
      <c r="AE124" s="36"/>
      <c r="AF124" s="37"/>
      <c r="AG124" s="37"/>
      <c r="AI124" s="37"/>
      <c r="AL124" s="37"/>
      <c r="AN124" s="37"/>
      <c r="AO124" s="37"/>
      <c r="AP124" s="86"/>
      <c r="AQ124" s="88"/>
      <c r="AR124" s="89"/>
      <c r="AS124" s="90"/>
      <c r="AV124" s="88"/>
      <c r="AW124" s="96"/>
      <c r="AX124" s="97"/>
      <c r="AY124" s="93"/>
      <c r="BB124" s="94"/>
      <c r="BE124" s="37"/>
      <c r="BF124" s="36"/>
      <c r="BG124" s="37"/>
      <c r="BH124" s="37"/>
    </row>
    <row r="125" spans="1:60" ht="14.25">
      <c r="A125" s="37"/>
      <c r="B125" s="37"/>
      <c r="E125" s="37"/>
      <c r="F125" s="37"/>
      <c r="G125" s="37"/>
      <c r="I125" s="37"/>
      <c r="J125" s="37"/>
      <c r="N125" s="86"/>
      <c r="Y125" s="95"/>
      <c r="AB125" s="55"/>
      <c r="AD125" s="37"/>
      <c r="AE125" s="36"/>
      <c r="AG125" s="37"/>
      <c r="AI125" s="37"/>
      <c r="AJ125" s="37"/>
      <c r="AL125" s="37"/>
      <c r="AO125" s="37"/>
      <c r="AP125" s="86"/>
      <c r="AQ125" s="88"/>
      <c r="AR125" s="89"/>
      <c r="AS125" s="90"/>
      <c r="AV125" s="88"/>
      <c r="AW125" s="96"/>
      <c r="AX125" s="97"/>
      <c r="AZ125" s="154"/>
      <c r="BE125" s="37"/>
      <c r="BF125" s="36"/>
      <c r="BG125" s="37"/>
      <c r="BH125" s="37"/>
    </row>
    <row r="126" spans="1:60" ht="14.25">
      <c r="A126" s="37"/>
      <c r="B126" s="37"/>
      <c r="E126" s="37"/>
      <c r="F126" s="37"/>
      <c r="G126" s="37"/>
      <c r="I126" s="37"/>
      <c r="J126" s="37"/>
      <c r="N126" s="86"/>
      <c r="AB126" s="55"/>
      <c r="AD126" s="37"/>
      <c r="AE126" s="36"/>
      <c r="AG126" s="37"/>
      <c r="AI126" s="37"/>
      <c r="AJ126" s="37"/>
      <c r="AL126" s="37"/>
      <c r="AO126" s="37"/>
      <c r="AP126" s="86"/>
      <c r="AQ126" s="88"/>
      <c r="AR126" s="89"/>
      <c r="AS126" s="90"/>
      <c r="AV126" s="88"/>
      <c r="AW126" s="96"/>
      <c r="AX126" s="97"/>
      <c r="AZ126" s="154"/>
      <c r="BE126" s="37"/>
      <c r="BF126" s="36"/>
      <c r="BG126" s="37"/>
      <c r="BH126" s="37"/>
    </row>
    <row r="127" spans="1:60" ht="14.25">
      <c r="A127" s="37"/>
      <c r="B127" s="37"/>
      <c r="E127" s="37"/>
      <c r="F127" s="37"/>
      <c r="G127" s="37"/>
      <c r="I127" s="37"/>
      <c r="J127" s="37"/>
      <c r="N127" s="86"/>
      <c r="AB127" s="55"/>
      <c r="AD127" s="37"/>
      <c r="AE127" s="36"/>
      <c r="AG127" s="37"/>
      <c r="AI127" s="37"/>
      <c r="AJ127" s="37"/>
      <c r="AL127" s="37"/>
      <c r="AO127" s="37"/>
      <c r="AP127" s="86"/>
      <c r="AQ127" s="88"/>
      <c r="AR127" s="89"/>
      <c r="AS127" s="90"/>
      <c r="AV127" s="88"/>
      <c r="AW127" s="96"/>
      <c r="AX127" s="97"/>
      <c r="AZ127" s="154"/>
      <c r="BE127" s="37"/>
      <c r="BF127" s="36"/>
      <c r="BG127" s="37"/>
      <c r="BH127" s="37"/>
    </row>
    <row r="128" spans="1:60" ht="14.25">
      <c r="A128" s="37"/>
      <c r="B128" s="37"/>
      <c r="E128" s="37"/>
      <c r="F128" s="37"/>
      <c r="G128" s="37"/>
      <c r="I128" s="37"/>
      <c r="J128" s="37"/>
      <c r="N128" s="86"/>
      <c r="AB128" s="55"/>
      <c r="AD128" s="37"/>
      <c r="AE128" s="36"/>
      <c r="AG128" s="37"/>
      <c r="AI128" s="37"/>
      <c r="AJ128" s="37"/>
      <c r="AL128" s="37"/>
      <c r="AO128" s="37"/>
      <c r="AP128" s="86"/>
      <c r="AQ128" s="88"/>
      <c r="AR128" s="89"/>
      <c r="AS128" s="90"/>
      <c r="AV128" s="88"/>
      <c r="AW128" s="96"/>
      <c r="AX128" s="97"/>
      <c r="AZ128" s="154"/>
      <c r="BE128" s="37"/>
      <c r="BF128" s="36"/>
      <c r="BG128" s="37"/>
      <c r="BH128" s="37"/>
    </row>
    <row r="129" spans="1:60" ht="14.25">
      <c r="A129" s="37"/>
      <c r="B129" s="37"/>
      <c r="E129" s="37"/>
      <c r="F129" s="37"/>
      <c r="G129" s="37"/>
      <c r="I129" s="37"/>
      <c r="J129" s="37"/>
      <c r="N129" s="86"/>
      <c r="AB129" s="55"/>
      <c r="AD129" s="37"/>
      <c r="AE129" s="36"/>
      <c r="AG129" s="37"/>
      <c r="AI129" s="37"/>
      <c r="AJ129" s="37"/>
      <c r="AL129" s="37"/>
      <c r="AO129" s="37"/>
      <c r="AP129" s="86"/>
      <c r="AQ129" s="88"/>
      <c r="AR129" s="89"/>
      <c r="AS129" s="90"/>
      <c r="AV129" s="88"/>
      <c r="AW129" s="96"/>
      <c r="AX129" s="97"/>
      <c r="AZ129" s="154"/>
      <c r="BE129" s="37"/>
      <c r="BF129" s="36"/>
      <c r="BG129" s="37"/>
      <c r="BH129" s="37"/>
    </row>
    <row r="130" spans="1:60" ht="14.25">
      <c r="A130" s="37"/>
      <c r="B130" s="37"/>
      <c r="E130" s="37"/>
      <c r="F130" s="37"/>
      <c r="G130" s="37"/>
      <c r="I130" s="37"/>
      <c r="J130" s="37"/>
      <c r="N130" s="86"/>
      <c r="AB130" s="55"/>
      <c r="AD130" s="37"/>
      <c r="AE130" s="36"/>
      <c r="AG130" s="37"/>
      <c r="AI130" s="37"/>
      <c r="AJ130" s="37"/>
      <c r="AL130" s="37"/>
      <c r="AP130" s="86"/>
      <c r="AZ130" s="154"/>
      <c r="BE130" s="37"/>
      <c r="BF130" s="36"/>
      <c r="BG130" s="37"/>
      <c r="BH130" s="37"/>
    </row>
    <row r="131" spans="1:60" ht="14.25">
      <c r="A131" s="37"/>
      <c r="B131" s="37"/>
      <c r="E131" s="37"/>
      <c r="F131" s="37"/>
      <c r="G131" s="37"/>
      <c r="I131" s="37"/>
      <c r="J131" s="37"/>
      <c r="N131" s="86"/>
      <c r="AB131" s="55"/>
      <c r="AD131" s="37"/>
      <c r="AE131" s="36"/>
      <c r="AG131" s="37"/>
      <c r="AI131" s="37"/>
      <c r="AJ131" s="37"/>
      <c r="AL131" s="37"/>
      <c r="AP131" s="86"/>
      <c r="AZ131" s="154"/>
      <c r="BE131" s="37"/>
      <c r="BF131" s="36"/>
      <c r="BG131" s="37"/>
      <c r="BH131" s="37"/>
    </row>
    <row r="132" spans="1:60" ht="14.25">
      <c r="A132" s="37"/>
      <c r="B132" s="37"/>
      <c r="E132" s="37"/>
      <c r="F132" s="37"/>
      <c r="G132" s="37"/>
      <c r="I132" s="37"/>
      <c r="J132" s="37"/>
      <c r="N132" s="86"/>
      <c r="AB132" s="55"/>
      <c r="AD132" s="37"/>
      <c r="AE132" s="36"/>
      <c r="AG132" s="37"/>
      <c r="AI132" s="37"/>
      <c r="AJ132" s="37"/>
      <c r="AL132" s="37"/>
      <c r="AO132" s="37"/>
      <c r="AP132" s="86"/>
      <c r="AQ132" s="88"/>
      <c r="AR132" s="89"/>
      <c r="AS132" s="90"/>
      <c r="AV132" s="88"/>
      <c r="AW132" s="96"/>
      <c r="AX132" s="97"/>
      <c r="AZ132" s="154"/>
      <c r="BE132" s="37"/>
      <c r="BF132" s="36"/>
      <c r="BG132" s="37"/>
      <c r="BH132" s="37"/>
    </row>
    <row r="133" spans="1:60" ht="14.25">
      <c r="A133" s="37"/>
      <c r="B133" s="43"/>
      <c r="E133" s="37"/>
      <c r="F133" s="37"/>
      <c r="G133" s="37"/>
      <c r="I133" s="37"/>
      <c r="J133" s="37"/>
      <c r="N133" s="86"/>
      <c r="AB133" s="55"/>
      <c r="AD133" s="37"/>
      <c r="AE133" s="36"/>
      <c r="AG133" s="37"/>
      <c r="AI133" s="37"/>
      <c r="AJ133" s="37"/>
      <c r="AL133" s="37"/>
      <c r="AO133" s="37"/>
      <c r="AP133" s="86"/>
      <c r="AQ133" s="88"/>
      <c r="AR133" s="89"/>
      <c r="AS133" s="90"/>
      <c r="AV133" s="88"/>
      <c r="AW133" s="96"/>
      <c r="AX133" s="97"/>
      <c r="AZ133" s="154"/>
      <c r="BE133" s="37"/>
      <c r="BF133" s="36"/>
      <c r="BG133" s="37"/>
      <c r="BH133" s="37"/>
    </row>
    <row r="134" spans="1:60" ht="14.25">
      <c r="A134" s="37"/>
      <c r="B134" s="37"/>
      <c r="E134" s="37"/>
      <c r="F134" s="37"/>
      <c r="G134" s="37"/>
      <c r="I134" s="37"/>
      <c r="J134" s="37"/>
      <c r="N134" s="86"/>
      <c r="AB134" s="55"/>
      <c r="AD134" s="37"/>
      <c r="AE134" s="36"/>
      <c r="AG134" s="37"/>
      <c r="AI134" s="37"/>
      <c r="AJ134" s="37"/>
      <c r="AL134" s="37"/>
      <c r="AO134" s="37"/>
      <c r="AP134" s="86"/>
      <c r="AQ134" s="88"/>
      <c r="AR134" s="89"/>
      <c r="AS134" s="90"/>
      <c r="AV134" s="88"/>
      <c r="AW134" s="96"/>
      <c r="AX134" s="97"/>
      <c r="AZ134" s="154"/>
      <c r="BE134" s="37"/>
      <c r="BF134" s="36"/>
      <c r="BG134" s="37"/>
      <c r="BH134" s="37"/>
    </row>
    <row r="135" spans="1:60" ht="14.25">
      <c r="A135" s="37"/>
      <c r="B135" s="37"/>
      <c r="E135" s="37"/>
      <c r="F135" s="37"/>
      <c r="G135" s="37"/>
      <c r="I135" s="37"/>
      <c r="J135" s="37"/>
      <c r="N135" s="86"/>
      <c r="AB135" s="55"/>
      <c r="AD135" s="37"/>
      <c r="AE135" s="36"/>
      <c r="AG135" s="37"/>
      <c r="AI135" s="37"/>
      <c r="AJ135" s="37"/>
      <c r="AL135" s="37"/>
      <c r="AO135" s="37"/>
      <c r="AP135" s="86"/>
      <c r="AQ135" s="88"/>
      <c r="AR135" s="89"/>
      <c r="AS135" s="90"/>
      <c r="AV135" s="88"/>
      <c r="AW135" s="96"/>
      <c r="AX135" s="97"/>
      <c r="AZ135" s="154"/>
      <c r="BE135" s="37"/>
      <c r="BF135" s="36"/>
      <c r="BG135" s="37"/>
      <c r="BH135" s="37"/>
    </row>
    <row r="136" spans="1:60" ht="14.25">
      <c r="A136" s="37"/>
      <c r="B136" s="37"/>
      <c r="E136" s="37"/>
      <c r="F136" s="37"/>
      <c r="G136" s="37"/>
      <c r="I136" s="37"/>
      <c r="J136" s="37"/>
      <c r="K136" s="37"/>
      <c r="M136" s="37"/>
      <c r="N136" s="86"/>
      <c r="R136" s="154"/>
      <c r="S136" s="152"/>
      <c r="T136" s="156"/>
      <c r="AB136" s="153"/>
      <c r="AC136" s="37"/>
      <c r="AD136" s="37"/>
      <c r="AE136" s="36"/>
      <c r="AF136" s="37"/>
      <c r="AG136" s="37"/>
      <c r="AO136" s="37"/>
      <c r="AP136" s="86"/>
      <c r="AQ136" s="88"/>
      <c r="AR136" s="89"/>
      <c r="AS136" s="90"/>
      <c r="AV136" s="88"/>
      <c r="AW136" s="96"/>
      <c r="AX136" s="97"/>
      <c r="AY136" s="93"/>
      <c r="BB136" s="94"/>
      <c r="BE136" s="37"/>
      <c r="BF136" s="36"/>
    </row>
    <row r="137" spans="1:60" ht="14.25">
      <c r="A137" s="37"/>
      <c r="B137" s="37"/>
      <c r="E137" s="37"/>
      <c r="F137" s="37"/>
      <c r="G137" s="37"/>
      <c r="I137" s="37"/>
      <c r="J137" s="37"/>
      <c r="K137" s="37"/>
      <c r="M137" s="37"/>
      <c r="N137" s="86"/>
      <c r="R137" s="154"/>
      <c r="S137" s="152"/>
      <c r="T137" s="156"/>
      <c r="AB137" s="153"/>
      <c r="AC137" s="37"/>
      <c r="AD137" s="37"/>
      <c r="AE137" s="36"/>
      <c r="AF137" s="37"/>
      <c r="AG137" s="37"/>
      <c r="AO137" s="37"/>
      <c r="AP137" s="86"/>
      <c r="AQ137" s="88"/>
      <c r="AR137" s="89"/>
      <c r="AS137" s="90"/>
      <c r="AV137" s="88"/>
      <c r="AW137" s="96"/>
      <c r="AX137" s="97"/>
      <c r="AY137" s="93"/>
      <c r="BB137" s="94"/>
      <c r="BE137" s="37"/>
      <c r="BF137" s="36"/>
    </row>
    <row r="138" spans="1:60" ht="14.25">
      <c r="A138" s="37"/>
      <c r="B138" s="37"/>
      <c r="E138" s="37"/>
      <c r="F138" s="37"/>
      <c r="G138" s="37"/>
      <c r="I138" s="37"/>
      <c r="J138" s="37"/>
      <c r="K138" s="37"/>
      <c r="M138" s="37"/>
      <c r="N138" s="86"/>
      <c r="R138" s="154"/>
      <c r="T138" s="156"/>
      <c r="AB138" s="55"/>
      <c r="AD138" s="37"/>
      <c r="AE138" s="36"/>
      <c r="AF138" s="37"/>
      <c r="AG138" s="37"/>
      <c r="AO138" s="37"/>
      <c r="AP138" s="86"/>
      <c r="AQ138" s="88"/>
      <c r="AR138" s="89"/>
      <c r="AS138" s="90"/>
      <c r="AV138" s="88"/>
      <c r="AW138" s="96"/>
      <c r="AX138" s="97"/>
      <c r="AY138" s="93"/>
      <c r="BB138" s="94"/>
      <c r="BE138" s="37"/>
      <c r="BF138" s="36"/>
    </row>
    <row r="139" spans="1:60" ht="14.25">
      <c r="A139" s="37"/>
      <c r="B139" s="37"/>
      <c r="E139" s="37"/>
      <c r="F139" s="37"/>
      <c r="G139" s="37"/>
      <c r="I139" s="37"/>
      <c r="J139" s="37"/>
      <c r="K139" s="37"/>
      <c r="M139" s="37"/>
      <c r="N139" s="86"/>
      <c r="R139" s="154"/>
      <c r="T139" s="156"/>
      <c r="AB139" s="55"/>
      <c r="AD139" s="37"/>
      <c r="AE139" s="36"/>
      <c r="AF139" s="37"/>
      <c r="AG139" s="37"/>
      <c r="AO139" s="37"/>
      <c r="AP139" s="86"/>
      <c r="AQ139" s="88"/>
      <c r="AR139" s="89"/>
      <c r="AS139" s="90"/>
      <c r="AV139" s="88"/>
      <c r="AW139" s="96"/>
      <c r="AX139" s="97"/>
      <c r="AY139" s="93"/>
      <c r="BB139" s="94"/>
      <c r="BE139" s="37"/>
      <c r="BF139" s="36"/>
    </row>
    <row r="140" spans="1:60" ht="14.25">
      <c r="A140" s="37"/>
      <c r="B140" s="37"/>
      <c r="E140" s="37"/>
      <c r="F140" s="37"/>
      <c r="G140" s="37"/>
      <c r="I140" s="37"/>
      <c r="J140" s="37"/>
      <c r="K140" s="37"/>
      <c r="M140" s="37"/>
      <c r="N140" s="86"/>
      <c r="R140" s="154"/>
      <c r="T140" s="156"/>
      <c r="AB140" s="55"/>
      <c r="AD140" s="37"/>
      <c r="AE140" s="36"/>
      <c r="AF140" s="37"/>
      <c r="AG140" s="37"/>
      <c r="AO140" s="37"/>
      <c r="AP140" s="86"/>
      <c r="AQ140" s="88"/>
      <c r="AR140" s="89"/>
      <c r="AS140" s="90"/>
      <c r="AV140" s="88"/>
      <c r="AW140" s="96"/>
      <c r="AX140" s="97"/>
      <c r="AY140" s="93"/>
      <c r="BB140" s="94"/>
      <c r="BE140" s="37"/>
      <c r="BF140" s="36"/>
    </row>
    <row r="141" spans="1:60" ht="14.25">
      <c r="A141" s="37"/>
      <c r="B141" s="37"/>
      <c r="E141" s="37"/>
      <c r="F141" s="37"/>
      <c r="G141" s="37"/>
      <c r="I141" s="37"/>
      <c r="J141" s="37"/>
      <c r="K141" s="37"/>
      <c r="M141" s="37"/>
      <c r="N141" s="86"/>
      <c r="R141" s="154"/>
      <c r="T141" s="156"/>
      <c r="AB141" s="55"/>
      <c r="AD141" s="37"/>
      <c r="AE141" s="36"/>
      <c r="AF141" s="37"/>
      <c r="AG141" s="37"/>
      <c r="AO141" s="37"/>
      <c r="AP141" s="86"/>
      <c r="AQ141" s="88"/>
      <c r="AR141" s="89"/>
      <c r="AS141" s="90"/>
      <c r="AV141" s="88"/>
      <c r="AW141" s="96"/>
      <c r="AX141" s="97"/>
      <c r="AY141" s="93"/>
      <c r="BB141" s="94"/>
      <c r="BE141" s="37"/>
      <c r="BF141" s="36"/>
    </row>
    <row r="142" spans="1:60" ht="14.25">
      <c r="A142" s="37"/>
      <c r="B142" s="37"/>
      <c r="E142" s="37"/>
      <c r="F142" s="37"/>
      <c r="G142" s="37"/>
      <c r="I142" s="37"/>
      <c r="J142" s="37"/>
      <c r="K142" s="37"/>
      <c r="M142" s="37"/>
      <c r="N142" s="86"/>
      <c r="R142" s="154"/>
      <c r="T142" s="156"/>
      <c r="AB142" s="55"/>
      <c r="AD142" s="37"/>
      <c r="AE142" s="36"/>
      <c r="AF142" s="37"/>
      <c r="AG142" s="37"/>
      <c r="AO142" s="37"/>
      <c r="AP142" s="86"/>
      <c r="AQ142" s="88"/>
      <c r="AR142" s="89"/>
      <c r="AS142" s="90"/>
      <c r="AV142" s="88"/>
      <c r="AW142" s="96"/>
      <c r="AX142" s="97"/>
      <c r="AY142" s="93"/>
      <c r="BB142" s="94"/>
      <c r="BE142" s="37"/>
      <c r="BF142" s="36"/>
    </row>
    <row r="143" spans="1:60" ht="14.25">
      <c r="A143" s="37"/>
      <c r="B143" s="37"/>
      <c r="E143" s="37"/>
      <c r="F143" s="37"/>
      <c r="G143" s="37"/>
      <c r="H143" s="37"/>
      <c r="I143" s="37"/>
      <c r="J143" s="37"/>
      <c r="N143" s="86"/>
      <c r="AB143" s="55"/>
      <c r="AE143" s="36"/>
      <c r="AF143" s="37"/>
      <c r="AI143" s="37"/>
      <c r="AJ143" s="37"/>
      <c r="AL143" s="37"/>
      <c r="AO143" s="37"/>
      <c r="AP143" s="86"/>
      <c r="AQ143" s="88"/>
      <c r="AR143" s="89"/>
      <c r="AS143" s="90"/>
      <c r="AV143" s="88"/>
      <c r="AW143" s="96"/>
      <c r="AX143" s="97"/>
      <c r="AY143" s="93"/>
      <c r="BB143" s="94"/>
      <c r="BE143" s="37"/>
      <c r="BF143" s="36"/>
      <c r="BG143" s="37"/>
    </row>
    <row r="144" spans="1:60" ht="14.25">
      <c r="A144" s="37"/>
      <c r="B144" s="37"/>
      <c r="E144" s="37"/>
      <c r="F144" s="37"/>
      <c r="G144" s="37"/>
      <c r="I144" s="37"/>
      <c r="J144" s="37"/>
      <c r="L144" s="37"/>
      <c r="N144" s="86"/>
      <c r="Z144" s="156"/>
      <c r="AB144" s="55"/>
      <c r="AE144" s="36"/>
      <c r="AF144" s="37"/>
      <c r="AG144" s="37"/>
      <c r="AI144" s="37"/>
      <c r="AL144" s="37"/>
      <c r="AN144" s="37"/>
      <c r="AO144" s="37"/>
      <c r="AP144" s="86"/>
      <c r="AQ144" s="88"/>
      <c r="AR144" s="89"/>
      <c r="AS144" s="90"/>
      <c r="AV144" s="88"/>
      <c r="AW144" s="96"/>
      <c r="AX144" s="97"/>
      <c r="AY144" s="93"/>
      <c r="BB144" s="94"/>
      <c r="BE144" s="37"/>
      <c r="BF144" s="36"/>
      <c r="BG144" s="37"/>
      <c r="BH144" s="37"/>
    </row>
    <row r="145" spans="1:60" ht="14.25">
      <c r="A145" s="37"/>
      <c r="B145" s="37"/>
      <c r="E145" s="37"/>
      <c r="F145" s="37"/>
      <c r="G145" s="37"/>
      <c r="I145" s="37"/>
      <c r="J145" s="37"/>
      <c r="L145" s="37"/>
      <c r="N145" s="86"/>
      <c r="Z145" s="156"/>
      <c r="AB145" s="55"/>
      <c r="AE145" s="36"/>
      <c r="AF145" s="37"/>
      <c r="AG145" s="37"/>
      <c r="AI145" s="37"/>
      <c r="AL145" s="37"/>
      <c r="AN145" s="37"/>
      <c r="AO145" s="37"/>
      <c r="AP145" s="86"/>
      <c r="AQ145" s="88"/>
      <c r="AR145" s="89"/>
      <c r="AS145" s="90"/>
      <c r="AV145" s="88"/>
      <c r="AW145" s="96"/>
      <c r="AX145" s="97"/>
      <c r="AY145" s="93"/>
      <c r="BB145" s="94"/>
      <c r="BE145" s="37"/>
      <c r="BF145" s="36"/>
      <c r="BG145" s="37"/>
      <c r="BH145" s="37"/>
    </row>
    <row r="146" spans="1:60" ht="14.25">
      <c r="A146" s="37"/>
      <c r="B146" s="43"/>
      <c r="E146" s="37"/>
      <c r="F146" s="37"/>
      <c r="G146" s="37"/>
      <c r="I146" s="37"/>
      <c r="J146" s="37"/>
      <c r="L146" s="37"/>
      <c r="N146" s="86"/>
      <c r="Z146" s="156"/>
      <c r="AB146" s="55"/>
      <c r="AE146" s="36"/>
      <c r="AF146" s="37"/>
      <c r="AG146" s="37"/>
      <c r="AI146" s="37"/>
      <c r="AL146" s="37"/>
      <c r="AN146" s="37"/>
      <c r="AO146" s="37"/>
      <c r="AP146" s="86"/>
      <c r="AQ146" s="88"/>
      <c r="AR146" s="89"/>
      <c r="AS146" s="90"/>
      <c r="AV146" s="88"/>
      <c r="AW146" s="96"/>
      <c r="AX146" s="97"/>
      <c r="AY146" s="93"/>
      <c r="BB146" s="94"/>
      <c r="BE146" s="37"/>
      <c r="BF146" s="36"/>
      <c r="BG146" s="37"/>
      <c r="BH146" s="37"/>
    </row>
    <row r="147" spans="1:60" ht="14.25">
      <c r="A147" s="37"/>
      <c r="B147" s="37"/>
      <c r="E147" s="37"/>
      <c r="F147" s="37"/>
      <c r="G147" s="37"/>
      <c r="I147" s="37"/>
      <c r="J147" s="37"/>
      <c r="L147" s="37"/>
      <c r="N147" s="86"/>
      <c r="Y147" s="154"/>
      <c r="AB147" s="55"/>
      <c r="AE147" s="36"/>
      <c r="AF147" s="37"/>
      <c r="AG147" s="37"/>
      <c r="AI147" s="37"/>
      <c r="AL147" s="37"/>
      <c r="AN147" s="37"/>
      <c r="AO147" s="37"/>
      <c r="AP147" s="86"/>
      <c r="AQ147" s="88"/>
      <c r="AR147" s="89"/>
      <c r="AS147" s="90"/>
      <c r="AV147" s="88"/>
      <c r="AW147" s="96"/>
      <c r="AX147" s="97"/>
      <c r="AY147" s="93"/>
      <c r="BB147" s="94"/>
      <c r="BE147" s="37"/>
      <c r="BF147" s="36"/>
      <c r="BG147" s="37"/>
      <c r="BH147" s="37"/>
    </row>
    <row r="148" spans="1:60" ht="14.25">
      <c r="A148" s="37"/>
      <c r="B148" s="37"/>
      <c r="E148" s="37"/>
      <c r="F148" s="37"/>
      <c r="G148" s="37"/>
      <c r="I148" s="37"/>
      <c r="J148" s="37"/>
      <c r="L148" s="37"/>
      <c r="N148" s="86"/>
      <c r="Y148" s="154"/>
      <c r="AB148" s="55"/>
      <c r="AE148" s="36"/>
      <c r="AF148" s="37"/>
      <c r="AG148" s="37"/>
      <c r="AI148" s="37"/>
      <c r="AL148" s="37"/>
      <c r="AN148" s="37"/>
      <c r="AO148" s="37"/>
      <c r="AP148" s="86"/>
      <c r="AQ148" s="88"/>
      <c r="AR148" s="89"/>
      <c r="AS148" s="90"/>
      <c r="AV148" s="88"/>
      <c r="AW148" s="96"/>
      <c r="AX148" s="97"/>
      <c r="AY148" s="93"/>
      <c r="BB148" s="94"/>
      <c r="BE148" s="37"/>
      <c r="BF148" s="36"/>
      <c r="BG148" s="37"/>
      <c r="BH148" s="37"/>
    </row>
    <row r="149" spans="1:60" ht="14.25">
      <c r="A149" s="37"/>
      <c r="B149" s="37"/>
      <c r="E149" s="37"/>
      <c r="F149" s="37"/>
      <c r="G149" s="37"/>
      <c r="I149" s="37"/>
      <c r="J149" s="37"/>
      <c r="L149" s="37"/>
      <c r="N149" s="86"/>
      <c r="Y149" s="154"/>
      <c r="AB149" s="55"/>
      <c r="AE149" s="36"/>
      <c r="AF149" s="37"/>
      <c r="AG149" s="37"/>
      <c r="AI149" s="37"/>
      <c r="AL149" s="37"/>
      <c r="AN149" s="37"/>
      <c r="AO149" s="37"/>
      <c r="AP149" s="86"/>
      <c r="AQ149" s="88"/>
      <c r="AR149" s="89"/>
      <c r="AS149" s="90"/>
      <c r="AV149" s="88"/>
      <c r="AW149" s="96"/>
      <c r="AX149" s="97"/>
      <c r="AY149" s="93"/>
      <c r="BB149" s="94"/>
      <c r="BE149" s="37"/>
      <c r="BF149" s="36"/>
      <c r="BG149" s="37"/>
      <c r="BH149" s="37"/>
    </row>
    <row r="150" spans="1:60" ht="14.25">
      <c r="A150" s="37"/>
      <c r="B150" s="37"/>
      <c r="E150" s="37"/>
      <c r="F150" s="37"/>
      <c r="G150" s="37"/>
      <c r="I150" s="37"/>
      <c r="J150" s="37"/>
      <c r="N150" s="86"/>
      <c r="Y150" s="95"/>
      <c r="AB150" s="55"/>
      <c r="AD150" s="37"/>
      <c r="AE150" s="36"/>
      <c r="AG150" s="37"/>
      <c r="AI150" s="37"/>
      <c r="AJ150" s="37"/>
      <c r="AL150" s="37"/>
      <c r="AO150" s="37"/>
      <c r="AP150" s="86"/>
      <c r="AQ150" s="88"/>
      <c r="AR150" s="89"/>
      <c r="AS150" s="90"/>
      <c r="AV150" s="88"/>
      <c r="AW150" s="96"/>
      <c r="AX150" s="97"/>
      <c r="AZ150" s="154"/>
      <c r="BE150" s="37"/>
      <c r="BF150" s="36"/>
      <c r="BG150" s="37"/>
      <c r="BH150" s="37"/>
    </row>
    <row r="151" spans="1:60" ht="14.25">
      <c r="A151" s="37"/>
      <c r="B151" s="37"/>
      <c r="E151" s="37"/>
      <c r="F151" s="37"/>
      <c r="G151" s="37"/>
      <c r="I151" s="37"/>
      <c r="J151" s="37"/>
      <c r="N151" s="86"/>
      <c r="AB151" s="55"/>
      <c r="AD151" s="37"/>
      <c r="AE151" s="36"/>
      <c r="AG151" s="37"/>
      <c r="AI151" s="37"/>
      <c r="AJ151" s="37"/>
      <c r="AL151" s="37"/>
      <c r="AP151" s="86"/>
      <c r="AZ151" s="154"/>
      <c r="BE151" s="37"/>
      <c r="BF151" s="36"/>
      <c r="BG151" s="37"/>
      <c r="BH151" s="37"/>
    </row>
    <row r="152" spans="1:60" ht="14.25">
      <c r="A152" s="37"/>
      <c r="B152" s="37"/>
      <c r="E152" s="37"/>
      <c r="F152" s="37"/>
      <c r="G152" s="37"/>
      <c r="I152" s="37"/>
      <c r="J152" s="37"/>
      <c r="N152" s="86"/>
      <c r="AB152" s="55"/>
      <c r="AD152" s="37"/>
      <c r="AE152" s="36"/>
      <c r="AG152" s="37"/>
      <c r="AI152" s="37"/>
      <c r="AJ152" s="37"/>
      <c r="AL152" s="37"/>
      <c r="AP152" s="86"/>
      <c r="AZ152" s="154"/>
      <c r="BE152" s="37"/>
      <c r="BF152" s="36"/>
      <c r="BG152" s="37"/>
      <c r="BH152" s="37"/>
    </row>
    <row r="153" spans="1:60" ht="14.25">
      <c r="A153" s="37"/>
      <c r="B153" s="37"/>
      <c r="E153" s="37"/>
      <c r="F153" s="37"/>
      <c r="G153" s="37"/>
      <c r="I153" s="37"/>
      <c r="J153" s="37"/>
      <c r="N153" s="86"/>
      <c r="AB153" s="55"/>
      <c r="AD153" s="37"/>
      <c r="AE153" s="36"/>
      <c r="AG153" s="37"/>
      <c r="AI153" s="37"/>
      <c r="AJ153" s="37"/>
      <c r="AL153" s="37"/>
      <c r="AP153" s="86"/>
      <c r="AZ153" s="154"/>
      <c r="BE153" s="37"/>
      <c r="BF153" s="36"/>
      <c r="BG153" s="37"/>
      <c r="BH153" s="37"/>
    </row>
    <row r="154" spans="1:60" ht="14.25">
      <c r="A154" s="37"/>
      <c r="B154" s="37"/>
      <c r="E154" s="37"/>
      <c r="F154" s="37"/>
      <c r="G154" s="37"/>
      <c r="I154" s="37"/>
      <c r="J154" s="37"/>
      <c r="N154" s="86"/>
      <c r="AB154" s="55"/>
      <c r="AD154" s="37"/>
      <c r="AE154" s="36"/>
      <c r="AG154" s="37"/>
      <c r="AI154" s="37"/>
      <c r="AJ154" s="37"/>
      <c r="AL154" s="37"/>
      <c r="AP154" s="86"/>
      <c r="AZ154" s="154"/>
      <c r="BE154" s="37"/>
      <c r="BF154" s="36"/>
      <c r="BG154" s="37"/>
      <c r="BH154" s="37"/>
    </row>
    <row r="155" spans="1:60" ht="14.25">
      <c r="A155" s="37"/>
      <c r="B155" s="37"/>
      <c r="E155" s="37"/>
      <c r="F155" s="37"/>
      <c r="G155" s="37"/>
      <c r="I155" s="37"/>
      <c r="J155" s="37"/>
      <c r="N155" s="86"/>
      <c r="AB155" s="55"/>
      <c r="AD155" s="37"/>
      <c r="AE155" s="36"/>
      <c r="AG155" s="37"/>
      <c r="AI155" s="37"/>
      <c r="AJ155" s="37"/>
      <c r="AL155" s="37"/>
      <c r="AP155" s="86"/>
      <c r="AZ155" s="154"/>
      <c r="BE155" s="37"/>
      <c r="BF155" s="36"/>
      <c r="BG155" s="37"/>
      <c r="BH155" s="37"/>
    </row>
    <row r="156" spans="1:60" ht="14.25">
      <c r="A156" s="37"/>
      <c r="B156" s="43"/>
      <c r="E156" s="37"/>
      <c r="F156" s="37"/>
      <c r="G156" s="37"/>
      <c r="I156" s="37"/>
      <c r="J156" s="37"/>
      <c r="N156" s="86"/>
      <c r="AB156" s="55"/>
      <c r="AD156" s="37"/>
      <c r="AE156" s="36"/>
      <c r="AG156" s="37"/>
      <c r="AI156" s="37"/>
      <c r="AJ156" s="37"/>
      <c r="AL156" s="37"/>
      <c r="AP156" s="86"/>
      <c r="AZ156" s="154"/>
      <c r="BE156" s="37"/>
      <c r="BF156" s="36"/>
      <c r="BG156" s="37"/>
      <c r="BH156" s="37"/>
    </row>
    <row r="157" spans="1:60" ht="14.25">
      <c r="A157" s="37"/>
      <c r="B157" s="37"/>
      <c r="E157" s="37"/>
      <c r="F157" s="37"/>
      <c r="G157" s="37"/>
      <c r="I157" s="37"/>
      <c r="J157" s="37"/>
      <c r="N157" s="86"/>
      <c r="AB157" s="55"/>
      <c r="AD157" s="37"/>
      <c r="AE157" s="36"/>
      <c r="AG157" s="37"/>
      <c r="AI157" s="37"/>
      <c r="AJ157" s="37"/>
      <c r="AL157" s="37"/>
      <c r="AP157" s="86"/>
      <c r="AZ157" s="154"/>
      <c r="BE157" s="37"/>
      <c r="BF157" s="36"/>
      <c r="BG157" s="37"/>
      <c r="BH157" s="37"/>
    </row>
    <row r="158" spans="1:60" ht="14.25">
      <c r="A158" s="37"/>
      <c r="B158" s="37"/>
      <c r="E158" s="37"/>
      <c r="F158" s="37"/>
      <c r="G158" s="37"/>
      <c r="I158" s="37"/>
      <c r="J158" s="37"/>
      <c r="K158" s="37"/>
      <c r="M158" s="37"/>
      <c r="N158" s="86"/>
      <c r="R158" s="154"/>
      <c r="T158" s="156"/>
      <c r="AB158" s="55"/>
      <c r="AD158" s="37"/>
      <c r="AE158" s="36"/>
      <c r="AF158" s="37"/>
      <c r="AG158" s="37"/>
      <c r="AP158" s="86"/>
      <c r="BF158" s="36"/>
    </row>
    <row r="159" spans="1:60" ht="14.25">
      <c r="A159" s="37"/>
      <c r="B159" s="37"/>
      <c r="E159" s="37"/>
      <c r="F159" s="37"/>
      <c r="G159" s="37"/>
      <c r="I159" s="37"/>
      <c r="J159" s="37"/>
      <c r="K159" s="37"/>
      <c r="M159" s="37"/>
      <c r="N159" s="86"/>
      <c r="R159" s="154"/>
      <c r="S159" s="152"/>
      <c r="T159" s="156"/>
      <c r="AB159" s="153"/>
      <c r="AC159" s="37"/>
      <c r="AD159" s="37"/>
      <c r="AE159" s="36"/>
      <c r="AF159" s="37"/>
      <c r="AG159" s="37"/>
      <c r="AP159" s="86"/>
      <c r="BF159" s="36"/>
    </row>
    <row r="160" spans="1:60" ht="14.25">
      <c r="A160" s="37"/>
      <c r="B160" s="37"/>
      <c r="E160" s="37"/>
      <c r="F160" s="37"/>
      <c r="G160" s="37"/>
      <c r="I160" s="37"/>
      <c r="J160" s="37"/>
      <c r="K160" s="37"/>
      <c r="M160" s="37"/>
      <c r="N160" s="86"/>
      <c r="R160" s="154"/>
      <c r="T160" s="156"/>
      <c r="AB160" s="55"/>
      <c r="AD160" s="37"/>
      <c r="AE160" s="36"/>
      <c r="AF160" s="37"/>
      <c r="AG160" s="37"/>
      <c r="AO160" s="37"/>
      <c r="AP160" s="86"/>
      <c r="AQ160" s="88"/>
      <c r="AR160" s="89"/>
      <c r="AS160" s="90"/>
      <c r="AV160" s="88"/>
      <c r="AW160" s="96"/>
      <c r="AX160" s="97"/>
      <c r="AY160" s="93"/>
      <c r="BB160" s="94"/>
      <c r="BE160" s="37"/>
      <c r="BF160" s="36"/>
    </row>
    <row r="161" spans="1:58" ht="14.25">
      <c r="A161" s="37"/>
      <c r="B161" s="37"/>
      <c r="E161" s="37"/>
      <c r="F161" s="37"/>
      <c r="G161" s="37"/>
      <c r="I161" s="37"/>
      <c r="J161" s="37"/>
      <c r="K161" s="37"/>
      <c r="M161" s="37"/>
      <c r="N161" s="86"/>
      <c r="R161" s="154"/>
      <c r="T161" s="156"/>
      <c r="AB161" s="55"/>
      <c r="AD161" s="37"/>
      <c r="AE161" s="36"/>
      <c r="AF161" s="37"/>
      <c r="AG161" s="37"/>
      <c r="AO161" s="37"/>
      <c r="AP161" s="86"/>
      <c r="AQ161" s="88"/>
      <c r="AR161" s="89"/>
      <c r="AS161" s="90"/>
      <c r="AV161" s="88"/>
      <c r="AW161" s="96"/>
      <c r="AX161" s="97"/>
      <c r="AY161" s="93"/>
      <c r="BB161" s="94"/>
      <c r="BE161" s="37"/>
      <c r="BF161" s="36"/>
    </row>
    <row r="162" spans="1:58" ht="14.25">
      <c r="A162" s="37"/>
      <c r="B162" s="37"/>
      <c r="E162" s="37"/>
      <c r="F162" s="37"/>
      <c r="G162" s="37"/>
      <c r="I162" s="37"/>
      <c r="J162" s="37"/>
      <c r="K162" s="37"/>
      <c r="M162" s="37"/>
      <c r="N162" s="86"/>
      <c r="R162" s="154"/>
      <c r="T162" s="156"/>
      <c r="AB162" s="55"/>
      <c r="AD162" s="37"/>
      <c r="AE162" s="36"/>
      <c r="AF162" s="37"/>
      <c r="AG162" s="37"/>
      <c r="AO162" s="37"/>
      <c r="AP162" s="86"/>
      <c r="AQ162" s="88"/>
      <c r="AR162" s="89"/>
      <c r="AS162" s="90"/>
      <c r="AV162" s="88"/>
      <c r="AW162" s="96"/>
      <c r="AX162" s="97"/>
      <c r="AY162" s="93"/>
      <c r="BB162" s="94"/>
      <c r="BE162" s="37"/>
      <c r="BF162" s="36"/>
    </row>
    <row r="163" spans="1:58" ht="14.25">
      <c r="A163" s="37"/>
      <c r="B163" s="37"/>
      <c r="E163" s="37"/>
      <c r="F163" s="37"/>
      <c r="G163" s="37"/>
      <c r="I163" s="37"/>
      <c r="J163" s="37"/>
      <c r="K163" s="37"/>
      <c r="M163" s="37"/>
      <c r="N163" s="86"/>
      <c r="R163" s="154"/>
      <c r="S163" s="152"/>
      <c r="T163" s="156"/>
      <c r="AB163" s="153"/>
      <c r="AC163" s="37"/>
      <c r="AD163" s="37"/>
      <c r="AE163" s="36"/>
      <c r="AF163" s="37"/>
      <c r="AG163" s="37"/>
      <c r="AO163" s="37"/>
      <c r="AP163" s="86"/>
      <c r="AQ163" s="88"/>
      <c r="AR163" s="89"/>
      <c r="AS163" s="90"/>
      <c r="AV163" s="88"/>
      <c r="AW163" s="96"/>
      <c r="AX163" s="97"/>
      <c r="AY163" s="93"/>
      <c r="BB163" s="94"/>
      <c r="BE163" s="37"/>
      <c r="BF163" s="36"/>
    </row>
    <row r="164" spans="1:58" ht="14.25">
      <c r="A164" s="37"/>
      <c r="B164" s="37"/>
      <c r="E164" s="37"/>
      <c r="F164" s="37"/>
      <c r="G164" s="37"/>
      <c r="I164" s="37"/>
      <c r="J164" s="37"/>
      <c r="K164" s="37"/>
      <c r="M164" s="37"/>
      <c r="N164" s="86"/>
      <c r="R164" s="154"/>
      <c r="S164" s="152"/>
      <c r="T164" s="156"/>
      <c r="AB164" s="153"/>
      <c r="AC164" s="37"/>
      <c r="AD164" s="37"/>
      <c r="AE164" s="36"/>
      <c r="AF164" s="37"/>
      <c r="AG164" s="37"/>
      <c r="AO164" s="37"/>
      <c r="AP164" s="86"/>
      <c r="AQ164" s="88"/>
      <c r="AR164" s="89"/>
      <c r="AS164" s="90"/>
      <c r="AV164" s="88"/>
      <c r="AW164" s="96"/>
      <c r="AX164" s="97"/>
      <c r="AY164" s="93"/>
      <c r="BB164" s="94"/>
      <c r="BE164" s="37"/>
      <c r="BF164" s="36"/>
    </row>
    <row r="165" spans="1:58" ht="14.25">
      <c r="A165" s="37"/>
      <c r="B165" s="37"/>
      <c r="E165" s="37"/>
      <c r="F165" s="37"/>
      <c r="G165" s="37"/>
      <c r="I165" s="37"/>
      <c r="J165" s="37"/>
      <c r="K165" s="37"/>
      <c r="M165" s="37"/>
      <c r="N165" s="86"/>
      <c r="R165" s="154"/>
      <c r="S165" s="152"/>
      <c r="T165" s="156"/>
      <c r="AB165" s="153"/>
      <c r="AC165" s="37"/>
      <c r="AD165" s="37"/>
      <c r="AE165" s="36"/>
      <c r="AF165" s="37"/>
      <c r="AG165" s="37"/>
      <c r="AO165" s="37"/>
      <c r="AP165" s="86"/>
      <c r="AQ165" s="88"/>
      <c r="AR165" s="89"/>
      <c r="AS165" s="90"/>
      <c r="AV165" s="88"/>
      <c r="AW165" s="96"/>
      <c r="AX165" s="97"/>
      <c r="AY165" s="93"/>
      <c r="BB165" s="94"/>
      <c r="BE165" s="37"/>
      <c r="BF165" s="36"/>
    </row>
    <row r="166" spans="1:58" ht="14.25">
      <c r="A166" s="37"/>
      <c r="B166" s="37"/>
      <c r="E166" s="37"/>
      <c r="F166" s="37"/>
      <c r="G166" s="37"/>
      <c r="I166" s="37"/>
      <c r="J166" s="37"/>
      <c r="K166" s="37"/>
      <c r="M166" s="37"/>
      <c r="N166" s="86"/>
      <c r="R166" s="154"/>
      <c r="S166" s="152"/>
      <c r="T166" s="156"/>
      <c r="AB166" s="153"/>
      <c r="AC166" s="37"/>
      <c r="AD166" s="37"/>
      <c r="AE166" s="36"/>
      <c r="AF166" s="37"/>
      <c r="AG166" s="37"/>
      <c r="AO166" s="37"/>
      <c r="AP166" s="86"/>
      <c r="AQ166" s="88"/>
      <c r="AR166" s="89"/>
      <c r="AS166" s="90"/>
      <c r="AV166" s="88"/>
      <c r="AW166" s="96"/>
      <c r="AX166" s="97"/>
      <c r="AY166" s="93"/>
      <c r="BB166" s="94"/>
      <c r="BE166" s="37"/>
      <c r="BF166" s="36"/>
    </row>
    <row r="167" spans="1:58" ht="14.25">
      <c r="A167" s="37"/>
      <c r="B167" s="37"/>
      <c r="E167" s="37"/>
      <c r="F167" s="37"/>
      <c r="G167" s="37"/>
      <c r="I167" s="37"/>
      <c r="J167" s="37"/>
      <c r="K167" s="37"/>
      <c r="M167" s="37"/>
      <c r="N167" s="86"/>
      <c r="R167" s="154"/>
      <c r="S167" s="152"/>
      <c r="T167" s="156"/>
      <c r="AB167" s="153"/>
      <c r="AC167" s="37"/>
      <c r="AD167" s="37"/>
      <c r="AE167" s="36"/>
      <c r="AF167" s="37"/>
      <c r="AG167" s="37"/>
      <c r="AO167" s="37"/>
      <c r="AP167" s="86"/>
      <c r="AQ167" s="88"/>
      <c r="AR167" s="89"/>
      <c r="AS167" s="90"/>
      <c r="AV167" s="88"/>
      <c r="AW167" s="96"/>
      <c r="AX167" s="97"/>
      <c r="AY167" s="93"/>
      <c r="BB167" s="94"/>
      <c r="BE167" s="37"/>
      <c r="BF167" s="36"/>
    </row>
    <row r="168" spans="1:58" ht="14.25">
      <c r="A168" s="37"/>
      <c r="B168" s="37"/>
      <c r="E168" s="37"/>
      <c r="F168" s="37"/>
      <c r="G168" s="37"/>
      <c r="I168" s="37"/>
      <c r="J168" s="37"/>
      <c r="K168" s="37"/>
      <c r="M168" s="37"/>
      <c r="N168" s="86"/>
      <c r="R168" s="154"/>
      <c r="S168" s="152"/>
      <c r="T168" s="156"/>
      <c r="AB168" s="153"/>
      <c r="AC168" s="37"/>
      <c r="AD168" s="37"/>
      <c r="AE168" s="36"/>
      <c r="AF168" s="37"/>
      <c r="AG168" s="37"/>
      <c r="AO168" s="37"/>
      <c r="AP168" s="86"/>
      <c r="AQ168" s="88"/>
      <c r="AR168" s="89"/>
      <c r="AS168" s="90"/>
      <c r="AV168" s="88"/>
      <c r="AW168" s="96"/>
      <c r="AX168" s="97"/>
      <c r="AY168" s="93"/>
      <c r="BB168" s="94"/>
      <c r="BE168" s="37"/>
      <c r="BF168" s="36"/>
    </row>
    <row r="169" spans="1:58" ht="14.25">
      <c r="A169" s="37"/>
      <c r="B169" s="37"/>
      <c r="E169" s="37"/>
      <c r="F169" s="37"/>
      <c r="G169" s="37"/>
      <c r="I169" s="37"/>
      <c r="J169" s="37"/>
      <c r="K169" s="37"/>
      <c r="M169" s="37"/>
      <c r="N169" s="86"/>
      <c r="R169" s="154"/>
      <c r="S169" s="152"/>
      <c r="T169" s="156"/>
      <c r="AB169" s="153"/>
      <c r="AC169" s="37"/>
      <c r="AD169" s="37"/>
      <c r="AE169" s="36"/>
      <c r="AF169" s="37"/>
      <c r="AG169" s="37"/>
      <c r="AO169" s="37"/>
      <c r="AP169" s="86"/>
      <c r="AQ169" s="88"/>
      <c r="AR169" s="89"/>
      <c r="AS169" s="90"/>
      <c r="AV169" s="88"/>
      <c r="AW169" s="96"/>
      <c r="AX169" s="97"/>
      <c r="AY169" s="93"/>
      <c r="BB169" s="94"/>
      <c r="BE169" s="37"/>
      <c r="BF169" s="36"/>
    </row>
    <row r="170" spans="1:58" ht="14.25">
      <c r="A170" s="37"/>
      <c r="B170" s="37"/>
      <c r="E170" s="37"/>
      <c r="F170" s="37"/>
      <c r="G170" s="37"/>
      <c r="I170" s="37"/>
      <c r="J170" s="37"/>
      <c r="K170" s="37"/>
      <c r="M170" s="37"/>
      <c r="N170" s="86"/>
      <c r="O170" s="88"/>
      <c r="P170" s="89"/>
      <c r="R170" s="154"/>
      <c r="T170" s="156"/>
      <c r="U170" s="88"/>
      <c r="V170" s="158"/>
      <c r="W170" s="159"/>
      <c r="X170" s="93"/>
      <c r="AB170" s="55"/>
      <c r="AD170" s="37"/>
      <c r="AE170" s="36"/>
      <c r="AF170" s="37"/>
      <c r="AG170" s="37"/>
      <c r="AO170" s="37"/>
      <c r="AP170" s="86"/>
      <c r="AQ170" s="88"/>
      <c r="AR170" s="89"/>
      <c r="AS170" s="90"/>
      <c r="AV170" s="88"/>
      <c r="AW170" s="96"/>
      <c r="AX170" s="97"/>
      <c r="AY170" s="93"/>
      <c r="BB170" s="94"/>
      <c r="BE170" s="37"/>
      <c r="BF170" s="36"/>
    </row>
    <row r="171" spans="1:58" ht="14.25">
      <c r="A171" s="37"/>
      <c r="B171" s="37"/>
      <c r="E171" s="37"/>
      <c r="F171" s="37"/>
      <c r="G171" s="37"/>
      <c r="I171" s="37"/>
      <c r="J171" s="37"/>
      <c r="K171" s="37"/>
      <c r="M171" s="37"/>
      <c r="N171" s="86"/>
      <c r="R171" s="154"/>
      <c r="T171" s="156"/>
      <c r="AB171" s="55"/>
      <c r="AD171" s="37"/>
      <c r="AE171" s="36"/>
      <c r="AF171" s="37"/>
      <c r="AG171" s="37"/>
      <c r="AO171" s="37"/>
      <c r="AP171" s="86"/>
      <c r="AQ171" s="88"/>
      <c r="AR171" s="89"/>
      <c r="AS171" s="90"/>
      <c r="AV171" s="88"/>
      <c r="AW171" s="96"/>
      <c r="AX171" s="97"/>
      <c r="AY171" s="93"/>
      <c r="BB171" s="94"/>
      <c r="BE171" s="37"/>
      <c r="BF171" s="36"/>
    </row>
    <row r="172" spans="1:58" ht="14.25">
      <c r="A172" s="37"/>
      <c r="B172" s="37"/>
      <c r="E172" s="37"/>
      <c r="F172" s="37"/>
      <c r="G172" s="37"/>
      <c r="I172" s="37"/>
      <c r="J172" s="37"/>
      <c r="K172" s="37"/>
      <c r="M172" s="37"/>
      <c r="N172" s="86"/>
      <c r="R172" s="154"/>
      <c r="S172" s="152"/>
      <c r="T172" s="156"/>
      <c r="AB172" s="153"/>
      <c r="AC172" s="37"/>
      <c r="AD172" s="37"/>
      <c r="AE172" s="36"/>
      <c r="AF172" s="37"/>
      <c r="AG172" s="37"/>
      <c r="AO172" s="37"/>
      <c r="AP172" s="86"/>
      <c r="AQ172" s="88"/>
      <c r="AR172" s="89"/>
      <c r="AS172" s="90"/>
      <c r="AV172" s="88"/>
      <c r="AW172" s="96"/>
      <c r="AX172" s="97"/>
      <c r="AY172" s="93"/>
      <c r="BB172" s="94"/>
      <c r="BE172" s="37"/>
      <c r="BF172" s="36"/>
    </row>
    <row r="173" spans="1:58" ht="14.25">
      <c r="A173" s="37"/>
      <c r="B173" s="37"/>
      <c r="E173" s="37"/>
      <c r="F173" s="37"/>
      <c r="G173" s="37"/>
      <c r="I173" s="37"/>
      <c r="J173" s="37"/>
      <c r="K173" s="37"/>
      <c r="M173" s="37"/>
      <c r="N173" s="86"/>
      <c r="R173" s="154"/>
      <c r="T173" s="156"/>
      <c r="AB173" s="55"/>
      <c r="AD173" s="37"/>
      <c r="AE173" s="36"/>
      <c r="AF173" s="37"/>
      <c r="AG173" s="37"/>
      <c r="AO173" s="37"/>
      <c r="AP173" s="86"/>
      <c r="AQ173" s="88"/>
      <c r="AR173" s="89"/>
      <c r="AS173" s="90"/>
      <c r="AV173" s="88"/>
      <c r="AW173" s="96"/>
      <c r="AX173" s="97"/>
      <c r="AY173" s="93"/>
      <c r="BB173" s="94"/>
      <c r="BE173" s="37"/>
      <c r="BF173" s="36"/>
    </row>
    <row r="174" spans="1:58" ht="14.25">
      <c r="A174" s="37"/>
      <c r="B174" s="37"/>
      <c r="E174" s="37"/>
      <c r="F174" s="37"/>
      <c r="G174" s="37"/>
      <c r="I174" s="37"/>
      <c r="J174" s="37"/>
      <c r="K174" s="37"/>
      <c r="M174" s="37"/>
      <c r="N174" s="86"/>
      <c r="R174" s="154"/>
      <c r="S174" s="152"/>
      <c r="T174" s="156"/>
      <c r="AB174" s="153"/>
      <c r="AC174" s="37"/>
      <c r="AD174" s="37"/>
      <c r="AE174" s="36"/>
      <c r="AF174" s="37"/>
      <c r="AG174" s="37"/>
      <c r="AO174" s="37"/>
      <c r="AP174" s="86"/>
      <c r="AQ174" s="88"/>
      <c r="AR174" s="89"/>
      <c r="AS174" s="90"/>
      <c r="AV174" s="88"/>
      <c r="AW174" s="96"/>
      <c r="AX174" s="97"/>
      <c r="AY174" s="93"/>
      <c r="BB174" s="94"/>
      <c r="BE174" s="37"/>
      <c r="BF174" s="36"/>
    </row>
    <row r="175" spans="1:58" ht="14.25">
      <c r="A175" s="37"/>
      <c r="B175" s="37"/>
      <c r="E175" s="37"/>
      <c r="F175" s="37"/>
      <c r="G175" s="37"/>
      <c r="I175" s="37"/>
      <c r="J175" s="37"/>
      <c r="K175" s="37"/>
      <c r="M175" s="37"/>
      <c r="N175" s="86"/>
      <c r="R175" s="154"/>
      <c r="S175" s="152"/>
      <c r="T175" s="156"/>
      <c r="AB175" s="153"/>
      <c r="AC175" s="37"/>
      <c r="AD175" s="37"/>
      <c r="AE175" s="36"/>
      <c r="AF175" s="37"/>
      <c r="AG175" s="37"/>
      <c r="AO175" s="37"/>
      <c r="AP175" s="86"/>
      <c r="AQ175" s="88"/>
      <c r="AR175" s="89"/>
      <c r="AS175" s="90"/>
      <c r="AV175" s="88"/>
      <c r="AW175" s="96"/>
      <c r="AX175" s="97"/>
      <c r="AY175" s="93"/>
      <c r="BB175" s="94"/>
      <c r="BE175" s="37"/>
      <c r="BF175" s="36"/>
    </row>
    <row r="176" spans="1:58" ht="14.25">
      <c r="A176" s="37"/>
      <c r="B176" s="37"/>
      <c r="E176" s="37"/>
      <c r="F176" s="37"/>
      <c r="G176" s="37"/>
      <c r="I176" s="37"/>
      <c r="J176" s="37"/>
      <c r="K176" s="37"/>
      <c r="M176" s="37"/>
      <c r="N176" s="86"/>
      <c r="R176" s="154"/>
      <c r="T176" s="156"/>
      <c r="AB176" s="55"/>
      <c r="AD176" s="37"/>
      <c r="AE176" s="36"/>
      <c r="AF176" s="37"/>
      <c r="AG176" s="37"/>
      <c r="AO176" s="37"/>
      <c r="AP176" s="86"/>
      <c r="AQ176" s="88"/>
      <c r="AR176" s="89"/>
      <c r="AS176" s="90"/>
      <c r="AV176" s="88"/>
      <c r="AW176" s="96"/>
      <c r="AX176" s="97"/>
      <c r="AY176" s="93"/>
      <c r="BB176" s="94"/>
      <c r="BE176" s="37"/>
      <c r="BF176" s="36"/>
    </row>
    <row r="177" spans="1:58" ht="14.25">
      <c r="A177" s="37"/>
      <c r="B177" s="37"/>
      <c r="E177" s="37"/>
      <c r="F177" s="37"/>
      <c r="G177" s="37"/>
      <c r="I177" s="37"/>
      <c r="J177" s="37"/>
      <c r="K177" s="37"/>
      <c r="M177" s="37"/>
      <c r="N177" s="86"/>
      <c r="R177" s="154"/>
      <c r="S177" s="152"/>
      <c r="T177" s="156"/>
      <c r="AB177" s="153"/>
      <c r="AC177" s="37"/>
      <c r="AD177" s="37"/>
      <c r="AE177" s="36"/>
      <c r="AF177" s="37"/>
      <c r="AG177" s="37"/>
      <c r="AO177" s="37"/>
      <c r="AP177" s="86"/>
      <c r="AQ177" s="88"/>
      <c r="AR177" s="89"/>
      <c r="AS177" s="90"/>
      <c r="AV177" s="88"/>
      <c r="AW177" s="96"/>
      <c r="AX177" s="97"/>
      <c r="AY177" s="93"/>
      <c r="BB177" s="94"/>
      <c r="BE177" s="37"/>
      <c r="BF177" s="36"/>
    </row>
    <row r="178" spans="1:58" ht="14.25">
      <c r="A178" s="37"/>
      <c r="B178" s="37"/>
      <c r="E178" s="37"/>
      <c r="F178" s="37"/>
      <c r="G178" s="37"/>
      <c r="I178" s="37"/>
      <c r="J178" s="37"/>
      <c r="K178" s="37"/>
      <c r="M178" s="37"/>
      <c r="N178" s="86"/>
      <c r="R178" s="154"/>
      <c r="T178" s="156"/>
      <c r="AB178" s="55"/>
      <c r="AD178" s="37"/>
      <c r="AE178" s="36"/>
      <c r="AF178" s="37"/>
      <c r="AG178" s="37"/>
      <c r="AO178" s="37"/>
      <c r="AP178" s="86"/>
      <c r="AQ178" s="88"/>
      <c r="AR178" s="89"/>
      <c r="AS178" s="90"/>
      <c r="AV178" s="88"/>
      <c r="AW178" s="96"/>
      <c r="AX178" s="97"/>
      <c r="AY178" s="93"/>
      <c r="BB178" s="94"/>
      <c r="BE178" s="37"/>
      <c r="BF178" s="36"/>
    </row>
    <row r="179" spans="1:58" ht="14.25">
      <c r="A179" s="37"/>
      <c r="B179" s="37"/>
      <c r="E179" s="37"/>
      <c r="F179" s="37"/>
      <c r="G179" s="37"/>
      <c r="I179" s="37"/>
      <c r="J179" s="37"/>
      <c r="K179" s="37"/>
      <c r="M179" s="37"/>
      <c r="N179" s="86"/>
      <c r="R179" s="154"/>
      <c r="S179" s="152"/>
      <c r="T179" s="156"/>
      <c r="AB179" s="153"/>
      <c r="AC179" s="37"/>
      <c r="AD179" s="37"/>
      <c r="AE179" s="36"/>
      <c r="AF179" s="37"/>
      <c r="AG179" s="37"/>
      <c r="AO179" s="37"/>
      <c r="AP179" s="86"/>
      <c r="AQ179" s="88"/>
      <c r="AR179" s="89"/>
      <c r="AS179" s="90"/>
      <c r="AV179" s="88"/>
      <c r="AW179" s="96"/>
      <c r="AX179" s="97"/>
      <c r="AY179" s="93"/>
      <c r="BB179" s="94"/>
      <c r="BE179" s="37"/>
      <c r="BF179" s="36"/>
    </row>
    <row r="180" spans="1:58" ht="14.25">
      <c r="A180" s="37"/>
      <c r="B180" s="37"/>
      <c r="E180" s="37"/>
      <c r="F180" s="37"/>
      <c r="G180" s="37"/>
      <c r="I180" s="37"/>
      <c r="J180" s="37"/>
      <c r="K180" s="37"/>
      <c r="M180" s="37"/>
      <c r="N180" s="86"/>
      <c r="R180" s="154"/>
      <c r="T180" s="156"/>
      <c r="AB180" s="55"/>
      <c r="AD180" s="37"/>
      <c r="AE180" s="36"/>
      <c r="AF180" s="37"/>
      <c r="AG180" s="37"/>
      <c r="AO180" s="37"/>
      <c r="AP180" s="86"/>
      <c r="AQ180" s="88"/>
      <c r="AR180" s="89"/>
      <c r="AS180" s="90"/>
      <c r="AV180" s="88"/>
      <c r="AW180" s="96"/>
      <c r="AX180" s="97"/>
      <c r="AY180" s="93"/>
      <c r="BB180" s="94"/>
      <c r="BE180" s="37"/>
      <c r="BF180" s="36"/>
    </row>
    <row r="181" spans="1:58" ht="14.25">
      <c r="A181" s="37"/>
      <c r="B181" s="37"/>
      <c r="E181" s="37"/>
      <c r="F181" s="37"/>
      <c r="G181" s="37"/>
      <c r="I181" s="37"/>
      <c r="J181" s="37"/>
      <c r="K181" s="37"/>
      <c r="M181" s="37"/>
      <c r="N181" s="86"/>
      <c r="O181" s="88"/>
      <c r="P181" s="89"/>
      <c r="R181" s="154"/>
      <c r="T181" s="156"/>
      <c r="U181" s="88"/>
      <c r="X181" s="93"/>
      <c r="AB181" s="55"/>
      <c r="AD181" s="37"/>
      <c r="AE181" s="36"/>
      <c r="AF181" s="37"/>
      <c r="AG181" s="37"/>
      <c r="AO181" s="37"/>
      <c r="AP181" s="86"/>
      <c r="AQ181" s="88"/>
      <c r="AR181" s="89"/>
      <c r="AS181" s="90"/>
      <c r="AV181" s="88"/>
      <c r="AW181" s="96"/>
      <c r="AX181" s="97"/>
      <c r="AY181" s="93"/>
      <c r="BB181" s="94"/>
      <c r="BE181" s="37"/>
      <c r="BF181" s="36"/>
    </row>
    <row r="182" spans="1:58" ht="14.25">
      <c r="A182" s="37"/>
      <c r="B182" s="37"/>
      <c r="E182" s="37"/>
      <c r="F182" s="37"/>
      <c r="G182" s="37"/>
      <c r="I182" s="37"/>
      <c r="J182" s="37"/>
      <c r="K182" s="37"/>
      <c r="M182" s="37"/>
      <c r="N182" s="86"/>
      <c r="O182" s="88"/>
      <c r="P182" s="89"/>
      <c r="R182" s="154"/>
      <c r="T182" s="156"/>
      <c r="U182" s="88"/>
      <c r="X182" s="93"/>
      <c r="AB182" s="55"/>
      <c r="AD182" s="37"/>
      <c r="AE182" s="36"/>
      <c r="AF182" s="37"/>
      <c r="AG182" s="37"/>
      <c r="AO182" s="37"/>
      <c r="AP182" s="86"/>
      <c r="AQ182" s="88"/>
      <c r="AR182" s="89"/>
      <c r="AS182" s="90"/>
      <c r="AV182" s="88"/>
      <c r="AW182" s="96"/>
      <c r="AX182" s="97"/>
      <c r="AY182" s="93"/>
      <c r="BB182" s="94"/>
      <c r="BE182" s="37"/>
      <c r="BF182" s="36"/>
    </row>
    <row r="183" spans="1:58" ht="14.25">
      <c r="A183" s="37"/>
      <c r="B183" s="37"/>
      <c r="E183" s="37"/>
      <c r="F183" s="37"/>
      <c r="G183" s="37"/>
      <c r="I183" s="37"/>
      <c r="J183" s="37"/>
      <c r="K183" s="37"/>
      <c r="M183" s="37"/>
      <c r="N183" s="86"/>
      <c r="R183" s="154"/>
      <c r="S183" s="152"/>
      <c r="T183" s="156"/>
      <c r="V183" s="96"/>
      <c r="W183" s="97"/>
      <c r="X183" s="93"/>
      <c r="AA183" s="94"/>
      <c r="AB183" s="153"/>
      <c r="AC183" s="37"/>
      <c r="AD183" s="37"/>
      <c r="AE183" s="36"/>
      <c r="AF183" s="37"/>
      <c r="AG183" s="37"/>
      <c r="AO183" s="37"/>
      <c r="AP183" s="86"/>
      <c r="AQ183" s="88"/>
      <c r="AR183" s="89"/>
      <c r="AS183" s="90"/>
      <c r="AV183" s="88"/>
      <c r="AW183" s="96"/>
      <c r="AX183" s="97"/>
      <c r="AY183" s="93"/>
      <c r="BB183" s="94"/>
      <c r="BE183" s="37"/>
      <c r="BF183" s="36"/>
    </row>
    <row r="184" spans="1:58" ht="14.25">
      <c r="D184" s="36"/>
      <c r="N184" s="86"/>
      <c r="O184" s="88"/>
      <c r="P184" s="89"/>
      <c r="Q184" s="90"/>
      <c r="U184" s="88"/>
      <c r="V184" s="96"/>
      <c r="W184" s="97"/>
      <c r="X184" s="93"/>
      <c r="AA184" s="94"/>
      <c r="AB184" s="55"/>
      <c r="AE184" s="36"/>
      <c r="AP184" s="86"/>
      <c r="AQ184" s="88"/>
      <c r="AR184" s="89"/>
      <c r="AS184" s="90"/>
      <c r="AV184" s="88"/>
      <c r="AW184" s="96"/>
      <c r="AX184" s="97"/>
      <c r="AY184" s="93"/>
      <c r="BB184" s="94"/>
    </row>
    <row r="185" spans="1:58" ht="14.25">
      <c r="A185" s="41"/>
      <c r="B185" s="41"/>
      <c r="C185" s="41"/>
      <c r="D185" s="44"/>
      <c r="E185" s="41"/>
      <c r="F185" s="41"/>
      <c r="G185" s="41"/>
      <c r="N185" s="86"/>
      <c r="O185" s="88"/>
      <c r="P185" s="89"/>
      <c r="Q185" s="90"/>
      <c r="U185" s="88"/>
      <c r="V185" s="96"/>
      <c r="W185" s="97"/>
      <c r="X185" s="93"/>
      <c r="AA185" s="94"/>
      <c r="AB185" s="55"/>
      <c r="AE185" s="36"/>
      <c r="AI185" s="41"/>
      <c r="AP185" s="86"/>
      <c r="AQ185" s="88"/>
      <c r="AR185" s="89"/>
      <c r="AS185" s="90"/>
      <c r="AV185" s="88"/>
      <c r="AW185" s="96"/>
      <c r="AX185" s="97"/>
      <c r="AY185" s="93"/>
      <c r="BB185" s="94"/>
    </row>
    <row r="186" spans="1:58" ht="14.25">
      <c r="N186" s="86"/>
      <c r="O186" s="88"/>
      <c r="P186" s="89"/>
      <c r="Q186" s="90"/>
      <c r="U186" s="88"/>
      <c r="V186" s="96"/>
      <c r="W186" s="97"/>
      <c r="X186" s="93"/>
      <c r="AA186" s="94"/>
      <c r="AB186" s="55"/>
      <c r="AE186" s="36"/>
      <c r="AP186" s="86"/>
      <c r="AQ186" s="88"/>
      <c r="AR186" s="89"/>
      <c r="AS186" s="90"/>
      <c r="AV186" s="88"/>
      <c r="AW186" s="96"/>
      <c r="AX186" s="97"/>
      <c r="AY186" s="93"/>
      <c r="BB186" s="94"/>
    </row>
    <row r="187" spans="1:58" ht="14.25">
      <c r="N187" s="86"/>
      <c r="O187" s="88"/>
      <c r="P187" s="89"/>
      <c r="Q187" s="90"/>
      <c r="U187" s="88"/>
      <c r="V187" s="96"/>
      <c r="W187" s="97"/>
      <c r="X187" s="93"/>
      <c r="AA187" s="94"/>
      <c r="AB187" s="55"/>
      <c r="AE187" s="36"/>
      <c r="AP187" s="86"/>
      <c r="AQ187" s="88"/>
      <c r="AR187" s="89"/>
      <c r="AS187" s="90"/>
      <c r="AV187" s="88"/>
      <c r="AW187" s="96"/>
      <c r="AX187" s="97"/>
      <c r="AY187" s="93"/>
      <c r="BB187" s="94"/>
    </row>
    <row r="188" spans="1:58" ht="14.25">
      <c r="N188" s="86"/>
      <c r="O188" s="88"/>
      <c r="P188" s="89"/>
      <c r="Q188" s="90"/>
      <c r="U188" s="88"/>
      <c r="V188" s="96"/>
      <c r="W188" s="97"/>
      <c r="X188" s="93"/>
      <c r="AA188" s="94"/>
      <c r="AB188" s="55"/>
      <c r="AE188" s="36"/>
      <c r="AP188" s="86"/>
      <c r="AQ188" s="88"/>
      <c r="AR188" s="89"/>
      <c r="AS188" s="90"/>
      <c r="AV188" s="88"/>
      <c r="AW188" s="96"/>
      <c r="AX188" s="97"/>
      <c r="AY188" s="93"/>
      <c r="BB188" s="94"/>
    </row>
    <row r="189" spans="1:58" s="45" customFormat="1">
      <c r="N189" s="98"/>
      <c r="O189" s="99"/>
      <c r="P189" s="100"/>
      <c r="Q189" s="101"/>
      <c r="R189" s="102"/>
      <c r="S189" s="126"/>
      <c r="T189" s="103"/>
      <c r="U189" s="99"/>
      <c r="V189" s="104"/>
      <c r="W189" s="105"/>
      <c r="X189" s="106"/>
      <c r="Y189" s="102"/>
      <c r="Z189" s="103"/>
      <c r="AA189" s="107"/>
      <c r="AP189" s="98"/>
      <c r="AQ189" s="99"/>
      <c r="AR189" s="100"/>
      <c r="AS189" s="101"/>
      <c r="AT189" s="102"/>
      <c r="AU189" s="103"/>
      <c r="AV189" s="99"/>
      <c r="AW189" s="104"/>
      <c r="AX189" s="105"/>
      <c r="AY189" s="106"/>
      <c r="AZ189" s="102"/>
      <c r="BA189" s="103"/>
      <c r="BB189" s="107"/>
      <c r="BF189" s="38"/>
    </row>
    <row r="190" spans="1:58">
      <c r="D190" s="36"/>
      <c r="N190" s="86"/>
      <c r="O190" s="108"/>
      <c r="P190" s="109"/>
      <c r="Q190" s="110"/>
      <c r="R190" s="111"/>
      <c r="T190" s="112"/>
      <c r="U190" s="108"/>
      <c r="V190" s="113"/>
      <c r="W190" s="114"/>
      <c r="X190" s="115"/>
      <c r="Y190" s="111"/>
      <c r="Z190" s="112"/>
      <c r="AA190" s="116"/>
      <c r="AE190" s="36"/>
      <c r="AP190" s="86"/>
      <c r="AQ190" s="108"/>
      <c r="AR190" s="109"/>
      <c r="AS190" s="110"/>
      <c r="AT190" s="111"/>
      <c r="AU190" s="112"/>
      <c r="AV190" s="108"/>
      <c r="AW190" s="113"/>
      <c r="AX190" s="114"/>
      <c r="AY190" s="115"/>
      <c r="AZ190" s="111"/>
      <c r="BA190" s="112"/>
      <c r="BB190" s="116"/>
    </row>
    <row r="191" spans="1:58">
      <c r="D191" s="36"/>
      <c r="N191" s="86"/>
      <c r="O191" s="88"/>
      <c r="P191" s="89"/>
      <c r="Q191" s="90"/>
      <c r="U191" s="88"/>
      <c r="V191" s="96"/>
      <c r="W191" s="97"/>
      <c r="X191" s="93"/>
      <c r="AA191" s="94"/>
      <c r="AE191" s="36"/>
      <c r="AP191" s="86"/>
      <c r="AQ191" s="88"/>
      <c r="AR191" s="89"/>
      <c r="AS191" s="90"/>
      <c r="AV191" s="88"/>
      <c r="AW191" s="96"/>
      <c r="AX191" s="97"/>
      <c r="AY191" s="93"/>
      <c r="BB191" s="94"/>
    </row>
    <row r="192" spans="1:58">
      <c r="D192" s="36"/>
      <c r="N192" s="86"/>
      <c r="O192" s="88"/>
      <c r="P192" s="89"/>
      <c r="Q192" s="90"/>
      <c r="U192" s="88"/>
      <c r="V192" s="96"/>
      <c r="W192" s="97"/>
      <c r="X192" s="93"/>
      <c r="AA192" s="94"/>
      <c r="AE192" s="36"/>
      <c r="AP192" s="86"/>
      <c r="AQ192" s="88"/>
      <c r="AR192" s="89"/>
      <c r="AS192" s="90"/>
      <c r="AV192" s="88"/>
      <c r="AW192" s="96"/>
      <c r="AX192" s="97"/>
      <c r="AY192" s="93"/>
      <c r="BB192" s="94"/>
    </row>
    <row r="193" spans="4:57">
      <c r="D193" s="36"/>
      <c r="N193" s="86"/>
      <c r="O193" s="88"/>
      <c r="P193" s="89"/>
      <c r="Q193" s="90"/>
      <c r="U193" s="88"/>
      <c r="V193" s="96"/>
      <c r="W193" s="97"/>
      <c r="X193" s="93"/>
      <c r="AA193" s="94"/>
      <c r="AE193" s="36"/>
      <c r="AP193" s="86"/>
      <c r="AQ193" s="88"/>
      <c r="AR193" s="89"/>
      <c r="AS193" s="90"/>
      <c r="AV193" s="88"/>
      <c r="AW193" s="96"/>
      <c r="AX193" s="97"/>
      <c r="AY193" s="93"/>
      <c r="BB193" s="94"/>
    </row>
    <row r="194" spans="4:57">
      <c r="D194" s="36"/>
      <c r="N194" s="86"/>
      <c r="O194" s="88"/>
      <c r="P194" s="89"/>
      <c r="Q194" s="90"/>
      <c r="U194" s="88"/>
      <c r="V194" s="91"/>
      <c r="W194" s="92"/>
      <c r="X194" s="93"/>
      <c r="AA194" s="94"/>
      <c r="AE194" s="36"/>
      <c r="AP194" s="86"/>
      <c r="AQ194" s="88"/>
      <c r="AR194" s="89"/>
      <c r="AS194" s="90"/>
      <c r="AV194" s="88"/>
      <c r="AW194" s="96"/>
      <c r="AX194" s="97"/>
      <c r="AY194" s="93"/>
      <c r="BB194" s="94"/>
    </row>
    <row r="195" spans="4:57" ht="14.25">
      <c r="D195" s="36"/>
      <c r="N195" s="86"/>
      <c r="O195" s="88"/>
      <c r="P195" s="89"/>
      <c r="Q195" s="90"/>
      <c r="U195" s="88"/>
      <c r="V195" s="91"/>
      <c r="W195" s="92"/>
      <c r="X195" s="93"/>
      <c r="AA195" s="94"/>
      <c r="AE195" s="36"/>
      <c r="AI195" s="55"/>
      <c r="AP195" s="86"/>
      <c r="AQ195" s="88"/>
      <c r="AR195" s="89"/>
      <c r="AS195" s="90"/>
      <c r="AV195" s="88"/>
      <c r="AW195" s="96"/>
      <c r="AX195" s="97"/>
      <c r="AY195" s="93"/>
      <c r="BB195" s="94"/>
    </row>
    <row r="196" spans="4:57" ht="14.25">
      <c r="D196" s="36"/>
      <c r="G196" s="56"/>
      <c r="N196" s="86"/>
      <c r="O196" s="88"/>
      <c r="P196" s="89"/>
      <c r="Q196" s="90"/>
      <c r="U196" s="88"/>
      <c r="V196" s="91"/>
      <c r="W196" s="92"/>
      <c r="X196" s="93"/>
      <c r="AA196" s="94"/>
      <c r="AD196" s="56"/>
      <c r="AE196" s="36"/>
      <c r="AI196" s="56"/>
      <c r="AP196" s="86"/>
      <c r="AQ196" s="88"/>
      <c r="AR196" s="89"/>
      <c r="AS196" s="90"/>
      <c r="AV196" s="88"/>
      <c r="AW196" s="96"/>
      <c r="AX196" s="97"/>
      <c r="AY196" s="93"/>
      <c r="BB196" s="94"/>
      <c r="BE196" s="56"/>
    </row>
    <row r="197" spans="4:57" ht="14.25">
      <c r="D197" s="36"/>
      <c r="G197" s="56"/>
      <c r="N197" s="86"/>
      <c r="O197" s="88"/>
      <c r="P197" s="89"/>
      <c r="Q197" s="90"/>
      <c r="U197" s="88"/>
      <c r="V197" s="91"/>
      <c r="W197" s="92"/>
      <c r="X197" s="93"/>
      <c r="AA197" s="94"/>
      <c r="AD197" s="56"/>
      <c r="AE197" s="36"/>
      <c r="AI197" s="56"/>
      <c r="AJ197" s="56"/>
      <c r="AP197" s="86"/>
      <c r="AQ197" s="88"/>
      <c r="AR197" s="89"/>
      <c r="AS197" s="90"/>
      <c r="AV197" s="88"/>
      <c r="AW197" s="96"/>
      <c r="AX197" s="97"/>
      <c r="AY197" s="93"/>
      <c r="BB197" s="94"/>
      <c r="BE197" s="56"/>
    </row>
    <row r="198" spans="4:57" ht="14.25">
      <c r="D198" s="36"/>
      <c r="G198" s="56"/>
      <c r="N198" s="86"/>
      <c r="O198" s="88"/>
      <c r="P198" s="89"/>
      <c r="Q198" s="90"/>
      <c r="U198" s="88"/>
      <c r="V198" s="91"/>
      <c r="W198" s="92"/>
      <c r="X198" s="93"/>
      <c r="AA198" s="94"/>
      <c r="AD198" s="56"/>
      <c r="AE198" s="36"/>
      <c r="AI198" s="56"/>
      <c r="AJ198" s="56"/>
      <c r="AP198" s="86"/>
      <c r="AQ198" s="88"/>
      <c r="AR198" s="89"/>
      <c r="AS198" s="90"/>
      <c r="AV198" s="88"/>
      <c r="AW198" s="96"/>
      <c r="AX198" s="97"/>
      <c r="AY198" s="93"/>
      <c r="BB198" s="94"/>
      <c r="BE198" s="56"/>
    </row>
    <row r="199" spans="4:57" ht="14.25">
      <c r="D199" s="36"/>
      <c r="N199" s="86"/>
      <c r="O199" s="88"/>
      <c r="P199" s="89"/>
      <c r="Q199" s="90"/>
      <c r="U199" s="88"/>
      <c r="V199" s="91"/>
      <c r="W199" s="92"/>
      <c r="X199" s="93"/>
      <c r="AA199" s="94"/>
      <c r="AD199" s="56"/>
      <c r="AE199" s="36"/>
      <c r="AP199" s="86"/>
      <c r="AQ199" s="88"/>
      <c r="AR199" s="89"/>
      <c r="AS199" s="90"/>
      <c r="AV199" s="88"/>
      <c r="AW199" s="96"/>
      <c r="AX199" s="97"/>
      <c r="AY199" s="93"/>
      <c r="BB199" s="94"/>
      <c r="BE199" s="56"/>
    </row>
    <row r="200" spans="4:57">
      <c r="D200" s="36"/>
      <c r="N200" s="86"/>
      <c r="O200" s="88"/>
      <c r="P200" s="89"/>
      <c r="Q200" s="90"/>
      <c r="U200" s="88"/>
      <c r="V200" s="91"/>
      <c r="W200" s="92"/>
      <c r="X200" s="93"/>
      <c r="AA200" s="94"/>
      <c r="AE200" s="36"/>
      <c r="AP200" s="86"/>
      <c r="AQ200" s="88"/>
      <c r="AR200" s="89"/>
      <c r="AS200" s="90"/>
      <c r="AV200" s="88"/>
      <c r="AW200" s="96"/>
      <c r="AX200" s="97"/>
      <c r="AY200" s="93"/>
      <c r="BB200" s="94"/>
    </row>
    <row r="201" spans="4:57">
      <c r="D201" s="36"/>
      <c r="N201" s="86"/>
      <c r="O201" s="88"/>
      <c r="P201" s="89"/>
      <c r="Q201" s="90"/>
      <c r="U201" s="88"/>
      <c r="V201" s="91"/>
      <c r="W201" s="92"/>
      <c r="X201" s="93"/>
      <c r="AA201" s="94"/>
      <c r="AE201" s="36"/>
      <c r="AP201" s="86"/>
      <c r="AQ201" s="88"/>
      <c r="AR201" s="89"/>
      <c r="AS201" s="90"/>
      <c r="AV201" s="88"/>
      <c r="AW201" s="96"/>
      <c r="AX201" s="97"/>
      <c r="AY201" s="93"/>
      <c r="BB201" s="94"/>
    </row>
    <row r="202" spans="4:57" ht="14.25">
      <c r="D202" s="36"/>
      <c r="G202" s="56"/>
      <c r="N202" s="86"/>
      <c r="O202" s="88"/>
      <c r="P202" s="89"/>
      <c r="Q202" s="90"/>
      <c r="U202" s="88"/>
      <c r="V202" s="91"/>
      <c r="W202" s="92"/>
      <c r="X202" s="93"/>
      <c r="AA202" s="94"/>
      <c r="AD202" s="56"/>
      <c r="AE202" s="36"/>
      <c r="AI202" s="56"/>
      <c r="AP202" s="86"/>
      <c r="AQ202" s="88"/>
      <c r="AR202" s="89"/>
      <c r="AS202" s="90"/>
      <c r="AV202" s="88"/>
      <c r="AW202" s="96"/>
      <c r="AX202" s="97"/>
      <c r="AY202" s="93"/>
      <c r="BB202" s="94"/>
      <c r="BE202" s="56"/>
    </row>
    <row r="203" spans="4:57" ht="14.25">
      <c r="D203" s="36"/>
      <c r="G203" s="56"/>
      <c r="N203" s="86"/>
      <c r="O203" s="88"/>
      <c r="P203" s="89"/>
      <c r="Q203" s="90"/>
      <c r="U203" s="88"/>
      <c r="V203" s="91"/>
      <c r="W203" s="92"/>
      <c r="X203" s="93"/>
      <c r="AA203" s="94"/>
      <c r="AD203" s="56"/>
      <c r="AE203" s="36"/>
      <c r="AI203" s="56"/>
      <c r="AP203" s="86"/>
      <c r="AQ203" s="88"/>
      <c r="AR203" s="89"/>
      <c r="AS203" s="90"/>
      <c r="AV203" s="88"/>
      <c r="AW203" s="96"/>
      <c r="AX203" s="97"/>
      <c r="AY203" s="93"/>
      <c r="BB203" s="94"/>
      <c r="BE203" s="56"/>
    </row>
    <row r="204" spans="4:57" ht="14.25">
      <c r="D204" s="36"/>
      <c r="G204" s="56"/>
      <c r="N204" s="86"/>
      <c r="O204" s="88"/>
      <c r="P204" s="89"/>
      <c r="Q204" s="90"/>
      <c r="U204" s="88"/>
      <c r="V204" s="91"/>
      <c r="W204" s="92"/>
      <c r="X204" s="93"/>
      <c r="AA204" s="94"/>
      <c r="AD204" s="56"/>
      <c r="AE204" s="36"/>
      <c r="AI204" s="56"/>
      <c r="AP204" s="86"/>
      <c r="AQ204" s="88"/>
      <c r="AR204" s="89"/>
      <c r="AS204" s="90"/>
      <c r="AV204" s="88"/>
      <c r="AW204" s="96"/>
      <c r="AX204" s="97"/>
      <c r="AY204" s="93"/>
      <c r="BB204" s="94"/>
      <c r="BE204" s="56"/>
    </row>
    <row r="205" spans="4:57">
      <c r="D205" s="36"/>
      <c r="N205" s="86"/>
      <c r="O205" s="88"/>
      <c r="P205" s="89"/>
      <c r="Q205" s="90"/>
      <c r="U205" s="88"/>
      <c r="V205" s="91"/>
      <c r="W205" s="92"/>
      <c r="X205" s="93"/>
      <c r="AA205" s="94"/>
      <c r="AE205" s="36"/>
      <c r="AP205" s="86"/>
      <c r="AQ205" s="88"/>
      <c r="AR205" s="89"/>
      <c r="AS205" s="90"/>
      <c r="AV205" s="88"/>
      <c r="AW205" s="96"/>
      <c r="AX205" s="97"/>
      <c r="AY205" s="93"/>
      <c r="BB205" s="94"/>
    </row>
    <row r="206" spans="4:57">
      <c r="D206" s="36"/>
      <c r="N206" s="86"/>
      <c r="O206" s="88"/>
      <c r="P206" s="89"/>
      <c r="Q206" s="90"/>
      <c r="U206" s="88"/>
      <c r="V206" s="91"/>
      <c r="W206" s="92"/>
      <c r="X206" s="93"/>
      <c r="AA206" s="94"/>
      <c r="AE206" s="36"/>
      <c r="AP206" s="86"/>
      <c r="AQ206" s="88"/>
      <c r="AR206" s="89"/>
      <c r="AS206" s="90"/>
      <c r="AV206" s="88"/>
      <c r="AW206" s="96"/>
      <c r="AX206" s="97"/>
      <c r="AY206" s="93"/>
      <c r="BB206" s="94"/>
    </row>
    <row r="207" spans="4:57">
      <c r="D207" s="36"/>
      <c r="N207" s="86"/>
      <c r="O207" s="88"/>
      <c r="P207" s="89"/>
      <c r="Q207" s="90"/>
      <c r="U207" s="88"/>
      <c r="V207" s="91"/>
      <c r="W207" s="92"/>
      <c r="X207" s="93"/>
      <c r="AA207" s="94"/>
      <c r="AE207" s="36"/>
      <c r="AP207" s="86"/>
      <c r="AQ207" s="88"/>
      <c r="AR207" s="89"/>
      <c r="AS207" s="90"/>
      <c r="AV207" s="88"/>
      <c r="AW207" s="96"/>
      <c r="AX207" s="97"/>
      <c r="AY207" s="93"/>
      <c r="BB207" s="94"/>
    </row>
    <row r="208" spans="4:57">
      <c r="D208" s="36"/>
      <c r="N208" s="86"/>
      <c r="O208" s="88"/>
      <c r="P208" s="89"/>
      <c r="Q208" s="90"/>
      <c r="U208" s="88"/>
      <c r="V208" s="91"/>
      <c r="W208" s="92"/>
      <c r="X208" s="93"/>
      <c r="AA208" s="94"/>
      <c r="AE208" s="36"/>
      <c r="AP208" s="86"/>
      <c r="AQ208" s="88"/>
      <c r="AR208" s="89"/>
      <c r="AS208" s="90"/>
      <c r="AV208" s="88"/>
      <c r="AW208" s="96"/>
      <c r="AX208" s="97"/>
      <c r="AY208" s="93"/>
      <c r="BB208" s="94"/>
    </row>
    <row r="209" spans="4:54">
      <c r="D209" s="36"/>
      <c r="N209" s="86"/>
      <c r="O209" s="88"/>
      <c r="P209" s="89"/>
      <c r="Q209" s="90"/>
      <c r="U209" s="88"/>
      <c r="V209" s="91"/>
      <c r="W209" s="92"/>
      <c r="X209" s="93"/>
      <c r="AA209" s="94"/>
      <c r="AE209" s="36"/>
      <c r="AP209" s="86"/>
      <c r="AQ209" s="88"/>
      <c r="AR209" s="89"/>
      <c r="AS209" s="90"/>
      <c r="AV209" s="88"/>
      <c r="AW209" s="96"/>
      <c r="AX209" s="97"/>
      <c r="AY209" s="93"/>
      <c r="BB209" s="94"/>
    </row>
    <row r="210" spans="4:54">
      <c r="D210" s="36"/>
      <c r="N210" s="86"/>
      <c r="O210" s="88"/>
      <c r="P210" s="89"/>
      <c r="Q210" s="90"/>
      <c r="U210" s="88"/>
      <c r="V210" s="91"/>
      <c r="W210" s="92"/>
      <c r="X210" s="93"/>
      <c r="AA210" s="94"/>
      <c r="AE210" s="36"/>
      <c r="AP210" s="86"/>
      <c r="AQ210" s="88"/>
      <c r="AR210" s="89"/>
      <c r="AS210" s="90"/>
      <c r="AV210" s="88"/>
      <c r="AW210" s="96"/>
      <c r="AX210" s="97"/>
      <c r="AY210" s="93"/>
      <c r="BB210" s="94"/>
    </row>
    <row r="211" spans="4:54">
      <c r="D211" s="36"/>
      <c r="N211" s="86"/>
      <c r="O211" s="88"/>
      <c r="P211" s="89"/>
      <c r="Q211" s="90"/>
      <c r="U211" s="88"/>
      <c r="V211" s="91"/>
      <c r="W211" s="92"/>
      <c r="X211" s="93"/>
      <c r="AA211" s="94"/>
      <c r="AE211" s="36"/>
      <c r="AP211" s="86"/>
      <c r="AQ211" s="88"/>
      <c r="AR211" s="89"/>
      <c r="AS211" s="90"/>
      <c r="AV211" s="88"/>
      <c r="AW211" s="96"/>
      <c r="AX211" s="97"/>
      <c r="AY211" s="93"/>
      <c r="BB211" s="94"/>
    </row>
    <row r="212" spans="4:54">
      <c r="D212" s="36"/>
      <c r="N212" s="86"/>
      <c r="O212" s="88"/>
      <c r="P212" s="89"/>
      <c r="Q212" s="90"/>
      <c r="U212" s="88"/>
      <c r="V212" s="91"/>
      <c r="W212" s="92"/>
      <c r="X212" s="93"/>
      <c r="AA212" s="94"/>
      <c r="AE212" s="36"/>
      <c r="AP212" s="86"/>
      <c r="AQ212" s="88"/>
      <c r="AR212" s="89"/>
      <c r="AS212" s="90"/>
      <c r="AV212" s="88"/>
      <c r="AW212" s="96"/>
      <c r="AX212" s="97"/>
      <c r="AY212" s="93"/>
      <c r="BB212" s="94"/>
    </row>
    <row r="213" spans="4:54">
      <c r="D213" s="36"/>
      <c r="N213" s="86"/>
      <c r="O213" s="88"/>
      <c r="P213" s="89"/>
      <c r="Q213" s="90"/>
      <c r="U213" s="88"/>
      <c r="V213" s="91"/>
      <c r="W213" s="92"/>
      <c r="X213" s="93"/>
      <c r="AA213" s="94"/>
      <c r="AE213" s="36"/>
      <c r="AP213" s="86"/>
      <c r="AQ213" s="88"/>
      <c r="AR213" s="89"/>
      <c r="AS213" s="90"/>
      <c r="AV213" s="88"/>
      <c r="AW213" s="96"/>
      <c r="AX213" s="97"/>
      <c r="AY213" s="93"/>
      <c r="BB213" s="94"/>
    </row>
    <row r="214" spans="4:54">
      <c r="D214" s="36"/>
      <c r="N214" s="86"/>
      <c r="O214" s="88"/>
      <c r="P214" s="89"/>
      <c r="Q214" s="90"/>
      <c r="U214" s="88"/>
      <c r="V214" s="91"/>
      <c r="W214" s="92"/>
      <c r="X214" s="93"/>
      <c r="AA214" s="94"/>
      <c r="AE214" s="36"/>
      <c r="AP214" s="86"/>
      <c r="AQ214" s="88"/>
      <c r="AR214" s="89"/>
      <c r="AS214" s="90"/>
      <c r="AV214" s="88"/>
      <c r="AW214" s="96"/>
      <c r="AX214" s="97"/>
      <c r="AY214" s="93"/>
      <c r="BB214" s="94"/>
    </row>
    <row r="215" spans="4:54">
      <c r="D215" s="36"/>
      <c r="N215" s="86"/>
      <c r="O215" s="88"/>
      <c r="P215" s="89"/>
      <c r="Q215" s="90"/>
      <c r="U215" s="88"/>
      <c r="V215" s="91"/>
      <c r="W215" s="92"/>
      <c r="X215" s="93"/>
      <c r="AA215" s="94"/>
      <c r="AE215" s="36"/>
      <c r="AP215" s="86"/>
      <c r="AQ215" s="88"/>
      <c r="AR215" s="89"/>
      <c r="AS215" s="90"/>
      <c r="AV215" s="88"/>
      <c r="AW215" s="96"/>
      <c r="AX215" s="97"/>
      <c r="AY215" s="93"/>
      <c r="BB215" s="94"/>
    </row>
    <row r="216" spans="4:54">
      <c r="D216" s="36"/>
      <c r="N216" s="86"/>
      <c r="O216" s="88"/>
      <c r="P216" s="89"/>
      <c r="Q216" s="90"/>
      <c r="U216" s="88"/>
      <c r="V216" s="91"/>
      <c r="W216" s="92"/>
      <c r="X216" s="93"/>
      <c r="AA216" s="94"/>
      <c r="AE216" s="36"/>
      <c r="AP216" s="86"/>
      <c r="AQ216" s="88"/>
      <c r="AR216" s="89"/>
      <c r="AS216" s="90"/>
      <c r="AV216" s="88"/>
      <c r="AW216" s="96"/>
      <c r="AX216" s="97"/>
      <c r="AY216" s="93"/>
      <c r="BB216" s="94"/>
    </row>
    <row r="217" spans="4:54">
      <c r="D217" s="36"/>
      <c r="N217" s="86"/>
      <c r="O217" s="88"/>
      <c r="P217" s="89"/>
      <c r="Q217" s="90"/>
      <c r="U217" s="88"/>
      <c r="V217" s="91"/>
      <c r="W217" s="92"/>
      <c r="X217" s="93"/>
      <c r="AA217" s="94"/>
      <c r="AE217" s="36"/>
      <c r="AP217" s="86"/>
      <c r="AQ217" s="88"/>
      <c r="AR217" s="89"/>
      <c r="AS217" s="90"/>
      <c r="AV217" s="88"/>
      <c r="AW217" s="96"/>
      <c r="AX217" s="97"/>
      <c r="AY217" s="93"/>
      <c r="BB217" s="94"/>
    </row>
    <row r="218" spans="4:54">
      <c r="D218" s="36"/>
      <c r="N218" s="86"/>
      <c r="O218" s="88"/>
      <c r="P218" s="89"/>
      <c r="Q218" s="90"/>
      <c r="U218" s="88"/>
      <c r="V218" s="91"/>
      <c r="W218" s="92"/>
      <c r="X218" s="93"/>
      <c r="AA218" s="94"/>
      <c r="AE218" s="36"/>
      <c r="AP218" s="86"/>
      <c r="AQ218" s="88"/>
      <c r="AR218" s="89"/>
      <c r="AS218" s="90"/>
      <c r="AV218" s="88"/>
      <c r="AW218" s="96"/>
      <c r="AX218" s="97"/>
      <c r="AY218" s="93"/>
      <c r="BB218" s="94"/>
    </row>
    <row r="219" spans="4:54">
      <c r="D219" s="36"/>
      <c r="N219" s="86"/>
      <c r="O219" s="88"/>
      <c r="P219" s="89"/>
      <c r="Q219" s="90"/>
      <c r="U219" s="88"/>
      <c r="V219" s="91"/>
      <c r="W219" s="92"/>
      <c r="X219" s="93"/>
      <c r="AA219" s="94"/>
      <c r="AE219" s="36"/>
      <c r="AP219" s="86"/>
      <c r="AQ219" s="88"/>
      <c r="AR219" s="89"/>
      <c r="AS219" s="90"/>
      <c r="AV219" s="88"/>
      <c r="AW219" s="96"/>
      <c r="AX219" s="97"/>
      <c r="AY219" s="93"/>
      <c r="BB219" s="94"/>
    </row>
    <row r="220" spans="4:54">
      <c r="D220" s="36"/>
      <c r="N220" s="86"/>
      <c r="O220" s="88"/>
      <c r="P220" s="89"/>
      <c r="Q220" s="90"/>
      <c r="U220" s="88"/>
      <c r="V220" s="91"/>
      <c r="W220" s="92"/>
      <c r="X220" s="93"/>
      <c r="AA220" s="94"/>
      <c r="AE220" s="36"/>
      <c r="AP220" s="86"/>
      <c r="AQ220" s="88"/>
      <c r="AR220" s="89"/>
      <c r="AS220" s="90"/>
      <c r="AV220" s="88"/>
      <c r="AW220" s="96"/>
      <c r="AX220" s="97"/>
      <c r="AY220" s="93"/>
      <c r="BB220" s="94"/>
    </row>
    <row r="221" spans="4:54">
      <c r="D221" s="36"/>
      <c r="N221" s="86"/>
      <c r="O221" s="88"/>
      <c r="P221" s="89"/>
      <c r="Q221" s="90"/>
      <c r="U221" s="88"/>
      <c r="V221" s="91"/>
      <c r="W221" s="92"/>
      <c r="X221" s="93"/>
      <c r="AA221" s="94"/>
      <c r="AE221" s="36"/>
      <c r="AP221" s="86"/>
      <c r="AQ221" s="88"/>
      <c r="AR221" s="89"/>
      <c r="AS221" s="90"/>
      <c r="AV221" s="88"/>
      <c r="AW221" s="96"/>
      <c r="AX221" s="97"/>
      <c r="AY221" s="93"/>
      <c r="BB221" s="94"/>
    </row>
    <row r="222" spans="4:54">
      <c r="D222" s="36"/>
      <c r="N222" s="86"/>
      <c r="O222" s="88"/>
      <c r="P222" s="89"/>
      <c r="Q222" s="90"/>
      <c r="U222" s="88"/>
      <c r="V222" s="91"/>
      <c r="W222" s="92"/>
      <c r="X222" s="93"/>
      <c r="AA222" s="94"/>
      <c r="AE222" s="36"/>
      <c r="AP222" s="86"/>
      <c r="AQ222" s="88"/>
      <c r="AR222" s="89"/>
      <c r="AS222" s="90"/>
      <c r="AV222" s="88"/>
      <c r="AW222" s="96"/>
      <c r="AX222" s="97"/>
      <c r="AY222" s="93"/>
      <c r="BB222" s="94"/>
    </row>
    <row r="223" spans="4:54">
      <c r="D223" s="36"/>
      <c r="N223" s="86"/>
      <c r="O223" s="88"/>
      <c r="P223" s="89"/>
      <c r="Q223" s="90"/>
      <c r="U223" s="88"/>
      <c r="V223" s="91"/>
      <c r="W223" s="92"/>
      <c r="X223" s="93"/>
      <c r="AA223" s="94"/>
      <c r="AE223" s="36"/>
      <c r="AP223" s="86"/>
      <c r="AQ223" s="88"/>
      <c r="AR223" s="89"/>
      <c r="AS223" s="90"/>
      <c r="AV223" s="88"/>
      <c r="AW223" s="96"/>
      <c r="AX223" s="97"/>
      <c r="AY223" s="93"/>
      <c r="BB223" s="94"/>
    </row>
    <row r="224" spans="4:54">
      <c r="D224" s="36"/>
      <c r="N224" s="86"/>
      <c r="O224" s="88"/>
      <c r="P224" s="89"/>
      <c r="Q224" s="90"/>
      <c r="U224" s="88"/>
      <c r="V224" s="91"/>
      <c r="W224" s="92"/>
      <c r="X224" s="93"/>
      <c r="AA224" s="94"/>
      <c r="AE224" s="36"/>
      <c r="AP224" s="86"/>
      <c r="AQ224" s="88"/>
      <c r="AR224" s="89"/>
      <c r="AS224" s="90"/>
      <c r="AV224" s="88"/>
      <c r="AW224" s="96"/>
      <c r="AX224" s="97"/>
      <c r="AY224" s="93"/>
      <c r="BB224" s="94"/>
    </row>
    <row r="225" spans="2:54">
      <c r="B225" s="43"/>
      <c r="D225" s="36"/>
      <c r="N225" s="86"/>
      <c r="O225" s="88"/>
      <c r="P225" s="89"/>
      <c r="Q225" s="90"/>
      <c r="U225" s="88"/>
      <c r="V225" s="91"/>
      <c r="W225" s="92"/>
      <c r="X225" s="93"/>
      <c r="AA225" s="94"/>
      <c r="AE225" s="36"/>
      <c r="AP225" s="86"/>
      <c r="AQ225" s="88"/>
      <c r="AR225" s="89"/>
      <c r="AS225" s="90"/>
      <c r="AV225" s="88"/>
      <c r="AW225" s="96"/>
      <c r="AX225" s="97"/>
      <c r="AY225" s="93"/>
      <c r="BB225" s="94"/>
    </row>
    <row r="226" spans="2:54">
      <c r="D226" s="36"/>
      <c r="N226" s="86"/>
      <c r="O226" s="88"/>
      <c r="P226" s="89"/>
      <c r="Q226" s="90"/>
      <c r="U226" s="88"/>
      <c r="V226" s="91"/>
      <c r="W226" s="92"/>
      <c r="X226" s="93"/>
      <c r="AA226" s="94"/>
      <c r="AE226" s="36"/>
      <c r="AL226" s="46"/>
      <c r="AP226" s="86"/>
      <c r="AQ226" s="88"/>
      <c r="AR226" s="89"/>
      <c r="AS226" s="90"/>
      <c r="AV226" s="88"/>
      <c r="AW226" s="96"/>
      <c r="AX226" s="97"/>
      <c r="AY226" s="93"/>
      <c r="BB226" s="94"/>
    </row>
    <row r="227" spans="2:54">
      <c r="D227" s="36"/>
      <c r="N227" s="86"/>
      <c r="O227" s="88"/>
      <c r="P227" s="89"/>
      <c r="Q227" s="90"/>
      <c r="U227" s="88"/>
      <c r="V227" s="91"/>
      <c r="W227" s="92"/>
      <c r="X227" s="93"/>
      <c r="AA227" s="94"/>
      <c r="AE227" s="36"/>
      <c r="AL227" s="46"/>
      <c r="AP227" s="86"/>
      <c r="AQ227" s="88"/>
      <c r="AR227" s="89"/>
      <c r="AS227" s="90"/>
      <c r="AV227" s="88"/>
      <c r="AW227" s="96"/>
      <c r="AX227" s="97"/>
      <c r="AY227" s="93"/>
      <c r="BB227" s="94"/>
    </row>
    <row r="228" spans="2:54">
      <c r="D228" s="36"/>
      <c r="N228" s="86"/>
      <c r="O228" s="88"/>
      <c r="P228" s="89"/>
      <c r="Q228" s="90"/>
      <c r="U228" s="88"/>
      <c r="V228" s="91"/>
      <c r="W228" s="92"/>
      <c r="X228" s="93"/>
      <c r="AA228" s="94"/>
      <c r="AE228" s="36"/>
      <c r="AL228" s="46"/>
      <c r="AP228" s="86"/>
      <c r="AQ228" s="88"/>
      <c r="AR228" s="89"/>
      <c r="AS228" s="90"/>
      <c r="AV228" s="88"/>
      <c r="AW228" s="96"/>
      <c r="AX228" s="97"/>
      <c r="AY228" s="93"/>
      <c r="BB228" s="94"/>
    </row>
    <row r="229" spans="2:54">
      <c r="D229" s="36"/>
      <c r="N229" s="86"/>
      <c r="O229" s="88"/>
      <c r="P229" s="89"/>
      <c r="Q229" s="90"/>
      <c r="U229" s="88"/>
      <c r="V229" s="91"/>
      <c r="W229" s="92"/>
      <c r="X229" s="93"/>
      <c r="AA229" s="94"/>
      <c r="AE229" s="36"/>
      <c r="AL229" s="46"/>
      <c r="AP229" s="86"/>
      <c r="AQ229" s="88"/>
      <c r="AR229" s="89"/>
      <c r="AS229" s="90"/>
      <c r="AV229" s="88"/>
      <c r="AW229" s="96"/>
      <c r="AX229" s="97"/>
      <c r="AY229" s="93"/>
      <c r="BB229" s="94"/>
    </row>
    <row r="230" spans="2:54">
      <c r="D230" s="36"/>
      <c r="N230" s="86"/>
      <c r="O230" s="88"/>
      <c r="P230" s="89"/>
      <c r="Q230" s="90"/>
      <c r="U230" s="88"/>
      <c r="V230" s="91"/>
      <c r="W230" s="92"/>
      <c r="X230" s="93"/>
      <c r="AA230" s="94"/>
      <c r="AE230" s="36"/>
      <c r="AP230" s="86"/>
      <c r="AQ230" s="88"/>
      <c r="AR230" s="89"/>
      <c r="AS230" s="90"/>
      <c r="AV230" s="88"/>
      <c r="AW230" s="96"/>
      <c r="AX230" s="97"/>
      <c r="AY230" s="93"/>
      <c r="BB230" s="94"/>
    </row>
    <row r="231" spans="2:54">
      <c r="D231" s="36"/>
      <c r="N231" s="86"/>
      <c r="O231" s="88"/>
      <c r="P231" s="89"/>
      <c r="Q231" s="90"/>
      <c r="U231" s="88"/>
      <c r="V231" s="91"/>
      <c r="W231" s="92"/>
      <c r="X231" s="93"/>
      <c r="AA231" s="94"/>
      <c r="AE231" s="36"/>
      <c r="AP231" s="86"/>
      <c r="AQ231" s="88"/>
      <c r="AR231" s="89"/>
      <c r="AS231" s="90"/>
      <c r="AV231" s="88"/>
      <c r="AW231" s="96"/>
      <c r="AX231" s="97"/>
      <c r="AY231" s="93"/>
      <c r="BB231" s="94"/>
    </row>
    <row r="232" spans="2:54">
      <c r="D232" s="36"/>
      <c r="N232" s="86"/>
      <c r="O232" s="88"/>
      <c r="P232" s="89"/>
      <c r="Q232" s="90"/>
      <c r="U232" s="88"/>
      <c r="V232" s="91"/>
      <c r="W232" s="92"/>
      <c r="X232" s="93"/>
      <c r="AA232" s="94"/>
      <c r="AE232" s="36"/>
      <c r="AP232" s="86"/>
      <c r="AQ232" s="88"/>
      <c r="AR232" s="89"/>
      <c r="AS232" s="90"/>
      <c r="AV232" s="88"/>
      <c r="AW232" s="96"/>
      <c r="AX232" s="97"/>
      <c r="AY232" s="93"/>
      <c r="BB232" s="94"/>
    </row>
    <row r="233" spans="2:54" ht="14.25">
      <c r="B233" s="43"/>
      <c r="N233" s="86"/>
      <c r="O233" s="88"/>
      <c r="P233" s="89"/>
      <c r="Q233" s="90"/>
      <c r="U233" s="88"/>
      <c r="V233" s="96"/>
      <c r="W233" s="97"/>
      <c r="X233" s="93"/>
      <c r="AA233" s="94"/>
      <c r="AB233" s="55"/>
      <c r="AE233" s="36"/>
      <c r="AP233" s="86"/>
      <c r="AQ233" s="88"/>
      <c r="AR233" s="89"/>
      <c r="AS233" s="90"/>
      <c r="AV233" s="88"/>
      <c r="AW233" s="96"/>
      <c r="AX233" s="97"/>
      <c r="AY233" s="93"/>
      <c r="BB233" s="94"/>
    </row>
    <row r="234" spans="2:54">
      <c r="B234" s="43"/>
      <c r="D234" s="36"/>
      <c r="N234" s="86"/>
      <c r="O234" s="88"/>
      <c r="P234" s="89"/>
      <c r="Q234" s="90"/>
      <c r="U234" s="88"/>
      <c r="V234" s="91"/>
      <c r="W234" s="92"/>
      <c r="X234" s="93"/>
      <c r="AA234" s="94"/>
      <c r="AE234" s="36"/>
      <c r="AP234" s="86"/>
      <c r="AQ234" s="88"/>
      <c r="AR234" s="89"/>
      <c r="AS234" s="90"/>
      <c r="AV234" s="88"/>
      <c r="AW234" s="96"/>
      <c r="AX234" s="97"/>
      <c r="AY234" s="93"/>
      <c r="BB234" s="94"/>
    </row>
    <row r="235" spans="2:54">
      <c r="D235" s="36"/>
      <c r="N235" s="86"/>
      <c r="O235" s="88"/>
      <c r="P235" s="89"/>
      <c r="Q235" s="90"/>
      <c r="U235" s="88"/>
      <c r="V235" s="91"/>
      <c r="W235" s="92"/>
      <c r="X235" s="93"/>
      <c r="AA235" s="94"/>
      <c r="AE235" s="36"/>
      <c r="AP235" s="86"/>
      <c r="AQ235" s="88"/>
      <c r="AR235" s="89"/>
      <c r="AS235" s="90"/>
      <c r="AV235" s="88"/>
      <c r="AW235" s="96"/>
      <c r="AX235" s="97"/>
      <c r="AY235" s="93"/>
      <c r="BB235" s="94"/>
    </row>
    <row r="236" spans="2:54">
      <c r="D236" s="36"/>
      <c r="N236" s="86"/>
      <c r="O236" s="88"/>
      <c r="P236" s="89"/>
      <c r="Q236" s="90"/>
      <c r="U236" s="88"/>
      <c r="V236" s="91"/>
      <c r="W236" s="92"/>
      <c r="X236" s="93"/>
      <c r="AA236" s="94"/>
      <c r="AE236" s="36"/>
      <c r="AP236" s="86"/>
      <c r="AQ236" s="88"/>
      <c r="AR236" s="89"/>
      <c r="AS236" s="90"/>
      <c r="AV236" s="88"/>
      <c r="AW236" s="96"/>
      <c r="AX236" s="97"/>
      <c r="AY236" s="93"/>
      <c r="BB236" s="94"/>
    </row>
    <row r="237" spans="2:54">
      <c r="D237" s="36"/>
      <c r="N237" s="86"/>
      <c r="O237" s="88"/>
      <c r="P237" s="89"/>
      <c r="Q237" s="90"/>
      <c r="U237" s="88"/>
      <c r="V237" s="91"/>
      <c r="W237" s="92"/>
      <c r="X237" s="93"/>
      <c r="AA237" s="94"/>
      <c r="AE237" s="36"/>
      <c r="AP237" s="86"/>
      <c r="AQ237" s="88"/>
      <c r="AR237" s="89"/>
      <c r="AS237" s="90"/>
      <c r="AV237" s="88"/>
      <c r="AW237" s="96"/>
      <c r="AX237" s="97"/>
      <c r="AY237" s="93"/>
      <c r="BB237" s="94"/>
    </row>
    <row r="238" spans="2:54">
      <c r="D238" s="36"/>
      <c r="N238" s="86"/>
      <c r="O238" s="88"/>
      <c r="P238" s="89"/>
      <c r="Q238" s="90"/>
      <c r="U238" s="88"/>
      <c r="V238" s="91"/>
      <c r="W238" s="92"/>
      <c r="X238" s="93"/>
      <c r="AA238" s="94"/>
      <c r="AE238" s="36"/>
      <c r="AP238" s="86"/>
      <c r="AQ238" s="88"/>
      <c r="AR238" s="89"/>
      <c r="AS238" s="90"/>
      <c r="AV238" s="88"/>
      <c r="AW238" s="96"/>
      <c r="AX238" s="97"/>
      <c r="AY238" s="93"/>
      <c r="BB238" s="94"/>
    </row>
    <row r="239" spans="2:54">
      <c r="D239" s="36"/>
      <c r="N239" s="86"/>
      <c r="O239" s="88"/>
      <c r="P239" s="89"/>
      <c r="Q239" s="90"/>
      <c r="U239" s="88"/>
      <c r="V239" s="91"/>
      <c r="W239" s="92"/>
      <c r="X239" s="93"/>
      <c r="AA239" s="94"/>
      <c r="AE239" s="36"/>
      <c r="AP239" s="86"/>
      <c r="AQ239" s="88"/>
      <c r="AR239" s="89"/>
      <c r="AS239" s="90"/>
      <c r="AV239" s="88"/>
      <c r="AW239" s="96"/>
      <c r="AX239" s="97"/>
      <c r="AY239" s="93"/>
      <c r="BB239" s="94"/>
    </row>
    <row r="240" spans="2:54">
      <c r="D240" s="36"/>
      <c r="N240" s="86"/>
      <c r="O240" s="88"/>
      <c r="P240" s="89"/>
      <c r="Q240" s="90"/>
      <c r="U240" s="88"/>
      <c r="V240" s="91"/>
      <c r="W240" s="92"/>
      <c r="X240" s="93"/>
      <c r="AA240" s="94"/>
      <c r="AE240" s="36"/>
      <c r="AP240" s="86"/>
      <c r="AQ240" s="88"/>
      <c r="AR240" s="89"/>
      <c r="AS240" s="90"/>
      <c r="AV240" s="88"/>
      <c r="AW240" s="96"/>
      <c r="AX240" s="97"/>
      <c r="AY240" s="93"/>
      <c r="BB240" s="94"/>
    </row>
    <row r="241" spans="2:54">
      <c r="D241" s="36"/>
      <c r="N241" s="86"/>
      <c r="O241" s="88"/>
      <c r="P241" s="89"/>
      <c r="Q241" s="90"/>
      <c r="U241" s="88"/>
      <c r="V241" s="91"/>
      <c r="W241" s="92"/>
      <c r="X241" s="93"/>
      <c r="AA241" s="94"/>
      <c r="AE241" s="36"/>
      <c r="AP241" s="86"/>
      <c r="AQ241" s="88"/>
      <c r="AR241" s="89"/>
      <c r="AS241" s="90"/>
      <c r="AV241" s="88"/>
      <c r="AW241" s="96"/>
      <c r="AX241" s="97"/>
      <c r="AY241" s="93"/>
      <c r="BB241" s="94"/>
    </row>
    <row r="242" spans="2:54">
      <c r="D242" s="36"/>
      <c r="N242" s="86"/>
      <c r="O242" s="88"/>
      <c r="P242" s="89"/>
      <c r="Q242" s="90"/>
      <c r="U242" s="88"/>
      <c r="V242" s="91"/>
      <c r="W242" s="92"/>
      <c r="X242" s="93"/>
      <c r="AA242" s="94"/>
      <c r="AE242" s="36"/>
      <c r="AP242" s="86"/>
      <c r="AQ242" s="88"/>
      <c r="AR242" s="89"/>
      <c r="AS242" s="90"/>
      <c r="AV242" s="88"/>
      <c r="AW242" s="96"/>
      <c r="AX242" s="97"/>
      <c r="AY242" s="93"/>
      <c r="BB242" s="94"/>
    </row>
    <row r="243" spans="2:54">
      <c r="D243" s="36"/>
      <c r="N243" s="86"/>
      <c r="O243" s="88"/>
      <c r="P243" s="89"/>
      <c r="Q243" s="90"/>
      <c r="U243" s="88"/>
      <c r="V243" s="91"/>
      <c r="W243" s="92"/>
      <c r="X243" s="93"/>
      <c r="AA243" s="94"/>
      <c r="AE243" s="36"/>
      <c r="AP243" s="86"/>
      <c r="AQ243" s="88"/>
      <c r="AR243" s="89"/>
      <c r="AS243" s="90"/>
      <c r="AV243" s="88"/>
      <c r="AW243" s="96"/>
      <c r="AX243" s="97"/>
      <c r="AY243" s="93"/>
      <c r="BB243" s="94"/>
    </row>
    <row r="244" spans="2:54">
      <c r="D244" s="36"/>
      <c r="N244" s="86"/>
      <c r="O244" s="88"/>
      <c r="P244" s="89"/>
      <c r="Q244" s="90"/>
      <c r="U244" s="88"/>
      <c r="V244" s="91"/>
      <c r="W244" s="92"/>
      <c r="X244" s="93"/>
      <c r="AA244" s="94"/>
      <c r="AE244" s="36"/>
      <c r="AP244" s="86"/>
      <c r="AQ244" s="88"/>
      <c r="AR244" s="89"/>
      <c r="AS244" s="90"/>
      <c r="AV244" s="88"/>
      <c r="AW244" s="96"/>
      <c r="AX244" s="97"/>
      <c r="AY244" s="93"/>
      <c r="BB244" s="94"/>
    </row>
    <row r="245" spans="2:54">
      <c r="D245" s="36"/>
      <c r="N245" s="86"/>
      <c r="O245" s="88"/>
      <c r="P245" s="89"/>
      <c r="Q245" s="90"/>
      <c r="U245" s="88"/>
      <c r="V245" s="91"/>
      <c r="W245" s="92"/>
      <c r="X245" s="93"/>
      <c r="AA245" s="94"/>
      <c r="AE245" s="36"/>
      <c r="AP245" s="86"/>
      <c r="AQ245" s="88"/>
      <c r="AR245" s="89"/>
      <c r="AS245" s="90"/>
      <c r="AV245" s="88"/>
      <c r="AW245" s="96"/>
      <c r="AX245" s="97"/>
      <c r="AY245" s="93"/>
      <c r="BB245" s="94"/>
    </row>
    <row r="246" spans="2:54">
      <c r="D246" s="36"/>
      <c r="N246" s="86"/>
      <c r="O246" s="88"/>
      <c r="P246" s="89"/>
      <c r="Q246" s="90"/>
      <c r="U246" s="88"/>
      <c r="V246" s="91"/>
      <c r="W246" s="92"/>
      <c r="X246" s="93"/>
      <c r="AA246" s="94"/>
      <c r="AE246" s="36"/>
      <c r="AP246" s="86"/>
      <c r="AQ246" s="88"/>
      <c r="AR246" s="89"/>
      <c r="AS246" s="90"/>
      <c r="AV246" s="88"/>
      <c r="AW246" s="96"/>
      <c r="AX246" s="97"/>
      <c r="AY246" s="93"/>
      <c r="BB246" s="94"/>
    </row>
    <row r="247" spans="2:54">
      <c r="D247" s="36"/>
      <c r="N247" s="86"/>
      <c r="O247" s="88"/>
      <c r="P247" s="89"/>
      <c r="Q247" s="90"/>
      <c r="U247" s="88"/>
      <c r="V247" s="91"/>
      <c r="W247" s="92"/>
      <c r="X247" s="93"/>
      <c r="AA247" s="94"/>
      <c r="AE247" s="36"/>
      <c r="AP247" s="86"/>
      <c r="AQ247" s="88"/>
      <c r="AR247" s="89"/>
      <c r="AS247" s="90"/>
      <c r="AV247" s="88"/>
      <c r="AW247" s="96"/>
      <c r="AX247" s="97"/>
      <c r="AY247" s="93"/>
      <c r="BB247" s="94"/>
    </row>
    <row r="248" spans="2:54">
      <c r="D248" s="36"/>
      <c r="N248" s="86"/>
      <c r="O248" s="88"/>
      <c r="P248" s="89"/>
      <c r="Q248" s="90"/>
      <c r="U248" s="88"/>
      <c r="V248" s="91"/>
      <c r="W248" s="92"/>
      <c r="X248" s="93"/>
      <c r="AA248" s="94"/>
      <c r="AE248" s="36"/>
      <c r="AP248" s="86"/>
      <c r="AQ248" s="88"/>
      <c r="AR248" s="89"/>
      <c r="AS248" s="90"/>
      <c r="AV248" s="88"/>
      <c r="AW248" s="96"/>
      <c r="AX248" s="97"/>
      <c r="AY248" s="93"/>
      <c r="BB248" s="94"/>
    </row>
    <row r="249" spans="2:54">
      <c r="D249" s="36"/>
      <c r="N249" s="86"/>
      <c r="O249" s="88"/>
      <c r="P249" s="89"/>
      <c r="Q249" s="90"/>
      <c r="U249" s="88"/>
      <c r="V249" s="91"/>
      <c r="W249" s="92"/>
      <c r="X249" s="93"/>
      <c r="AA249" s="94"/>
      <c r="AE249" s="36"/>
      <c r="AP249" s="86"/>
      <c r="AQ249" s="88"/>
      <c r="AR249" s="89"/>
      <c r="AS249" s="90"/>
      <c r="AV249" s="88"/>
      <c r="AW249" s="96"/>
      <c r="AX249" s="97"/>
      <c r="AY249" s="93"/>
      <c r="BB249" s="94"/>
    </row>
    <row r="250" spans="2:54">
      <c r="D250" s="36"/>
      <c r="N250" s="86"/>
      <c r="O250" s="88"/>
      <c r="P250" s="89"/>
      <c r="Q250" s="90"/>
      <c r="U250" s="88"/>
      <c r="V250" s="91"/>
      <c r="W250" s="92"/>
      <c r="X250" s="93"/>
      <c r="AA250" s="94"/>
      <c r="AE250" s="36"/>
      <c r="AP250" s="86"/>
      <c r="AQ250" s="88"/>
      <c r="AR250" s="89"/>
      <c r="AS250" s="90"/>
      <c r="AV250" s="88"/>
      <c r="AW250" s="96"/>
      <c r="AX250" s="97"/>
      <c r="AY250" s="93"/>
      <c r="BB250" s="94"/>
    </row>
    <row r="251" spans="2:54">
      <c r="D251" s="36"/>
      <c r="N251" s="86"/>
      <c r="O251" s="88"/>
      <c r="P251" s="89"/>
      <c r="Q251" s="90"/>
      <c r="U251" s="88"/>
      <c r="V251" s="91"/>
      <c r="W251" s="92"/>
      <c r="X251" s="93"/>
      <c r="AA251" s="94"/>
      <c r="AE251" s="36"/>
      <c r="AP251" s="86"/>
      <c r="AQ251" s="88"/>
      <c r="AR251" s="89"/>
      <c r="AS251" s="90"/>
      <c r="AV251" s="88"/>
      <c r="AW251" s="96"/>
      <c r="AX251" s="97"/>
      <c r="AY251" s="93"/>
      <c r="BB251" s="94"/>
    </row>
    <row r="252" spans="2:54">
      <c r="D252" s="36"/>
      <c r="N252" s="86"/>
      <c r="O252" s="88"/>
      <c r="P252" s="89"/>
      <c r="Q252" s="90"/>
      <c r="U252" s="88"/>
      <c r="V252" s="91"/>
      <c r="W252" s="92"/>
      <c r="X252" s="93"/>
      <c r="AA252" s="94"/>
      <c r="AE252" s="36"/>
      <c r="AP252" s="86"/>
      <c r="AQ252" s="88"/>
      <c r="AR252" s="89"/>
      <c r="AS252" s="90"/>
      <c r="AV252" s="88"/>
      <c r="AW252" s="96"/>
      <c r="AX252" s="97"/>
      <c r="AY252" s="93"/>
      <c r="BB252" s="94"/>
    </row>
    <row r="253" spans="2:54">
      <c r="D253" s="36"/>
      <c r="N253" s="86"/>
      <c r="O253" s="88"/>
      <c r="P253" s="89"/>
      <c r="Q253" s="90"/>
      <c r="U253" s="88"/>
      <c r="V253" s="91"/>
      <c r="W253" s="92"/>
      <c r="X253" s="93"/>
      <c r="AA253" s="94"/>
      <c r="AE253" s="36"/>
      <c r="AP253" s="86"/>
      <c r="AQ253" s="88"/>
      <c r="AR253" s="89"/>
      <c r="AS253" s="90"/>
      <c r="AV253" s="88"/>
      <c r="AW253" s="96"/>
      <c r="AX253" s="97"/>
      <c r="AY253" s="93"/>
      <c r="BB253" s="94"/>
    </row>
    <row r="254" spans="2:54">
      <c r="D254" s="36"/>
      <c r="N254" s="86"/>
      <c r="O254" s="88"/>
      <c r="P254" s="89"/>
      <c r="Q254" s="90"/>
      <c r="U254" s="88"/>
      <c r="V254" s="91"/>
      <c r="W254" s="92"/>
      <c r="X254" s="93"/>
      <c r="AA254" s="94"/>
      <c r="AE254" s="36"/>
      <c r="AP254" s="86"/>
      <c r="AQ254" s="88"/>
      <c r="AR254" s="89"/>
      <c r="AS254" s="90"/>
      <c r="AV254" s="88"/>
      <c r="AW254" s="96"/>
      <c r="AX254" s="97"/>
      <c r="AY254" s="93"/>
      <c r="BB254" s="94"/>
    </row>
    <row r="255" spans="2:54">
      <c r="B255" s="43"/>
      <c r="D255" s="36"/>
      <c r="N255" s="86"/>
      <c r="O255" s="88"/>
      <c r="P255" s="89"/>
      <c r="Q255" s="90"/>
      <c r="U255" s="88"/>
      <c r="V255" s="91"/>
      <c r="W255" s="92"/>
      <c r="X255" s="93"/>
      <c r="AA255" s="94"/>
      <c r="AE255" s="36"/>
      <c r="AP255" s="86"/>
      <c r="AQ255" s="88"/>
      <c r="AR255" s="89"/>
      <c r="AS255" s="90"/>
      <c r="AV255" s="88"/>
      <c r="AW255" s="96"/>
      <c r="AX255" s="97"/>
      <c r="AY255" s="93"/>
      <c r="BB255" s="94"/>
    </row>
    <row r="256" spans="2:54">
      <c r="D256" s="36"/>
      <c r="N256" s="86"/>
      <c r="O256" s="88"/>
      <c r="P256" s="89"/>
      <c r="Q256" s="90"/>
      <c r="U256" s="88"/>
      <c r="V256" s="91"/>
      <c r="W256" s="92"/>
      <c r="X256" s="93"/>
      <c r="AA256" s="94"/>
      <c r="AE256" s="36"/>
      <c r="AP256" s="86"/>
      <c r="AQ256" s="88"/>
      <c r="AR256" s="89"/>
      <c r="AS256" s="90"/>
      <c r="AV256" s="88"/>
      <c r="AW256" s="96"/>
      <c r="AX256" s="97"/>
      <c r="AY256" s="93"/>
      <c r="BB256" s="94"/>
    </row>
    <row r="257" spans="2:54">
      <c r="D257" s="36"/>
      <c r="N257" s="86"/>
      <c r="O257" s="88"/>
      <c r="P257" s="89"/>
      <c r="Q257" s="90"/>
      <c r="U257" s="88"/>
      <c r="V257" s="91"/>
      <c r="W257" s="92"/>
      <c r="X257" s="93"/>
      <c r="AA257" s="94"/>
      <c r="AE257" s="36"/>
      <c r="AP257" s="86"/>
      <c r="AQ257" s="88"/>
      <c r="AR257" s="89"/>
      <c r="AS257" s="90"/>
      <c r="AV257" s="88"/>
      <c r="AW257" s="96"/>
      <c r="AX257" s="97"/>
      <c r="AY257" s="93"/>
      <c r="BB257" s="94"/>
    </row>
    <row r="258" spans="2:54">
      <c r="D258" s="36"/>
      <c r="N258" s="86"/>
      <c r="O258" s="88"/>
      <c r="P258" s="89"/>
      <c r="Q258" s="90"/>
      <c r="U258" s="88"/>
      <c r="V258" s="91"/>
      <c r="W258" s="92"/>
      <c r="X258" s="93"/>
      <c r="AA258" s="94"/>
      <c r="AE258" s="36"/>
      <c r="AP258" s="86"/>
      <c r="AQ258" s="88"/>
      <c r="AR258" s="89"/>
      <c r="AS258" s="90"/>
      <c r="AV258" s="88"/>
      <c r="AW258" s="96"/>
      <c r="AX258" s="97"/>
      <c r="AY258" s="93"/>
      <c r="BB258" s="94"/>
    </row>
    <row r="259" spans="2:54">
      <c r="D259" s="36"/>
      <c r="N259" s="86"/>
      <c r="O259" s="88"/>
      <c r="P259" s="89"/>
      <c r="Q259" s="90"/>
      <c r="U259" s="88"/>
      <c r="V259" s="91"/>
      <c r="W259" s="92"/>
      <c r="X259" s="93"/>
      <c r="AA259" s="94"/>
      <c r="AE259" s="36"/>
      <c r="AP259" s="86"/>
      <c r="AQ259" s="88"/>
      <c r="AR259" s="89"/>
      <c r="AS259" s="90"/>
      <c r="AV259" s="88"/>
      <c r="AW259" s="96"/>
      <c r="AX259" s="97"/>
      <c r="AY259" s="93"/>
      <c r="BB259" s="94"/>
    </row>
    <row r="260" spans="2:54">
      <c r="D260" s="36"/>
      <c r="N260" s="86"/>
      <c r="O260" s="88"/>
      <c r="P260" s="89"/>
      <c r="Q260" s="90"/>
      <c r="U260" s="88"/>
      <c r="V260" s="91"/>
      <c r="W260" s="92"/>
      <c r="X260" s="93"/>
      <c r="AA260" s="94"/>
      <c r="AE260" s="36"/>
      <c r="AP260" s="86"/>
      <c r="AQ260" s="88"/>
      <c r="AR260" s="89"/>
      <c r="AS260" s="90"/>
      <c r="AV260" s="88"/>
      <c r="AW260" s="96"/>
      <c r="AX260" s="97"/>
      <c r="AY260" s="93"/>
      <c r="BB260" s="94"/>
    </row>
    <row r="261" spans="2:54">
      <c r="D261" s="36"/>
      <c r="N261" s="86"/>
      <c r="O261" s="88"/>
      <c r="P261" s="89"/>
      <c r="Q261" s="90"/>
      <c r="U261" s="88"/>
      <c r="V261" s="91"/>
      <c r="W261" s="92"/>
      <c r="X261" s="93"/>
      <c r="AA261" s="94"/>
      <c r="AE261" s="36"/>
      <c r="AP261" s="86"/>
      <c r="AQ261" s="88"/>
      <c r="AR261" s="89"/>
      <c r="AS261" s="90"/>
      <c r="AV261" s="88"/>
      <c r="AW261" s="96"/>
      <c r="AX261" s="97"/>
      <c r="AY261" s="93"/>
      <c r="BB261" s="94"/>
    </row>
    <row r="262" spans="2:54">
      <c r="D262" s="36"/>
      <c r="N262" s="86"/>
      <c r="O262" s="88"/>
      <c r="P262" s="89"/>
      <c r="Q262" s="90"/>
      <c r="U262" s="88"/>
      <c r="V262" s="91"/>
      <c r="W262" s="92"/>
      <c r="X262" s="93"/>
      <c r="AA262" s="94"/>
      <c r="AE262" s="36"/>
      <c r="AP262" s="86"/>
      <c r="AQ262" s="88"/>
      <c r="AR262" s="89"/>
      <c r="AS262" s="90"/>
      <c r="AV262" s="88"/>
      <c r="AW262" s="96"/>
      <c r="AX262" s="97"/>
      <c r="AY262" s="93"/>
      <c r="BB262" s="94"/>
    </row>
    <row r="263" spans="2:54">
      <c r="D263" s="36"/>
      <c r="N263" s="86"/>
      <c r="O263" s="88"/>
      <c r="P263" s="89"/>
      <c r="Q263" s="90"/>
      <c r="U263" s="88"/>
      <c r="V263" s="91"/>
      <c r="W263" s="92"/>
      <c r="X263" s="93"/>
      <c r="AA263" s="94"/>
      <c r="AE263" s="36"/>
      <c r="AP263" s="86"/>
      <c r="AQ263" s="88"/>
      <c r="AR263" s="89"/>
      <c r="AS263" s="90"/>
      <c r="AV263" s="88"/>
      <c r="AW263" s="96"/>
      <c r="AX263" s="97"/>
      <c r="AY263" s="93"/>
      <c r="BB263" s="94"/>
    </row>
    <row r="264" spans="2:54">
      <c r="D264" s="36"/>
      <c r="N264" s="86"/>
      <c r="O264" s="88"/>
      <c r="P264" s="89"/>
      <c r="Q264" s="90"/>
      <c r="U264" s="88"/>
      <c r="V264" s="91"/>
      <c r="W264" s="92"/>
      <c r="X264" s="93"/>
      <c r="AA264" s="94"/>
      <c r="AE264" s="36"/>
      <c r="AP264" s="86"/>
      <c r="AQ264" s="88"/>
      <c r="AR264" s="89"/>
      <c r="AS264" s="90"/>
      <c r="AV264" s="88"/>
      <c r="AW264" s="96"/>
      <c r="AX264" s="97"/>
      <c r="AY264" s="93"/>
      <c r="BB264" s="94"/>
    </row>
    <row r="265" spans="2:54">
      <c r="B265" s="43"/>
      <c r="D265" s="36"/>
      <c r="N265" s="86"/>
      <c r="O265" s="88"/>
      <c r="P265" s="89"/>
      <c r="Q265" s="90"/>
      <c r="U265" s="88"/>
      <c r="V265" s="91"/>
      <c r="W265" s="92"/>
      <c r="X265" s="93"/>
      <c r="AA265" s="94"/>
      <c r="AE265" s="36"/>
      <c r="AP265" s="86"/>
      <c r="AQ265" s="88"/>
      <c r="AR265" s="89"/>
      <c r="AS265" s="90"/>
      <c r="AV265" s="88"/>
      <c r="AW265" s="96"/>
      <c r="AX265" s="97"/>
      <c r="AY265" s="93"/>
      <c r="BB265" s="94"/>
    </row>
    <row r="266" spans="2:54">
      <c r="D266" s="36"/>
      <c r="N266" s="86"/>
      <c r="O266" s="88"/>
      <c r="P266" s="89"/>
      <c r="Q266" s="90"/>
      <c r="U266" s="88"/>
      <c r="V266" s="91"/>
      <c r="W266" s="92"/>
      <c r="X266" s="93"/>
      <c r="AA266" s="94"/>
      <c r="AE266" s="36"/>
      <c r="AP266" s="86"/>
      <c r="AQ266" s="88"/>
      <c r="AR266" s="89"/>
      <c r="AS266" s="90"/>
      <c r="AV266" s="88"/>
      <c r="AW266" s="96"/>
      <c r="AX266" s="97"/>
      <c r="AY266" s="93"/>
      <c r="BB266" s="94"/>
    </row>
    <row r="267" spans="2:54">
      <c r="D267" s="36"/>
      <c r="N267" s="86"/>
      <c r="O267" s="88"/>
      <c r="P267" s="89"/>
      <c r="Q267" s="90"/>
      <c r="U267" s="88"/>
      <c r="V267" s="91"/>
      <c r="W267" s="92"/>
      <c r="X267" s="93"/>
      <c r="AA267" s="94"/>
      <c r="AE267" s="36"/>
      <c r="AP267" s="86"/>
      <c r="AQ267" s="88"/>
      <c r="AR267" s="89"/>
      <c r="AS267" s="90"/>
      <c r="AV267" s="88"/>
      <c r="AW267" s="96"/>
      <c r="AX267" s="97"/>
      <c r="AY267" s="93"/>
      <c r="BB267" s="94"/>
    </row>
    <row r="268" spans="2:54">
      <c r="D268" s="36"/>
      <c r="N268" s="86"/>
      <c r="O268" s="88"/>
      <c r="P268" s="89"/>
      <c r="Q268" s="90"/>
      <c r="U268" s="88"/>
      <c r="V268" s="91"/>
      <c r="W268" s="92"/>
      <c r="X268" s="93"/>
      <c r="AA268" s="94"/>
      <c r="AE268" s="36"/>
      <c r="AP268" s="86"/>
      <c r="AQ268" s="88"/>
      <c r="AR268" s="89"/>
      <c r="AS268" s="90"/>
      <c r="AV268" s="88"/>
      <c r="AW268" s="96"/>
      <c r="AX268" s="97"/>
      <c r="AY268" s="93"/>
      <c r="BB268" s="94"/>
    </row>
    <row r="269" spans="2:54">
      <c r="D269" s="36"/>
      <c r="N269" s="86"/>
      <c r="O269" s="88"/>
      <c r="P269" s="89"/>
      <c r="Q269" s="90"/>
      <c r="U269" s="88"/>
      <c r="V269" s="91"/>
      <c r="W269" s="92"/>
      <c r="X269" s="93"/>
      <c r="AA269" s="94"/>
      <c r="AE269" s="36"/>
      <c r="AP269" s="86"/>
      <c r="AQ269" s="88"/>
      <c r="AR269" s="89"/>
      <c r="AS269" s="90"/>
      <c r="AV269" s="88"/>
      <c r="AW269" s="96"/>
      <c r="AX269" s="97"/>
      <c r="AY269" s="93"/>
      <c r="BB269" s="94"/>
    </row>
    <row r="270" spans="2:54">
      <c r="D270" s="36"/>
      <c r="N270" s="86"/>
      <c r="O270" s="88"/>
      <c r="P270" s="89"/>
      <c r="Q270" s="90"/>
      <c r="U270" s="88"/>
      <c r="V270" s="91"/>
      <c r="W270" s="92"/>
      <c r="X270" s="93"/>
      <c r="AA270" s="94"/>
      <c r="AE270" s="36"/>
      <c r="AP270" s="86"/>
      <c r="AQ270" s="88"/>
      <c r="AR270" s="89"/>
      <c r="AS270" s="90"/>
      <c r="AV270" s="88"/>
      <c r="AW270" s="96"/>
      <c r="AX270" s="97"/>
      <c r="AY270" s="93"/>
      <c r="BB270" s="94"/>
    </row>
    <row r="271" spans="2:54">
      <c r="D271" s="36"/>
      <c r="N271" s="86"/>
      <c r="O271" s="88"/>
      <c r="P271" s="89"/>
      <c r="Q271" s="90"/>
      <c r="U271" s="88"/>
      <c r="V271" s="91"/>
      <c r="W271" s="92"/>
      <c r="X271" s="93"/>
      <c r="AA271" s="94"/>
      <c r="AE271" s="36"/>
      <c r="AP271" s="86"/>
      <c r="AQ271" s="88"/>
      <c r="AR271" s="89"/>
      <c r="AS271" s="90"/>
      <c r="AV271" s="88"/>
      <c r="AW271" s="96"/>
      <c r="AX271" s="97"/>
      <c r="AY271" s="93"/>
      <c r="BB271" s="94"/>
    </row>
    <row r="272" spans="2:54">
      <c r="D272" s="36"/>
      <c r="N272" s="86"/>
      <c r="O272" s="88"/>
      <c r="P272" s="89"/>
      <c r="Q272" s="90"/>
      <c r="U272" s="88"/>
      <c r="V272" s="91"/>
      <c r="W272" s="92"/>
      <c r="X272" s="93"/>
      <c r="AA272" s="94"/>
      <c r="AE272" s="36"/>
      <c r="AP272" s="86"/>
      <c r="AQ272" s="88"/>
      <c r="AR272" s="89"/>
      <c r="AS272" s="90"/>
      <c r="AV272" s="88"/>
      <c r="AW272" s="96"/>
      <c r="AX272" s="97"/>
      <c r="AY272" s="93"/>
      <c r="BB272" s="94"/>
    </row>
    <row r="273" spans="1:54">
      <c r="D273" s="36"/>
      <c r="N273" s="86"/>
      <c r="O273" s="88"/>
      <c r="P273" s="89"/>
      <c r="Q273" s="90"/>
      <c r="U273" s="88"/>
      <c r="V273" s="91"/>
      <c r="W273" s="92"/>
      <c r="X273" s="93"/>
      <c r="AA273" s="94"/>
      <c r="AE273" s="36"/>
      <c r="AP273" s="86"/>
      <c r="AQ273" s="88"/>
      <c r="AR273" s="89"/>
      <c r="AS273" s="90"/>
      <c r="AV273" s="88"/>
      <c r="AW273" s="96"/>
      <c r="AX273" s="97"/>
      <c r="AY273" s="93"/>
      <c r="BB273" s="94"/>
    </row>
    <row r="274" spans="1:54">
      <c r="D274" s="36"/>
      <c r="N274" s="86"/>
      <c r="O274" s="88"/>
      <c r="P274" s="89"/>
      <c r="Q274" s="90"/>
      <c r="U274" s="88"/>
      <c r="V274" s="91"/>
      <c r="W274" s="92"/>
      <c r="X274" s="93"/>
      <c r="AA274" s="94"/>
      <c r="AE274" s="36"/>
      <c r="AP274" s="86"/>
      <c r="AQ274" s="88"/>
      <c r="AR274" s="89"/>
      <c r="AS274" s="90"/>
      <c r="AV274" s="88"/>
      <c r="AW274" s="96"/>
      <c r="AX274" s="97"/>
      <c r="AY274" s="93"/>
      <c r="BB274" s="94"/>
    </row>
    <row r="275" spans="1:54">
      <c r="D275" s="36"/>
      <c r="N275" s="86"/>
      <c r="O275" s="88"/>
      <c r="P275" s="89"/>
      <c r="Q275" s="90"/>
      <c r="U275" s="88"/>
      <c r="V275" s="91"/>
      <c r="W275" s="92"/>
      <c r="X275" s="93"/>
      <c r="AA275" s="94"/>
      <c r="AE275" s="36"/>
      <c r="AP275" s="86"/>
      <c r="AQ275" s="88"/>
      <c r="AR275" s="89"/>
      <c r="AS275" s="90"/>
      <c r="AV275" s="88"/>
      <c r="AW275" s="96"/>
      <c r="AX275" s="97"/>
      <c r="AY275" s="93"/>
      <c r="BB275" s="94"/>
    </row>
    <row r="276" spans="1:54">
      <c r="D276" s="36"/>
      <c r="N276" s="86"/>
      <c r="O276" s="88"/>
      <c r="P276" s="89"/>
      <c r="Q276" s="90"/>
      <c r="U276" s="88"/>
      <c r="V276" s="91"/>
      <c r="W276" s="92"/>
      <c r="X276" s="93"/>
      <c r="AA276" s="94"/>
      <c r="AE276" s="36"/>
      <c r="AP276" s="86"/>
      <c r="AQ276" s="88"/>
      <c r="AR276" s="89"/>
      <c r="AS276" s="90"/>
      <c r="AV276" s="88"/>
      <c r="AW276" s="96"/>
      <c r="AX276" s="97"/>
      <c r="AY276" s="93"/>
      <c r="BB276" s="94"/>
    </row>
    <row r="277" spans="1:54">
      <c r="D277" s="36"/>
      <c r="N277" s="86"/>
      <c r="O277" s="88"/>
      <c r="P277" s="89"/>
      <c r="Q277" s="90"/>
      <c r="U277" s="88"/>
      <c r="V277" s="91"/>
      <c r="W277" s="92"/>
      <c r="X277" s="93"/>
      <c r="AA277" s="94"/>
      <c r="AE277" s="36"/>
      <c r="AP277" s="86"/>
      <c r="AQ277" s="88"/>
      <c r="AR277" s="89"/>
      <c r="AS277" s="90"/>
      <c r="AV277" s="88"/>
      <c r="AW277" s="96"/>
      <c r="AX277" s="97"/>
      <c r="AY277" s="93"/>
      <c r="BB277" s="94"/>
    </row>
    <row r="278" spans="1:54">
      <c r="D278" s="36"/>
      <c r="N278" s="86"/>
      <c r="O278" s="88"/>
      <c r="P278" s="89"/>
      <c r="Q278" s="90"/>
      <c r="U278" s="88"/>
      <c r="V278" s="91"/>
      <c r="W278" s="92"/>
      <c r="X278" s="93"/>
      <c r="AA278" s="94"/>
      <c r="AE278" s="36"/>
      <c r="AP278" s="86"/>
      <c r="AQ278" s="88"/>
      <c r="AR278" s="89"/>
      <c r="AS278" s="90"/>
      <c r="AV278" s="88"/>
      <c r="AW278" s="96"/>
      <c r="AX278" s="97"/>
      <c r="AY278" s="93"/>
      <c r="BB278" s="94"/>
    </row>
    <row r="279" spans="1:54">
      <c r="A279" s="53"/>
      <c r="B279" s="53"/>
      <c r="C279" s="53"/>
      <c r="D279" s="53"/>
      <c r="E279" s="53"/>
      <c r="F279" s="53"/>
      <c r="G279" s="53"/>
      <c r="N279" s="86"/>
      <c r="O279" s="88"/>
      <c r="P279" s="89"/>
      <c r="Q279" s="90"/>
      <c r="U279" s="88"/>
      <c r="V279" s="91"/>
      <c r="W279" s="92"/>
      <c r="X279" s="93"/>
      <c r="AA279" s="94"/>
      <c r="AE279" s="36"/>
      <c r="AP279" s="86"/>
      <c r="AQ279" s="88"/>
      <c r="AR279" s="89"/>
      <c r="AS279" s="90"/>
      <c r="AV279" s="88"/>
      <c r="AW279" s="96"/>
      <c r="AX279" s="97"/>
      <c r="AY279" s="93"/>
      <c r="BB279" s="94"/>
    </row>
    <row r="280" spans="1:54">
      <c r="D280" s="36"/>
      <c r="N280" s="86"/>
      <c r="O280" s="88"/>
      <c r="P280" s="89"/>
      <c r="Q280" s="90"/>
      <c r="U280" s="88"/>
      <c r="V280" s="91"/>
      <c r="W280" s="92"/>
      <c r="X280" s="93"/>
      <c r="AA280" s="94"/>
      <c r="AE280" s="36"/>
      <c r="AP280" s="86"/>
      <c r="AQ280" s="88"/>
      <c r="AR280" s="89"/>
      <c r="AS280" s="90"/>
      <c r="AV280" s="88"/>
      <c r="AW280" s="96"/>
      <c r="AX280" s="97"/>
      <c r="AY280" s="93"/>
      <c r="BB280" s="94"/>
    </row>
    <row r="281" spans="1:54">
      <c r="D281" s="36"/>
      <c r="N281" s="86"/>
      <c r="O281" s="88"/>
      <c r="P281" s="89"/>
      <c r="Q281" s="90"/>
      <c r="U281" s="88"/>
      <c r="V281" s="91"/>
      <c r="W281" s="92"/>
      <c r="X281" s="93"/>
      <c r="AA281" s="94"/>
      <c r="AE281" s="36"/>
      <c r="AP281" s="86"/>
      <c r="AQ281" s="88"/>
      <c r="AR281" s="89"/>
      <c r="AS281" s="90"/>
      <c r="AV281" s="88"/>
      <c r="AW281" s="96"/>
      <c r="AX281" s="97"/>
      <c r="AY281" s="93"/>
      <c r="BB281" s="94"/>
    </row>
    <row r="282" spans="1:54">
      <c r="D282" s="36"/>
      <c r="N282" s="86"/>
      <c r="O282" s="88"/>
      <c r="P282" s="89"/>
      <c r="Q282" s="90"/>
      <c r="U282" s="88"/>
      <c r="V282" s="91"/>
      <c r="W282" s="92"/>
      <c r="X282" s="93"/>
      <c r="AA282" s="94"/>
      <c r="AE282" s="36"/>
      <c r="AP282" s="86"/>
      <c r="AQ282" s="88"/>
      <c r="AR282" s="89"/>
      <c r="AS282" s="90"/>
      <c r="AV282" s="88"/>
      <c r="AW282" s="96"/>
      <c r="AX282" s="97"/>
      <c r="AY282" s="93"/>
      <c r="BB282" s="94"/>
    </row>
    <row r="283" spans="1:54">
      <c r="D283" s="36"/>
      <c r="N283" s="86"/>
      <c r="O283" s="88"/>
      <c r="P283" s="89"/>
      <c r="Q283" s="90"/>
      <c r="U283" s="88"/>
      <c r="V283" s="91"/>
      <c r="W283" s="92"/>
      <c r="X283" s="93"/>
      <c r="AA283" s="94"/>
      <c r="AE283" s="36"/>
      <c r="AP283" s="86"/>
      <c r="AQ283" s="88"/>
      <c r="AR283" s="89"/>
      <c r="AS283" s="90"/>
      <c r="AV283" s="88"/>
      <c r="AW283" s="96"/>
      <c r="AX283" s="97"/>
      <c r="AY283" s="93"/>
      <c r="BB283" s="94"/>
    </row>
    <row r="284" spans="1:54">
      <c r="D284" s="36"/>
      <c r="N284" s="86"/>
      <c r="O284" s="88"/>
      <c r="P284" s="89"/>
      <c r="Q284" s="90"/>
      <c r="U284" s="88"/>
      <c r="V284" s="91"/>
      <c r="W284" s="92"/>
      <c r="X284" s="93"/>
      <c r="AA284" s="94"/>
      <c r="AE284" s="36"/>
      <c r="AP284" s="86"/>
      <c r="AQ284" s="88"/>
      <c r="AR284" s="89"/>
      <c r="AS284" s="90"/>
      <c r="AV284" s="88"/>
      <c r="AW284" s="96"/>
      <c r="AX284" s="97"/>
      <c r="AY284" s="93"/>
      <c r="BB284" s="94"/>
    </row>
    <row r="285" spans="1:54">
      <c r="D285" s="36"/>
      <c r="N285" s="86"/>
      <c r="O285" s="88"/>
      <c r="P285" s="89"/>
      <c r="Q285" s="90"/>
      <c r="U285" s="88"/>
      <c r="V285" s="91"/>
      <c r="W285" s="92"/>
      <c r="X285" s="93"/>
      <c r="AA285" s="94"/>
      <c r="AE285" s="36"/>
      <c r="AP285" s="86"/>
      <c r="AQ285" s="88"/>
      <c r="AR285" s="89"/>
      <c r="AS285" s="90"/>
      <c r="AV285" s="88"/>
      <c r="AW285" s="96"/>
      <c r="AX285" s="97"/>
      <c r="AY285" s="93"/>
      <c r="BB285" s="94"/>
    </row>
    <row r="286" spans="1:54">
      <c r="D286" s="36"/>
      <c r="N286" s="86"/>
      <c r="O286" s="88"/>
      <c r="P286" s="89"/>
      <c r="Q286" s="90"/>
      <c r="U286" s="88"/>
      <c r="V286" s="91"/>
      <c r="W286" s="92"/>
      <c r="X286" s="93"/>
      <c r="AA286" s="94"/>
      <c r="AE286" s="36"/>
      <c r="AP286" s="86"/>
      <c r="AQ286" s="88"/>
      <c r="AR286" s="89"/>
      <c r="AS286" s="90"/>
      <c r="AV286" s="88"/>
      <c r="AW286" s="96"/>
      <c r="AX286" s="97"/>
      <c r="AY286" s="93"/>
      <c r="BB286" s="94"/>
    </row>
    <row r="287" spans="1:54">
      <c r="D287" s="36"/>
      <c r="N287" s="86"/>
      <c r="O287" s="88"/>
      <c r="P287" s="89"/>
      <c r="Q287" s="90"/>
      <c r="U287" s="88"/>
      <c r="V287" s="91"/>
      <c r="W287" s="92"/>
      <c r="X287" s="93"/>
      <c r="AA287" s="94"/>
      <c r="AE287" s="36"/>
      <c r="AP287" s="86"/>
      <c r="AQ287" s="88"/>
      <c r="AR287" s="89"/>
      <c r="AS287" s="90"/>
      <c r="AV287" s="88"/>
      <c r="AW287" s="96"/>
      <c r="AX287" s="97"/>
      <c r="AY287" s="93"/>
      <c r="BB287" s="94"/>
    </row>
    <row r="288" spans="1:54">
      <c r="D288" s="36"/>
      <c r="N288" s="86"/>
      <c r="O288" s="88"/>
      <c r="P288" s="89"/>
      <c r="Q288" s="90"/>
      <c r="U288" s="88"/>
      <c r="V288" s="91"/>
      <c r="W288" s="92"/>
      <c r="X288" s="93"/>
      <c r="AA288" s="94"/>
      <c r="AE288" s="36"/>
      <c r="AP288" s="86"/>
      <c r="AQ288" s="88"/>
      <c r="AR288" s="89"/>
      <c r="AS288" s="90"/>
      <c r="AV288" s="88"/>
      <c r="AW288" s="96"/>
      <c r="AX288" s="97"/>
      <c r="AY288" s="93"/>
      <c r="BB288" s="94"/>
    </row>
    <row r="289" spans="4:54">
      <c r="D289" s="36"/>
      <c r="N289" s="86"/>
      <c r="O289" s="88"/>
      <c r="P289" s="89"/>
      <c r="Q289" s="90"/>
      <c r="U289" s="88"/>
      <c r="V289" s="91"/>
      <c r="W289" s="92"/>
      <c r="X289" s="93"/>
      <c r="AA289" s="94"/>
      <c r="AE289" s="36"/>
      <c r="AP289" s="86"/>
      <c r="AQ289" s="88"/>
      <c r="AR289" s="89"/>
      <c r="AS289" s="90"/>
      <c r="AV289" s="88"/>
      <c r="AW289" s="96"/>
      <c r="AX289" s="97"/>
      <c r="AY289" s="93"/>
      <c r="BB289" s="94"/>
    </row>
    <row r="290" spans="4:54">
      <c r="D290" s="36"/>
      <c r="N290" s="86"/>
      <c r="O290" s="88"/>
      <c r="P290" s="89"/>
      <c r="Q290" s="90"/>
      <c r="U290" s="88"/>
      <c r="V290" s="91"/>
      <c r="W290" s="92"/>
      <c r="X290" s="93"/>
      <c r="AA290" s="94"/>
      <c r="AE290" s="36"/>
      <c r="AP290" s="86"/>
      <c r="AQ290" s="88"/>
      <c r="AR290" s="89"/>
      <c r="AS290" s="90"/>
      <c r="AV290" s="88"/>
      <c r="AW290" s="96"/>
      <c r="AX290" s="97"/>
      <c r="AY290" s="93"/>
      <c r="BB290" s="94"/>
    </row>
    <row r="291" spans="4:54">
      <c r="D291" s="36"/>
      <c r="N291" s="86"/>
      <c r="O291" s="88"/>
      <c r="P291" s="89"/>
      <c r="Q291" s="90"/>
      <c r="U291" s="88"/>
      <c r="V291" s="91"/>
      <c r="W291" s="92"/>
      <c r="X291" s="93"/>
      <c r="AA291" s="94"/>
      <c r="AE291" s="36"/>
      <c r="AP291" s="86"/>
      <c r="AQ291" s="88"/>
      <c r="AR291" s="89"/>
      <c r="AS291" s="90"/>
      <c r="AV291" s="88"/>
      <c r="AW291" s="96"/>
      <c r="AX291" s="97"/>
      <c r="AY291" s="93"/>
      <c r="BB291" s="94"/>
    </row>
    <row r="292" spans="4:54">
      <c r="D292" s="36"/>
      <c r="N292" s="86"/>
      <c r="O292" s="88"/>
      <c r="P292" s="89"/>
      <c r="Q292" s="90"/>
      <c r="U292" s="88"/>
      <c r="V292" s="91"/>
      <c r="W292" s="92"/>
      <c r="X292" s="93"/>
      <c r="AA292" s="94"/>
      <c r="AE292" s="36"/>
      <c r="AP292" s="86"/>
      <c r="AQ292" s="88"/>
      <c r="AR292" s="89"/>
      <c r="AS292" s="90"/>
      <c r="AV292" s="88"/>
      <c r="AW292" s="96"/>
      <c r="AX292" s="97"/>
      <c r="AY292" s="93"/>
      <c r="BB292" s="94"/>
    </row>
    <row r="293" spans="4:54">
      <c r="D293" s="36"/>
      <c r="N293" s="86"/>
      <c r="O293" s="88"/>
      <c r="P293" s="89"/>
      <c r="Q293" s="90"/>
      <c r="U293" s="88"/>
      <c r="V293" s="91"/>
      <c r="W293" s="92"/>
      <c r="X293" s="93"/>
      <c r="AA293" s="94"/>
      <c r="AE293" s="36"/>
      <c r="AP293" s="86"/>
      <c r="AQ293" s="88"/>
      <c r="AR293" s="89"/>
      <c r="AS293" s="90"/>
      <c r="AV293" s="88"/>
      <c r="AW293" s="96"/>
      <c r="AX293" s="97"/>
      <c r="AY293" s="93"/>
      <c r="BB293" s="94"/>
    </row>
    <row r="294" spans="4:54">
      <c r="D294" s="36"/>
      <c r="N294" s="86"/>
      <c r="O294" s="88"/>
      <c r="P294" s="89"/>
      <c r="Q294" s="90"/>
      <c r="U294" s="88"/>
      <c r="V294" s="91"/>
      <c r="W294" s="92"/>
      <c r="X294" s="93"/>
      <c r="AA294" s="94"/>
      <c r="AE294" s="36"/>
      <c r="AP294" s="86"/>
      <c r="AQ294" s="88"/>
      <c r="AR294" s="89"/>
      <c r="AS294" s="90"/>
      <c r="AV294" s="88"/>
      <c r="AW294" s="96"/>
      <c r="AX294" s="97"/>
      <c r="AY294" s="93"/>
      <c r="BB294" s="94"/>
    </row>
    <row r="295" spans="4:54">
      <c r="D295" s="36"/>
      <c r="N295" s="86"/>
      <c r="O295" s="88"/>
      <c r="P295" s="89"/>
      <c r="Q295" s="90"/>
      <c r="U295" s="88"/>
      <c r="V295" s="91"/>
      <c r="W295" s="92"/>
      <c r="X295" s="93"/>
      <c r="AA295" s="94"/>
      <c r="AE295" s="36"/>
      <c r="AP295" s="86"/>
      <c r="AQ295" s="88"/>
      <c r="AR295" s="89"/>
      <c r="AS295" s="90"/>
      <c r="AV295" s="88"/>
      <c r="AW295" s="96"/>
      <c r="AX295" s="97"/>
      <c r="AY295" s="93"/>
      <c r="BB295" s="94"/>
    </row>
    <row r="296" spans="4:54">
      <c r="D296" s="36"/>
      <c r="N296" s="86"/>
      <c r="O296" s="88"/>
      <c r="P296" s="89"/>
      <c r="Q296" s="90"/>
      <c r="U296" s="88"/>
      <c r="V296" s="91"/>
      <c r="W296" s="92"/>
      <c r="X296" s="93"/>
      <c r="AA296" s="94"/>
      <c r="AE296" s="36"/>
      <c r="AP296" s="86"/>
      <c r="AQ296" s="88"/>
      <c r="AR296" s="89"/>
      <c r="AS296" s="90"/>
      <c r="AV296" s="88"/>
      <c r="AW296" s="96"/>
      <c r="AX296" s="97"/>
      <c r="AY296" s="93"/>
      <c r="BB296" s="94"/>
    </row>
    <row r="297" spans="4:54">
      <c r="D297" s="36"/>
      <c r="N297" s="86"/>
      <c r="O297" s="88"/>
      <c r="P297" s="89"/>
      <c r="Q297" s="90"/>
      <c r="U297" s="88"/>
      <c r="V297" s="91"/>
      <c r="W297" s="92"/>
      <c r="X297" s="93"/>
      <c r="AA297" s="94"/>
      <c r="AE297" s="36"/>
      <c r="AP297" s="86"/>
      <c r="AQ297" s="88"/>
      <c r="AR297" s="89"/>
      <c r="AS297" s="90"/>
      <c r="AV297" s="88"/>
      <c r="AW297" s="96"/>
      <c r="AX297" s="97"/>
      <c r="AY297" s="93"/>
      <c r="BB297" s="94"/>
    </row>
    <row r="298" spans="4:54">
      <c r="D298" s="36"/>
      <c r="N298" s="86"/>
      <c r="O298" s="88"/>
      <c r="P298" s="89"/>
      <c r="Q298" s="90"/>
      <c r="U298" s="88"/>
      <c r="V298" s="91"/>
      <c r="W298" s="92"/>
      <c r="X298" s="93"/>
      <c r="AA298" s="94"/>
      <c r="AE298" s="36"/>
      <c r="AP298" s="86"/>
      <c r="AQ298" s="88"/>
      <c r="AR298" s="89"/>
      <c r="AS298" s="90"/>
      <c r="AV298" s="88"/>
      <c r="AW298" s="96"/>
      <c r="AX298" s="97"/>
      <c r="AY298" s="93"/>
      <c r="BB298" s="94"/>
    </row>
    <row r="299" spans="4:54">
      <c r="D299" s="36"/>
      <c r="N299" s="86"/>
      <c r="O299" s="88"/>
      <c r="P299" s="89"/>
      <c r="Q299" s="90"/>
      <c r="U299" s="88"/>
      <c r="V299" s="91"/>
      <c r="W299" s="92"/>
      <c r="X299" s="93"/>
      <c r="AA299" s="94"/>
      <c r="AE299" s="36"/>
      <c r="AP299" s="86"/>
      <c r="AQ299" s="88"/>
      <c r="AR299" s="89"/>
      <c r="AS299" s="90"/>
      <c r="AV299" s="88"/>
      <c r="AW299" s="96"/>
      <c r="AX299" s="97"/>
      <c r="AY299" s="93"/>
      <c r="BB299" s="94"/>
    </row>
    <row r="300" spans="4:54">
      <c r="D300" s="36"/>
      <c r="N300" s="86"/>
      <c r="O300" s="88"/>
      <c r="P300" s="89"/>
      <c r="Q300" s="90"/>
      <c r="U300" s="88"/>
      <c r="V300" s="91"/>
      <c r="W300" s="92"/>
      <c r="X300" s="93"/>
      <c r="AA300" s="94"/>
      <c r="AE300" s="36"/>
      <c r="AP300" s="86"/>
      <c r="AQ300" s="88"/>
      <c r="AR300" s="89"/>
      <c r="AS300" s="90"/>
      <c r="AV300" s="88"/>
      <c r="AW300" s="96"/>
      <c r="AX300" s="97"/>
      <c r="AY300" s="93"/>
      <c r="BB300" s="94"/>
    </row>
    <row r="301" spans="4:54">
      <c r="D301" s="36"/>
      <c r="N301" s="86"/>
      <c r="O301" s="88"/>
      <c r="P301" s="89"/>
      <c r="Q301" s="90"/>
      <c r="U301" s="88"/>
      <c r="V301" s="91"/>
      <c r="W301" s="92"/>
      <c r="X301" s="93"/>
      <c r="AA301" s="94"/>
      <c r="AE301" s="36"/>
      <c r="AP301" s="86"/>
      <c r="AQ301" s="88"/>
      <c r="AR301" s="89"/>
      <c r="AS301" s="90"/>
      <c r="AV301" s="88"/>
      <c r="AW301" s="96"/>
      <c r="AX301" s="97"/>
      <c r="AY301" s="93"/>
      <c r="BB301" s="94"/>
    </row>
    <row r="302" spans="4:54">
      <c r="D302" s="36"/>
      <c r="N302" s="86"/>
      <c r="O302" s="88"/>
      <c r="P302" s="89"/>
      <c r="Q302" s="90"/>
      <c r="U302" s="88"/>
      <c r="V302" s="91"/>
      <c r="W302" s="92"/>
      <c r="X302" s="93"/>
      <c r="AA302" s="94"/>
      <c r="AE302" s="36"/>
      <c r="AP302" s="86"/>
      <c r="AQ302" s="88"/>
      <c r="AR302" s="89"/>
      <c r="AS302" s="90"/>
      <c r="AV302" s="88"/>
      <c r="AW302" s="96"/>
      <c r="AX302" s="97"/>
      <c r="AY302" s="93"/>
      <c r="BB302" s="94"/>
    </row>
    <row r="303" spans="4:54">
      <c r="D303" s="36"/>
      <c r="N303" s="86"/>
      <c r="O303" s="88"/>
      <c r="P303" s="89"/>
      <c r="Q303" s="90"/>
      <c r="U303" s="88"/>
      <c r="V303" s="91"/>
      <c r="W303" s="92"/>
      <c r="X303" s="93"/>
      <c r="AA303" s="94"/>
      <c r="AE303" s="36"/>
      <c r="AP303" s="86"/>
      <c r="AQ303" s="88"/>
      <c r="AR303" s="89"/>
      <c r="AS303" s="90"/>
      <c r="AV303" s="88"/>
      <c r="AW303" s="96"/>
      <c r="AX303" s="97"/>
      <c r="AY303" s="93"/>
      <c r="BB303" s="94"/>
    </row>
    <row r="304" spans="4:54">
      <c r="D304" s="36"/>
      <c r="N304" s="86"/>
      <c r="O304" s="88"/>
      <c r="P304" s="89"/>
      <c r="Q304" s="90"/>
      <c r="U304" s="88"/>
      <c r="V304" s="91"/>
      <c r="W304" s="92"/>
      <c r="X304" s="93"/>
      <c r="AA304" s="94"/>
      <c r="AE304" s="36"/>
      <c r="AP304" s="86"/>
      <c r="AQ304" s="88"/>
      <c r="AR304" s="89"/>
      <c r="AS304" s="90"/>
      <c r="AV304" s="88"/>
      <c r="AW304" s="96"/>
      <c r="AX304" s="97"/>
      <c r="AY304" s="93"/>
      <c r="BB304" s="94"/>
    </row>
    <row r="305" spans="4:54">
      <c r="D305" s="36"/>
      <c r="N305" s="86"/>
      <c r="O305" s="88"/>
      <c r="P305" s="89"/>
      <c r="Q305" s="90"/>
      <c r="U305" s="88"/>
      <c r="V305" s="91"/>
      <c r="W305" s="92"/>
      <c r="X305" s="93"/>
      <c r="AA305" s="94"/>
      <c r="AE305" s="36"/>
      <c r="AP305" s="86"/>
      <c r="AQ305" s="88"/>
      <c r="AR305" s="89"/>
      <c r="AS305" s="90"/>
      <c r="AV305" s="88"/>
      <c r="AW305" s="96"/>
      <c r="AX305" s="97"/>
      <c r="AY305" s="93"/>
      <c r="BB305" s="94"/>
    </row>
    <row r="306" spans="4:54">
      <c r="D306" s="36"/>
      <c r="N306" s="86"/>
      <c r="O306" s="88"/>
      <c r="P306" s="89"/>
      <c r="Q306" s="90"/>
      <c r="U306" s="88"/>
      <c r="V306" s="91"/>
      <c r="W306" s="92"/>
      <c r="X306" s="93"/>
      <c r="AA306" s="94"/>
      <c r="AE306" s="36"/>
      <c r="AP306" s="86"/>
      <c r="AQ306" s="88"/>
      <c r="AR306" s="89"/>
      <c r="AS306" s="90"/>
      <c r="AV306" s="88"/>
      <c r="AW306" s="96"/>
      <c r="AX306" s="97"/>
      <c r="AY306" s="93"/>
      <c r="BB306" s="94"/>
    </row>
    <row r="307" spans="4:54">
      <c r="D307" s="36"/>
      <c r="N307" s="86"/>
      <c r="O307" s="88"/>
      <c r="P307" s="89"/>
      <c r="Q307" s="90"/>
      <c r="U307" s="88"/>
      <c r="V307" s="91"/>
      <c r="W307" s="92"/>
      <c r="X307" s="93"/>
      <c r="AA307" s="94"/>
      <c r="AE307" s="36"/>
      <c r="AP307" s="86"/>
      <c r="AQ307" s="88"/>
      <c r="AR307" s="89"/>
      <c r="AS307" s="90"/>
      <c r="AV307" s="88"/>
      <c r="AW307" s="96"/>
      <c r="AX307" s="97"/>
      <c r="AY307" s="93"/>
      <c r="BB307" s="94"/>
    </row>
    <row r="308" spans="4:54">
      <c r="D308" s="36"/>
      <c r="N308" s="86"/>
      <c r="O308" s="88"/>
      <c r="P308" s="89"/>
      <c r="Q308" s="90"/>
      <c r="U308" s="88"/>
      <c r="V308" s="91"/>
      <c r="W308" s="92"/>
      <c r="X308" s="93"/>
      <c r="AA308" s="94"/>
      <c r="AE308" s="36"/>
      <c r="AP308" s="86"/>
      <c r="AQ308" s="88"/>
      <c r="AR308" s="89"/>
      <c r="AS308" s="90"/>
      <c r="AV308" s="88"/>
      <c r="AW308" s="96"/>
      <c r="AX308" s="97"/>
      <c r="AY308" s="93"/>
      <c r="BB308" s="94"/>
    </row>
    <row r="309" spans="4:54">
      <c r="D309" s="36"/>
      <c r="N309" s="86"/>
      <c r="O309" s="88"/>
      <c r="P309" s="89"/>
      <c r="Q309" s="90"/>
      <c r="U309" s="88"/>
      <c r="V309" s="91"/>
      <c r="W309" s="92"/>
      <c r="X309" s="93"/>
      <c r="AA309" s="94"/>
      <c r="AE309" s="36"/>
      <c r="AP309" s="86"/>
      <c r="AQ309" s="88"/>
      <c r="AR309" s="89"/>
      <c r="AS309" s="90"/>
      <c r="AV309" s="88"/>
      <c r="AW309" s="96"/>
      <c r="AX309" s="97"/>
      <c r="AY309" s="93"/>
      <c r="BB309" s="94"/>
    </row>
    <row r="310" spans="4:54">
      <c r="D310" s="36"/>
      <c r="N310" s="86"/>
      <c r="O310" s="88"/>
      <c r="P310" s="89"/>
      <c r="Q310" s="90"/>
      <c r="U310" s="88"/>
      <c r="V310" s="91"/>
      <c r="W310" s="92"/>
      <c r="X310" s="93"/>
      <c r="AA310" s="94"/>
      <c r="AE310" s="36"/>
      <c r="AP310" s="86"/>
      <c r="AQ310" s="88"/>
      <c r="AR310" s="89"/>
      <c r="AS310" s="90"/>
      <c r="AV310" s="88"/>
      <c r="AW310" s="96"/>
      <c r="AX310" s="97"/>
      <c r="AY310" s="93"/>
      <c r="BB310" s="94"/>
    </row>
    <row r="311" spans="4:54">
      <c r="D311" s="36"/>
      <c r="N311" s="86"/>
      <c r="O311" s="88"/>
      <c r="P311" s="89"/>
      <c r="Q311" s="90"/>
      <c r="U311" s="88"/>
      <c r="V311" s="91"/>
      <c r="W311" s="92"/>
      <c r="X311" s="93"/>
      <c r="AA311" s="94"/>
      <c r="AE311" s="36"/>
      <c r="AP311" s="86"/>
      <c r="AQ311" s="88"/>
      <c r="AR311" s="89"/>
      <c r="AS311" s="90"/>
      <c r="AV311" s="88"/>
      <c r="AW311" s="96"/>
      <c r="AX311" s="97"/>
      <c r="AY311" s="93"/>
      <c r="BB311" s="94"/>
    </row>
    <row r="312" spans="4:54">
      <c r="D312" s="36"/>
      <c r="N312" s="86"/>
      <c r="O312" s="88"/>
      <c r="P312" s="89"/>
      <c r="Q312" s="90"/>
      <c r="U312" s="88"/>
      <c r="V312" s="91"/>
      <c r="W312" s="92"/>
      <c r="X312" s="93"/>
      <c r="AA312" s="94"/>
      <c r="AE312" s="36"/>
      <c r="AP312" s="86"/>
      <c r="AQ312" s="88"/>
      <c r="AR312" s="89"/>
      <c r="AS312" s="90"/>
      <c r="AV312" s="88"/>
      <c r="AW312" s="96"/>
      <c r="AX312" s="97"/>
      <c r="AY312" s="93"/>
      <c r="BB312" s="94"/>
    </row>
    <row r="313" spans="4:54">
      <c r="D313" s="36"/>
      <c r="N313" s="86"/>
      <c r="O313" s="88"/>
      <c r="P313" s="89"/>
      <c r="Q313" s="90"/>
      <c r="U313" s="88"/>
      <c r="V313" s="91"/>
      <c r="W313" s="92"/>
      <c r="X313" s="93"/>
      <c r="AA313" s="94"/>
      <c r="AE313" s="36"/>
      <c r="AP313" s="86"/>
      <c r="AQ313" s="88"/>
      <c r="AR313" s="89"/>
      <c r="AS313" s="90"/>
      <c r="AV313" s="88"/>
      <c r="AW313" s="96"/>
      <c r="AX313" s="97"/>
      <c r="AY313" s="93"/>
      <c r="BB313" s="94"/>
    </row>
    <row r="314" spans="4:54">
      <c r="D314" s="36"/>
      <c r="N314" s="86"/>
      <c r="O314" s="88"/>
      <c r="P314" s="89"/>
      <c r="Q314" s="90"/>
      <c r="U314" s="88"/>
      <c r="V314" s="91"/>
      <c r="W314" s="92"/>
      <c r="X314" s="93"/>
      <c r="AA314" s="94"/>
      <c r="AE314" s="36"/>
      <c r="AP314" s="86"/>
      <c r="AQ314" s="88"/>
      <c r="AR314" s="89"/>
      <c r="AS314" s="90"/>
      <c r="AV314" s="88"/>
      <c r="AW314" s="96"/>
      <c r="AX314" s="97"/>
      <c r="AY314" s="93"/>
      <c r="BB314" s="94"/>
    </row>
    <row r="315" spans="4:54">
      <c r="D315" s="36"/>
      <c r="N315" s="86"/>
      <c r="O315" s="88"/>
      <c r="P315" s="89"/>
      <c r="Q315" s="90"/>
      <c r="U315" s="88"/>
      <c r="V315" s="91"/>
      <c r="W315" s="92"/>
      <c r="X315" s="93"/>
      <c r="AA315" s="94"/>
      <c r="AP315" s="86"/>
      <c r="AQ315" s="88"/>
      <c r="AR315" s="89"/>
      <c r="AS315" s="90"/>
      <c r="AV315" s="88"/>
      <c r="AW315" s="96"/>
      <c r="AX315" s="97"/>
      <c r="AY315" s="93"/>
      <c r="BB315" s="94"/>
    </row>
    <row r="316" spans="4:54">
      <c r="D316" s="36"/>
      <c r="N316" s="86"/>
      <c r="O316" s="88"/>
      <c r="P316" s="89"/>
      <c r="Q316" s="90"/>
      <c r="U316" s="88"/>
      <c r="V316" s="91"/>
      <c r="W316" s="92"/>
      <c r="X316" s="93"/>
      <c r="AA316" s="94"/>
      <c r="AE316" s="36"/>
      <c r="AP316" s="86"/>
      <c r="AQ316" s="88"/>
      <c r="AR316" s="89"/>
      <c r="AS316" s="90"/>
      <c r="AV316" s="88"/>
      <c r="AW316" s="96"/>
      <c r="AX316" s="97"/>
      <c r="AY316" s="93"/>
      <c r="BB316" s="94"/>
    </row>
    <row r="317" spans="4:54">
      <c r="D317" s="36"/>
      <c r="N317" s="86"/>
      <c r="O317" s="88"/>
      <c r="P317" s="89"/>
      <c r="Q317" s="90"/>
      <c r="U317" s="88"/>
      <c r="V317" s="91"/>
      <c r="W317" s="92"/>
      <c r="X317" s="93"/>
      <c r="AA317" s="94"/>
      <c r="AE317" s="36"/>
      <c r="AP317" s="86"/>
      <c r="AQ317" s="88"/>
      <c r="AR317" s="89"/>
      <c r="AS317" s="90"/>
      <c r="AV317" s="88"/>
      <c r="AW317" s="96"/>
      <c r="AX317" s="97"/>
      <c r="AY317" s="93"/>
      <c r="BB317" s="94"/>
    </row>
    <row r="318" spans="4:54">
      <c r="D318" s="36"/>
      <c r="N318" s="86"/>
      <c r="O318" s="88"/>
      <c r="P318" s="89"/>
      <c r="Q318" s="90"/>
      <c r="U318" s="88"/>
      <c r="V318" s="91"/>
      <c r="W318" s="92"/>
      <c r="X318" s="93"/>
      <c r="AA318" s="94"/>
      <c r="AE318" s="36"/>
      <c r="AP318" s="86"/>
      <c r="AQ318" s="88"/>
      <c r="AR318" s="89"/>
      <c r="AS318" s="90"/>
      <c r="AV318" s="88"/>
      <c r="AW318" s="96"/>
      <c r="AX318" s="97"/>
      <c r="AY318" s="93"/>
      <c r="BB318" s="94"/>
    </row>
    <row r="319" spans="4:54">
      <c r="D319" s="36"/>
      <c r="N319" s="86"/>
      <c r="O319" s="88"/>
      <c r="P319" s="89"/>
      <c r="Q319" s="90"/>
      <c r="U319" s="88"/>
      <c r="V319" s="91"/>
      <c r="W319" s="92"/>
      <c r="X319" s="93"/>
      <c r="AA319" s="94"/>
      <c r="AE319" s="36"/>
      <c r="AP319" s="86"/>
      <c r="AQ319" s="88"/>
      <c r="AR319" s="89"/>
      <c r="AS319" s="90"/>
      <c r="AV319" s="88"/>
      <c r="AW319" s="96"/>
      <c r="AX319" s="97"/>
      <c r="AY319" s="93"/>
      <c r="BB319" s="94"/>
    </row>
    <row r="320" spans="4:54">
      <c r="D320" s="36"/>
      <c r="N320" s="86"/>
      <c r="O320" s="88"/>
      <c r="P320" s="89"/>
      <c r="Q320" s="90"/>
      <c r="U320" s="88"/>
      <c r="V320" s="91"/>
      <c r="W320" s="92"/>
      <c r="X320" s="93"/>
      <c r="AA320" s="94"/>
      <c r="AE320" s="36"/>
      <c r="AP320" s="86"/>
      <c r="AQ320" s="88"/>
      <c r="AR320" s="89"/>
      <c r="AS320" s="90"/>
      <c r="AV320" s="88"/>
      <c r="AW320" s="96"/>
      <c r="AX320" s="97"/>
      <c r="AY320" s="93"/>
      <c r="BB320" s="94"/>
    </row>
    <row r="321" spans="4:54">
      <c r="D321" s="36"/>
      <c r="N321" s="86"/>
      <c r="O321" s="88"/>
      <c r="P321" s="89"/>
      <c r="Q321" s="90"/>
      <c r="U321" s="88"/>
      <c r="V321" s="91"/>
      <c r="W321" s="92"/>
      <c r="X321" s="93"/>
      <c r="AA321" s="94"/>
      <c r="AE321" s="36"/>
      <c r="AP321" s="86"/>
      <c r="AQ321" s="88"/>
      <c r="AR321" s="89"/>
      <c r="AS321" s="90"/>
      <c r="AV321" s="88"/>
      <c r="AW321" s="96"/>
      <c r="AX321" s="97"/>
      <c r="AY321" s="93"/>
      <c r="BB321" s="94"/>
    </row>
    <row r="322" spans="4:54">
      <c r="D322" s="36"/>
      <c r="N322" s="86"/>
      <c r="O322" s="88"/>
      <c r="P322" s="89"/>
      <c r="Q322" s="90"/>
      <c r="U322" s="88"/>
      <c r="V322" s="91"/>
      <c r="W322" s="92"/>
      <c r="X322" s="93"/>
      <c r="AA322" s="94"/>
      <c r="AE322" s="36"/>
      <c r="AP322" s="86"/>
      <c r="AQ322" s="88"/>
      <c r="AR322" s="89"/>
      <c r="AS322" s="90"/>
      <c r="AV322" s="88"/>
      <c r="AW322" s="96"/>
      <c r="AX322" s="97"/>
      <c r="AY322" s="93"/>
      <c r="BB322" s="94"/>
    </row>
    <row r="323" spans="4:54">
      <c r="D323" s="36"/>
      <c r="N323" s="86"/>
      <c r="O323" s="88"/>
      <c r="P323" s="89"/>
      <c r="Q323" s="90"/>
      <c r="U323" s="88"/>
      <c r="V323" s="91"/>
      <c r="W323" s="92"/>
      <c r="X323" s="93"/>
      <c r="AA323" s="94"/>
      <c r="AE323" s="36"/>
      <c r="AP323" s="86"/>
      <c r="AQ323" s="88"/>
      <c r="AR323" s="89"/>
      <c r="AS323" s="90"/>
      <c r="AV323" s="88"/>
      <c r="AW323" s="96"/>
      <c r="AX323" s="97"/>
      <c r="AY323" s="93"/>
      <c r="BB323" s="94"/>
    </row>
    <row r="324" spans="4:54">
      <c r="D324" s="36"/>
      <c r="N324" s="86"/>
      <c r="O324" s="88"/>
      <c r="P324" s="89"/>
      <c r="Q324" s="90"/>
      <c r="U324" s="88"/>
      <c r="V324" s="91"/>
      <c r="W324" s="92"/>
      <c r="X324" s="93"/>
      <c r="AA324" s="94"/>
      <c r="AE324" s="36"/>
      <c r="AP324" s="86"/>
      <c r="AQ324" s="88"/>
      <c r="AR324" s="89"/>
      <c r="AS324" s="90"/>
      <c r="AV324" s="88"/>
      <c r="AW324" s="96"/>
      <c r="AX324" s="97"/>
      <c r="AY324" s="93"/>
      <c r="BB324" s="94"/>
    </row>
    <row r="325" spans="4:54">
      <c r="D325" s="36"/>
      <c r="N325" s="86"/>
      <c r="O325" s="88"/>
      <c r="P325" s="89"/>
      <c r="Q325" s="90"/>
      <c r="U325" s="88"/>
      <c r="V325" s="91"/>
      <c r="W325" s="92"/>
      <c r="X325" s="93"/>
      <c r="AA325" s="94"/>
      <c r="AE325" s="36"/>
      <c r="AP325" s="86"/>
      <c r="AQ325" s="88"/>
      <c r="AR325" s="89"/>
      <c r="AS325" s="90"/>
      <c r="AV325" s="88"/>
      <c r="AW325" s="96"/>
      <c r="AX325" s="97"/>
      <c r="AY325" s="93"/>
      <c r="BB325" s="94"/>
    </row>
    <row r="326" spans="4:54">
      <c r="D326" s="36"/>
      <c r="N326" s="86"/>
      <c r="O326" s="88"/>
      <c r="P326" s="89"/>
      <c r="Q326" s="90"/>
      <c r="U326" s="88"/>
      <c r="V326" s="91"/>
      <c r="W326" s="92"/>
      <c r="X326" s="93"/>
      <c r="AA326" s="94"/>
      <c r="AE326" s="36"/>
      <c r="AP326" s="86"/>
      <c r="AQ326" s="88"/>
      <c r="AR326" s="89"/>
      <c r="AS326" s="90"/>
      <c r="AV326" s="88"/>
      <c r="AW326" s="96"/>
      <c r="AX326" s="97"/>
      <c r="AY326" s="93"/>
      <c r="BB326" s="94"/>
    </row>
    <row r="327" spans="4:54">
      <c r="D327" s="36"/>
      <c r="N327" s="86"/>
      <c r="O327" s="88"/>
      <c r="P327" s="89"/>
      <c r="Q327" s="90"/>
      <c r="U327" s="88"/>
      <c r="V327" s="91"/>
      <c r="W327" s="92"/>
      <c r="X327" s="93"/>
      <c r="AA327" s="94"/>
      <c r="AE327" s="36"/>
      <c r="AP327" s="86"/>
      <c r="AQ327" s="88"/>
      <c r="AR327" s="89"/>
      <c r="AS327" s="90"/>
      <c r="AV327" s="88"/>
      <c r="AW327" s="96"/>
      <c r="AX327" s="97"/>
      <c r="AY327" s="93"/>
      <c r="BB327" s="94"/>
    </row>
    <row r="328" spans="4:54">
      <c r="D328" s="36"/>
      <c r="N328" s="86"/>
      <c r="O328" s="88"/>
      <c r="P328" s="89"/>
      <c r="Q328" s="90"/>
      <c r="U328" s="88"/>
      <c r="V328" s="91"/>
      <c r="W328" s="92"/>
      <c r="X328" s="93"/>
      <c r="AA328" s="94"/>
      <c r="AE328" s="36"/>
      <c r="AP328" s="86"/>
      <c r="AQ328" s="88"/>
      <c r="AR328" s="89"/>
      <c r="AS328" s="90"/>
      <c r="AV328" s="88"/>
      <c r="AW328" s="96"/>
      <c r="AX328" s="97"/>
      <c r="AY328" s="93"/>
      <c r="BB328" s="94"/>
    </row>
    <row r="329" spans="4:54">
      <c r="D329" s="36"/>
      <c r="N329" s="86"/>
      <c r="O329" s="88"/>
      <c r="P329" s="89"/>
      <c r="Q329" s="90"/>
      <c r="U329" s="88"/>
      <c r="V329" s="91"/>
      <c r="W329" s="92"/>
      <c r="X329" s="93"/>
      <c r="AA329" s="94"/>
      <c r="AE329" s="36"/>
      <c r="AP329" s="86"/>
      <c r="AQ329" s="88"/>
      <c r="AR329" s="89"/>
      <c r="AS329" s="90"/>
      <c r="AV329" s="88"/>
      <c r="AW329" s="96"/>
      <c r="AX329" s="97"/>
      <c r="AY329" s="93"/>
      <c r="BB329" s="94"/>
    </row>
    <row r="330" spans="4:54">
      <c r="D330" s="36"/>
      <c r="N330" s="86"/>
      <c r="O330" s="88"/>
      <c r="P330" s="89"/>
      <c r="Q330" s="90"/>
      <c r="U330" s="88"/>
      <c r="V330" s="91"/>
      <c r="W330" s="92"/>
      <c r="X330" s="93"/>
      <c r="AA330" s="94"/>
      <c r="AE330" s="36"/>
      <c r="AP330" s="86"/>
      <c r="AQ330" s="88"/>
      <c r="AR330" s="89"/>
      <c r="AS330" s="90"/>
      <c r="AV330" s="88"/>
      <c r="AW330" s="96"/>
      <c r="AX330" s="97"/>
      <c r="AY330" s="93"/>
      <c r="BB330" s="94"/>
    </row>
    <row r="331" spans="4:54">
      <c r="D331" s="36"/>
      <c r="N331" s="86"/>
      <c r="O331" s="88"/>
      <c r="P331" s="89"/>
      <c r="Q331" s="90"/>
      <c r="U331" s="88"/>
      <c r="V331" s="91"/>
      <c r="W331" s="92"/>
      <c r="X331" s="93"/>
      <c r="AA331" s="94"/>
      <c r="AE331" s="36"/>
      <c r="AP331" s="86"/>
      <c r="AQ331" s="88"/>
      <c r="AR331" s="89"/>
      <c r="AS331" s="90"/>
      <c r="AV331" s="88"/>
      <c r="AW331" s="96"/>
      <c r="AX331" s="97"/>
      <c r="AY331" s="93"/>
      <c r="BB331" s="94"/>
    </row>
    <row r="332" spans="4:54">
      <c r="D332" s="36"/>
      <c r="N332" s="86"/>
      <c r="O332" s="88"/>
      <c r="P332" s="89"/>
      <c r="Q332" s="90"/>
      <c r="U332" s="88"/>
      <c r="V332" s="91"/>
      <c r="W332" s="92"/>
      <c r="X332" s="93"/>
      <c r="AA332" s="94"/>
      <c r="AE332" s="36"/>
      <c r="AP332" s="86"/>
      <c r="AQ332" s="88"/>
      <c r="AR332" s="89"/>
      <c r="AS332" s="90"/>
      <c r="AV332" s="88"/>
      <c r="AW332" s="96"/>
      <c r="AX332" s="97"/>
      <c r="AY332" s="93"/>
      <c r="BB332" s="94"/>
    </row>
    <row r="333" spans="4:54">
      <c r="D333" s="36"/>
      <c r="N333" s="86"/>
      <c r="O333" s="88"/>
      <c r="P333" s="89"/>
      <c r="Q333" s="90"/>
      <c r="U333" s="88"/>
      <c r="V333" s="91"/>
      <c r="W333" s="92"/>
      <c r="X333" s="93"/>
      <c r="AA333" s="94"/>
      <c r="AE333" s="36"/>
      <c r="AP333" s="86"/>
      <c r="AQ333" s="88"/>
      <c r="AR333" s="89"/>
      <c r="AS333" s="90"/>
      <c r="AV333" s="88"/>
      <c r="AW333" s="96"/>
      <c r="AX333" s="97"/>
      <c r="AY333" s="93"/>
      <c r="BB333" s="94"/>
    </row>
    <row r="334" spans="4:54">
      <c r="D334" s="36"/>
      <c r="N334" s="86"/>
      <c r="O334" s="88"/>
      <c r="P334" s="89"/>
      <c r="Q334" s="90"/>
      <c r="U334" s="88"/>
      <c r="V334" s="91"/>
      <c r="W334" s="92"/>
      <c r="X334" s="93"/>
      <c r="AA334" s="94"/>
      <c r="AE334" s="36"/>
      <c r="AP334" s="86"/>
      <c r="AQ334" s="88"/>
      <c r="AR334" s="89"/>
      <c r="AS334" s="90"/>
      <c r="AV334" s="88"/>
      <c r="AW334" s="96"/>
      <c r="AX334" s="97"/>
      <c r="AY334" s="93"/>
      <c r="BB334" s="94"/>
    </row>
    <row r="335" spans="4:54">
      <c r="D335" s="36"/>
      <c r="N335" s="86"/>
      <c r="O335" s="88"/>
      <c r="P335" s="89"/>
      <c r="Q335" s="90"/>
      <c r="U335" s="88"/>
      <c r="V335" s="91"/>
      <c r="W335" s="92"/>
      <c r="X335" s="93"/>
      <c r="AA335" s="94"/>
      <c r="AE335" s="36"/>
      <c r="AP335" s="86"/>
      <c r="AQ335" s="88"/>
      <c r="AR335" s="89"/>
      <c r="AS335" s="90"/>
      <c r="AV335" s="88"/>
      <c r="AW335" s="96"/>
      <c r="AX335" s="97"/>
      <c r="AY335" s="93"/>
      <c r="BB335" s="94"/>
    </row>
    <row r="336" spans="4:54">
      <c r="D336" s="36"/>
      <c r="N336" s="86"/>
      <c r="O336" s="88"/>
      <c r="P336" s="89"/>
      <c r="Q336" s="90"/>
      <c r="U336" s="88"/>
      <c r="V336" s="91"/>
      <c r="W336" s="92"/>
      <c r="X336" s="93"/>
      <c r="AA336" s="94"/>
      <c r="AE336" s="36"/>
      <c r="AP336" s="86"/>
      <c r="AQ336" s="88"/>
      <c r="AR336" s="89"/>
      <c r="AS336" s="90"/>
      <c r="AV336" s="88"/>
      <c r="AW336" s="96"/>
      <c r="AX336" s="97"/>
      <c r="AY336" s="93"/>
      <c r="BB336" s="94"/>
    </row>
    <row r="337" spans="4:62">
      <c r="D337" s="36"/>
      <c r="N337" s="86"/>
      <c r="O337" s="88"/>
      <c r="P337" s="89"/>
      <c r="Q337" s="90"/>
      <c r="U337" s="88"/>
      <c r="V337" s="91"/>
      <c r="W337" s="92"/>
      <c r="X337" s="93"/>
      <c r="AA337" s="94"/>
      <c r="AE337" s="36"/>
      <c r="AP337" s="86"/>
      <c r="AQ337" s="88"/>
      <c r="AR337" s="89"/>
      <c r="AS337" s="90"/>
      <c r="AV337" s="88"/>
      <c r="AW337" s="96"/>
      <c r="AX337" s="97"/>
      <c r="AY337" s="93"/>
      <c r="BB337" s="94"/>
      <c r="BJ337" s="36" t="s">
        <v>5837</v>
      </c>
    </row>
    <row r="338" spans="4:62">
      <c r="D338" s="36"/>
      <c r="N338" s="86"/>
      <c r="O338" s="88"/>
      <c r="P338" s="89"/>
      <c r="Q338" s="90"/>
      <c r="U338" s="88"/>
      <c r="V338" s="91"/>
      <c r="W338" s="92"/>
      <c r="X338" s="93"/>
      <c r="AA338" s="94"/>
      <c r="AE338" s="36"/>
      <c r="AP338" s="86"/>
      <c r="AQ338" s="88"/>
      <c r="AR338" s="89"/>
      <c r="AS338" s="90"/>
      <c r="AV338" s="88"/>
      <c r="AW338" s="96"/>
      <c r="AX338" s="97"/>
      <c r="AY338" s="93"/>
      <c r="BB338" s="94"/>
      <c r="BJ338" s="36" t="s">
        <v>5837</v>
      </c>
    </row>
    <row r="339" spans="4:62">
      <c r="D339" s="36"/>
      <c r="N339" s="86"/>
      <c r="O339" s="88"/>
      <c r="P339" s="89"/>
      <c r="Q339" s="90"/>
      <c r="U339" s="88"/>
      <c r="V339" s="91"/>
      <c r="W339" s="92"/>
      <c r="X339" s="93"/>
      <c r="AA339" s="94"/>
      <c r="AE339" s="36"/>
      <c r="AP339" s="86"/>
      <c r="AQ339" s="88"/>
      <c r="AR339" s="89"/>
      <c r="AS339" s="90"/>
      <c r="AV339" s="88"/>
      <c r="AW339" s="96"/>
      <c r="AX339" s="97"/>
      <c r="AY339" s="93"/>
      <c r="BB339" s="94"/>
    </row>
    <row r="340" spans="4:62">
      <c r="D340" s="36"/>
      <c r="N340" s="86"/>
      <c r="O340" s="88"/>
      <c r="P340" s="89"/>
      <c r="Q340" s="90"/>
      <c r="U340" s="88"/>
      <c r="V340" s="91"/>
      <c r="W340" s="92"/>
      <c r="X340" s="93"/>
      <c r="AA340" s="94"/>
      <c r="AE340" s="36"/>
      <c r="AP340" s="86"/>
      <c r="AQ340" s="88"/>
      <c r="AR340" s="89"/>
      <c r="AS340" s="90"/>
      <c r="AV340" s="88"/>
      <c r="AW340" s="96"/>
      <c r="AX340" s="97"/>
      <c r="AY340" s="93"/>
      <c r="BB340" s="94"/>
    </row>
    <row r="341" spans="4:62">
      <c r="D341" s="36"/>
      <c r="N341" s="86"/>
      <c r="O341" s="88"/>
      <c r="P341" s="89"/>
      <c r="Q341" s="90"/>
      <c r="U341" s="88"/>
      <c r="V341" s="91"/>
      <c r="W341" s="92"/>
      <c r="X341" s="93"/>
      <c r="AA341" s="94"/>
      <c r="AE341" s="36"/>
      <c r="AP341" s="86"/>
      <c r="AQ341" s="88"/>
      <c r="AR341" s="89"/>
      <c r="AS341" s="90"/>
      <c r="AV341" s="88"/>
      <c r="AW341" s="96"/>
      <c r="AX341" s="97"/>
      <c r="AY341" s="93"/>
      <c r="BB341" s="94"/>
    </row>
    <row r="342" spans="4:62">
      <c r="D342" s="36"/>
      <c r="N342" s="86"/>
      <c r="O342" s="88"/>
      <c r="P342" s="89"/>
      <c r="Q342" s="90"/>
      <c r="U342" s="88"/>
      <c r="V342" s="91"/>
      <c r="W342" s="92"/>
      <c r="X342" s="93"/>
      <c r="AA342" s="94"/>
      <c r="AE342" s="36"/>
      <c r="AP342" s="86"/>
      <c r="AQ342" s="88"/>
      <c r="AR342" s="89"/>
      <c r="AS342" s="90"/>
      <c r="AV342" s="88"/>
      <c r="AW342" s="96"/>
      <c r="AX342" s="97"/>
      <c r="AY342" s="93"/>
      <c r="BB342" s="94"/>
    </row>
    <row r="343" spans="4:62">
      <c r="D343" s="36"/>
      <c r="N343" s="86"/>
      <c r="O343" s="88"/>
      <c r="P343" s="89"/>
      <c r="Q343" s="90"/>
      <c r="U343" s="88"/>
      <c r="V343" s="91"/>
      <c r="W343" s="92"/>
      <c r="X343" s="93"/>
      <c r="AA343" s="94"/>
      <c r="AE343" s="36"/>
      <c r="AP343" s="86"/>
      <c r="AQ343" s="88"/>
      <c r="AR343" s="89"/>
      <c r="AS343" s="90"/>
      <c r="AV343" s="88"/>
      <c r="AW343" s="96"/>
      <c r="AX343" s="97"/>
      <c r="AY343" s="93"/>
      <c r="BB343" s="94"/>
    </row>
    <row r="344" spans="4:62">
      <c r="D344" s="36"/>
      <c r="N344" s="86"/>
      <c r="O344" s="88"/>
      <c r="P344" s="89"/>
      <c r="Q344" s="90"/>
      <c r="U344" s="88"/>
      <c r="V344" s="91"/>
      <c r="W344" s="92"/>
      <c r="X344" s="93"/>
      <c r="AA344" s="94"/>
      <c r="AE344" s="36"/>
      <c r="AP344" s="86"/>
      <c r="AQ344" s="88"/>
      <c r="AR344" s="89"/>
      <c r="AS344" s="90"/>
      <c r="AV344" s="88"/>
      <c r="AW344" s="96"/>
      <c r="AX344" s="97"/>
      <c r="AY344" s="93"/>
      <c r="BB344" s="94"/>
    </row>
    <row r="345" spans="4:62">
      <c r="D345" s="36"/>
      <c r="N345" s="86"/>
      <c r="O345" s="88"/>
      <c r="P345" s="89"/>
      <c r="Q345" s="90"/>
      <c r="U345" s="88"/>
      <c r="V345" s="91"/>
      <c r="W345" s="92"/>
      <c r="X345" s="93"/>
      <c r="AA345" s="94"/>
      <c r="AE345" s="36"/>
      <c r="AP345" s="86"/>
      <c r="AQ345" s="88"/>
      <c r="AR345" s="89"/>
      <c r="AS345" s="90"/>
      <c r="AV345" s="88"/>
      <c r="AW345" s="96"/>
      <c r="AX345" s="97"/>
      <c r="AY345" s="93"/>
      <c r="BB345" s="94"/>
    </row>
    <row r="346" spans="4:62">
      <c r="D346" s="36"/>
      <c r="N346" s="86"/>
      <c r="O346" s="88"/>
      <c r="P346" s="89"/>
      <c r="Q346" s="90"/>
      <c r="U346" s="88"/>
      <c r="V346" s="91"/>
      <c r="W346" s="92"/>
      <c r="X346" s="93"/>
      <c r="AA346" s="94"/>
      <c r="AE346" s="36"/>
      <c r="AP346" s="86"/>
      <c r="AQ346" s="88"/>
      <c r="AR346" s="89"/>
      <c r="AS346" s="90"/>
      <c r="AV346" s="88"/>
      <c r="AW346" s="96"/>
      <c r="AX346" s="97"/>
      <c r="AY346" s="93"/>
      <c r="BB346" s="94"/>
    </row>
    <row r="347" spans="4:62">
      <c r="D347" s="36"/>
      <c r="N347" s="86"/>
      <c r="O347" s="88"/>
      <c r="P347" s="89"/>
      <c r="Q347" s="90"/>
      <c r="U347" s="88"/>
      <c r="V347" s="91"/>
      <c r="W347" s="92"/>
      <c r="X347" s="93"/>
      <c r="AA347" s="94"/>
      <c r="AE347" s="36"/>
      <c r="AP347" s="86"/>
      <c r="AQ347" s="88"/>
      <c r="AR347" s="89"/>
      <c r="AS347" s="90"/>
      <c r="AV347" s="88"/>
      <c r="AW347" s="96"/>
      <c r="AX347" s="97"/>
      <c r="AY347" s="93"/>
      <c r="BB347" s="94"/>
    </row>
    <row r="348" spans="4:62">
      <c r="AP348" s="86"/>
      <c r="AQ348" s="88"/>
      <c r="AR348" s="89"/>
      <c r="AS348" s="90"/>
      <c r="AV348" s="88"/>
      <c r="AW348" s="96"/>
      <c r="AX348" s="97"/>
      <c r="AY348" s="93"/>
      <c r="BB348" s="94"/>
    </row>
    <row r="349" spans="4:62">
      <c r="AP349" s="86"/>
      <c r="AQ349" s="88"/>
      <c r="AR349" s="89"/>
      <c r="AS349" s="90"/>
      <c r="AV349" s="88"/>
      <c r="AW349" s="96"/>
      <c r="AX349" s="97"/>
      <c r="AY349" s="93"/>
      <c r="BB349" s="94"/>
    </row>
    <row r="350" spans="4:62">
      <c r="AP350" s="86"/>
      <c r="AQ350" s="88"/>
      <c r="AR350" s="89"/>
      <c r="AS350" s="90"/>
      <c r="AV350" s="88"/>
      <c r="AW350" s="96"/>
      <c r="AX350" s="97"/>
      <c r="AY350" s="93"/>
      <c r="BB350" s="94"/>
    </row>
    <row r="351" spans="4:62">
      <c r="AP351" s="86"/>
      <c r="AQ351" s="88"/>
      <c r="AR351" s="89"/>
      <c r="AS351" s="90"/>
      <c r="AV351" s="88"/>
      <c r="AW351" s="96"/>
      <c r="AX351" s="97"/>
      <c r="AY351" s="93"/>
      <c r="BB351" s="94"/>
    </row>
    <row r="352" spans="4:62">
      <c r="AP352" s="86"/>
      <c r="AQ352" s="88"/>
      <c r="AR352" s="89"/>
      <c r="AS352" s="90"/>
      <c r="AV352" s="88"/>
      <c r="AW352" s="96"/>
      <c r="AX352" s="97"/>
      <c r="AY352" s="93"/>
      <c r="BB352" s="94"/>
    </row>
    <row r="353" spans="42:62">
      <c r="AP353" s="86"/>
      <c r="AQ353" s="88"/>
      <c r="AR353" s="89"/>
      <c r="AS353" s="90"/>
      <c r="AV353" s="88"/>
      <c r="AW353" s="96"/>
      <c r="AX353" s="97"/>
      <c r="AY353" s="93"/>
      <c r="BB353" s="94"/>
    </row>
    <row r="354" spans="42:62">
      <c r="AP354" s="86"/>
      <c r="AQ354" s="88"/>
      <c r="AR354" s="89"/>
      <c r="AS354" s="90"/>
      <c r="AV354" s="88"/>
      <c r="AW354" s="96"/>
      <c r="AX354" s="97"/>
      <c r="AY354" s="93"/>
      <c r="BB354" s="94"/>
    </row>
    <row r="355" spans="42:62">
      <c r="AP355" s="86"/>
      <c r="AQ355" s="88"/>
      <c r="AR355" s="89"/>
      <c r="AS355" s="90"/>
      <c r="AV355" s="88"/>
      <c r="AW355" s="96"/>
      <c r="AX355" s="97"/>
      <c r="AY355" s="93"/>
      <c r="BB355" s="94"/>
    </row>
    <row r="356" spans="42:62">
      <c r="AP356" s="86"/>
      <c r="AQ356" s="88"/>
      <c r="AR356" s="89"/>
      <c r="AS356" s="90"/>
      <c r="AV356" s="88"/>
      <c r="AW356" s="96"/>
      <c r="AX356" s="97"/>
      <c r="AY356" s="93"/>
      <c r="BB356" s="94"/>
    </row>
    <row r="357" spans="42:62">
      <c r="AP357" s="86"/>
      <c r="AQ357" s="88"/>
      <c r="AR357" s="89"/>
      <c r="AS357" s="90"/>
      <c r="AV357" s="88"/>
      <c r="AW357" s="96"/>
      <c r="AX357" s="97"/>
      <c r="AY357" s="93"/>
      <c r="BB357" s="94"/>
      <c r="BJ357" s="36" t="s">
        <v>5837</v>
      </c>
    </row>
    <row r="358" spans="42:62">
      <c r="AP358" s="86"/>
      <c r="AQ358" s="88"/>
      <c r="AR358" s="89"/>
      <c r="AS358" s="90"/>
      <c r="AV358" s="88"/>
      <c r="AW358" s="96"/>
      <c r="AX358" s="97"/>
      <c r="AY358" s="93"/>
      <c r="BB358" s="94"/>
    </row>
    <row r="359" spans="42:62">
      <c r="AP359" s="86"/>
      <c r="AQ359" s="88"/>
      <c r="AR359" s="89"/>
      <c r="AS359" s="90"/>
      <c r="AV359" s="88"/>
      <c r="AW359" s="96"/>
      <c r="AX359" s="97"/>
      <c r="AY359" s="93"/>
      <c r="BB359" s="94"/>
    </row>
    <row r="360" spans="42:62">
      <c r="AP360" s="86"/>
      <c r="AQ360" s="88"/>
      <c r="AR360" s="89"/>
      <c r="AS360" s="90"/>
      <c r="AV360" s="88"/>
      <c r="AW360" s="96"/>
      <c r="AX360" s="97"/>
      <c r="AY360" s="93"/>
      <c r="BB360" s="94"/>
    </row>
    <row r="361" spans="42:62">
      <c r="AP361" s="86"/>
      <c r="AQ361" s="88"/>
      <c r="AR361" s="89"/>
      <c r="AS361" s="90"/>
      <c r="AV361" s="88"/>
      <c r="AW361" s="96"/>
      <c r="AX361" s="97"/>
      <c r="AY361" s="93"/>
      <c r="BB361" s="94"/>
    </row>
    <row r="362" spans="42:62">
      <c r="AP362" s="86"/>
      <c r="AQ362" s="88"/>
      <c r="AR362" s="89"/>
      <c r="AS362" s="90"/>
      <c r="AV362" s="88"/>
      <c r="AW362" s="96"/>
      <c r="AX362" s="97"/>
      <c r="AY362" s="93"/>
      <c r="BB362" s="94"/>
    </row>
    <row r="363" spans="42:62">
      <c r="AP363" s="86"/>
      <c r="AQ363" s="88"/>
      <c r="AR363" s="89"/>
      <c r="AS363" s="90"/>
      <c r="AV363" s="88"/>
      <c r="AW363" s="96"/>
      <c r="AX363" s="97"/>
      <c r="AY363" s="93"/>
      <c r="BB363" s="94"/>
    </row>
    <row r="364" spans="42:62">
      <c r="AP364" s="86"/>
      <c r="AQ364" s="88"/>
      <c r="AR364" s="89"/>
      <c r="AS364" s="90"/>
      <c r="AV364" s="88"/>
      <c r="AW364" s="96"/>
      <c r="AX364" s="97"/>
      <c r="AY364" s="93"/>
      <c r="BB364" s="94"/>
    </row>
    <row r="365" spans="42:62">
      <c r="AP365" s="86"/>
      <c r="AQ365" s="88"/>
      <c r="AR365" s="89"/>
      <c r="AS365" s="90"/>
      <c r="AV365" s="88"/>
      <c r="AW365" s="96"/>
      <c r="AX365" s="97"/>
      <c r="AY365" s="93"/>
      <c r="BB365" s="94"/>
    </row>
    <row r="366" spans="42:62">
      <c r="AP366" s="86"/>
      <c r="AQ366" s="88"/>
      <c r="AR366" s="89"/>
      <c r="AS366" s="90"/>
      <c r="AV366" s="88"/>
      <c r="AW366" s="96"/>
      <c r="AX366" s="97"/>
      <c r="AY366" s="93"/>
      <c r="BB366" s="94"/>
    </row>
    <row r="367" spans="42:62">
      <c r="AP367" s="86"/>
      <c r="AQ367" s="88"/>
      <c r="AR367" s="89"/>
      <c r="AS367" s="90"/>
      <c r="AV367" s="88"/>
      <c r="AW367" s="96"/>
      <c r="AX367" s="97"/>
      <c r="AY367" s="93"/>
      <c r="BB367" s="94"/>
    </row>
    <row r="368" spans="42:62">
      <c r="AP368" s="86"/>
      <c r="AQ368" s="88"/>
      <c r="AR368" s="89"/>
      <c r="AS368" s="90"/>
      <c r="AV368" s="88"/>
      <c r="AW368" s="96"/>
      <c r="AX368" s="97"/>
      <c r="AY368" s="93"/>
      <c r="BB368" s="94"/>
    </row>
    <row r="369" spans="2:54">
      <c r="AP369" s="86"/>
      <c r="AQ369" s="88"/>
      <c r="AR369" s="89"/>
      <c r="AS369" s="90"/>
      <c r="AV369" s="88"/>
      <c r="AW369" s="96"/>
      <c r="AX369" s="97"/>
      <c r="AY369" s="93"/>
      <c r="BB369" s="94"/>
    </row>
    <row r="370" spans="2:54">
      <c r="AP370" s="86"/>
      <c r="AQ370" s="88"/>
      <c r="AR370" s="89"/>
      <c r="AS370" s="90"/>
      <c r="AV370" s="88"/>
      <c r="AW370" s="96"/>
      <c r="AX370" s="97"/>
      <c r="AY370" s="93"/>
      <c r="BB370" s="94"/>
    </row>
    <row r="371" spans="2:54">
      <c r="AP371" s="86"/>
      <c r="AQ371" s="88"/>
      <c r="AR371" s="89"/>
      <c r="AS371" s="90"/>
      <c r="AV371" s="88"/>
      <c r="AW371" s="96"/>
      <c r="AX371" s="97"/>
      <c r="AY371" s="93"/>
      <c r="BB371" s="94"/>
    </row>
    <row r="372" spans="2:54">
      <c r="AP372" s="86"/>
      <c r="AQ372" s="88"/>
      <c r="AR372" s="89"/>
      <c r="AS372" s="90"/>
      <c r="AV372" s="88"/>
      <c r="AW372" s="96"/>
      <c r="AX372" s="97"/>
      <c r="AY372" s="93"/>
      <c r="BB372" s="94"/>
    </row>
    <row r="373" spans="2:54">
      <c r="AP373" s="86"/>
      <c r="AQ373" s="88"/>
      <c r="AR373" s="89"/>
      <c r="AS373" s="90"/>
      <c r="AV373" s="88"/>
      <c r="AW373" s="96"/>
      <c r="AX373" s="97"/>
      <c r="AY373" s="93"/>
      <c r="BB373" s="94"/>
    </row>
    <row r="374" spans="2:54">
      <c r="AP374" s="86"/>
      <c r="AQ374" s="88"/>
      <c r="AR374" s="89"/>
      <c r="AS374" s="90"/>
      <c r="AV374" s="88"/>
      <c r="AW374" s="96"/>
      <c r="AX374" s="97"/>
      <c r="AY374" s="93"/>
      <c r="BB374" s="94"/>
    </row>
    <row r="375" spans="2:54">
      <c r="AP375" s="86"/>
      <c r="AQ375" s="88"/>
      <c r="AR375" s="89"/>
      <c r="AS375" s="90"/>
      <c r="AV375" s="88"/>
      <c r="AW375" s="96"/>
      <c r="AX375" s="97"/>
      <c r="AY375" s="93"/>
      <c r="BB375" s="94"/>
    </row>
    <row r="376" spans="2:54">
      <c r="AP376" s="86"/>
      <c r="AQ376" s="88"/>
      <c r="AR376" s="89"/>
      <c r="AS376" s="90"/>
      <c r="AV376" s="88"/>
      <c r="AW376" s="96"/>
      <c r="AX376" s="97"/>
      <c r="AY376" s="93"/>
      <c r="BB376" s="94"/>
    </row>
    <row r="377" spans="2:54">
      <c r="AP377" s="86"/>
      <c r="AQ377" s="88"/>
      <c r="AR377" s="89"/>
      <c r="AS377" s="90"/>
      <c r="AV377" s="88"/>
      <c r="AW377" s="96"/>
      <c r="AX377" s="97"/>
      <c r="AY377" s="93"/>
      <c r="BB377" s="94"/>
    </row>
    <row r="378" spans="2:54">
      <c r="AP378" s="86"/>
      <c r="AQ378" s="88"/>
      <c r="AR378" s="89"/>
      <c r="AS378" s="90"/>
      <c r="AV378" s="88"/>
      <c r="AW378" s="96"/>
      <c r="AX378" s="97"/>
      <c r="AY378" s="93"/>
      <c r="BB378" s="94"/>
    </row>
    <row r="379" spans="2:54">
      <c r="AP379" s="86"/>
      <c r="AQ379" s="88"/>
      <c r="AR379" s="89"/>
      <c r="AS379" s="90"/>
      <c r="AV379" s="88"/>
      <c r="AW379" s="96"/>
      <c r="AX379" s="97"/>
      <c r="AY379" s="93"/>
      <c r="BB379" s="94"/>
    </row>
    <row r="380" spans="2:54">
      <c r="AP380" s="86"/>
      <c r="AQ380" s="88"/>
      <c r="AR380" s="89"/>
      <c r="AS380" s="90"/>
      <c r="AV380" s="88"/>
      <c r="AW380" s="96"/>
      <c r="AX380" s="97"/>
      <c r="AY380" s="93"/>
      <c r="BB380" s="94"/>
    </row>
    <row r="381" spans="2:54">
      <c r="AP381" s="86"/>
      <c r="AQ381" s="88"/>
      <c r="AR381" s="89"/>
      <c r="AS381" s="90"/>
      <c r="AV381" s="88"/>
      <c r="AW381" s="96"/>
      <c r="AX381" s="97"/>
      <c r="AY381" s="93"/>
      <c r="BB381" s="94"/>
    </row>
    <row r="382" spans="2:54">
      <c r="AP382" s="86"/>
      <c r="AQ382" s="88"/>
      <c r="AR382" s="89"/>
      <c r="AS382" s="90"/>
      <c r="AV382" s="88"/>
      <c r="AW382" s="96"/>
      <c r="AX382" s="97"/>
      <c r="AY382" s="93"/>
      <c r="BB382" s="94"/>
    </row>
    <row r="383" spans="2:54" ht="14.25">
      <c r="B383" s="41"/>
      <c r="C383" s="41"/>
      <c r="D383" s="44"/>
      <c r="E383" s="41"/>
      <c r="F383" s="41"/>
      <c r="N383" s="86"/>
      <c r="O383" s="88"/>
      <c r="P383" s="89"/>
      <c r="Q383" s="90"/>
      <c r="U383" s="88"/>
      <c r="V383" s="96"/>
      <c r="W383" s="97"/>
      <c r="X383" s="93"/>
      <c r="AA383" s="94"/>
      <c r="AB383" s="55"/>
      <c r="AE383" s="36"/>
      <c r="AP383" s="86"/>
      <c r="AQ383" s="88"/>
      <c r="AR383" s="89"/>
      <c r="AS383" s="90"/>
      <c r="AV383" s="88"/>
      <c r="AW383" s="96"/>
      <c r="AX383" s="97"/>
      <c r="AY383" s="93"/>
      <c r="BB383" s="94"/>
    </row>
    <row r="384" spans="2:54" ht="14.25">
      <c r="N384" s="86"/>
      <c r="O384" s="88"/>
      <c r="P384" s="89"/>
      <c r="Q384" s="90"/>
      <c r="U384" s="88"/>
      <c r="V384" s="96"/>
      <c r="W384" s="97"/>
      <c r="X384" s="93"/>
      <c r="AA384" s="94"/>
      <c r="AB384" s="55"/>
      <c r="AE384" s="36"/>
      <c r="AP384" s="86"/>
      <c r="AQ384" s="88"/>
      <c r="AR384" s="89"/>
      <c r="AS384" s="90"/>
      <c r="AV384" s="88"/>
      <c r="AW384" s="96"/>
      <c r="AX384" s="97"/>
      <c r="AY384" s="93"/>
      <c r="BB384" s="94"/>
    </row>
    <row r="385" spans="1:68" ht="14.25">
      <c r="N385" s="86"/>
      <c r="O385" s="88"/>
      <c r="P385" s="89"/>
      <c r="Q385" s="90"/>
      <c r="U385" s="88"/>
      <c r="V385" s="96"/>
      <c r="W385" s="97"/>
      <c r="X385" s="93"/>
      <c r="AA385" s="94"/>
      <c r="AB385" s="55"/>
      <c r="AE385" s="36"/>
      <c r="AP385" s="86"/>
      <c r="AQ385" s="88"/>
      <c r="AR385" s="89"/>
      <c r="AS385" s="90"/>
      <c r="AV385" s="88"/>
      <c r="AW385" s="96"/>
      <c r="AX385" s="97"/>
      <c r="AY385" s="93"/>
      <c r="BB385" s="94"/>
    </row>
    <row r="386" spans="1:68" ht="14.25">
      <c r="B386" s="43"/>
      <c r="N386" s="86"/>
      <c r="O386" s="88"/>
      <c r="P386" s="89"/>
      <c r="Q386" s="90"/>
      <c r="U386" s="88"/>
      <c r="V386" s="96"/>
      <c r="W386" s="97"/>
      <c r="X386" s="93"/>
      <c r="AA386" s="94"/>
      <c r="AB386" s="55"/>
      <c r="AE386" s="36"/>
      <c r="AP386" s="86"/>
      <c r="AQ386" s="88"/>
      <c r="AR386" s="89"/>
      <c r="AS386" s="90"/>
      <c r="AV386" s="88"/>
      <c r="AW386" s="96"/>
      <c r="AX386" s="97"/>
      <c r="AY386" s="93"/>
      <c r="BB386" s="94"/>
    </row>
    <row r="387" spans="1:68" s="45" customFormat="1">
      <c r="A387" s="36"/>
      <c r="G387" s="36"/>
      <c r="N387" s="98"/>
      <c r="O387" s="99"/>
      <c r="P387" s="100"/>
      <c r="Q387" s="101"/>
      <c r="R387" s="102"/>
      <c r="S387" s="126"/>
      <c r="T387" s="103"/>
      <c r="U387" s="99"/>
      <c r="V387" s="104"/>
      <c r="W387" s="105"/>
      <c r="X387" s="106"/>
      <c r="Y387" s="102"/>
      <c r="Z387" s="103"/>
      <c r="AA387" s="107"/>
      <c r="AI387" s="36"/>
      <c r="AP387" s="98"/>
      <c r="AQ387" s="99"/>
      <c r="AR387" s="100"/>
      <c r="AS387" s="101"/>
      <c r="AT387" s="102"/>
      <c r="AU387" s="103"/>
      <c r="AV387" s="99"/>
      <c r="AW387" s="104"/>
      <c r="AX387" s="105"/>
      <c r="AY387" s="106"/>
      <c r="AZ387" s="102"/>
      <c r="BA387" s="103"/>
      <c r="BB387" s="107"/>
      <c r="BF387" s="38"/>
    </row>
    <row r="388" spans="1:68" ht="15">
      <c r="A388" s="54"/>
      <c r="B388" s="54"/>
      <c r="C388" s="54"/>
      <c r="D388" s="66"/>
      <c r="E388" s="67"/>
      <c r="F388" s="67"/>
      <c r="G388" s="67"/>
      <c r="H388" s="46"/>
      <c r="I388" s="46"/>
      <c r="J388" s="46"/>
      <c r="K388" s="46"/>
      <c r="L388" s="46"/>
      <c r="M388" s="46"/>
      <c r="N388" s="117"/>
      <c r="O388" s="118"/>
      <c r="P388" s="119"/>
      <c r="Q388" s="120"/>
      <c r="R388" s="80"/>
      <c r="U388" s="118"/>
      <c r="V388" s="121"/>
      <c r="W388" s="122"/>
      <c r="X388" s="123"/>
      <c r="Y388" s="80"/>
      <c r="AA388" s="124"/>
      <c r="AB388" s="65"/>
      <c r="AC388" s="46"/>
      <c r="AD388" s="46"/>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15">
      <c r="D389" s="68"/>
      <c r="E389" s="46"/>
      <c r="F389" s="46"/>
      <c r="G389" s="46"/>
      <c r="H389" s="46"/>
      <c r="I389" s="46"/>
      <c r="J389" s="46"/>
      <c r="K389" s="46"/>
      <c r="L389" s="46"/>
      <c r="M389" s="46"/>
      <c r="N389" s="117"/>
      <c r="O389" s="118"/>
      <c r="P389" s="119"/>
      <c r="Q389" s="120"/>
      <c r="R389" s="80"/>
      <c r="U389" s="118"/>
      <c r="V389" s="121"/>
      <c r="W389" s="122"/>
      <c r="X389" s="123"/>
      <c r="Y389" s="80"/>
      <c r="AA389" s="124"/>
      <c r="AB389" s="65"/>
      <c r="AC389" s="46"/>
      <c r="AD389" s="46"/>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15">
      <c r="D390" s="68"/>
      <c r="E390" s="46"/>
      <c r="F390" s="46"/>
      <c r="G390" s="46"/>
      <c r="H390" s="46"/>
      <c r="I390" s="46"/>
      <c r="J390" s="46"/>
      <c r="K390" s="46"/>
      <c r="L390" s="46"/>
      <c r="M390" s="46"/>
      <c r="N390" s="117"/>
      <c r="O390" s="118"/>
      <c r="P390" s="119"/>
      <c r="Q390" s="120"/>
      <c r="R390" s="80"/>
      <c r="U390" s="118"/>
      <c r="V390" s="121"/>
      <c r="W390" s="122"/>
      <c r="X390" s="123"/>
      <c r="Y390" s="80"/>
      <c r="AA390" s="124"/>
      <c r="AB390" s="65"/>
      <c r="AC390" s="46"/>
      <c r="AD390" s="46"/>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15">
      <c r="D391" s="68"/>
      <c r="E391" s="46"/>
      <c r="F391" s="46"/>
      <c r="G391" s="46"/>
      <c r="H391" s="46"/>
      <c r="I391" s="46"/>
      <c r="J391" s="46"/>
      <c r="K391" s="46"/>
      <c r="L391" s="46"/>
      <c r="M391" s="46"/>
      <c r="N391" s="117"/>
      <c r="O391" s="118"/>
      <c r="P391" s="119"/>
      <c r="Q391" s="120"/>
      <c r="R391" s="80"/>
      <c r="U391" s="118"/>
      <c r="V391" s="121"/>
      <c r="W391" s="122"/>
      <c r="X391" s="123"/>
      <c r="Y391" s="80"/>
      <c r="AA391" s="124"/>
      <c r="AB391" s="65"/>
      <c r="AC391" s="46"/>
      <c r="AD391" s="46"/>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15">
      <c r="D392" s="68"/>
      <c r="E392" s="46"/>
      <c r="F392" s="46"/>
      <c r="G392" s="46"/>
      <c r="H392" s="46"/>
      <c r="I392" s="46"/>
      <c r="J392" s="46"/>
      <c r="K392" s="46"/>
      <c r="L392" s="46"/>
      <c r="M392" s="46"/>
      <c r="N392" s="117"/>
      <c r="O392" s="118"/>
      <c r="P392" s="119"/>
      <c r="Q392" s="120"/>
      <c r="R392" s="80"/>
      <c r="U392" s="118"/>
      <c r="V392" s="121"/>
      <c r="W392" s="122"/>
      <c r="X392" s="123"/>
      <c r="Y392" s="80"/>
      <c r="AA392" s="124"/>
      <c r="AB392" s="65"/>
      <c r="AC392" s="46"/>
      <c r="AD392" s="46"/>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15">
      <c r="D393" s="68"/>
      <c r="E393" s="46"/>
      <c r="F393" s="46"/>
      <c r="G393" s="46"/>
      <c r="H393" s="46"/>
      <c r="I393" s="46"/>
      <c r="J393" s="46"/>
      <c r="K393" s="46"/>
      <c r="L393" s="46"/>
      <c r="M393" s="46"/>
      <c r="N393" s="117"/>
      <c r="O393" s="118"/>
      <c r="P393" s="119"/>
      <c r="Q393" s="120"/>
      <c r="R393" s="80"/>
      <c r="U393" s="118"/>
      <c r="V393" s="121"/>
      <c r="W393" s="122"/>
      <c r="X393" s="123"/>
      <c r="Y393" s="80"/>
      <c r="AA393" s="124"/>
      <c r="AB393" s="65"/>
      <c r="AC393" s="46"/>
      <c r="AD393" s="46"/>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15">
      <c r="D394" s="68"/>
      <c r="E394" s="46"/>
      <c r="F394" s="46"/>
      <c r="G394" s="46"/>
      <c r="H394" s="46"/>
      <c r="I394" s="46"/>
      <c r="J394" s="46"/>
      <c r="K394" s="46"/>
      <c r="L394" s="46"/>
      <c r="M394" s="46"/>
      <c r="N394" s="117"/>
      <c r="O394" s="118"/>
      <c r="P394" s="119"/>
      <c r="Q394" s="120"/>
      <c r="R394" s="80"/>
      <c r="U394" s="118"/>
      <c r="V394" s="121"/>
      <c r="W394" s="122"/>
      <c r="X394" s="123"/>
      <c r="Y394" s="80"/>
      <c r="AA394" s="124"/>
      <c r="AB394" s="65"/>
      <c r="AC394" s="46"/>
      <c r="AD394" s="46"/>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15">
      <c r="D395" s="68"/>
      <c r="E395" s="46"/>
      <c r="F395" s="46"/>
      <c r="G395" s="46"/>
      <c r="H395" s="46"/>
      <c r="I395" s="46"/>
      <c r="J395" s="46"/>
      <c r="K395" s="46"/>
      <c r="L395" s="46"/>
      <c r="M395" s="46"/>
      <c r="N395" s="117"/>
      <c r="O395" s="118"/>
      <c r="P395" s="119"/>
      <c r="Q395" s="120"/>
      <c r="R395" s="80"/>
      <c r="U395" s="118"/>
      <c r="V395" s="121"/>
      <c r="W395" s="122"/>
      <c r="X395" s="123"/>
      <c r="Y395" s="80"/>
      <c r="AA395" s="124"/>
      <c r="AB395" s="65"/>
      <c r="AC395" s="46"/>
      <c r="AD395" s="46"/>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15">
      <c r="D396" s="68"/>
      <c r="E396" s="46"/>
      <c r="F396" s="46"/>
      <c r="G396" s="46"/>
      <c r="H396" s="46"/>
      <c r="I396" s="46"/>
      <c r="J396" s="46"/>
      <c r="K396" s="46"/>
      <c r="L396" s="46"/>
      <c r="M396" s="46"/>
      <c r="N396" s="117"/>
      <c r="O396" s="118"/>
      <c r="P396" s="119"/>
      <c r="Q396" s="120"/>
      <c r="R396" s="80"/>
      <c r="U396" s="118"/>
      <c r="V396" s="121"/>
      <c r="W396" s="122"/>
      <c r="X396" s="123"/>
      <c r="Y396" s="80"/>
      <c r="AA396" s="124"/>
      <c r="AB396" s="65"/>
      <c r="AC396" s="46"/>
      <c r="AD396" s="46"/>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15">
      <c r="D397" s="68"/>
      <c r="E397" s="46"/>
      <c r="F397" s="46"/>
      <c r="G397" s="46"/>
      <c r="H397" s="46"/>
      <c r="I397" s="46"/>
      <c r="J397" s="46"/>
      <c r="K397" s="46"/>
      <c r="L397" s="46"/>
      <c r="M397" s="46"/>
      <c r="N397" s="117"/>
      <c r="O397" s="118"/>
      <c r="P397" s="119"/>
      <c r="Q397" s="120"/>
      <c r="R397" s="80"/>
      <c r="U397" s="118"/>
      <c r="V397" s="121"/>
      <c r="W397" s="122"/>
      <c r="X397" s="123"/>
      <c r="Y397" s="80"/>
      <c r="AA397" s="124"/>
      <c r="AB397" s="65"/>
      <c r="AC397" s="46"/>
      <c r="AD397" s="46"/>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15">
      <c r="D398" s="68"/>
      <c r="E398" s="46"/>
      <c r="F398" s="46"/>
      <c r="G398" s="46"/>
      <c r="H398" s="46"/>
      <c r="I398" s="46"/>
      <c r="J398" s="46"/>
      <c r="K398" s="46"/>
      <c r="L398" s="46"/>
      <c r="M398" s="46"/>
      <c r="N398" s="117"/>
      <c r="O398" s="118"/>
      <c r="P398" s="119"/>
      <c r="Q398" s="120"/>
      <c r="R398" s="80"/>
      <c r="U398" s="118"/>
      <c r="V398" s="121"/>
      <c r="W398" s="122"/>
      <c r="X398" s="123"/>
      <c r="Y398" s="80"/>
      <c r="AA398" s="124"/>
      <c r="AB398" s="65"/>
      <c r="AC398" s="46"/>
      <c r="AD398" s="46"/>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15">
      <c r="D399" s="68"/>
      <c r="E399" s="46"/>
      <c r="F399" s="46"/>
      <c r="G399" s="46"/>
      <c r="H399" s="46"/>
      <c r="I399" s="46"/>
      <c r="J399" s="46"/>
      <c r="K399" s="46"/>
      <c r="L399" s="46"/>
      <c r="M399" s="46"/>
      <c r="N399" s="117"/>
      <c r="O399" s="118"/>
      <c r="P399" s="119"/>
      <c r="Q399" s="120"/>
      <c r="R399" s="80"/>
      <c r="U399" s="118"/>
      <c r="V399" s="121"/>
      <c r="W399" s="122"/>
      <c r="X399" s="123"/>
      <c r="Y399" s="80"/>
      <c r="AA399" s="124"/>
      <c r="AB399" s="65"/>
      <c r="AC399" s="46"/>
      <c r="AD399" s="46"/>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15">
      <c r="D400" s="68"/>
      <c r="E400" s="46"/>
      <c r="F400" s="46"/>
      <c r="G400" s="46"/>
      <c r="H400" s="46"/>
      <c r="I400" s="46"/>
      <c r="J400" s="46"/>
      <c r="K400" s="46"/>
      <c r="L400" s="46"/>
      <c r="M400" s="46"/>
      <c r="N400" s="117"/>
      <c r="O400" s="118"/>
      <c r="P400" s="119"/>
      <c r="Q400" s="120"/>
      <c r="R400" s="80"/>
      <c r="U400" s="118"/>
      <c r="V400" s="121"/>
      <c r="W400" s="122"/>
      <c r="X400" s="123"/>
      <c r="Y400" s="80"/>
      <c r="AA400" s="124"/>
      <c r="AB400" s="65"/>
      <c r="AC400" s="46"/>
      <c r="AD400" s="46"/>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4:68" ht="15">
      <c r="D401" s="68"/>
      <c r="E401" s="46"/>
      <c r="F401" s="46"/>
      <c r="G401" s="46"/>
      <c r="H401" s="46"/>
      <c r="I401" s="46"/>
      <c r="J401" s="46"/>
      <c r="K401" s="46"/>
      <c r="L401" s="46"/>
      <c r="N401" s="117"/>
      <c r="O401" s="118"/>
      <c r="P401" s="119"/>
      <c r="Q401" s="120"/>
      <c r="R401" s="80"/>
      <c r="U401" s="118"/>
      <c r="V401" s="121"/>
      <c r="W401" s="122"/>
      <c r="X401" s="123"/>
      <c r="Y401" s="80"/>
      <c r="AA401" s="124"/>
      <c r="AB401" s="65"/>
      <c r="AC401" s="46"/>
      <c r="AD401" s="46"/>
      <c r="AH401" s="46"/>
      <c r="AI401" s="46"/>
      <c r="AJ401" s="46"/>
      <c r="AK401" s="46"/>
      <c r="AL401" s="46"/>
      <c r="AM401" s="46"/>
      <c r="AN401" s="46"/>
      <c r="AO401" s="46"/>
      <c r="AP401" s="125"/>
      <c r="AQ401" s="118"/>
      <c r="AR401" s="119"/>
      <c r="AS401" s="120"/>
      <c r="AT401" s="80"/>
      <c r="AV401" s="118"/>
      <c r="AW401" s="121"/>
      <c r="AX401" s="122"/>
      <c r="AY401" s="123"/>
      <c r="AZ401" s="80"/>
      <c r="BB401" s="124"/>
      <c r="BC401" s="46"/>
      <c r="BD401" s="46"/>
      <c r="BE401" s="46"/>
      <c r="BI401" s="46"/>
      <c r="BJ401" s="46"/>
      <c r="BK401" s="46"/>
      <c r="BL401" s="46"/>
      <c r="BM401" s="46"/>
      <c r="BN401" s="46"/>
      <c r="BO401" s="46"/>
      <c r="BP401" s="46"/>
    </row>
    <row r="402" spans="4:68" ht="15">
      <c r="D402" s="68"/>
      <c r="E402" s="46"/>
      <c r="F402" s="46"/>
      <c r="G402" s="46"/>
      <c r="H402" s="46"/>
      <c r="I402" s="46"/>
      <c r="J402" s="46"/>
      <c r="K402" s="46"/>
      <c r="L402" s="46"/>
      <c r="M402" s="46"/>
      <c r="N402" s="117"/>
      <c r="O402" s="118"/>
      <c r="P402" s="119"/>
      <c r="Q402" s="120"/>
      <c r="R402" s="80"/>
      <c r="U402" s="118"/>
      <c r="V402" s="121"/>
      <c r="W402" s="122"/>
      <c r="X402" s="123"/>
      <c r="Y402" s="80"/>
      <c r="AA402" s="124"/>
      <c r="AB402" s="65"/>
      <c r="AC402" s="46"/>
      <c r="AD402" s="46"/>
      <c r="AH402" s="46"/>
      <c r="AI402" s="46"/>
      <c r="AJ402" s="46"/>
      <c r="AK402" s="46"/>
      <c r="AL402" s="46"/>
      <c r="AM402" s="46"/>
      <c r="AN402" s="46"/>
      <c r="AO402" s="46"/>
      <c r="AP402" s="125"/>
      <c r="AQ402" s="118"/>
      <c r="AR402" s="119"/>
      <c r="AS402" s="120"/>
      <c r="AT402" s="80"/>
      <c r="AV402" s="118"/>
      <c r="AW402" s="121"/>
      <c r="AX402" s="122"/>
      <c r="AY402" s="123"/>
      <c r="AZ402" s="80"/>
      <c r="BB402" s="124"/>
      <c r="BC402" s="46"/>
      <c r="BD402" s="46"/>
      <c r="BE402" s="46"/>
      <c r="BI402" s="46"/>
      <c r="BJ402" s="46"/>
      <c r="BK402" s="46"/>
      <c r="BL402" s="46"/>
      <c r="BM402" s="46"/>
      <c r="BN402" s="46"/>
      <c r="BO402" s="46"/>
      <c r="BP402" s="46"/>
    </row>
    <row r="403" spans="4:68" ht="15">
      <c r="D403" s="68"/>
      <c r="E403" s="46"/>
      <c r="F403" s="46"/>
      <c r="G403" s="46"/>
      <c r="H403" s="46"/>
      <c r="I403" s="46"/>
      <c r="J403" s="46"/>
      <c r="K403" s="46"/>
      <c r="L403" s="46"/>
      <c r="M403" s="46"/>
      <c r="N403" s="117"/>
      <c r="O403" s="118"/>
      <c r="P403" s="119"/>
      <c r="Q403" s="120"/>
      <c r="R403" s="80"/>
      <c r="U403" s="118"/>
      <c r="V403" s="121"/>
      <c r="W403" s="122"/>
      <c r="X403" s="123"/>
      <c r="Y403" s="80"/>
      <c r="AA403" s="124"/>
      <c r="AB403" s="65"/>
      <c r="AC403" s="46"/>
      <c r="AD403" s="46"/>
      <c r="AH403" s="46"/>
      <c r="AI403" s="46"/>
      <c r="AJ403" s="46"/>
      <c r="AK403" s="46"/>
      <c r="AL403" s="46"/>
      <c r="AM403" s="46"/>
      <c r="AN403" s="46"/>
      <c r="AO403" s="46"/>
      <c r="AP403" s="125"/>
      <c r="AQ403" s="118"/>
      <c r="AR403" s="119"/>
      <c r="AS403" s="120"/>
      <c r="AT403" s="80"/>
      <c r="AV403" s="118"/>
      <c r="AW403" s="121"/>
      <c r="AX403" s="122"/>
      <c r="AY403" s="123"/>
      <c r="AZ403" s="80"/>
      <c r="BB403" s="124"/>
      <c r="BC403" s="46"/>
      <c r="BD403" s="46"/>
      <c r="BE403" s="46"/>
      <c r="BI403" s="46"/>
      <c r="BJ403" s="46"/>
      <c r="BK403" s="46"/>
      <c r="BL403" s="46"/>
      <c r="BM403" s="46"/>
      <c r="BN403" s="46"/>
      <c r="BO403" s="46"/>
      <c r="BP403" s="46"/>
    </row>
    <row r="404" spans="4:68" ht="15">
      <c r="D404" s="68"/>
      <c r="E404" s="46"/>
      <c r="F404" s="46"/>
      <c r="G404" s="46"/>
      <c r="H404" s="46"/>
      <c r="I404" s="46"/>
      <c r="J404" s="46"/>
      <c r="K404" s="46"/>
      <c r="L404" s="46"/>
      <c r="M404" s="46"/>
      <c r="N404" s="117"/>
      <c r="O404" s="118"/>
      <c r="P404" s="119"/>
      <c r="Q404" s="120"/>
      <c r="R404" s="80"/>
      <c r="U404" s="118"/>
      <c r="V404" s="121"/>
      <c r="W404" s="122"/>
      <c r="X404" s="123"/>
      <c r="Y404" s="80"/>
      <c r="AA404" s="124"/>
      <c r="AB404" s="65"/>
      <c r="AC404" s="46"/>
      <c r="AD404" s="46"/>
      <c r="AH404" s="46"/>
      <c r="AI404" s="46"/>
      <c r="AJ404" s="46"/>
      <c r="AK404" s="46"/>
      <c r="AL404" s="46"/>
      <c r="AM404" s="46"/>
      <c r="AN404" s="46"/>
      <c r="AO404" s="46"/>
      <c r="AP404" s="125"/>
      <c r="AQ404" s="118"/>
      <c r="AR404" s="119"/>
      <c r="AS404" s="120"/>
      <c r="AT404" s="80"/>
      <c r="AV404" s="118"/>
      <c r="AW404" s="121"/>
      <c r="AX404" s="122"/>
      <c r="AY404" s="123"/>
      <c r="AZ404" s="80"/>
      <c r="BB404" s="124"/>
      <c r="BC404" s="46"/>
      <c r="BD404" s="46"/>
      <c r="BE404" s="46"/>
      <c r="BI404" s="46"/>
      <c r="BJ404" s="46"/>
      <c r="BK404" s="46"/>
      <c r="BL404" s="46"/>
      <c r="BM404" s="46"/>
      <c r="BN404" s="46"/>
      <c r="BO404" s="46"/>
      <c r="BP404" s="46"/>
    </row>
    <row r="405" spans="4:68" ht="15">
      <c r="D405" s="68"/>
      <c r="E405" s="46"/>
      <c r="F405" s="46"/>
      <c r="G405" s="46"/>
      <c r="H405" s="46"/>
      <c r="I405" s="46"/>
      <c r="J405" s="46"/>
      <c r="K405" s="46"/>
      <c r="L405" s="46"/>
      <c r="M405" s="46"/>
      <c r="N405" s="117"/>
      <c r="O405" s="118"/>
      <c r="P405" s="119"/>
      <c r="Q405" s="120"/>
      <c r="R405" s="80"/>
      <c r="U405" s="118"/>
      <c r="V405" s="121"/>
      <c r="W405" s="122"/>
      <c r="X405" s="123"/>
      <c r="Y405" s="80"/>
      <c r="AA405" s="124"/>
      <c r="AB405" s="65"/>
      <c r="AC405" s="46"/>
      <c r="AD405" s="46"/>
      <c r="AH405" s="46"/>
      <c r="AI405" s="46"/>
      <c r="AJ405" s="46"/>
      <c r="AK405" s="46"/>
      <c r="AL405" s="46"/>
      <c r="AM405" s="46"/>
      <c r="AN405" s="46"/>
      <c r="AO405" s="46"/>
      <c r="AP405" s="125"/>
      <c r="AQ405" s="118"/>
      <c r="AR405" s="119"/>
      <c r="AS405" s="120"/>
      <c r="AT405" s="80"/>
      <c r="AV405" s="118"/>
      <c r="AW405" s="121"/>
      <c r="AX405" s="122"/>
      <c r="AY405" s="123"/>
      <c r="AZ405" s="80"/>
      <c r="BB405" s="124"/>
      <c r="BC405" s="46"/>
      <c r="BD405" s="46"/>
      <c r="BE405" s="46"/>
      <c r="BI405" s="46"/>
      <c r="BJ405" s="46"/>
      <c r="BK405" s="46"/>
      <c r="BL405" s="46"/>
      <c r="BM405" s="46"/>
      <c r="BN405" s="46"/>
      <c r="BO405" s="46"/>
      <c r="BP405" s="46"/>
    </row>
    <row r="406" spans="4:68" ht="15">
      <c r="D406" s="68"/>
      <c r="E406" s="46"/>
      <c r="F406" s="46"/>
      <c r="G406" s="46"/>
      <c r="H406" s="46"/>
      <c r="I406" s="46"/>
      <c r="J406" s="46"/>
      <c r="K406" s="46"/>
      <c r="L406" s="46"/>
      <c r="M406" s="46"/>
      <c r="N406" s="117"/>
      <c r="O406" s="118"/>
      <c r="P406" s="119"/>
      <c r="Q406" s="120"/>
      <c r="R406" s="80"/>
      <c r="U406" s="118"/>
      <c r="V406" s="121"/>
      <c r="W406" s="122"/>
      <c r="X406" s="123"/>
      <c r="Y406" s="80"/>
      <c r="AA406" s="124"/>
      <c r="AB406" s="65"/>
      <c r="AC406" s="46"/>
      <c r="AD406" s="46"/>
      <c r="AH406" s="46"/>
      <c r="AI406" s="46"/>
      <c r="AJ406" s="46"/>
      <c r="AK406" s="46"/>
      <c r="AL406" s="46"/>
      <c r="AM406" s="46"/>
      <c r="AN406" s="46"/>
      <c r="AO406" s="46"/>
      <c r="AP406" s="125"/>
      <c r="AQ406" s="118"/>
      <c r="AR406" s="119"/>
      <c r="AS406" s="120"/>
      <c r="AT406" s="80"/>
      <c r="AV406" s="118"/>
      <c r="AW406" s="121"/>
      <c r="AX406" s="122"/>
      <c r="AY406" s="123"/>
      <c r="AZ406" s="80"/>
      <c r="BB406" s="124"/>
      <c r="BC406" s="46"/>
      <c r="BD406" s="46"/>
      <c r="BE406" s="46"/>
      <c r="BI406" s="46"/>
      <c r="BJ406" s="46"/>
      <c r="BK406" s="46"/>
      <c r="BL406" s="46"/>
      <c r="BM406" s="46"/>
      <c r="BN406" s="46"/>
      <c r="BO406" s="46"/>
      <c r="BP406" s="46"/>
    </row>
    <row r="407" spans="4:68" ht="15">
      <c r="D407" s="68"/>
      <c r="E407" s="46"/>
      <c r="F407" s="46"/>
      <c r="G407" s="46"/>
      <c r="H407" s="46"/>
      <c r="I407" s="46"/>
      <c r="J407" s="46"/>
      <c r="K407" s="46"/>
      <c r="L407" s="46"/>
      <c r="M407" s="46"/>
      <c r="N407" s="117"/>
      <c r="O407" s="118"/>
      <c r="P407" s="119"/>
      <c r="Q407" s="120"/>
      <c r="R407" s="80"/>
      <c r="U407" s="118"/>
      <c r="V407" s="121"/>
      <c r="W407" s="122"/>
      <c r="X407" s="123"/>
      <c r="Y407" s="80"/>
      <c r="AA407" s="124"/>
      <c r="AB407" s="65"/>
      <c r="AC407" s="46"/>
      <c r="AD407" s="46"/>
      <c r="AH407" s="46"/>
      <c r="AI407" s="46"/>
      <c r="AJ407" s="46"/>
      <c r="AK407" s="46"/>
      <c r="AL407" s="46"/>
      <c r="AM407" s="46"/>
      <c r="AN407" s="46"/>
      <c r="AO407" s="46"/>
      <c r="AP407" s="125"/>
      <c r="AQ407" s="118"/>
      <c r="AR407" s="119"/>
      <c r="AS407" s="120"/>
      <c r="AT407" s="80"/>
      <c r="AV407" s="118"/>
      <c r="AW407" s="121"/>
      <c r="AX407" s="122"/>
      <c r="AY407" s="123"/>
      <c r="AZ407" s="80"/>
      <c r="BB407" s="124"/>
      <c r="BC407" s="46"/>
      <c r="BD407" s="46"/>
      <c r="BE407" s="46"/>
      <c r="BI407" s="46"/>
      <c r="BJ407" s="46"/>
      <c r="BK407" s="46"/>
      <c r="BL407" s="46"/>
      <c r="BM407" s="46"/>
      <c r="BN407" s="46"/>
      <c r="BO407" s="46"/>
      <c r="BP407" s="46"/>
    </row>
    <row r="408" spans="4:68" ht="15">
      <c r="D408" s="68"/>
      <c r="E408" s="46"/>
      <c r="F408" s="46"/>
      <c r="G408" s="46"/>
      <c r="H408" s="46"/>
      <c r="I408" s="46"/>
      <c r="J408" s="46"/>
      <c r="K408" s="46"/>
      <c r="L408" s="46"/>
      <c r="M408" s="46"/>
      <c r="N408" s="117"/>
      <c r="O408" s="118"/>
      <c r="P408" s="119"/>
      <c r="Q408" s="120"/>
      <c r="R408" s="80"/>
      <c r="U408" s="118"/>
      <c r="V408" s="121"/>
      <c r="W408" s="122"/>
      <c r="X408" s="123"/>
      <c r="Y408" s="80"/>
      <c r="AA408" s="124"/>
      <c r="AB408" s="65"/>
      <c r="AC408" s="46"/>
      <c r="AD408" s="46"/>
      <c r="AH408" s="46"/>
      <c r="AI408" s="46"/>
      <c r="AJ408" s="46"/>
      <c r="AK408" s="46"/>
      <c r="AL408" s="46"/>
      <c r="AM408" s="46"/>
      <c r="AN408" s="46"/>
      <c r="AO408" s="46"/>
      <c r="AP408" s="125"/>
      <c r="AQ408" s="118"/>
      <c r="AR408" s="119"/>
      <c r="AS408" s="120"/>
      <c r="AT408" s="80"/>
      <c r="AV408" s="118"/>
      <c r="AW408" s="121"/>
      <c r="AX408" s="122"/>
      <c r="AY408" s="123"/>
      <c r="AZ408" s="80"/>
      <c r="BB408" s="124"/>
      <c r="BC408" s="46"/>
      <c r="BD408" s="46"/>
      <c r="BE408" s="46"/>
      <c r="BI408" s="46"/>
      <c r="BJ408" s="46"/>
      <c r="BK408" s="46"/>
      <c r="BL408" s="46"/>
      <c r="BM408" s="46"/>
      <c r="BN408" s="46"/>
      <c r="BO408" s="46"/>
      <c r="BP408" s="46"/>
    </row>
    <row r="409" spans="4:68" ht="15">
      <c r="D409" s="68"/>
      <c r="E409" s="46"/>
      <c r="F409" s="46"/>
      <c r="G409" s="46"/>
      <c r="H409" s="46"/>
      <c r="I409" s="46"/>
      <c r="J409" s="46"/>
      <c r="K409" s="46"/>
      <c r="L409" s="46"/>
      <c r="M409" s="46"/>
      <c r="N409" s="117"/>
      <c r="O409" s="118"/>
      <c r="P409" s="119"/>
      <c r="Q409" s="120"/>
      <c r="R409" s="80"/>
      <c r="U409" s="118"/>
      <c r="V409" s="121"/>
      <c r="W409" s="122"/>
      <c r="X409" s="123"/>
      <c r="Y409" s="80"/>
      <c r="AA409" s="124"/>
      <c r="AB409" s="65"/>
      <c r="AC409" s="46"/>
      <c r="AD409" s="46"/>
      <c r="AH409" s="46"/>
      <c r="AI409" s="46"/>
      <c r="AJ409" s="46"/>
      <c r="AK409" s="46"/>
      <c r="AL409" s="46"/>
      <c r="AM409" s="46"/>
      <c r="AN409" s="46"/>
      <c r="AO409" s="46"/>
      <c r="AP409" s="125"/>
      <c r="AQ409" s="118"/>
      <c r="AR409" s="119"/>
      <c r="AS409" s="120"/>
      <c r="AT409" s="80"/>
      <c r="AV409" s="118"/>
      <c r="AW409" s="121"/>
      <c r="AX409" s="122"/>
      <c r="AY409" s="123"/>
      <c r="AZ409" s="80"/>
      <c r="BB409" s="124"/>
      <c r="BC409" s="46"/>
      <c r="BD409" s="46"/>
      <c r="BE409" s="46"/>
      <c r="BI409" s="46"/>
      <c r="BJ409" s="46"/>
      <c r="BK409" s="46"/>
      <c r="BL409" s="46"/>
      <c r="BM409" s="46"/>
      <c r="BN409" s="46"/>
      <c r="BO409" s="46"/>
      <c r="BP409" s="46"/>
    </row>
    <row r="410" spans="4:68" ht="15">
      <c r="D410" s="68"/>
      <c r="E410" s="46"/>
      <c r="F410" s="46"/>
      <c r="G410" s="46"/>
      <c r="H410" s="46"/>
      <c r="I410" s="46"/>
      <c r="J410" s="46"/>
      <c r="K410" s="46"/>
      <c r="L410" s="46"/>
      <c r="M410" s="46"/>
      <c r="N410" s="117"/>
      <c r="O410" s="118"/>
      <c r="P410" s="119"/>
      <c r="Q410" s="120"/>
      <c r="R410" s="80"/>
      <c r="U410" s="118"/>
      <c r="V410" s="121"/>
      <c r="W410" s="122"/>
      <c r="X410" s="123"/>
      <c r="Y410" s="80"/>
      <c r="AA410" s="124"/>
      <c r="AB410" s="65"/>
      <c r="AC410" s="46"/>
      <c r="AD410" s="46"/>
      <c r="AH410" s="46"/>
      <c r="AI410" s="46"/>
      <c r="AJ410" s="46"/>
      <c r="AK410" s="46"/>
      <c r="AL410" s="46"/>
      <c r="AM410" s="46"/>
      <c r="AN410" s="46"/>
      <c r="AO410" s="46"/>
      <c r="AP410" s="125"/>
      <c r="AQ410" s="118"/>
      <c r="AR410" s="119"/>
      <c r="AS410" s="120"/>
      <c r="AT410" s="80"/>
      <c r="AV410" s="118"/>
      <c r="AW410" s="121"/>
      <c r="AX410" s="122"/>
      <c r="AY410" s="123"/>
      <c r="AZ410" s="80"/>
      <c r="BB410" s="124"/>
      <c r="BC410" s="46"/>
      <c r="BD410" s="46"/>
      <c r="BE410" s="46"/>
      <c r="BI410" s="46"/>
      <c r="BJ410" s="46"/>
      <c r="BK410" s="46"/>
      <c r="BL410" s="46"/>
      <c r="BM410" s="46"/>
      <c r="BN410" s="46"/>
      <c r="BO410" s="46"/>
      <c r="BP410" s="46"/>
    </row>
    <row r="411" spans="4:68" ht="15">
      <c r="D411" s="68"/>
      <c r="E411" s="46"/>
      <c r="F411" s="46"/>
      <c r="G411" s="46"/>
      <c r="H411" s="46"/>
      <c r="I411" s="46"/>
      <c r="J411" s="46"/>
      <c r="K411" s="46"/>
      <c r="L411" s="46"/>
      <c r="M411" s="46"/>
      <c r="N411" s="117"/>
      <c r="O411" s="118"/>
      <c r="P411" s="119"/>
      <c r="Q411" s="120"/>
      <c r="R411" s="80"/>
      <c r="U411" s="118"/>
      <c r="V411" s="121"/>
      <c r="W411" s="122"/>
      <c r="X411" s="123"/>
      <c r="Y411" s="80"/>
      <c r="AA411" s="124"/>
      <c r="AB411" s="65"/>
      <c r="AC411" s="46"/>
      <c r="AD411" s="46"/>
      <c r="AH411" s="46"/>
      <c r="AI411" s="46"/>
      <c r="AJ411" s="46"/>
      <c r="AK411" s="46"/>
      <c r="AL411" s="46"/>
      <c r="AM411" s="46"/>
      <c r="AN411" s="46"/>
      <c r="AO411" s="46"/>
      <c r="AP411" s="125"/>
      <c r="AQ411" s="118"/>
      <c r="AR411" s="119"/>
      <c r="AS411" s="120"/>
      <c r="AT411" s="80"/>
      <c r="AV411" s="118"/>
      <c r="AW411" s="121"/>
      <c r="AX411" s="122"/>
      <c r="AY411" s="123"/>
      <c r="AZ411" s="42"/>
      <c r="BB411" s="124"/>
      <c r="BC411" s="46"/>
      <c r="BD411" s="46"/>
      <c r="BE411" s="46"/>
      <c r="BI411" s="46"/>
      <c r="BJ411" s="46"/>
      <c r="BK411" s="46"/>
      <c r="BL411" s="46"/>
      <c r="BM411" s="46"/>
      <c r="BN411" s="46"/>
      <c r="BO411" s="46"/>
      <c r="BP411" s="46"/>
    </row>
    <row r="412" spans="4:68" ht="15">
      <c r="D412" s="68"/>
      <c r="E412" s="46"/>
      <c r="F412" s="46"/>
      <c r="G412" s="46"/>
      <c r="H412" s="46"/>
      <c r="I412" s="46"/>
      <c r="J412" s="46"/>
      <c r="K412" s="46"/>
      <c r="L412" s="46"/>
      <c r="M412" s="46"/>
      <c r="N412" s="117"/>
      <c r="O412" s="118"/>
      <c r="P412" s="119"/>
      <c r="Q412" s="120"/>
      <c r="R412" s="80"/>
      <c r="U412" s="118"/>
      <c r="V412" s="121"/>
      <c r="W412" s="122"/>
      <c r="X412" s="123"/>
      <c r="Y412" s="80"/>
      <c r="AA412" s="124"/>
      <c r="AB412" s="65"/>
      <c r="AC412" s="46"/>
      <c r="AD412" s="46"/>
      <c r="AH412" s="46"/>
      <c r="AI412" s="46"/>
      <c r="AJ412" s="46"/>
      <c r="AK412" s="46"/>
      <c r="AL412" s="46"/>
      <c r="AM412" s="46"/>
      <c r="AN412" s="46"/>
      <c r="AO412" s="46"/>
      <c r="AP412" s="125"/>
      <c r="AQ412" s="118"/>
      <c r="AR412" s="119"/>
      <c r="AS412" s="120"/>
      <c r="AT412" s="80"/>
      <c r="AV412" s="118"/>
      <c r="AW412" s="121"/>
      <c r="AX412" s="122"/>
      <c r="AY412" s="123"/>
      <c r="AZ412" s="80"/>
      <c r="BB412" s="124"/>
      <c r="BC412" s="46"/>
      <c r="BD412" s="46"/>
      <c r="BE412" s="46"/>
      <c r="BI412" s="46"/>
      <c r="BJ412" s="46"/>
      <c r="BK412" s="46"/>
      <c r="BL412" s="46"/>
      <c r="BM412" s="46"/>
      <c r="BN412" s="46"/>
      <c r="BO412" s="46"/>
      <c r="BP412" s="46"/>
    </row>
    <row r="413" spans="4:68" ht="15">
      <c r="D413" s="68"/>
      <c r="E413" s="46"/>
      <c r="F413" s="46"/>
      <c r="G413" s="46"/>
      <c r="H413" s="46"/>
      <c r="I413" s="46"/>
      <c r="J413" s="46"/>
      <c r="K413" s="46"/>
      <c r="L413" s="46"/>
      <c r="M413" s="46"/>
      <c r="N413" s="117"/>
      <c r="O413" s="118"/>
      <c r="P413" s="119"/>
      <c r="Q413" s="120"/>
      <c r="R413" s="80"/>
      <c r="U413" s="118"/>
      <c r="V413" s="121"/>
      <c r="W413" s="122"/>
      <c r="X413" s="123"/>
      <c r="Y413" s="80"/>
      <c r="AA413" s="124"/>
      <c r="AB413" s="65"/>
      <c r="AC413" s="46"/>
      <c r="AD413" s="46"/>
      <c r="AH413" s="46"/>
      <c r="AI413" s="46"/>
      <c r="AJ413" s="46"/>
      <c r="AK413" s="46"/>
      <c r="AL413" s="46"/>
      <c r="AM413" s="46"/>
      <c r="AN413" s="46"/>
      <c r="AO413" s="46"/>
      <c r="AP413" s="125"/>
      <c r="AQ413" s="118"/>
      <c r="AR413" s="119"/>
      <c r="AS413" s="120"/>
      <c r="AT413" s="80"/>
      <c r="AV413" s="118"/>
      <c r="AW413" s="121"/>
      <c r="AX413" s="122"/>
      <c r="AY413" s="123"/>
      <c r="AZ413" s="42"/>
      <c r="BB413" s="124"/>
      <c r="BC413" s="46"/>
      <c r="BD413" s="46"/>
      <c r="BE413" s="46"/>
      <c r="BI413" s="46"/>
      <c r="BJ413" s="46"/>
      <c r="BK413" s="46"/>
      <c r="BL413" s="46"/>
      <c r="BM413" s="46"/>
      <c r="BN413" s="46"/>
      <c r="BO413" s="46"/>
      <c r="BP413" s="46"/>
    </row>
    <row r="414" spans="4:68" ht="15">
      <c r="D414" s="68"/>
      <c r="E414" s="46"/>
      <c r="F414" s="46"/>
      <c r="G414" s="46"/>
      <c r="H414" s="46"/>
      <c r="I414" s="46"/>
      <c r="J414" s="46"/>
      <c r="K414" s="46"/>
      <c r="L414" s="46"/>
      <c r="M414" s="46"/>
      <c r="N414" s="117"/>
      <c r="O414" s="118"/>
      <c r="P414" s="119"/>
      <c r="Q414" s="120"/>
      <c r="R414" s="80"/>
      <c r="U414" s="118"/>
      <c r="V414" s="121"/>
      <c r="W414" s="122"/>
      <c r="X414" s="123"/>
      <c r="Y414" s="80"/>
      <c r="AA414" s="124"/>
      <c r="AB414" s="65"/>
      <c r="AC414" s="46"/>
      <c r="AD414" s="46"/>
      <c r="AH414" s="46"/>
      <c r="AI414" s="46"/>
      <c r="AJ414" s="46"/>
      <c r="AK414" s="46"/>
      <c r="AL414" s="46"/>
      <c r="AM414" s="46"/>
      <c r="AN414" s="46"/>
      <c r="AO414" s="46"/>
      <c r="AP414" s="125"/>
      <c r="AQ414" s="118"/>
      <c r="AR414" s="119"/>
      <c r="AS414" s="120"/>
      <c r="AT414" s="80"/>
      <c r="AV414" s="118"/>
      <c r="AW414" s="121"/>
      <c r="AX414" s="122"/>
      <c r="AY414" s="123"/>
      <c r="AZ414" s="80"/>
      <c r="BB414" s="124"/>
      <c r="BC414" s="46"/>
      <c r="BD414" s="46"/>
      <c r="BE414" s="46"/>
      <c r="BI414" s="46"/>
      <c r="BJ414" s="46"/>
      <c r="BK414" s="46"/>
      <c r="BL414" s="46"/>
      <c r="BM414" s="46"/>
      <c r="BN414" s="46"/>
      <c r="BO414" s="46"/>
      <c r="BP414" s="46"/>
    </row>
    <row r="415" spans="4:68" ht="15">
      <c r="D415" s="68"/>
      <c r="E415" s="46"/>
      <c r="F415" s="46"/>
      <c r="G415" s="46"/>
      <c r="I415" s="46"/>
      <c r="J415" s="46"/>
      <c r="K415" s="46"/>
      <c r="L415" s="46"/>
      <c r="M415" s="46"/>
      <c r="N415" s="117"/>
      <c r="O415" s="118"/>
      <c r="P415" s="119"/>
      <c r="Q415" s="120"/>
      <c r="R415" s="80"/>
      <c r="U415" s="118"/>
      <c r="V415" s="121"/>
      <c r="W415" s="122"/>
      <c r="X415" s="123"/>
      <c r="Y415" s="80"/>
      <c r="AA415" s="124"/>
      <c r="AB415" s="65"/>
      <c r="AC415" s="46"/>
      <c r="AD415" s="46"/>
      <c r="AH415" s="46"/>
      <c r="AI415" s="46"/>
      <c r="AJ415" s="46"/>
      <c r="AK415" s="46"/>
      <c r="AL415" s="46"/>
      <c r="AM415" s="46"/>
      <c r="AN415" s="46"/>
      <c r="AO415" s="46"/>
      <c r="AP415" s="125"/>
      <c r="AQ415" s="118"/>
      <c r="AR415" s="119"/>
      <c r="AS415" s="120"/>
      <c r="AT415" s="80"/>
      <c r="AV415" s="118"/>
      <c r="AW415" s="121"/>
      <c r="AX415" s="122"/>
      <c r="AY415" s="123"/>
      <c r="AZ415" s="80"/>
      <c r="BB415" s="124"/>
      <c r="BC415" s="46"/>
      <c r="BD415" s="46"/>
      <c r="BE415" s="46"/>
      <c r="BI415" s="46"/>
      <c r="BJ415" s="46"/>
      <c r="BK415" s="46"/>
      <c r="BL415" s="46"/>
      <c r="BM415" s="46"/>
      <c r="BN415" s="46"/>
      <c r="BO415" s="46"/>
      <c r="BP415" s="46"/>
    </row>
    <row r="416" spans="4:68" ht="15">
      <c r="D416" s="68"/>
      <c r="E416" s="46"/>
      <c r="F416" s="46"/>
      <c r="G416" s="46"/>
      <c r="I416" s="46"/>
      <c r="J416" s="46"/>
      <c r="K416" s="46"/>
      <c r="L416" s="46"/>
      <c r="M416" s="46"/>
      <c r="N416" s="117"/>
      <c r="O416" s="118"/>
      <c r="P416" s="119"/>
      <c r="Q416" s="120"/>
      <c r="R416" s="80"/>
      <c r="U416" s="118"/>
      <c r="V416" s="121"/>
      <c r="W416" s="122"/>
      <c r="X416" s="123"/>
      <c r="Y416" s="80"/>
      <c r="AA416" s="124"/>
      <c r="AB416" s="65"/>
      <c r="AC416" s="46"/>
      <c r="AD416" s="46"/>
      <c r="AH416" s="46"/>
      <c r="AI416" s="46"/>
      <c r="AJ416" s="46"/>
      <c r="AK416" s="46"/>
      <c r="AL416" s="46"/>
      <c r="AM416" s="46"/>
      <c r="AN416" s="46"/>
      <c r="AO416" s="46"/>
      <c r="AP416" s="125"/>
      <c r="AQ416" s="118"/>
      <c r="AR416" s="119"/>
      <c r="AS416" s="120"/>
      <c r="AT416" s="80"/>
      <c r="AV416" s="118"/>
      <c r="AW416" s="121"/>
      <c r="AX416" s="122"/>
      <c r="AY416" s="123"/>
      <c r="AZ416" s="42"/>
      <c r="BB416" s="124"/>
      <c r="BC416" s="46"/>
      <c r="BD416" s="46"/>
      <c r="BE416" s="46"/>
      <c r="BI416" s="46"/>
      <c r="BJ416" s="46"/>
      <c r="BK416" s="46"/>
      <c r="BL416" s="46"/>
      <c r="BM416" s="46"/>
      <c r="BN416" s="46"/>
      <c r="BO416" s="46"/>
      <c r="BP416" s="46"/>
    </row>
    <row r="417" spans="1:68" ht="15">
      <c r="D417" s="68"/>
      <c r="E417" s="46"/>
      <c r="F417" s="46"/>
      <c r="G417" s="46"/>
      <c r="I417" s="46"/>
      <c r="J417" s="46"/>
      <c r="K417" s="46"/>
      <c r="L417" s="46"/>
      <c r="M417" s="46"/>
      <c r="N417" s="117"/>
      <c r="O417" s="118"/>
      <c r="P417" s="119"/>
      <c r="Q417" s="120"/>
      <c r="R417" s="80"/>
      <c r="U417" s="118"/>
      <c r="V417" s="121"/>
      <c r="W417" s="122"/>
      <c r="X417" s="123"/>
      <c r="Y417" s="80"/>
      <c r="AA417" s="124"/>
      <c r="AB417" s="65"/>
      <c r="AC417" s="46"/>
      <c r="AD417" s="46"/>
      <c r="AH417" s="46"/>
      <c r="AI417" s="46"/>
      <c r="AJ417" s="46"/>
      <c r="AK417" s="46"/>
      <c r="AL417" s="46"/>
      <c r="AM417" s="46"/>
      <c r="AN417" s="46"/>
      <c r="AO417" s="46"/>
      <c r="AP417" s="125"/>
      <c r="AQ417" s="118"/>
      <c r="AR417" s="119"/>
      <c r="AS417" s="120"/>
      <c r="AT417" s="80"/>
      <c r="AV417" s="118"/>
      <c r="AW417" s="121"/>
      <c r="AX417" s="122"/>
      <c r="AY417" s="123"/>
      <c r="AZ417" s="42"/>
      <c r="BB417" s="124"/>
      <c r="BC417" s="46"/>
      <c r="BD417" s="46"/>
      <c r="BE417" s="46"/>
      <c r="BI417" s="46"/>
      <c r="BJ417" s="46"/>
      <c r="BK417" s="46"/>
      <c r="BL417" s="46"/>
      <c r="BM417" s="46"/>
      <c r="BN417" s="46"/>
      <c r="BO417" s="46"/>
      <c r="BP417" s="46"/>
    </row>
    <row r="418" spans="1:68" ht="15">
      <c r="D418" s="68"/>
      <c r="E418" s="46"/>
      <c r="F418" s="46"/>
      <c r="G418" s="46"/>
      <c r="I418" s="46"/>
      <c r="J418" s="46"/>
      <c r="K418" s="46"/>
      <c r="L418" s="46"/>
      <c r="M418" s="46"/>
      <c r="N418" s="117"/>
      <c r="O418" s="118"/>
      <c r="P418" s="119"/>
      <c r="Q418" s="120"/>
      <c r="R418" s="80"/>
      <c r="U418" s="118"/>
      <c r="V418" s="121"/>
      <c r="W418" s="122"/>
      <c r="X418" s="123"/>
      <c r="Y418" s="80"/>
      <c r="AA418" s="124"/>
      <c r="AB418" s="65"/>
      <c r="AC418" s="46"/>
      <c r="AD418" s="46"/>
      <c r="AH418" s="46"/>
      <c r="AI418" s="46"/>
      <c r="AJ418" s="46"/>
      <c r="AK418" s="46"/>
      <c r="AL418" s="46"/>
      <c r="AM418" s="46"/>
      <c r="AN418" s="46"/>
      <c r="AO418" s="46"/>
      <c r="AP418" s="125"/>
      <c r="AQ418" s="118"/>
      <c r="AR418" s="119"/>
      <c r="AS418" s="120"/>
      <c r="AT418" s="80"/>
      <c r="AV418" s="118"/>
      <c r="AW418" s="121"/>
      <c r="AX418" s="122"/>
      <c r="AY418" s="123"/>
      <c r="AZ418" s="80"/>
      <c r="BB418" s="124"/>
      <c r="BC418" s="46"/>
      <c r="BD418" s="46"/>
      <c r="BE418" s="46"/>
      <c r="BI418" s="46"/>
      <c r="BJ418" s="46"/>
      <c r="BK418" s="46"/>
      <c r="BL418" s="46"/>
      <c r="BM418" s="46"/>
      <c r="BN418" s="46"/>
      <c r="BO418" s="46"/>
      <c r="BP418" s="46"/>
    </row>
    <row r="419" spans="1:68" ht="15">
      <c r="D419" s="68"/>
      <c r="E419" s="46"/>
      <c r="F419" s="46"/>
      <c r="G419" s="46"/>
      <c r="I419" s="46"/>
      <c r="J419" s="46"/>
      <c r="K419" s="46"/>
      <c r="L419" s="46"/>
      <c r="M419" s="46"/>
      <c r="N419" s="117"/>
      <c r="O419" s="118"/>
      <c r="P419" s="119"/>
      <c r="Q419" s="120"/>
      <c r="R419" s="80"/>
      <c r="U419" s="118"/>
      <c r="V419" s="121"/>
      <c r="W419" s="122"/>
      <c r="X419" s="123"/>
      <c r="Y419" s="80"/>
      <c r="AA419" s="124"/>
      <c r="AB419" s="65"/>
      <c r="AC419" s="46"/>
      <c r="AD419" s="46"/>
      <c r="AH419" s="46"/>
      <c r="AI419" s="46"/>
      <c r="AJ419" s="46"/>
      <c r="AK419" s="46"/>
      <c r="AL419" s="46"/>
      <c r="AM419" s="46"/>
      <c r="AN419" s="46"/>
      <c r="AO419" s="46"/>
      <c r="AP419" s="125"/>
      <c r="AQ419" s="118"/>
      <c r="AR419" s="119"/>
      <c r="AS419" s="120"/>
      <c r="AT419" s="80"/>
      <c r="AV419" s="118"/>
      <c r="AW419" s="121"/>
      <c r="AX419" s="122"/>
      <c r="AY419" s="123"/>
      <c r="AZ419" s="80"/>
      <c r="BB419" s="124"/>
      <c r="BC419" s="46"/>
      <c r="BD419" s="46"/>
      <c r="BE419" s="46"/>
      <c r="BI419" s="46"/>
      <c r="BJ419" s="46"/>
      <c r="BK419" s="46"/>
      <c r="BL419" s="46"/>
      <c r="BM419" s="46"/>
      <c r="BN419" s="46"/>
      <c r="BO419" s="46"/>
      <c r="BP419" s="46"/>
    </row>
    <row r="420" spans="1:68" ht="15">
      <c r="D420" s="68"/>
      <c r="E420" s="46"/>
      <c r="F420" s="46"/>
      <c r="G420" s="46"/>
      <c r="I420" s="46"/>
      <c r="J420" s="46"/>
      <c r="K420" s="46"/>
      <c r="L420" s="46"/>
      <c r="M420" s="46"/>
      <c r="N420" s="117"/>
      <c r="O420" s="118"/>
      <c r="P420" s="119"/>
      <c r="Q420" s="120"/>
      <c r="R420" s="80"/>
      <c r="U420" s="118"/>
      <c r="V420" s="121"/>
      <c r="W420" s="122"/>
      <c r="X420" s="123"/>
      <c r="Y420" s="80"/>
      <c r="AA420" s="124"/>
      <c r="AB420" s="65"/>
      <c r="AC420" s="46"/>
      <c r="AD420" s="46"/>
      <c r="AH420" s="46"/>
      <c r="AI420" s="46"/>
      <c r="AJ420" s="46"/>
      <c r="AK420" s="46"/>
      <c r="AL420" s="46"/>
      <c r="AM420" s="46"/>
      <c r="AN420" s="46"/>
      <c r="AO420" s="46"/>
      <c r="AP420" s="125"/>
      <c r="AQ420" s="118"/>
      <c r="AR420" s="119"/>
      <c r="AS420" s="120"/>
      <c r="AT420" s="80"/>
      <c r="AV420" s="118"/>
      <c r="AW420" s="121"/>
      <c r="AX420" s="122"/>
      <c r="AY420" s="123"/>
      <c r="AZ420" s="80"/>
      <c r="BB420" s="124"/>
      <c r="BC420" s="46"/>
      <c r="BD420" s="46"/>
      <c r="BE420" s="46"/>
      <c r="BI420" s="46"/>
      <c r="BJ420" s="46"/>
      <c r="BK420" s="46"/>
      <c r="BL420" s="46"/>
      <c r="BM420" s="46"/>
      <c r="BN420" s="46"/>
      <c r="BO420" s="46"/>
      <c r="BP420" s="46"/>
    </row>
    <row r="421" spans="1:68" ht="15">
      <c r="D421" s="68"/>
      <c r="E421" s="46"/>
      <c r="F421" s="46"/>
      <c r="G421" s="46"/>
      <c r="H421" s="46"/>
      <c r="I421" s="46"/>
      <c r="J421" s="46"/>
      <c r="K421" s="46"/>
      <c r="L421" s="46"/>
      <c r="M421" s="46"/>
      <c r="N421" s="117"/>
      <c r="O421" s="118"/>
      <c r="P421" s="119"/>
      <c r="Q421" s="120"/>
      <c r="R421" s="80"/>
      <c r="U421" s="118"/>
      <c r="V421" s="121"/>
      <c r="W421" s="122"/>
      <c r="X421" s="123"/>
      <c r="Y421" s="80"/>
      <c r="AA421" s="124"/>
      <c r="AB421" s="65"/>
      <c r="AC421" s="46"/>
      <c r="AD421" s="46"/>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5837</v>
      </c>
      <c r="BK421" s="46"/>
      <c r="BL421" s="46"/>
      <c r="BM421" s="46"/>
      <c r="BN421" s="46"/>
      <c r="BO421" s="46"/>
      <c r="BP421" s="46"/>
    </row>
    <row r="422" spans="1:68" ht="15">
      <c r="D422" s="68"/>
      <c r="E422" s="46"/>
      <c r="F422" s="46"/>
      <c r="G422" s="46"/>
      <c r="H422" s="46"/>
      <c r="I422" s="46"/>
      <c r="J422" s="46"/>
      <c r="K422" s="46"/>
      <c r="L422" s="46"/>
      <c r="M422" s="46"/>
      <c r="N422" s="117"/>
      <c r="O422" s="118"/>
      <c r="P422" s="119"/>
      <c r="Q422" s="120"/>
      <c r="R422" s="80"/>
      <c r="U422" s="118"/>
      <c r="V422" s="121"/>
      <c r="W422" s="122"/>
      <c r="X422" s="123"/>
      <c r="Y422" s="80"/>
      <c r="AA422" s="124"/>
      <c r="AB422" s="65"/>
      <c r="AC422" s="46"/>
      <c r="AD422" s="46"/>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5837</v>
      </c>
      <c r="BK422" s="46"/>
      <c r="BL422" s="46"/>
      <c r="BM422" s="46"/>
      <c r="BN422" s="46"/>
      <c r="BO422" s="46"/>
      <c r="BP422" s="46"/>
    </row>
    <row r="423" spans="1:68" ht="15">
      <c r="D423" s="68"/>
      <c r="E423" s="46"/>
      <c r="F423" s="46"/>
      <c r="G423" s="46"/>
      <c r="H423" s="46"/>
      <c r="I423" s="46"/>
      <c r="J423" s="46"/>
      <c r="K423" s="46"/>
      <c r="L423" s="46"/>
      <c r="M423" s="46"/>
      <c r="N423" s="117"/>
      <c r="O423" s="118"/>
      <c r="P423" s="119"/>
      <c r="Q423" s="120"/>
      <c r="R423" s="80"/>
      <c r="U423" s="118"/>
      <c r="V423" s="121"/>
      <c r="W423" s="122"/>
      <c r="X423" s="123"/>
      <c r="Y423" s="80"/>
      <c r="AA423" s="124"/>
      <c r="AB423" s="65"/>
      <c r="AC423" s="46"/>
      <c r="AD423" s="46"/>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15">
      <c r="D424" s="68"/>
      <c r="E424" s="46"/>
      <c r="F424" s="46"/>
      <c r="G424" s="46"/>
      <c r="H424" s="46"/>
      <c r="I424" s="46"/>
      <c r="J424" s="46"/>
      <c r="K424" s="46"/>
      <c r="L424" s="46"/>
      <c r="M424" s="46"/>
      <c r="N424" s="117"/>
      <c r="O424" s="118"/>
      <c r="P424" s="119"/>
      <c r="Q424" s="120"/>
      <c r="R424" s="80"/>
      <c r="U424" s="118"/>
      <c r="V424" s="121"/>
      <c r="W424" s="122"/>
      <c r="X424" s="123"/>
      <c r="Y424" s="80"/>
      <c r="AA424" s="124"/>
      <c r="AB424" s="65"/>
      <c r="AC424" s="46"/>
      <c r="AD424" s="46"/>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15">
      <c r="D425" s="68"/>
      <c r="E425" s="46"/>
      <c r="F425" s="46"/>
      <c r="G425" s="46"/>
      <c r="H425" s="46"/>
      <c r="I425" s="46"/>
      <c r="J425" s="46"/>
      <c r="K425" s="46"/>
      <c r="L425" s="46"/>
      <c r="M425" s="46"/>
      <c r="N425" s="117"/>
      <c r="O425" s="118"/>
      <c r="P425" s="119"/>
      <c r="Q425" s="120"/>
      <c r="R425" s="80"/>
      <c r="U425" s="118"/>
      <c r="V425" s="121"/>
      <c r="W425" s="122"/>
      <c r="X425" s="123"/>
      <c r="Y425" s="80"/>
      <c r="AA425" s="124"/>
      <c r="AB425" s="65"/>
      <c r="AC425" s="46"/>
      <c r="AD425" s="46"/>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15">
      <c r="D426" s="68"/>
      <c r="E426" s="46"/>
      <c r="F426" s="46"/>
      <c r="G426" s="46"/>
      <c r="H426" s="46"/>
      <c r="I426" s="46"/>
      <c r="J426" s="46"/>
      <c r="K426" s="46"/>
      <c r="L426" s="46"/>
      <c r="M426" s="46"/>
      <c r="N426" s="117"/>
      <c r="O426" s="118"/>
      <c r="P426" s="119"/>
      <c r="Q426" s="120"/>
      <c r="R426" s="80"/>
      <c r="U426" s="118"/>
      <c r="V426" s="121"/>
      <c r="W426" s="122"/>
      <c r="X426" s="123"/>
      <c r="Y426" s="80"/>
      <c r="AA426" s="124"/>
      <c r="AB426" s="65"/>
      <c r="AC426" s="46"/>
      <c r="AD426" s="46"/>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15">
      <c r="D427" s="68"/>
      <c r="E427" s="46"/>
      <c r="F427" s="46"/>
      <c r="G427" s="46"/>
      <c r="H427" s="46"/>
      <c r="I427" s="46"/>
      <c r="J427" s="46"/>
      <c r="K427" s="46"/>
      <c r="L427" s="46"/>
      <c r="M427" s="46"/>
      <c r="N427" s="117"/>
      <c r="O427" s="118"/>
      <c r="P427" s="119"/>
      <c r="Q427" s="120"/>
      <c r="R427" s="80"/>
      <c r="U427" s="118"/>
      <c r="V427" s="121"/>
      <c r="W427" s="122"/>
      <c r="X427" s="123"/>
      <c r="Y427" s="80"/>
      <c r="AA427" s="124"/>
      <c r="AB427" s="65"/>
      <c r="AC427" s="46"/>
      <c r="AD427" s="46"/>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15">
      <c r="D428" s="68"/>
      <c r="E428" s="46"/>
      <c r="F428" s="46"/>
      <c r="G428" s="46"/>
      <c r="H428" s="46"/>
      <c r="I428" s="46"/>
      <c r="J428" s="46"/>
      <c r="K428" s="46"/>
      <c r="L428" s="46"/>
      <c r="M428" s="46"/>
      <c r="N428" s="117"/>
      <c r="O428" s="118"/>
      <c r="P428" s="119"/>
      <c r="Q428" s="120"/>
      <c r="R428" s="80"/>
      <c r="U428" s="118"/>
      <c r="V428" s="121"/>
      <c r="W428" s="122"/>
      <c r="X428" s="123"/>
      <c r="Y428" s="80"/>
      <c r="AA428" s="124"/>
      <c r="AB428" s="65"/>
      <c r="AC428" s="46"/>
      <c r="AD428" s="46"/>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15">
      <c r="D429" s="68"/>
      <c r="E429" s="46"/>
      <c r="F429" s="46"/>
      <c r="G429" s="46"/>
      <c r="H429" s="46"/>
      <c r="I429" s="46"/>
      <c r="J429" s="46"/>
      <c r="K429" s="46"/>
      <c r="L429" s="46"/>
      <c r="M429" s="46"/>
      <c r="N429" s="117"/>
      <c r="O429" s="118"/>
      <c r="P429" s="119"/>
      <c r="Q429" s="120"/>
      <c r="R429" s="80"/>
      <c r="U429" s="118"/>
      <c r="V429" s="121"/>
      <c r="W429" s="122"/>
      <c r="X429" s="123"/>
      <c r="Y429" s="80"/>
      <c r="AA429" s="124"/>
      <c r="AB429" s="65"/>
      <c r="AC429" s="46"/>
      <c r="AD429" s="46"/>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15">
      <c r="A430" s="67"/>
      <c r="B430" s="127"/>
      <c r="C430" s="67"/>
      <c r="D430" s="66"/>
      <c r="E430" s="67"/>
      <c r="F430" s="67"/>
      <c r="G430" s="67"/>
      <c r="N430" s="117"/>
      <c r="O430" s="118"/>
      <c r="P430" s="119"/>
      <c r="Q430" s="120"/>
      <c r="R430" s="80"/>
      <c r="S430" s="126"/>
      <c r="T430" s="81"/>
      <c r="U430" s="118"/>
      <c r="V430" s="121"/>
      <c r="W430" s="122"/>
      <c r="X430" s="123"/>
      <c r="Y430" s="80"/>
      <c r="Z430" s="81"/>
      <c r="AA430" s="124"/>
      <c r="AB430" s="65"/>
      <c r="AE430" s="37"/>
      <c r="AF430" s="36"/>
      <c r="AG430" s="36"/>
      <c r="AP430" s="125"/>
      <c r="AQ430" s="118"/>
      <c r="AR430" s="119"/>
      <c r="AS430" s="120"/>
      <c r="AT430" s="80"/>
      <c r="AU430" s="81"/>
      <c r="AV430" s="118"/>
      <c r="AW430" s="121"/>
      <c r="AX430" s="122"/>
      <c r="AY430" s="123"/>
      <c r="AZ430" s="80"/>
      <c r="BA430" s="81"/>
      <c r="BB430" s="124"/>
      <c r="BF430" s="37"/>
      <c r="BG430" s="36"/>
      <c r="BH430" s="36"/>
    </row>
    <row r="431" spans="1:68" s="46" customFormat="1" ht="15">
      <c r="D431" s="68"/>
      <c r="N431" s="117"/>
      <c r="O431" s="118"/>
      <c r="P431" s="119"/>
      <c r="Q431" s="120"/>
      <c r="R431" s="80"/>
      <c r="S431" s="126"/>
      <c r="T431" s="81"/>
      <c r="U431" s="118"/>
      <c r="V431" s="121"/>
      <c r="W431" s="122"/>
      <c r="X431" s="123"/>
      <c r="Y431" s="80"/>
      <c r="Z431" s="81"/>
      <c r="AA431" s="124"/>
      <c r="AB431" s="65"/>
      <c r="AE431" s="37"/>
      <c r="AF431" s="36"/>
      <c r="AG431" s="36"/>
      <c r="AP431" s="125"/>
      <c r="AQ431" s="118"/>
      <c r="AR431" s="119"/>
      <c r="AS431" s="120"/>
      <c r="AT431" s="80"/>
      <c r="AU431" s="81"/>
      <c r="AV431" s="118"/>
      <c r="AW431" s="121"/>
      <c r="AX431" s="122"/>
      <c r="AY431" s="123"/>
      <c r="AZ431" s="80"/>
      <c r="BA431" s="81"/>
      <c r="BB431" s="124"/>
      <c r="BF431" s="37"/>
      <c r="BG431" s="36"/>
      <c r="BH431" s="36"/>
    </row>
    <row r="432" spans="1:68" s="46" customFormat="1" ht="15">
      <c r="D432" s="68"/>
      <c r="N432" s="117"/>
      <c r="O432" s="118"/>
      <c r="P432" s="119"/>
      <c r="Q432" s="120"/>
      <c r="R432" s="80"/>
      <c r="S432" s="126"/>
      <c r="T432" s="81"/>
      <c r="U432" s="118"/>
      <c r="V432" s="121"/>
      <c r="W432" s="122"/>
      <c r="X432" s="123"/>
      <c r="Y432" s="80"/>
      <c r="Z432" s="81"/>
      <c r="AA432" s="124"/>
      <c r="AB432" s="65"/>
      <c r="AE432" s="37"/>
      <c r="AF432" s="36"/>
      <c r="AG432" s="36"/>
      <c r="AP432" s="125"/>
      <c r="AQ432" s="118"/>
      <c r="AR432" s="119"/>
      <c r="AS432" s="120"/>
      <c r="AT432" s="80"/>
      <c r="AU432" s="81"/>
      <c r="AV432" s="118"/>
      <c r="AW432" s="121"/>
      <c r="AX432" s="122"/>
      <c r="AY432" s="123"/>
      <c r="AZ432" s="80"/>
      <c r="BA432" s="81"/>
      <c r="BB432" s="124"/>
      <c r="BF432" s="37"/>
      <c r="BG432" s="36"/>
      <c r="BH432" s="36"/>
    </row>
    <row r="433" spans="4:60" s="46" customFormat="1" ht="15">
      <c r="D433" s="68"/>
      <c r="N433" s="117"/>
      <c r="O433" s="118"/>
      <c r="P433" s="119"/>
      <c r="Q433" s="120"/>
      <c r="R433" s="80"/>
      <c r="S433" s="126"/>
      <c r="T433" s="81"/>
      <c r="U433" s="118"/>
      <c r="V433" s="121"/>
      <c r="W433" s="122"/>
      <c r="X433" s="123"/>
      <c r="Y433" s="80"/>
      <c r="Z433" s="81"/>
      <c r="AA433" s="124"/>
      <c r="AB433" s="65"/>
      <c r="AE433" s="37"/>
      <c r="AF433" s="36"/>
      <c r="AG433" s="36"/>
      <c r="AP433" s="125"/>
      <c r="AQ433" s="118"/>
      <c r="AR433" s="119"/>
      <c r="AS433" s="120"/>
      <c r="AT433" s="80"/>
      <c r="AU433" s="81"/>
      <c r="AV433" s="118"/>
      <c r="AW433" s="121"/>
      <c r="AX433" s="122"/>
      <c r="AY433" s="123"/>
      <c r="AZ433" s="80"/>
      <c r="BA433" s="81"/>
      <c r="BB433" s="124"/>
      <c r="BF433" s="37"/>
      <c r="BG433" s="36"/>
      <c r="BH433" s="36"/>
    </row>
    <row r="434" spans="4:60" s="46" customFormat="1" ht="15">
      <c r="D434" s="68"/>
      <c r="N434" s="117"/>
      <c r="O434" s="118"/>
      <c r="P434" s="119"/>
      <c r="Q434" s="120"/>
      <c r="R434" s="80"/>
      <c r="S434" s="126"/>
      <c r="T434" s="81"/>
      <c r="U434" s="118"/>
      <c r="V434" s="121"/>
      <c r="W434" s="122"/>
      <c r="X434" s="123"/>
      <c r="Y434" s="80"/>
      <c r="Z434" s="81"/>
      <c r="AA434" s="124"/>
      <c r="AB434" s="65"/>
      <c r="AE434" s="37"/>
      <c r="AF434" s="36"/>
      <c r="AG434" s="36"/>
      <c r="AP434" s="125"/>
      <c r="AQ434" s="118"/>
      <c r="AR434" s="119"/>
      <c r="AS434" s="120"/>
      <c r="AT434" s="80"/>
      <c r="AU434" s="81"/>
      <c r="AV434" s="118"/>
      <c r="AW434" s="121"/>
      <c r="AX434" s="122"/>
      <c r="AY434" s="123"/>
      <c r="AZ434" s="80"/>
      <c r="BA434" s="81"/>
      <c r="BB434" s="124"/>
      <c r="BF434" s="37"/>
      <c r="BG434" s="36"/>
      <c r="BH434" s="36"/>
    </row>
    <row r="435" spans="4:60" s="46" customFormat="1" ht="15">
      <c r="D435" s="68"/>
      <c r="N435" s="117"/>
      <c r="O435" s="118"/>
      <c r="P435" s="119"/>
      <c r="Q435" s="120"/>
      <c r="R435" s="80"/>
      <c r="S435" s="126"/>
      <c r="T435" s="81"/>
      <c r="U435" s="118"/>
      <c r="V435" s="121"/>
      <c r="W435" s="122"/>
      <c r="X435" s="123"/>
      <c r="Y435" s="80"/>
      <c r="Z435" s="81"/>
      <c r="AA435" s="124"/>
      <c r="AB435" s="65"/>
      <c r="AE435" s="37"/>
      <c r="AF435" s="36"/>
      <c r="AG435" s="36"/>
      <c r="AP435" s="125"/>
      <c r="AQ435" s="118"/>
      <c r="AR435" s="119"/>
      <c r="AS435" s="120"/>
      <c r="AT435" s="80"/>
      <c r="AU435" s="81"/>
      <c r="AV435" s="118"/>
      <c r="AW435" s="121"/>
      <c r="AX435" s="122"/>
      <c r="AY435" s="123"/>
      <c r="AZ435" s="80"/>
      <c r="BA435" s="81"/>
      <c r="BB435" s="124"/>
      <c r="BF435" s="37"/>
      <c r="BG435" s="36"/>
      <c r="BH435" s="36"/>
    </row>
    <row r="436" spans="4:60" s="46" customFormat="1" ht="15">
      <c r="D436" s="68"/>
      <c r="N436" s="117"/>
      <c r="O436" s="118"/>
      <c r="P436" s="119"/>
      <c r="Q436" s="120"/>
      <c r="R436" s="80"/>
      <c r="S436" s="126"/>
      <c r="T436" s="81"/>
      <c r="U436" s="118"/>
      <c r="V436" s="121"/>
      <c r="W436" s="122"/>
      <c r="X436" s="123"/>
      <c r="Y436" s="80"/>
      <c r="Z436" s="81"/>
      <c r="AA436" s="124"/>
      <c r="AB436" s="65"/>
      <c r="AE436" s="37"/>
      <c r="AF436" s="36"/>
      <c r="AG436" s="36"/>
      <c r="AP436" s="125"/>
      <c r="AQ436" s="118"/>
      <c r="AR436" s="119"/>
      <c r="AS436" s="120"/>
      <c r="AT436" s="80"/>
      <c r="AU436" s="81"/>
      <c r="AV436" s="118"/>
      <c r="AW436" s="121"/>
      <c r="AX436" s="122"/>
      <c r="AY436" s="123"/>
      <c r="AZ436" s="80"/>
      <c r="BA436" s="81"/>
      <c r="BB436" s="124"/>
      <c r="BF436" s="37"/>
      <c r="BG436" s="36"/>
      <c r="BH436" s="36"/>
    </row>
    <row r="437" spans="4:60" s="46" customFormat="1" ht="15">
      <c r="D437" s="68"/>
      <c r="N437" s="117"/>
      <c r="O437" s="118"/>
      <c r="P437" s="119"/>
      <c r="Q437" s="120"/>
      <c r="R437" s="80"/>
      <c r="S437" s="126"/>
      <c r="T437" s="81"/>
      <c r="U437" s="118"/>
      <c r="V437" s="121"/>
      <c r="W437" s="122"/>
      <c r="X437" s="123"/>
      <c r="Y437" s="80"/>
      <c r="Z437" s="81"/>
      <c r="AA437" s="124"/>
      <c r="AB437" s="65"/>
      <c r="AE437" s="37"/>
      <c r="AF437" s="36"/>
      <c r="AG437" s="36"/>
      <c r="AP437" s="125"/>
      <c r="AQ437" s="118"/>
      <c r="AR437" s="119"/>
      <c r="AS437" s="120"/>
      <c r="AT437" s="80"/>
      <c r="AU437" s="81"/>
      <c r="AV437" s="118"/>
      <c r="AW437" s="121"/>
      <c r="AX437" s="122"/>
      <c r="AY437" s="123"/>
      <c r="AZ437" s="80"/>
      <c r="BA437" s="81"/>
      <c r="BB437" s="124"/>
      <c r="BF437" s="37"/>
      <c r="BG437" s="36"/>
      <c r="BH437" s="36"/>
    </row>
    <row r="438" spans="4:60" s="46" customFormat="1" ht="15">
      <c r="D438" s="68"/>
      <c r="N438" s="117"/>
      <c r="O438" s="118"/>
      <c r="P438" s="119"/>
      <c r="Q438" s="120"/>
      <c r="R438" s="80"/>
      <c r="S438" s="126"/>
      <c r="T438" s="81"/>
      <c r="U438" s="118"/>
      <c r="V438" s="121"/>
      <c r="W438" s="122"/>
      <c r="X438" s="123"/>
      <c r="Y438" s="80"/>
      <c r="Z438" s="81"/>
      <c r="AA438" s="124"/>
      <c r="AB438" s="65"/>
      <c r="AE438" s="37"/>
      <c r="AF438" s="36"/>
      <c r="AG438" s="36"/>
      <c r="AP438" s="125"/>
      <c r="AQ438" s="118"/>
      <c r="AR438" s="119"/>
      <c r="AS438" s="120"/>
      <c r="AT438" s="80"/>
      <c r="AU438" s="81"/>
      <c r="AV438" s="118"/>
      <c r="AW438" s="121"/>
      <c r="AX438" s="122"/>
      <c r="AY438" s="123"/>
      <c r="AZ438" s="80"/>
      <c r="BA438" s="81"/>
      <c r="BB438" s="124"/>
      <c r="BF438" s="37"/>
      <c r="BG438" s="36"/>
      <c r="BH438" s="36"/>
    </row>
    <row r="439" spans="4:60" s="46" customFormat="1" ht="15">
      <c r="D439" s="68"/>
      <c r="N439" s="117"/>
      <c r="O439" s="118"/>
      <c r="P439" s="119"/>
      <c r="Q439" s="120"/>
      <c r="R439" s="80"/>
      <c r="S439" s="126"/>
      <c r="T439" s="81"/>
      <c r="U439" s="118"/>
      <c r="V439" s="121"/>
      <c r="W439" s="122"/>
      <c r="X439" s="123"/>
      <c r="Y439" s="80"/>
      <c r="Z439" s="81"/>
      <c r="AA439" s="124"/>
      <c r="AB439" s="65"/>
      <c r="AE439" s="37"/>
      <c r="AF439" s="36"/>
      <c r="AG439" s="36"/>
      <c r="AP439" s="125"/>
      <c r="AQ439" s="118"/>
      <c r="AR439" s="119"/>
      <c r="AS439" s="120"/>
      <c r="AT439" s="80"/>
      <c r="AU439" s="81"/>
      <c r="AV439" s="118"/>
      <c r="AW439" s="121"/>
      <c r="AX439" s="122"/>
      <c r="AY439" s="123"/>
      <c r="AZ439" s="80"/>
      <c r="BA439" s="81"/>
      <c r="BB439" s="124"/>
      <c r="BF439" s="37"/>
      <c r="BG439" s="36"/>
      <c r="BH439" s="36"/>
    </row>
    <row r="440" spans="4:60" s="46" customFormat="1" ht="15">
      <c r="D440" s="68"/>
      <c r="N440" s="117"/>
      <c r="O440" s="118"/>
      <c r="P440" s="119"/>
      <c r="Q440" s="120"/>
      <c r="R440" s="80"/>
      <c r="S440" s="126"/>
      <c r="T440" s="81"/>
      <c r="U440" s="118"/>
      <c r="V440" s="121"/>
      <c r="W440" s="122"/>
      <c r="X440" s="123"/>
      <c r="Y440" s="80"/>
      <c r="Z440" s="81"/>
      <c r="AA440" s="124"/>
      <c r="AB440" s="65"/>
      <c r="AE440" s="37"/>
      <c r="AF440" s="36"/>
      <c r="AG440" s="36"/>
      <c r="AP440" s="125"/>
      <c r="AQ440" s="118"/>
      <c r="AR440" s="119"/>
      <c r="AS440" s="120"/>
      <c r="AT440" s="80"/>
      <c r="AU440" s="81"/>
      <c r="AV440" s="118"/>
      <c r="AW440" s="121"/>
      <c r="AX440" s="122"/>
      <c r="AY440" s="123"/>
      <c r="AZ440" s="80"/>
      <c r="BA440" s="81"/>
      <c r="BB440" s="124"/>
      <c r="BF440" s="37"/>
      <c r="BG440" s="36"/>
      <c r="BH440" s="36"/>
    </row>
    <row r="441" spans="4:60" s="46" customFormat="1" ht="15">
      <c r="D441" s="68"/>
      <c r="N441" s="117"/>
      <c r="O441" s="118"/>
      <c r="P441" s="119"/>
      <c r="Q441" s="120"/>
      <c r="R441" s="80"/>
      <c r="S441" s="126"/>
      <c r="T441" s="81"/>
      <c r="U441" s="118"/>
      <c r="V441" s="121"/>
      <c r="W441" s="122"/>
      <c r="X441" s="123"/>
      <c r="Y441" s="80"/>
      <c r="Z441" s="81"/>
      <c r="AA441" s="124"/>
      <c r="AB441" s="65"/>
      <c r="AE441" s="37"/>
      <c r="AF441" s="36"/>
      <c r="AG441" s="36"/>
      <c r="AP441" s="125"/>
      <c r="AQ441" s="118"/>
      <c r="AR441" s="119"/>
      <c r="AS441" s="120"/>
      <c r="AT441" s="80"/>
      <c r="AU441" s="81"/>
      <c r="AV441" s="118"/>
      <c r="AW441" s="121"/>
      <c r="AX441" s="122"/>
      <c r="AY441" s="123"/>
      <c r="AZ441" s="80"/>
      <c r="BA441" s="81"/>
      <c r="BB441" s="124"/>
      <c r="BF441" s="37"/>
      <c r="BG441" s="36"/>
      <c r="BH441" s="36"/>
    </row>
    <row r="442" spans="4:60" s="46" customFormat="1" ht="15">
      <c r="D442" s="68"/>
      <c r="N442" s="117"/>
      <c r="O442" s="118"/>
      <c r="P442" s="119"/>
      <c r="Q442" s="120"/>
      <c r="R442" s="80"/>
      <c r="S442" s="126"/>
      <c r="T442" s="81"/>
      <c r="U442" s="118"/>
      <c r="V442" s="121"/>
      <c r="W442" s="122"/>
      <c r="X442" s="123"/>
      <c r="Y442" s="80"/>
      <c r="Z442" s="81"/>
      <c r="AA442" s="124"/>
      <c r="AB442" s="65"/>
      <c r="AE442" s="37"/>
      <c r="AF442" s="36"/>
      <c r="AG442" s="36"/>
      <c r="AP442" s="125"/>
      <c r="AQ442" s="118"/>
      <c r="AR442" s="119"/>
      <c r="AS442" s="120"/>
      <c r="AT442" s="80"/>
      <c r="AU442" s="81"/>
      <c r="AV442" s="118"/>
      <c r="AW442" s="121"/>
      <c r="AX442" s="122"/>
      <c r="AY442" s="123"/>
      <c r="AZ442" s="80"/>
      <c r="BA442" s="81"/>
      <c r="BB442" s="124"/>
      <c r="BF442" s="37"/>
      <c r="BG442" s="36"/>
      <c r="BH442" s="36"/>
    </row>
    <row r="443" spans="4:60" s="46" customFormat="1" ht="15">
      <c r="D443" s="68"/>
      <c r="N443" s="117"/>
      <c r="O443" s="118"/>
      <c r="P443" s="119"/>
      <c r="Q443" s="120"/>
      <c r="R443" s="80"/>
      <c r="S443" s="126"/>
      <c r="T443" s="81"/>
      <c r="U443" s="118"/>
      <c r="V443" s="121"/>
      <c r="W443" s="122"/>
      <c r="X443" s="123"/>
      <c r="Y443" s="80"/>
      <c r="Z443" s="81"/>
      <c r="AA443" s="124"/>
      <c r="AB443" s="65"/>
      <c r="AE443" s="37"/>
      <c r="AF443" s="36"/>
      <c r="AG443" s="36"/>
      <c r="AP443" s="125"/>
      <c r="AQ443" s="118"/>
      <c r="AR443" s="119"/>
      <c r="AS443" s="120"/>
      <c r="AT443" s="80"/>
      <c r="AU443" s="81"/>
      <c r="AV443" s="118"/>
      <c r="AW443" s="121"/>
      <c r="AX443" s="122"/>
      <c r="AY443" s="123"/>
      <c r="AZ443" s="80"/>
      <c r="BA443" s="81"/>
      <c r="BB443" s="124"/>
      <c r="BF443" s="37"/>
      <c r="BG443" s="36"/>
      <c r="BH443" s="36"/>
    </row>
    <row r="444" spans="4:60" s="46" customFormat="1" ht="15">
      <c r="D444" s="68"/>
      <c r="N444" s="117"/>
      <c r="O444" s="118"/>
      <c r="P444" s="119"/>
      <c r="Q444" s="120"/>
      <c r="R444" s="80"/>
      <c r="S444" s="126"/>
      <c r="T444" s="81"/>
      <c r="U444" s="118"/>
      <c r="V444" s="121"/>
      <c r="W444" s="122"/>
      <c r="X444" s="123"/>
      <c r="Y444" s="80"/>
      <c r="Z444" s="81"/>
      <c r="AA444" s="124"/>
      <c r="AB444" s="65"/>
      <c r="AE444" s="37"/>
      <c r="AF444" s="36"/>
      <c r="AG444" s="36"/>
      <c r="AP444" s="125"/>
      <c r="AQ444" s="118"/>
      <c r="AR444" s="119"/>
      <c r="AS444" s="120"/>
      <c r="AT444" s="80"/>
      <c r="AU444" s="81"/>
      <c r="AV444" s="118"/>
      <c r="AW444" s="121"/>
      <c r="AX444" s="122"/>
      <c r="AY444" s="123"/>
      <c r="AZ444" s="80"/>
      <c r="BA444" s="81"/>
      <c r="BB444" s="124"/>
      <c r="BF444" s="37"/>
      <c r="BG444" s="36"/>
      <c r="BH444" s="36"/>
    </row>
    <row r="445" spans="4:60" s="46" customFormat="1" ht="15">
      <c r="D445" s="68"/>
      <c r="N445" s="117"/>
      <c r="O445" s="118"/>
      <c r="P445" s="119"/>
      <c r="Q445" s="120"/>
      <c r="R445" s="80"/>
      <c r="S445" s="126"/>
      <c r="T445" s="81"/>
      <c r="U445" s="118"/>
      <c r="V445" s="121"/>
      <c r="W445" s="122"/>
      <c r="X445" s="123"/>
      <c r="Y445" s="80"/>
      <c r="Z445" s="81"/>
      <c r="AA445" s="124"/>
      <c r="AB445" s="65"/>
      <c r="AE445" s="37"/>
      <c r="AF445" s="36"/>
      <c r="AG445" s="36"/>
      <c r="AP445" s="125"/>
      <c r="AQ445" s="118"/>
      <c r="AR445" s="119"/>
      <c r="AS445" s="120"/>
      <c r="AT445" s="80"/>
      <c r="AU445" s="81"/>
      <c r="AV445" s="118"/>
      <c r="AW445" s="121"/>
      <c r="AX445" s="122"/>
      <c r="AY445" s="123"/>
      <c r="AZ445" s="80"/>
      <c r="BA445" s="81"/>
      <c r="BB445" s="124"/>
      <c r="BF445" s="37"/>
      <c r="BG445" s="36"/>
      <c r="BH445" s="36"/>
    </row>
    <row r="446" spans="4:60" s="46" customFormat="1" ht="15">
      <c r="D446" s="68"/>
      <c r="N446" s="117"/>
      <c r="O446" s="118"/>
      <c r="P446" s="119"/>
      <c r="Q446" s="120"/>
      <c r="R446" s="80"/>
      <c r="S446" s="126"/>
      <c r="T446" s="81"/>
      <c r="U446" s="118"/>
      <c r="V446" s="121"/>
      <c r="W446" s="122"/>
      <c r="X446" s="123"/>
      <c r="Y446" s="80"/>
      <c r="Z446" s="81"/>
      <c r="AA446" s="124"/>
      <c r="AB446" s="65"/>
      <c r="AE446" s="37"/>
      <c r="AF446" s="36"/>
      <c r="AG446" s="36"/>
      <c r="AP446" s="125"/>
      <c r="AQ446" s="118"/>
      <c r="AR446" s="119"/>
      <c r="AS446" s="120"/>
      <c r="AT446" s="80"/>
      <c r="AU446" s="81"/>
      <c r="AV446" s="118"/>
      <c r="AW446" s="121"/>
      <c r="AX446" s="122"/>
      <c r="AY446" s="123"/>
      <c r="AZ446" s="80"/>
      <c r="BA446" s="81"/>
      <c r="BB446" s="124"/>
      <c r="BF446" s="37"/>
      <c r="BG446" s="36"/>
      <c r="BH446" s="36"/>
    </row>
    <row r="447" spans="4:60" s="46" customFormat="1" ht="15">
      <c r="D447" s="68"/>
      <c r="N447" s="117"/>
      <c r="O447" s="118"/>
      <c r="P447" s="119"/>
      <c r="Q447" s="120"/>
      <c r="R447" s="80"/>
      <c r="S447" s="126"/>
      <c r="T447" s="81"/>
      <c r="U447" s="118"/>
      <c r="V447" s="121"/>
      <c r="W447" s="122"/>
      <c r="X447" s="123"/>
      <c r="Y447" s="80"/>
      <c r="Z447" s="81"/>
      <c r="AA447" s="124"/>
      <c r="AB447" s="65"/>
      <c r="AE447" s="37"/>
      <c r="AF447" s="36"/>
      <c r="AG447" s="36"/>
      <c r="AP447" s="125"/>
      <c r="AQ447" s="118"/>
      <c r="AR447" s="119"/>
      <c r="AS447" s="120"/>
      <c r="AT447" s="80"/>
      <c r="AU447" s="81"/>
      <c r="AV447" s="118"/>
      <c r="AW447" s="121"/>
      <c r="AX447" s="122"/>
      <c r="AY447" s="123"/>
      <c r="AZ447" s="80"/>
      <c r="BA447" s="81"/>
      <c r="BB447" s="124"/>
      <c r="BF447" s="37"/>
      <c r="BG447" s="36"/>
      <c r="BH447" s="36"/>
    </row>
    <row r="448" spans="4:60" s="46" customFormat="1" ht="15">
      <c r="D448" s="68"/>
      <c r="N448" s="117"/>
      <c r="O448" s="118"/>
      <c r="P448" s="119"/>
      <c r="Q448" s="120"/>
      <c r="R448" s="80"/>
      <c r="S448" s="126"/>
      <c r="T448" s="81"/>
      <c r="U448" s="118"/>
      <c r="V448" s="121"/>
      <c r="W448" s="122"/>
      <c r="X448" s="123"/>
      <c r="Y448" s="80"/>
      <c r="Z448" s="81"/>
      <c r="AA448" s="124"/>
      <c r="AB448" s="65"/>
      <c r="AE448" s="37"/>
      <c r="AF448" s="36"/>
      <c r="AG448" s="36"/>
      <c r="AP448" s="125"/>
      <c r="AQ448" s="118"/>
      <c r="AR448" s="119"/>
      <c r="AS448" s="120"/>
      <c r="AT448" s="80"/>
      <c r="AU448" s="81"/>
      <c r="AV448" s="118"/>
      <c r="AW448" s="121"/>
      <c r="AX448" s="122"/>
      <c r="AY448" s="123"/>
      <c r="AZ448" s="80"/>
      <c r="BA448" s="81"/>
      <c r="BB448" s="124"/>
      <c r="BF448" s="37"/>
      <c r="BG448" s="36"/>
      <c r="BH448" s="36"/>
    </row>
    <row r="449" spans="2:62" s="46" customFormat="1" ht="15">
      <c r="D449" s="68"/>
      <c r="N449" s="117"/>
      <c r="O449" s="118"/>
      <c r="P449" s="119"/>
      <c r="Q449" s="120"/>
      <c r="R449" s="80"/>
      <c r="S449" s="126"/>
      <c r="T449" s="81"/>
      <c r="U449" s="118"/>
      <c r="V449" s="121"/>
      <c r="W449" s="122"/>
      <c r="X449" s="123"/>
      <c r="Y449" s="80"/>
      <c r="Z449" s="81"/>
      <c r="AA449" s="124"/>
      <c r="AB449" s="65"/>
      <c r="AE449" s="37"/>
      <c r="AF449" s="36"/>
      <c r="AG449" s="36"/>
      <c r="AP449" s="125"/>
      <c r="AQ449" s="118"/>
      <c r="AR449" s="119"/>
      <c r="AS449" s="120"/>
      <c r="AT449" s="80"/>
      <c r="AU449" s="81"/>
      <c r="AV449" s="118"/>
      <c r="AW449" s="121"/>
      <c r="AX449" s="122"/>
      <c r="AY449" s="123"/>
      <c r="AZ449" s="80"/>
      <c r="BA449" s="81"/>
      <c r="BB449" s="124"/>
      <c r="BF449" s="37"/>
      <c r="BG449" s="36"/>
      <c r="BH449" s="36"/>
    </row>
    <row r="450" spans="2:62" s="46" customFormat="1" ht="15">
      <c r="D450" s="68"/>
      <c r="N450" s="117"/>
      <c r="O450" s="118"/>
      <c r="P450" s="119"/>
      <c r="Q450" s="120"/>
      <c r="R450" s="80"/>
      <c r="S450" s="126"/>
      <c r="T450" s="81"/>
      <c r="U450" s="118"/>
      <c r="V450" s="121"/>
      <c r="W450" s="122"/>
      <c r="X450" s="123"/>
      <c r="Y450" s="80"/>
      <c r="Z450" s="81"/>
      <c r="AA450" s="124"/>
      <c r="AB450" s="65"/>
      <c r="AE450" s="37"/>
      <c r="AF450" s="36"/>
      <c r="AG450" s="36"/>
      <c r="AP450" s="125"/>
      <c r="AQ450" s="118"/>
      <c r="AR450" s="119"/>
      <c r="AS450" s="120"/>
      <c r="AT450" s="80"/>
      <c r="AU450" s="81"/>
      <c r="AV450" s="118"/>
      <c r="AW450" s="121"/>
      <c r="AX450" s="122"/>
      <c r="AY450" s="123"/>
      <c r="AZ450" s="80"/>
      <c r="BA450" s="81"/>
      <c r="BB450" s="124"/>
      <c r="BF450" s="37"/>
      <c r="BG450" s="36"/>
      <c r="BH450" s="36"/>
    </row>
    <row r="451" spans="2:62" s="46" customFormat="1" ht="15">
      <c r="B451" s="128"/>
      <c r="D451" s="68"/>
      <c r="N451" s="117"/>
      <c r="O451" s="118"/>
      <c r="P451" s="119"/>
      <c r="Q451" s="120"/>
      <c r="R451" s="80"/>
      <c r="S451" s="126"/>
      <c r="T451" s="81"/>
      <c r="U451" s="118"/>
      <c r="V451" s="121"/>
      <c r="W451" s="122"/>
      <c r="X451" s="123"/>
      <c r="Y451" s="80"/>
      <c r="Z451" s="81"/>
      <c r="AA451" s="124"/>
      <c r="AB451" s="65"/>
      <c r="AE451" s="37"/>
      <c r="AF451" s="36"/>
      <c r="AG451" s="36"/>
      <c r="AP451" s="125"/>
      <c r="AQ451" s="118"/>
      <c r="AR451" s="119"/>
      <c r="AS451" s="120"/>
      <c r="AT451" s="80"/>
      <c r="AU451" s="81"/>
      <c r="AV451" s="118"/>
      <c r="AW451" s="121"/>
      <c r="AX451" s="122"/>
      <c r="AY451" s="123"/>
      <c r="AZ451" s="42"/>
      <c r="BA451" s="81"/>
      <c r="BB451" s="124"/>
      <c r="BF451" s="37"/>
      <c r="BG451" s="36"/>
      <c r="BH451" s="36"/>
    </row>
    <row r="452" spans="2:62" s="46" customFormat="1" ht="15">
      <c r="D452" s="68"/>
      <c r="N452" s="117"/>
      <c r="O452" s="118"/>
      <c r="P452" s="119"/>
      <c r="Q452" s="120"/>
      <c r="R452" s="80"/>
      <c r="S452" s="126"/>
      <c r="T452" s="81"/>
      <c r="U452" s="118"/>
      <c r="V452" s="121"/>
      <c r="W452" s="122"/>
      <c r="X452" s="123"/>
      <c r="Y452" s="80"/>
      <c r="Z452" s="81"/>
      <c r="AA452" s="124"/>
      <c r="AB452" s="65"/>
      <c r="AE452" s="37"/>
      <c r="AF452" s="36"/>
      <c r="AG452" s="36"/>
      <c r="AP452" s="125"/>
      <c r="AQ452" s="118"/>
      <c r="AR452" s="119"/>
      <c r="AS452" s="120"/>
      <c r="AT452" s="80"/>
      <c r="AU452" s="81"/>
      <c r="AV452" s="118"/>
      <c r="AW452" s="121"/>
      <c r="AX452" s="122"/>
      <c r="AY452" s="123"/>
      <c r="AZ452" s="80"/>
      <c r="BA452" s="81"/>
      <c r="BB452" s="124"/>
      <c r="BF452" s="37"/>
      <c r="BG452" s="36"/>
      <c r="BH452" s="36"/>
    </row>
    <row r="453" spans="2:62" s="46" customFormat="1" ht="15">
      <c r="D453" s="68"/>
      <c r="N453" s="117"/>
      <c r="O453" s="118"/>
      <c r="P453" s="119"/>
      <c r="Q453" s="120"/>
      <c r="R453" s="80"/>
      <c r="S453" s="126"/>
      <c r="T453" s="81"/>
      <c r="U453" s="118"/>
      <c r="V453" s="121"/>
      <c r="W453" s="122"/>
      <c r="X453" s="123"/>
      <c r="Y453" s="80"/>
      <c r="Z453" s="81"/>
      <c r="AA453" s="124"/>
      <c r="AB453" s="65"/>
      <c r="AE453" s="37"/>
      <c r="AF453" s="36"/>
      <c r="AG453" s="36"/>
      <c r="AP453" s="125"/>
      <c r="AQ453" s="118"/>
      <c r="AR453" s="119"/>
      <c r="AS453" s="120"/>
      <c r="AT453" s="80"/>
      <c r="AU453" s="81"/>
      <c r="AV453" s="118"/>
      <c r="AW453" s="121"/>
      <c r="AX453" s="122"/>
      <c r="AY453" s="123"/>
      <c r="AZ453" s="80"/>
      <c r="BA453" s="81"/>
      <c r="BB453" s="124"/>
      <c r="BF453" s="37"/>
      <c r="BG453" s="36"/>
      <c r="BH453" s="36"/>
    </row>
    <row r="454" spans="2:62" s="46" customFormat="1" ht="15">
      <c r="D454" s="68"/>
      <c r="N454" s="117"/>
      <c r="O454" s="118"/>
      <c r="P454" s="119"/>
      <c r="Q454" s="120"/>
      <c r="R454" s="80"/>
      <c r="S454" s="126"/>
      <c r="T454" s="81"/>
      <c r="U454" s="118"/>
      <c r="V454" s="121"/>
      <c r="W454" s="122"/>
      <c r="X454" s="123"/>
      <c r="Y454" s="80"/>
      <c r="Z454" s="81"/>
      <c r="AA454" s="124"/>
      <c r="AB454" s="65"/>
      <c r="AE454" s="37"/>
      <c r="AF454" s="36"/>
      <c r="AG454" s="36"/>
      <c r="AP454" s="125"/>
      <c r="AQ454" s="118"/>
      <c r="AR454" s="119"/>
      <c r="AS454" s="120"/>
      <c r="AT454" s="80"/>
      <c r="AU454" s="81"/>
      <c r="AV454" s="118"/>
      <c r="AW454" s="121"/>
      <c r="AX454" s="122"/>
      <c r="AY454" s="123"/>
      <c r="AZ454" s="80"/>
      <c r="BA454" s="81"/>
      <c r="BB454" s="124"/>
      <c r="BF454" s="37"/>
      <c r="BG454" s="36"/>
      <c r="BH454" s="36"/>
    </row>
    <row r="455" spans="2:62" s="46" customFormat="1" ht="15">
      <c r="D455" s="68"/>
      <c r="N455" s="117"/>
      <c r="O455" s="118"/>
      <c r="P455" s="119"/>
      <c r="Q455" s="120"/>
      <c r="R455" s="80"/>
      <c r="S455" s="126"/>
      <c r="T455" s="81"/>
      <c r="U455" s="118"/>
      <c r="V455" s="121"/>
      <c r="W455" s="122"/>
      <c r="X455" s="123"/>
      <c r="Y455" s="80"/>
      <c r="Z455" s="81"/>
      <c r="AA455" s="124"/>
      <c r="AB455" s="65"/>
      <c r="AE455" s="37"/>
      <c r="AF455" s="36"/>
      <c r="AG455" s="36"/>
      <c r="AP455" s="125"/>
      <c r="AQ455" s="118"/>
      <c r="AR455" s="119"/>
      <c r="AS455" s="120"/>
      <c r="AT455" s="80"/>
      <c r="AU455" s="81"/>
      <c r="AV455" s="118"/>
      <c r="AW455" s="121"/>
      <c r="AX455" s="122"/>
      <c r="AY455" s="123"/>
      <c r="AZ455" s="80"/>
      <c r="BA455" s="81"/>
      <c r="BB455" s="124"/>
      <c r="BF455" s="37"/>
      <c r="BG455" s="36"/>
      <c r="BH455" s="36"/>
    </row>
    <row r="456" spans="2:62" s="46" customFormat="1" ht="15">
      <c r="D456" s="68"/>
      <c r="N456" s="117"/>
      <c r="O456" s="118"/>
      <c r="P456" s="119"/>
      <c r="Q456" s="120"/>
      <c r="R456" s="80"/>
      <c r="S456" s="126"/>
      <c r="T456" s="81"/>
      <c r="U456" s="118"/>
      <c r="V456" s="121"/>
      <c r="W456" s="122"/>
      <c r="X456" s="123"/>
      <c r="Y456" s="80"/>
      <c r="Z456" s="81"/>
      <c r="AA456" s="124"/>
      <c r="AB456" s="65"/>
      <c r="AE456" s="37"/>
      <c r="AF456" s="36"/>
      <c r="AG456" s="36"/>
      <c r="AP456" s="125"/>
      <c r="AQ456" s="118"/>
      <c r="AR456" s="119"/>
      <c r="AS456" s="120"/>
      <c r="AT456" s="80"/>
      <c r="AU456" s="81"/>
      <c r="AV456" s="118"/>
      <c r="AW456" s="121"/>
      <c r="AX456" s="122"/>
      <c r="AY456" s="123"/>
      <c r="AZ456" s="80"/>
      <c r="BA456" s="81"/>
      <c r="BB456" s="124"/>
      <c r="BF456" s="37"/>
      <c r="BG456" s="36"/>
      <c r="BH456" s="36"/>
    </row>
    <row r="457" spans="2:62" s="46" customFormat="1" ht="15">
      <c r="D457" s="68"/>
      <c r="N457" s="117"/>
      <c r="O457" s="118"/>
      <c r="P457" s="119"/>
      <c r="Q457" s="120"/>
      <c r="R457" s="80"/>
      <c r="S457" s="126"/>
      <c r="T457" s="81"/>
      <c r="U457" s="118"/>
      <c r="V457" s="121"/>
      <c r="W457" s="122"/>
      <c r="X457" s="123"/>
      <c r="Y457" s="80"/>
      <c r="Z457" s="81"/>
      <c r="AA457" s="124"/>
      <c r="AB457" s="65"/>
      <c r="AE457" s="37"/>
      <c r="AF457" s="36"/>
      <c r="AG457" s="36"/>
      <c r="AP457" s="125"/>
      <c r="AQ457" s="118"/>
      <c r="AR457" s="119"/>
      <c r="AS457" s="120"/>
      <c r="AT457" s="80"/>
      <c r="AU457" s="81"/>
      <c r="AV457" s="118"/>
      <c r="AW457" s="121"/>
      <c r="AX457" s="122"/>
      <c r="AY457" s="123"/>
      <c r="AZ457" s="80"/>
      <c r="BA457" s="81"/>
      <c r="BB457" s="124"/>
      <c r="BF457" s="37"/>
      <c r="BG457" s="36"/>
      <c r="BH457" s="36"/>
    </row>
    <row r="458" spans="2:62" s="46" customFormat="1" ht="15">
      <c r="D458" s="68"/>
      <c r="N458" s="117"/>
      <c r="O458" s="118"/>
      <c r="P458" s="119"/>
      <c r="Q458" s="120"/>
      <c r="R458" s="80"/>
      <c r="S458" s="126"/>
      <c r="T458" s="81"/>
      <c r="U458" s="118"/>
      <c r="V458" s="121"/>
      <c r="W458" s="122"/>
      <c r="X458" s="123"/>
      <c r="Y458" s="80"/>
      <c r="Z458" s="81"/>
      <c r="AA458" s="124"/>
      <c r="AB458" s="65"/>
      <c r="AE458" s="37"/>
      <c r="AF458" s="36"/>
      <c r="AG458" s="36"/>
      <c r="AP458" s="125"/>
      <c r="AQ458" s="118"/>
      <c r="AR458" s="119"/>
      <c r="AS458" s="120"/>
      <c r="AT458" s="80"/>
      <c r="AU458" s="81"/>
      <c r="AV458" s="118"/>
      <c r="AW458" s="121"/>
      <c r="AX458" s="122"/>
      <c r="AY458" s="123"/>
      <c r="AZ458" s="80"/>
      <c r="BA458" s="81"/>
      <c r="BB458" s="124"/>
      <c r="BF458" s="37"/>
      <c r="BG458" s="36"/>
      <c r="BH458" s="36"/>
    </row>
    <row r="459" spans="2:62" s="46" customFormat="1" ht="15">
      <c r="D459" s="68"/>
      <c r="N459" s="117"/>
      <c r="O459" s="118"/>
      <c r="P459" s="119"/>
      <c r="Q459" s="120"/>
      <c r="R459" s="80"/>
      <c r="S459" s="126"/>
      <c r="T459" s="81"/>
      <c r="U459" s="118"/>
      <c r="V459" s="121"/>
      <c r="W459" s="122"/>
      <c r="X459" s="123"/>
      <c r="Y459" s="80"/>
      <c r="Z459" s="81"/>
      <c r="AA459" s="124"/>
      <c r="AB459" s="65"/>
      <c r="AE459" s="37"/>
      <c r="AF459" s="36"/>
      <c r="AG459" s="36"/>
      <c r="AP459" s="125"/>
      <c r="AQ459" s="118"/>
      <c r="AR459" s="119"/>
      <c r="AS459" s="120"/>
      <c r="AT459" s="80"/>
      <c r="AU459" s="81"/>
      <c r="AV459" s="118"/>
      <c r="AW459" s="121"/>
      <c r="AX459" s="122"/>
      <c r="AY459" s="123"/>
      <c r="AZ459" s="80"/>
      <c r="BA459" s="81"/>
      <c r="BB459" s="124"/>
      <c r="BF459" s="37"/>
      <c r="BG459" s="36"/>
      <c r="BH459" s="36"/>
    </row>
    <row r="460" spans="2:62" s="46" customFormat="1" ht="15">
      <c r="D460" s="68"/>
      <c r="N460" s="117"/>
      <c r="O460" s="118"/>
      <c r="P460" s="119"/>
      <c r="Q460" s="120"/>
      <c r="R460" s="80"/>
      <c r="S460" s="126"/>
      <c r="T460" s="81"/>
      <c r="U460" s="118"/>
      <c r="V460" s="121"/>
      <c r="W460" s="122"/>
      <c r="X460" s="123"/>
      <c r="Y460" s="80"/>
      <c r="Z460" s="81"/>
      <c r="AA460" s="124"/>
      <c r="AB460" s="65"/>
      <c r="AE460" s="37"/>
      <c r="AF460" s="36"/>
      <c r="AG460" s="36"/>
      <c r="AP460" s="125"/>
      <c r="AQ460" s="118"/>
      <c r="AR460" s="119"/>
      <c r="AS460" s="120"/>
      <c r="AT460" s="80"/>
      <c r="AU460" s="81"/>
      <c r="AV460" s="118"/>
      <c r="AW460" s="121"/>
      <c r="AX460" s="122"/>
      <c r="AY460" s="123"/>
      <c r="AZ460" s="80"/>
      <c r="BA460" s="81"/>
      <c r="BB460" s="124"/>
      <c r="BF460" s="37"/>
      <c r="BG460" s="36"/>
      <c r="BH460" s="36"/>
    </row>
    <row r="461" spans="2:62" s="46" customFormat="1" ht="15">
      <c r="D461" s="68"/>
      <c r="N461" s="117"/>
      <c r="O461" s="118"/>
      <c r="P461" s="119"/>
      <c r="Q461" s="120"/>
      <c r="R461" s="80"/>
      <c r="S461" s="126"/>
      <c r="T461" s="81"/>
      <c r="U461" s="118"/>
      <c r="V461" s="121"/>
      <c r="W461" s="122"/>
      <c r="X461" s="123"/>
      <c r="Y461" s="80"/>
      <c r="Z461" s="81"/>
      <c r="AA461" s="124"/>
      <c r="AB461" s="65"/>
      <c r="AE461" s="37"/>
      <c r="AF461" s="36"/>
      <c r="AG461" s="36"/>
      <c r="AP461" s="125"/>
      <c r="AQ461" s="118"/>
      <c r="AR461" s="119"/>
      <c r="AS461" s="120"/>
      <c r="AT461" s="80"/>
      <c r="AU461" s="81"/>
      <c r="AV461" s="118"/>
      <c r="AW461" s="121"/>
      <c r="AX461" s="122"/>
      <c r="AY461" s="123"/>
      <c r="AZ461" s="80"/>
      <c r="BA461" s="81"/>
      <c r="BB461" s="124"/>
      <c r="BF461" s="37"/>
      <c r="BG461" s="36"/>
      <c r="BH461" s="36"/>
    </row>
    <row r="462" spans="2:62" s="46" customFormat="1" ht="15">
      <c r="D462" s="68"/>
      <c r="N462" s="117"/>
      <c r="O462" s="118"/>
      <c r="P462" s="119"/>
      <c r="Q462" s="120"/>
      <c r="R462" s="80"/>
      <c r="S462" s="126"/>
      <c r="T462" s="81"/>
      <c r="U462" s="118"/>
      <c r="V462" s="121"/>
      <c r="W462" s="122"/>
      <c r="X462" s="123"/>
      <c r="Y462" s="80"/>
      <c r="Z462" s="81"/>
      <c r="AA462" s="124"/>
      <c r="AB462" s="65"/>
      <c r="AE462" s="37"/>
      <c r="AF462" s="36"/>
      <c r="AG462" s="36"/>
      <c r="AP462" s="125"/>
      <c r="AQ462" s="118"/>
      <c r="AR462" s="119"/>
      <c r="AS462" s="120"/>
      <c r="AT462" s="80"/>
      <c r="AU462" s="81"/>
      <c r="AV462" s="118"/>
      <c r="AW462" s="121"/>
      <c r="AX462" s="122"/>
      <c r="AY462" s="123"/>
      <c r="AZ462" s="80"/>
      <c r="BA462" s="81"/>
      <c r="BB462" s="124"/>
      <c r="BF462" s="37"/>
      <c r="BG462" s="36"/>
      <c r="BH462" s="36"/>
      <c r="BJ462" s="46" t="s">
        <v>5837</v>
      </c>
    </row>
    <row r="463" spans="2:62" s="46" customFormat="1" ht="15">
      <c r="D463" s="68"/>
      <c r="N463" s="117"/>
      <c r="O463" s="118"/>
      <c r="P463" s="119"/>
      <c r="Q463" s="120"/>
      <c r="R463" s="80"/>
      <c r="S463" s="126"/>
      <c r="T463" s="81"/>
      <c r="U463" s="118"/>
      <c r="V463" s="121"/>
      <c r="W463" s="122"/>
      <c r="X463" s="123"/>
      <c r="Y463" s="80"/>
      <c r="Z463" s="81"/>
      <c r="AA463" s="124"/>
      <c r="AB463" s="65"/>
      <c r="AE463" s="37"/>
      <c r="AF463" s="36"/>
      <c r="AG463" s="36"/>
      <c r="AP463" s="125"/>
      <c r="AQ463" s="118"/>
      <c r="AR463" s="119"/>
      <c r="AS463" s="120"/>
      <c r="AT463" s="80"/>
      <c r="AU463" s="81"/>
      <c r="AV463" s="118"/>
      <c r="AW463" s="121"/>
      <c r="AX463" s="122"/>
      <c r="AY463" s="123"/>
      <c r="AZ463" s="80"/>
      <c r="BA463" s="81"/>
      <c r="BB463" s="124"/>
      <c r="BF463" s="37"/>
      <c r="BG463" s="36"/>
      <c r="BH463" s="36"/>
    </row>
    <row r="464" spans="2:62" s="46" customFormat="1" ht="15">
      <c r="D464" s="68"/>
      <c r="N464" s="117"/>
      <c r="O464" s="118"/>
      <c r="P464" s="119"/>
      <c r="Q464" s="120"/>
      <c r="R464" s="80"/>
      <c r="S464" s="126"/>
      <c r="T464" s="81"/>
      <c r="U464" s="118"/>
      <c r="V464" s="121"/>
      <c r="W464" s="122"/>
      <c r="X464" s="123"/>
      <c r="Y464" s="80"/>
      <c r="Z464" s="81"/>
      <c r="AA464" s="124"/>
      <c r="AB464" s="65"/>
      <c r="AE464" s="37"/>
      <c r="AF464" s="36"/>
      <c r="AG464" s="36"/>
      <c r="AP464" s="125"/>
      <c r="AQ464" s="118"/>
      <c r="AR464" s="119"/>
      <c r="AS464" s="120"/>
      <c r="AT464" s="80"/>
      <c r="AU464" s="81"/>
      <c r="AV464" s="118"/>
      <c r="AW464" s="121"/>
      <c r="AX464" s="122"/>
      <c r="AY464" s="123"/>
      <c r="AZ464" s="80"/>
      <c r="BA464" s="81"/>
      <c r="BB464" s="124"/>
      <c r="BF464" s="37"/>
      <c r="BG464" s="36"/>
      <c r="BH464" s="36"/>
    </row>
    <row r="465" spans="4:60" s="46" customFormat="1" ht="15">
      <c r="D465" s="68"/>
      <c r="N465" s="117"/>
      <c r="O465" s="118"/>
      <c r="P465" s="119"/>
      <c r="Q465" s="120"/>
      <c r="R465" s="80"/>
      <c r="S465" s="126"/>
      <c r="T465" s="81"/>
      <c r="U465" s="118"/>
      <c r="V465" s="121"/>
      <c r="W465" s="122"/>
      <c r="X465" s="123"/>
      <c r="Y465" s="80"/>
      <c r="Z465" s="81"/>
      <c r="AA465" s="124"/>
      <c r="AB465" s="65"/>
      <c r="AE465" s="37"/>
      <c r="AF465" s="36"/>
      <c r="AG465" s="36"/>
      <c r="AP465" s="125"/>
      <c r="AQ465" s="118"/>
      <c r="AR465" s="119"/>
      <c r="AS465" s="120"/>
      <c r="AT465" s="80"/>
      <c r="AU465" s="81"/>
      <c r="AV465" s="118"/>
      <c r="AW465" s="121"/>
      <c r="AX465" s="122"/>
      <c r="AY465" s="123"/>
      <c r="AZ465" s="80"/>
      <c r="BA465" s="81"/>
      <c r="BB465" s="124"/>
      <c r="BF465" s="37"/>
      <c r="BG465" s="36"/>
      <c r="BH465" s="36"/>
    </row>
    <row r="466" spans="4:60" s="46" customFormat="1" ht="15">
      <c r="D466" s="68"/>
      <c r="N466" s="117"/>
      <c r="O466" s="118"/>
      <c r="P466" s="119"/>
      <c r="Q466" s="120"/>
      <c r="R466" s="80"/>
      <c r="S466" s="126"/>
      <c r="T466" s="81"/>
      <c r="U466" s="118"/>
      <c r="V466" s="121"/>
      <c r="W466" s="122"/>
      <c r="X466" s="123"/>
      <c r="Y466" s="80"/>
      <c r="Z466" s="81"/>
      <c r="AA466" s="124"/>
      <c r="AB466" s="65"/>
      <c r="AE466" s="37"/>
      <c r="AF466" s="36"/>
      <c r="AG466" s="36"/>
      <c r="AP466" s="125"/>
      <c r="AQ466" s="118"/>
      <c r="AR466" s="119"/>
      <c r="AS466" s="120"/>
      <c r="AT466" s="80"/>
      <c r="AU466" s="81"/>
      <c r="AV466" s="118"/>
      <c r="AW466" s="121"/>
      <c r="AX466" s="122"/>
      <c r="AY466" s="123"/>
      <c r="AZ466" s="80"/>
      <c r="BA466" s="81"/>
      <c r="BB466" s="124"/>
      <c r="BF466" s="37"/>
      <c r="BG466" s="36"/>
      <c r="BH466" s="36"/>
    </row>
    <row r="467" spans="4:60">
      <c r="AP467" s="86"/>
      <c r="AQ467" s="88"/>
      <c r="AR467" s="89"/>
      <c r="AS467" s="90"/>
      <c r="AV467" s="88"/>
      <c r="AW467" s="96"/>
      <c r="AX467" s="97"/>
      <c r="AY467" s="93"/>
      <c r="BB467" s="94"/>
    </row>
    <row r="468" spans="4:60">
      <c r="AP468" s="86"/>
      <c r="AQ468" s="88"/>
      <c r="AR468" s="89"/>
      <c r="AS468" s="90"/>
      <c r="AV468" s="88"/>
      <c r="AW468" s="96"/>
      <c r="AX468" s="97"/>
      <c r="AY468" s="93"/>
      <c r="BB468" s="94"/>
    </row>
    <row r="469" spans="4:60">
      <c r="AP469" s="86"/>
      <c r="AQ469" s="88"/>
      <c r="AR469" s="89"/>
      <c r="AS469" s="90"/>
      <c r="AV469" s="88"/>
      <c r="AW469" s="96"/>
      <c r="AX469" s="97"/>
      <c r="AY469" s="93"/>
      <c r="BB469" s="94"/>
    </row>
    <row r="470" spans="4:60">
      <c r="AP470" s="86"/>
      <c r="AQ470" s="88"/>
      <c r="AR470" s="89"/>
      <c r="AS470" s="90"/>
      <c r="AV470" s="88"/>
      <c r="AW470" s="96"/>
      <c r="AX470" s="97"/>
      <c r="AY470" s="93"/>
      <c r="BB470" s="94"/>
    </row>
    <row r="471" spans="4:60">
      <c r="AP471" s="86"/>
      <c r="AQ471" s="88"/>
      <c r="AR471" s="89"/>
      <c r="AS471" s="90"/>
      <c r="AV471" s="88"/>
      <c r="AW471" s="96"/>
      <c r="AX471" s="97"/>
      <c r="AY471" s="93"/>
      <c r="BB471" s="94"/>
    </row>
    <row r="472" spans="4:60">
      <c r="AP472" s="86"/>
      <c r="AQ472" s="88"/>
      <c r="AR472" s="89"/>
      <c r="AS472" s="90"/>
      <c r="AV472" s="88"/>
      <c r="AW472" s="96"/>
      <c r="AX472" s="97"/>
      <c r="AY472" s="93"/>
      <c r="BB472" s="94"/>
    </row>
    <row r="473" spans="4:60">
      <c r="AP473" s="86"/>
      <c r="AQ473" s="88"/>
      <c r="AR473" s="89"/>
      <c r="AS473" s="90"/>
      <c r="AV473" s="88"/>
      <c r="AW473" s="96"/>
      <c r="AX473" s="97"/>
      <c r="AY473" s="93"/>
      <c r="BB473" s="94"/>
    </row>
    <row r="474" spans="4:60">
      <c r="AP474" s="86"/>
      <c r="AQ474" s="88"/>
      <c r="AR474" s="89"/>
      <c r="AS474" s="90"/>
      <c r="AV474" s="88"/>
      <c r="AW474" s="96"/>
      <c r="AX474" s="97"/>
      <c r="AY474" s="93"/>
      <c r="BB474" s="94"/>
    </row>
    <row r="475" spans="4:60">
      <c r="AP475" s="86"/>
      <c r="AQ475" s="88"/>
      <c r="AR475" s="89"/>
      <c r="AS475" s="90"/>
      <c r="AV475" s="88"/>
      <c r="AW475" s="96"/>
      <c r="AX475" s="97"/>
      <c r="AY475" s="93"/>
      <c r="BB475" s="94"/>
    </row>
    <row r="476" spans="4:60">
      <c r="AP476" s="86"/>
      <c r="AQ476" s="88"/>
      <c r="AR476" s="89"/>
      <c r="AS476" s="90"/>
      <c r="AV476" s="88"/>
      <c r="AW476" s="96"/>
      <c r="AX476" s="97"/>
      <c r="AY476" s="93"/>
      <c r="BB476" s="94"/>
    </row>
    <row r="477" spans="4:60">
      <c r="AP477" s="86"/>
      <c r="AQ477" s="88"/>
      <c r="AR477" s="89"/>
      <c r="AS477" s="90"/>
      <c r="AV477" s="88"/>
      <c r="AW477" s="96"/>
      <c r="AX477" s="97"/>
      <c r="AY477" s="93"/>
      <c r="BB477" s="94"/>
    </row>
    <row r="478" spans="4:60">
      <c r="AP478" s="86"/>
      <c r="AQ478" s="88"/>
      <c r="AR478" s="89"/>
      <c r="AS478" s="90"/>
      <c r="AV478" s="88"/>
      <c r="AW478" s="96"/>
      <c r="AX478" s="97"/>
      <c r="AY478" s="93"/>
      <c r="BB478" s="94"/>
    </row>
    <row r="479" spans="4:60">
      <c r="AP479" s="86"/>
      <c r="AQ479" s="88"/>
      <c r="AR479" s="89"/>
      <c r="AS479" s="90"/>
      <c r="AV479" s="88"/>
      <c r="AW479" s="96"/>
      <c r="AX479" s="97"/>
      <c r="AY479" s="93"/>
      <c r="BB479" s="94"/>
    </row>
    <row r="480" spans="4:60">
      <c r="AP480" s="86"/>
      <c r="AQ480" s="88"/>
      <c r="AR480" s="89"/>
      <c r="AS480" s="90"/>
      <c r="AV480" s="88"/>
      <c r="AW480" s="96"/>
      <c r="AX480" s="97"/>
      <c r="AY480" s="93"/>
      <c r="BB480" s="94"/>
    </row>
    <row r="481" spans="42:54">
      <c r="AP481" s="86"/>
      <c r="AQ481" s="88"/>
      <c r="AR481" s="89"/>
      <c r="AS481" s="90"/>
      <c r="AV481" s="88"/>
      <c r="AW481" s="96"/>
      <c r="AX481" s="97"/>
      <c r="AY481" s="93"/>
      <c r="BB481" s="94"/>
    </row>
    <row r="482" spans="42:54">
      <c r="AP482" s="86"/>
      <c r="AQ482" s="88"/>
      <c r="AR482" s="89"/>
      <c r="AS482" s="90"/>
      <c r="AV482" s="88"/>
      <c r="AW482" s="96"/>
      <c r="AX482" s="97"/>
      <c r="AY482" s="93"/>
      <c r="BB482" s="94"/>
    </row>
    <row r="483" spans="42:54">
      <c r="AP483" s="86"/>
      <c r="AQ483" s="88"/>
      <c r="AR483" s="89"/>
      <c r="AS483" s="90"/>
      <c r="AV483" s="88"/>
      <c r="AW483" s="96"/>
      <c r="AX483" s="97"/>
      <c r="AY483" s="93"/>
      <c r="BB483" s="94"/>
    </row>
    <row r="484" spans="42:54">
      <c r="AP484" s="86"/>
      <c r="AQ484" s="88"/>
      <c r="AR484" s="89"/>
      <c r="AS484" s="90"/>
      <c r="AV484" s="88"/>
      <c r="AW484" s="96"/>
      <c r="AX484" s="97"/>
      <c r="AY484" s="93"/>
      <c r="BB484" s="94"/>
    </row>
    <row r="485" spans="42:54">
      <c r="AP485" s="86"/>
      <c r="AQ485" s="88"/>
      <c r="AR485" s="89"/>
      <c r="AS485" s="90"/>
      <c r="AV485" s="88"/>
      <c r="AW485" s="96"/>
      <c r="AX485" s="97"/>
      <c r="AY485" s="93"/>
      <c r="BB485" s="94"/>
    </row>
    <row r="486" spans="42:54">
      <c r="AP486" s="86"/>
      <c r="AQ486" s="88"/>
      <c r="AR486" s="89"/>
      <c r="AS486" s="90"/>
      <c r="AV486" s="88"/>
      <c r="AW486" s="96"/>
      <c r="AX486" s="97"/>
      <c r="AY486" s="93"/>
      <c r="BB486" s="94"/>
    </row>
    <row r="487" spans="42:54">
      <c r="AP487" s="86"/>
      <c r="AQ487" s="88"/>
      <c r="AR487" s="89"/>
      <c r="AS487" s="90"/>
      <c r="AV487" s="88"/>
      <c r="AW487" s="96"/>
      <c r="AX487" s="97"/>
      <c r="AY487" s="93"/>
      <c r="BB487" s="94"/>
    </row>
    <row r="488" spans="42:54">
      <c r="AP488" s="86"/>
      <c r="AQ488" s="88"/>
      <c r="AR488" s="89"/>
      <c r="AS488" s="90"/>
      <c r="AV488" s="88"/>
      <c r="AW488" s="96"/>
      <c r="AX488" s="97"/>
      <c r="AY488" s="93"/>
      <c r="BB488" s="94"/>
    </row>
    <row r="489" spans="42:54">
      <c r="AP489" s="86"/>
      <c r="AQ489" s="88"/>
      <c r="AR489" s="89"/>
      <c r="AS489" s="90"/>
      <c r="AV489" s="88"/>
      <c r="AW489" s="96"/>
      <c r="AX489" s="97"/>
      <c r="AY489" s="93"/>
      <c r="BB489" s="94"/>
    </row>
    <row r="490" spans="42:54">
      <c r="AP490" s="86"/>
      <c r="AQ490" s="88"/>
      <c r="AR490" s="89"/>
      <c r="AS490" s="90"/>
      <c r="AV490" s="88"/>
      <c r="AW490" s="96"/>
      <c r="AX490" s="97"/>
      <c r="AY490" s="93"/>
      <c r="BB490" s="94"/>
    </row>
    <row r="491" spans="42:54">
      <c r="AP491" s="86"/>
      <c r="AQ491" s="88"/>
      <c r="AR491" s="89"/>
      <c r="AS491" s="90"/>
      <c r="AV491" s="88"/>
      <c r="AW491" s="96"/>
      <c r="AX491" s="97"/>
      <c r="AY491" s="93"/>
      <c r="BB491" s="94"/>
    </row>
    <row r="492" spans="42:54">
      <c r="AP492" s="86"/>
      <c r="AQ492" s="88"/>
      <c r="AR492" s="89"/>
      <c r="AS492" s="90"/>
      <c r="AV492" s="88"/>
      <c r="AW492" s="96"/>
      <c r="AX492" s="97"/>
      <c r="AY492" s="93"/>
      <c r="BB492" s="94"/>
    </row>
    <row r="493" spans="42:54">
      <c r="AP493" s="86"/>
      <c r="AQ493" s="88"/>
      <c r="AR493" s="89"/>
      <c r="AS493" s="90"/>
      <c r="AV493" s="88"/>
      <c r="AW493" s="96"/>
      <c r="AX493" s="97"/>
      <c r="AY493" s="93"/>
      <c r="BB493" s="94"/>
    </row>
    <row r="494" spans="42:54">
      <c r="AP494" s="86"/>
      <c r="AQ494" s="88"/>
      <c r="AR494" s="89"/>
      <c r="AS494" s="90"/>
      <c r="AV494" s="88"/>
      <c r="AW494" s="96"/>
      <c r="AX494" s="97"/>
      <c r="AY494" s="93"/>
      <c r="BB494" s="94"/>
    </row>
    <row r="495" spans="42:54">
      <c r="AP495" s="86"/>
      <c r="AQ495" s="88"/>
      <c r="AR495" s="89"/>
      <c r="AS495" s="90"/>
      <c r="AV495" s="88"/>
      <c r="AW495" s="96"/>
      <c r="AX495" s="97"/>
      <c r="AY495" s="93"/>
      <c r="BB495" s="94"/>
    </row>
    <row r="496" spans="42:54">
      <c r="AP496" s="86"/>
      <c r="AQ496" s="88"/>
      <c r="AR496" s="89"/>
      <c r="AS496" s="90"/>
      <c r="AV496" s="88"/>
      <c r="AW496" s="96"/>
      <c r="AX496" s="97"/>
      <c r="AY496" s="93"/>
      <c r="BB496" s="94"/>
    </row>
    <row r="497" spans="1:62">
      <c r="X497" s="93"/>
      <c r="AP497" s="86"/>
      <c r="AQ497" s="88"/>
      <c r="AR497" s="89"/>
      <c r="AS497" s="90"/>
      <c r="AV497" s="88"/>
      <c r="AW497" s="96"/>
      <c r="AX497" s="97"/>
      <c r="AY497" s="93"/>
      <c r="BB497" s="94"/>
      <c r="BJ497" s="46" t="s">
        <v>5837</v>
      </c>
    </row>
    <row r="498" spans="1:62">
      <c r="AP498" s="86"/>
      <c r="AQ498" s="88"/>
      <c r="AR498" s="89"/>
      <c r="AS498" s="90"/>
      <c r="AV498" s="88"/>
      <c r="AW498" s="96"/>
      <c r="AX498" s="97"/>
      <c r="AY498" s="93"/>
      <c r="BB498" s="94"/>
      <c r="BJ498" s="46" t="s">
        <v>5837</v>
      </c>
    </row>
    <row r="499" spans="1:62">
      <c r="AP499" s="86"/>
      <c r="AQ499" s="88"/>
      <c r="AR499" s="89"/>
      <c r="AS499" s="90"/>
      <c r="AV499" s="88"/>
      <c r="AW499" s="96"/>
      <c r="AX499" s="97"/>
      <c r="AY499" s="93"/>
      <c r="BB499" s="94"/>
    </row>
    <row r="500" spans="1:62">
      <c r="AP500" s="86"/>
      <c r="AQ500" s="88"/>
      <c r="AR500" s="89"/>
      <c r="AS500" s="90"/>
      <c r="AV500" s="88"/>
      <c r="AW500" s="96"/>
      <c r="AX500" s="97"/>
      <c r="AY500" s="93"/>
      <c r="BB500" s="94"/>
    </row>
    <row r="501" spans="1:62">
      <c r="AP501" s="86"/>
      <c r="AQ501" s="88"/>
      <c r="AR501" s="89"/>
      <c r="AS501" s="90"/>
      <c r="AV501" s="88"/>
      <c r="AW501" s="96"/>
      <c r="AX501" s="97"/>
      <c r="AY501" s="93"/>
      <c r="BB501" s="94"/>
    </row>
    <row r="502" spans="1:62">
      <c r="AP502" s="86"/>
      <c r="AQ502" s="88"/>
      <c r="AR502" s="89"/>
      <c r="AS502" s="90"/>
      <c r="AV502" s="88"/>
      <c r="AW502" s="96"/>
      <c r="AX502" s="97"/>
      <c r="AY502" s="93"/>
      <c r="BB502" s="94"/>
    </row>
    <row r="503" spans="1:62">
      <c r="AP503" s="86"/>
      <c r="AQ503" s="88"/>
      <c r="AR503" s="89"/>
      <c r="AS503" s="90"/>
      <c r="AV503" s="88"/>
      <c r="AW503" s="96"/>
      <c r="AX503" s="97"/>
      <c r="AY503" s="93"/>
      <c r="BB503" s="94"/>
    </row>
    <row r="504" spans="1:62">
      <c r="AP504" s="86"/>
      <c r="AQ504" s="88"/>
      <c r="AR504" s="89"/>
      <c r="AS504" s="90"/>
      <c r="AV504" s="88"/>
      <c r="AW504" s="96"/>
      <c r="AX504" s="97"/>
      <c r="AY504" s="93"/>
      <c r="BB504" s="94"/>
    </row>
    <row r="505" spans="1:62">
      <c r="AP505" s="86"/>
      <c r="AQ505" s="88"/>
      <c r="AR505" s="89"/>
      <c r="AS505" s="90"/>
      <c r="AV505" s="88"/>
      <c r="AW505" s="96"/>
      <c r="AX505" s="97"/>
      <c r="AY505" s="93"/>
      <c r="BB505" s="94"/>
    </row>
    <row r="506" spans="1:62">
      <c r="AP506" s="86"/>
      <c r="AQ506" s="88"/>
      <c r="AR506" s="89"/>
      <c r="AS506" s="90"/>
      <c r="AV506" s="88"/>
      <c r="AW506" s="96"/>
      <c r="AX506" s="97"/>
      <c r="AY506" s="93"/>
      <c r="BB506" s="94"/>
    </row>
    <row r="507" spans="1:62">
      <c r="AP507" s="86"/>
      <c r="AQ507" s="88"/>
      <c r="AR507" s="89"/>
      <c r="AS507" s="90"/>
      <c r="AV507" s="88"/>
      <c r="AW507" s="96"/>
      <c r="AX507" s="97"/>
      <c r="AY507" s="93"/>
      <c r="BB507" s="94"/>
    </row>
    <row r="508" spans="1:62" ht="15">
      <c r="A508" s="14"/>
      <c r="B508" s="146"/>
      <c r="C508" s="14"/>
      <c r="D508" s="129"/>
      <c r="E508" s="146"/>
      <c r="F508" s="146"/>
      <c r="G508" s="147"/>
      <c r="H508" s="147"/>
      <c r="I508" s="145"/>
      <c r="J508" s="147"/>
      <c r="K508" s="147"/>
      <c r="L508" s="147"/>
      <c r="M508" s="147"/>
      <c r="N508" s="132"/>
      <c r="O508" s="133"/>
      <c r="P508" s="134"/>
      <c r="Q508" s="135"/>
      <c r="R508" s="148"/>
      <c r="S508" s="148"/>
      <c r="T508" s="149"/>
      <c r="U508" s="133"/>
      <c r="V508" s="138"/>
      <c r="W508" s="139"/>
      <c r="X508" s="140"/>
      <c r="Y508" s="148"/>
      <c r="Z508" s="149"/>
      <c r="AA508" s="141"/>
      <c r="AB508" s="150"/>
      <c r="AC508" s="147"/>
      <c r="AD508" s="147"/>
      <c r="AE508" s="143"/>
      <c r="AF508" s="143"/>
      <c r="AG508" s="143"/>
      <c r="AH508" s="130"/>
      <c r="AI508" s="130"/>
      <c r="AJ508" s="130"/>
      <c r="AK508" s="130"/>
      <c r="AL508" s="130"/>
      <c r="AM508" s="130"/>
      <c r="AN508" s="130"/>
      <c r="AO508" s="130"/>
      <c r="AP508" s="145"/>
      <c r="AQ508" s="133"/>
      <c r="AR508" s="134"/>
      <c r="AS508" s="135"/>
      <c r="AT508" s="136"/>
      <c r="AU508" s="137"/>
      <c r="AV508" s="133"/>
      <c r="AW508" s="138"/>
      <c r="AX508" s="139"/>
      <c r="AY508" s="140"/>
      <c r="AZ508" s="136"/>
      <c r="BA508" s="137"/>
      <c r="BB508" s="141"/>
      <c r="BC508" s="130"/>
      <c r="BD508" s="130"/>
      <c r="BE508" s="130"/>
      <c r="BF508" s="143"/>
      <c r="BG508" s="144"/>
      <c r="BH508" s="144"/>
      <c r="BI508" s="130"/>
    </row>
    <row r="509" spans="1:62" ht="15">
      <c r="A509" s="14"/>
      <c r="B509" s="146"/>
      <c r="C509" s="14"/>
      <c r="D509" s="129"/>
      <c r="E509" s="146"/>
      <c r="F509" s="146"/>
      <c r="G509" s="147"/>
      <c r="H509" s="147"/>
      <c r="I509" s="145"/>
      <c r="J509" s="147"/>
      <c r="K509" s="147"/>
      <c r="L509" s="147"/>
      <c r="M509" s="147"/>
      <c r="N509" s="132"/>
      <c r="O509" s="133"/>
      <c r="P509" s="134"/>
      <c r="Q509" s="135"/>
      <c r="R509" s="148"/>
      <c r="S509" s="148"/>
      <c r="T509" s="149"/>
      <c r="U509" s="133"/>
      <c r="V509" s="138"/>
      <c r="W509" s="139"/>
      <c r="X509" s="140"/>
      <c r="Y509" s="148"/>
      <c r="Z509" s="149"/>
      <c r="AA509" s="141"/>
      <c r="AB509" s="150"/>
      <c r="AC509" s="147"/>
      <c r="AD509" s="147"/>
      <c r="AE509" s="143"/>
      <c r="AF509" s="143"/>
      <c r="AG509" s="143"/>
      <c r="AH509" s="130"/>
      <c r="AI509" s="130"/>
      <c r="AJ509" s="130"/>
      <c r="AK509" s="130"/>
      <c r="AL509" s="130"/>
      <c r="AM509" s="130"/>
      <c r="AN509" s="130"/>
      <c r="AO509" s="130"/>
      <c r="AP509" s="145"/>
      <c r="AQ509" s="133"/>
      <c r="AR509" s="134"/>
      <c r="AS509" s="135"/>
      <c r="AT509" s="136"/>
      <c r="AU509" s="137"/>
      <c r="AV509" s="133"/>
      <c r="AW509" s="138"/>
      <c r="AX509" s="139"/>
      <c r="AY509" s="140"/>
      <c r="AZ509" s="136"/>
      <c r="BA509" s="137"/>
      <c r="BB509" s="141"/>
      <c r="BC509" s="130"/>
      <c r="BD509" s="130"/>
      <c r="BE509" s="130"/>
      <c r="BF509" s="143"/>
      <c r="BG509" s="144"/>
      <c r="BH509" s="144"/>
      <c r="BI509" s="130"/>
    </row>
    <row r="510" spans="1:62" ht="15">
      <c r="A510" s="14"/>
      <c r="B510" s="146"/>
      <c r="C510" s="14"/>
      <c r="D510" s="129"/>
      <c r="E510" s="146"/>
      <c r="F510" s="146"/>
      <c r="G510" s="147"/>
      <c r="H510" s="147"/>
      <c r="I510" s="145"/>
      <c r="J510" s="147"/>
      <c r="K510" s="147"/>
      <c r="L510" s="147"/>
      <c r="M510" s="147"/>
      <c r="N510" s="132"/>
      <c r="O510" s="133"/>
      <c r="P510" s="134"/>
      <c r="Q510" s="135"/>
      <c r="R510" s="148"/>
      <c r="S510" s="148"/>
      <c r="T510" s="149"/>
      <c r="U510" s="133"/>
      <c r="V510" s="138"/>
      <c r="W510" s="139"/>
      <c r="X510" s="140"/>
      <c r="Y510" s="148"/>
      <c r="Z510" s="149"/>
      <c r="AA510" s="141"/>
      <c r="AB510" s="150"/>
      <c r="AC510" s="147"/>
      <c r="AD510" s="147"/>
      <c r="AE510" s="143"/>
      <c r="AF510" s="143"/>
      <c r="AG510" s="143"/>
      <c r="AH510" s="130"/>
      <c r="AI510" s="130"/>
      <c r="AJ510" s="130"/>
      <c r="AK510" s="130"/>
      <c r="AL510" s="130"/>
      <c r="AM510" s="130"/>
      <c r="AN510" s="130"/>
      <c r="AO510" s="130"/>
      <c r="AP510" s="145"/>
      <c r="AQ510" s="133"/>
      <c r="AR510" s="134"/>
      <c r="AS510" s="135"/>
      <c r="AT510" s="136"/>
      <c r="AU510" s="137"/>
      <c r="AV510" s="133"/>
      <c r="AW510" s="138"/>
      <c r="AX510" s="139"/>
      <c r="AY510" s="140"/>
      <c r="AZ510" s="136"/>
      <c r="BA510" s="137"/>
      <c r="BB510" s="141"/>
      <c r="BC510" s="130"/>
      <c r="BD510" s="130"/>
      <c r="BE510" s="130"/>
      <c r="BF510" s="143"/>
      <c r="BG510" s="144"/>
      <c r="BH510" s="144"/>
      <c r="BI510" s="130"/>
    </row>
    <row r="511" spans="1:62" ht="15">
      <c r="A511" s="14"/>
      <c r="B511" s="146"/>
      <c r="C511" s="14"/>
      <c r="D511" s="129"/>
      <c r="E511" s="146"/>
      <c r="F511" s="146"/>
      <c r="G511" s="147"/>
      <c r="H511" s="147"/>
      <c r="I511" s="145"/>
      <c r="J511" s="147"/>
      <c r="K511" s="147"/>
      <c r="L511" s="147"/>
      <c r="M511" s="147"/>
      <c r="N511" s="132"/>
      <c r="O511" s="133"/>
      <c r="P511" s="134"/>
      <c r="Q511" s="135"/>
      <c r="R511" s="148"/>
      <c r="S511" s="148"/>
      <c r="T511" s="149"/>
      <c r="U511" s="133"/>
      <c r="V511" s="138"/>
      <c r="W511" s="139"/>
      <c r="X511" s="140"/>
      <c r="Y511" s="148"/>
      <c r="Z511" s="149"/>
      <c r="AA511" s="141"/>
      <c r="AB511" s="150"/>
      <c r="AC511" s="147"/>
      <c r="AD511" s="147"/>
      <c r="AE511" s="143"/>
      <c r="AF511" s="143"/>
      <c r="AG511" s="143"/>
      <c r="AH511" s="130"/>
      <c r="AI511" s="130"/>
      <c r="AJ511" s="130"/>
      <c r="AK511" s="130"/>
      <c r="AL511" s="130"/>
      <c r="AM511" s="130"/>
      <c r="AN511" s="130"/>
      <c r="AO511" s="130"/>
      <c r="AP511" s="145"/>
      <c r="AQ511" s="133"/>
      <c r="AR511" s="134"/>
      <c r="AS511" s="135"/>
      <c r="AT511" s="136"/>
      <c r="AU511" s="137"/>
      <c r="AV511" s="133"/>
      <c r="AW511" s="138"/>
      <c r="AX511" s="139"/>
      <c r="AY511" s="140"/>
      <c r="AZ511" s="136"/>
      <c r="BA511" s="137"/>
      <c r="BB511" s="141"/>
      <c r="BC511" s="130"/>
      <c r="BD511" s="130"/>
      <c r="BE511" s="130"/>
      <c r="BF511" s="143"/>
      <c r="BG511" s="144"/>
      <c r="BH511" s="144"/>
      <c r="BI511" s="130"/>
    </row>
    <row r="512" spans="1:62" ht="15">
      <c r="A512" s="14"/>
      <c r="B512" s="146"/>
      <c r="C512" s="14"/>
      <c r="D512" s="129"/>
      <c r="E512" s="146"/>
      <c r="F512" s="146"/>
      <c r="G512" s="147"/>
      <c r="H512" s="147"/>
      <c r="I512" s="145"/>
      <c r="J512" s="147"/>
      <c r="K512" s="147"/>
      <c r="L512" s="147"/>
      <c r="M512" s="147"/>
      <c r="N512" s="132"/>
      <c r="O512" s="133"/>
      <c r="P512" s="134"/>
      <c r="Q512" s="135"/>
      <c r="R512" s="148"/>
      <c r="S512" s="148"/>
      <c r="T512" s="149"/>
      <c r="U512" s="133"/>
      <c r="V512" s="138"/>
      <c r="W512" s="139"/>
      <c r="X512" s="140"/>
      <c r="Y512" s="148"/>
      <c r="Z512" s="149"/>
      <c r="AA512" s="141"/>
      <c r="AB512" s="150"/>
      <c r="AC512" s="147"/>
      <c r="AD512" s="147"/>
      <c r="AE512" s="143"/>
      <c r="AF512" s="143"/>
      <c r="AG512" s="143"/>
      <c r="AH512" s="130"/>
      <c r="AI512" s="130"/>
      <c r="AJ512" s="130"/>
      <c r="AK512" s="130"/>
      <c r="AL512" s="130"/>
      <c r="AM512" s="130"/>
      <c r="AN512" s="130"/>
      <c r="AO512" s="130"/>
      <c r="AP512" s="145"/>
      <c r="AQ512" s="133"/>
      <c r="AR512" s="134"/>
      <c r="AS512" s="135"/>
      <c r="AT512" s="136"/>
      <c r="AU512" s="137"/>
      <c r="AV512" s="133"/>
      <c r="AW512" s="138"/>
      <c r="AX512" s="139"/>
      <c r="AY512" s="140"/>
      <c r="AZ512" s="136"/>
      <c r="BA512" s="137"/>
      <c r="BB512" s="141"/>
      <c r="BC512" s="130"/>
      <c r="BD512" s="130"/>
      <c r="BE512" s="130"/>
      <c r="BF512" s="143"/>
      <c r="BG512" s="144"/>
      <c r="BH512" s="144"/>
      <c r="BI512" s="130"/>
    </row>
    <row r="513" spans="1:61" ht="15">
      <c r="A513" s="14"/>
      <c r="B513" s="146"/>
      <c r="C513" s="14"/>
      <c r="D513" s="129"/>
      <c r="E513" s="146"/>
      <c r="F513" s="146"/>
      <c r="G513" s="147"/>
      <c r="H513" s="147"/>
      <c r="I513" s="145"/>
      <c r="J513" s="147"/>
      <c r="K513" s="147"/>
      <c r="L513" s="147"/>
      <c r="M513" s="147"/>
      <c r="N513" s="132"/>
      <c r="O513" s="133"/>
      <c r="P513" s="134"/>
      <c r="Q513" s="135"/>
      <c r="R513" s="148"/>
      <c r="S513" s="148"/>
      <c r="T513" s="149"/>
      <c r="U513" s="133"/>
      <c r="V513" s="138"/>
      <c r="W513" s="139"/>
      <c r="X513" s="140"/>
      <c r="Y513" s="148"/>
      <c r="Z513" s="149"/>
      <c r="AA513" s="141"/>
      <c r="AB513" s="150"/>
      <c r="AC513" s="147"/>
      <c r="AD513" s="147"/>
      <c r="AE513" s="143"/>
      <c r="AF513" s="143"/>
      <c r="AG513" s="143"/>
      <c r="AH513" s="130"/>
      <c r="AI513" s="130"/>
      <c r="AJ513" s="130"/>
      <c r="AK513" s="130"/>
      <c r="AL513" s="130"/>
      <c r="AM513" s="130"/>
      <c r="AN513" s="130"/>
      <c r="AO513" s="130"/>
      <c r="AP513" s="145"/>
      <c r="AQ513" s="133"/>
      <c r="AR513" s="134"/>
      <c r="AS513" s="135"/>
      <c r="AT513" s="136"/>
      <c r="AU513" s="137"/>
      <c r="AV513" s="133"/>
      <c r="AW513" s="138"/>
      <c r="AX513" s="139"/>
      <c r="AY513" s="140"/>
      <c r="AZ513" s="136"/>
      <c r="BA513" s="137"/>
      <c r="BB513" s="141"/>
      <c r="BC513" s="130"/>
      <c r="BD513" s="130"/>
      <c r="BE513" s="130"/>
      <c r="BF513" s="143"/>
      <c r="BG513" s="144"/>
      <c r="BH513" s="144"/>
      <c r="BI513" s="130"/>
    </row>
    <row r="514" spans="1:61" ht="15">
      <c r="A514" s="14"/>
      <c r="B514" s="146"/>
      <c r="C514" s="14"/>
      <c r="D514" s="129"/>
      <c r="E514" s="146"/>
      <c r="F514" s="146"/>
      <c r="G514" s="147"/>
      <c r="H514" s="147"/>
      <c r="I514" s="145"/>
      <c r="J514" s="147"/>
      <c r="K514" s="147"/>
      <c r="L514" s="147"/>
      <c r="M514" s="147"/>
      <c r="N514" s="132"/>
      <c r="O514" s="133"/>
      <c r="P514" s="134"/>
      <c r="Q514" s="135"/>
      <c r="R514" s="148"/>
      <c r="S514" s="148"/>
      <c r="T514" s="149"/>
      <c r="U514" s="133"/>
      <c r="V514" s="138"/>
      <c r="W514" s="139"/>
      <c r="X514" s="140"/>
      <c r="Y514" s="148"/>
      <c r="Z514" s="149"/>
      <c r="AA514" s="141"/>
      <c r="AB514" s="150"/>
      <c r="AC514" s="147"/>
      <c r="AD514" s="147"/>
      <c r="AE514" s="143"/>
      <c r="AF514" s="143"/>
      <c r="AG514" s="143"/>
      <c r="AH514" s="130"/>
      <c r="AI514" s="130"/>
      <c r="AJ514" s="130"/>
      <c r="AK514" s="130"/>
      <c r="AL514" s="130"/>
      <c r="AM514" s="130"/>
      <c r="AN514" s="130"/>
      <c r="AO514" s="130"/>
      <c r="AP514" s="145"/>
      <c r="AQ514" s="133"/>
      <c r="AR514" s="134"/>
      <c r="AS514" s="135"/>
      <c r="AT514" s="136"/>
      <c r="AU514" s="137"/>
      <c r="AV514" s="133"/>
      <c r="AW514" s="138"/>
      <c r="AX514" s="139"/>
      <c r="AY514" s="140"/>
      <c r="AZ514" s="136"/>
      <c r="BA514" s="137"/>
      <c r="BB514" s="141"/>
      <c r="BC514" s="130"/>
      <c r="BD514" s="130"/>
      <c r="BE514" s="130"/>
      <c r="BF514" s="143"/>
      <c r="BG514" s="144"/>
      <c r="BH514" s="144"/>
      <c r="BI514" s="130"/>
    </row>
    <row r="515" spans="1:61" ht="15">
      <c r="A515" s="14"/>
      <c r="B515" s="151"/>
      <c r="C515" s="14"/>
      <c r="D515" s="129"/>
      <c r="E515" s="146"/>
      <c r="F515" s="146"/>
      <c r="G515" s="147"/>
      <c r="H515" s="147"/>
      <c r="I515" s="145"/>
      <c r="J515" s="147"/>
      <c r="K515" s="147"/>
      <c r="L515" s="147"/>
      <c r="M515" s="147"/>
      <c r="N515" s="132"/>
      <c r="O515" s="133"/>
      <c r="P515" s="134"/>
      <c r="Q515" s="135"/>
      <c r="R515" s="148"/>
      <c r="S515" s="148"/>
      <c r="T515" s="149"/>
      <c r="U515" s="133"/>
      <c r="V515" s="138"/>
      <c r="W515" s="139"/>
      <c r="X515" s="140"/>
      <c r="Y515" s="148"/>
      <c r="Z515" s="149"/>
      <c r="AA515" s="141"/>
      <c r="AB515" s="150"/>
      <c r="AC515" s="147"/>
      <c r="AD515" s="147"/>
      <c r="AE515" s="143"/>
      <c r="AF515" s="143"/>
      <c r="AG515" s="143"/>
      <c r="AH515" s="130"/>
      <c r="AI515" s="130"/>
      <c r="AJ515" s="130"/>
      <c r="AK515" s="130"/>
      <c r="AL515" s="130"/>
      <c r="AM515" s="130"/>
      <c r="AN515" s="130"/>
      <c r="AO515" s="130"/>
      <c r="AP515" s="145"/>
      <c r="AQ515" s="133"/>
      <c r="AR515" s="134"/>
      <c r="AS515" s="135"/>
      <c r="AT515" s="136"/>
      <c r="AU515" s="137"/>
      <c r="AV515" s="133"/>
      <c r="AW515" s="138"/>
      <c r="AX515" s="139"/>
      <c r="AY515" s="140"/>
      <c r="AZ515" s="136"/>
      <c r="BA515" s="137"/>
      <c r="BB515" s="141"/>
      <c r="BC515" s="130"/>
      <c r="BD515" s="130"/>
      <c r="BE515" s="130"/>
      <c r="BF515" s="143"/>
      <c r="BG515" s="144"/>
      <c r="BH515" s="144"/>
      <c r="BI515" s="130"/>
    </row>
    <row r="516" spans="1:61" ht="15">
      <c r="A516" s="14"/>
      <c r="B516" s="146"/>
      <c r="C516" s="14"/>
      <c r="D516" s="129"/>
      <c r="E516" s="146"/>
      <c r="F516" s="146"/>
      <c r="G516" s="147"/>
      <c r="H516" s="147"/>
      <c r="I516" s="145"/>
      <c r="J516" s="147"/>
      <c r="K516" s="147"/>
      <c r="L516" s="147"/>
      <c r="M516" s="147"/>
      <c r="N516" s="132"/>
      <c r="O516" s="133"/>
      <c r="P516" s="134"/>
      <c r="Q516" s="135"/>
      <c r="R516" s="148"/>
      <c r="S516" s="148"/>
      <c r="T516" s="149"/>
      <c r="U516" s="133"/>
      <c r="V516" s="138"/>
      <c r="W516" s="139"/>
      <c r="X516" s="140"/>
      <c r="Y516" s="148"/>
      <c r="Z516" s="149"/>
      <c r="AA516" s="141"/>
      <c r="AB516" s="150"/>
      <c r="AC516" s="147"/>
      <c r="AD516" s="147"/>
      <c r="AE516" s="143"/>
      <c r="AF516" s="143"/>
      <c r="AG516" s="143"/>
      <c r="AH516" s="130"/>
      <c r="AI516" s="130"/>
      <c r="AJ516" s="130"/>
      <c r="AK516" s="130"/>
      <c r="AL516" s="130"/>
      <c r="AM516" s="130"/>
      <c r="AN516" s="130"/>
      <c r="AO516" s="130"/>
      <c r="AP516" s="145"/>
      <c r="AQ516" s="133"/>
      <c r="AR516" s="134"/>
      <c r="AS516" s="135"/>
      <c r="AT516" s="136"/>
      <c r="AU516" s="137"/>
      <c r="AV516" s="133"/>
      <c r="AW516" s="138"/>
      <c r="AX516" s="139"/>
      <c r="AY516" s="140"/>
      <c r="AZ516" s="136"/>
      <c r="BA516" s="137"/>
      <c r="BB516" s="141"/>
      <c r="BC516" s="130"/>
      <c r="BD516" s="130"/>
      <c r="BE516" s="130"/>
      <c r="BF516" s="143"/>
      <c r="BG516" s="144"/>
      <c r="BH516" s="144"/>
      <c r="BI516" s="130"/>
    </row>
    <row r="517" spans="1:61" ht="15">
      <c r="A517" s="14"/>
      <c r="B517" s="146"/>
      <c r="C517" s="14"/>
      <c r="D517" s="129"/>
      <c r="E517" s="146"/>
      <c r="F517" s="146"/>
      <c r="G517" s="147"/>
      <c r="H517" s="147"/>
      <c r="I517" s="145"/>
      <c r="J517" s="147"/>
      <c r="K517" s="147"/>
      <c r="L517" s="147"/>
      <c r="M517" s="147"/>
      <c r="N517" s="132"/>
      <c r="O517" s="133"/>
      <c r="P517" s="134"/>
      <c r="Q517" s="135"/>
      <c r="R517" s="148"/>
      <c r="S517" s="148"/>
      <c r="T517" s="149"/>
      <c r="U517" s="133"/>
      <c r="V517" s="138"/>
      <c r="W517" s="139"/>
      <c r="X517" s="140"/>
      <c r="Y517" s="148"/>
      <c r="Z517" s="149"/>
      <c r="AA517" s="141"/>
      <c r="AB517" s="150"/>
      <c r="AC517" s="147"/>
      <c r="AD517" s="147"/>
      <c r="AE517" s="143"/>
      <c r="AF517" s="143"/>
      <c r="AG517" s="143"/>
      <c r="AH517" s="130"/>
      <c r="AI517" s="130"/>
      <c r="AJ517" s="130"/>
      <c r="AK517" s="130"/>
      <c r="AL517" s="130"/>
      <c r="AM517" s="130"/>
      <c r="AN517" s="130"/>
      <c r="AO517" s="130"/>
      <c r="AP517" s="145"/>
      <c r="AQ517" s="133"/>
      <c r="AR517" s="134"/>
      <c r="AS517" s="135"/>
      <c r="AT517" s="136"/>
      <c r="AU517" s="137"/>
      <c r="AV517" s="133"/>
      <c r="AW517" s="138"/>
      <c r="AX517" s="139"/>
      <c r="AY517" s="140"/>
      <c r="AZ517" s="136"/>
      <c r="BA517" s="137"/>
      <c r="BB517" s="141"/>
      <c r="BC517" s="130"/>
      <c r="BD517" s="130"/>
      <c r="BE517" s="130"/>
      <c r="BF517" s="143"/>
      <c r="BG517" s="144"/>
      <c r="BH517" s="144"/>
      <c r="BI517" s="130"/>
    </row>
    <row r="518" spans="1:61" ht="15">
      <c r="A518" s="14"/>
      <c r="B518" s="146"/>
      <c r="C518" s="14"/>
      <c r="D518" s="129"/>
      <c r="E518" s="146"/>
      <c r="F518" s="146"/>
      <c r="G518" s="147"/>
      <c r="H518" s="147"/>
      <c r="I518" s="145"/>
      <c r="J518" s="147"/>
      <c r="K518" s="147"/>
      <c r="L518" s="147"/>
      <c r="M518" s="147"/>
      <c r="N518" s="132"/>
      <c r="O518" s="133"/>
      <c r="P518" s="134"/>
      <c r="Q518" s="135"/>
      <c r="R518" s="148"/>
      <c r="S518" s="148"/>
      <c r="T518" s="149"/>
      <c r="U518" s="133"/>
      <c r="V518" s="138"/>
      <c r="W518" s="139"/>
      <c r="X518" s="140"/>
      <c r="Y518" s="148"/>
      <c r="Z518" s="149"/>
      <c r="AA518" s="141"/>
      <c r="AB518" s="150"/>
      <c r="AC518" s="147"/>
      <c r="AD518" s="147"/>
      <c r="AE518" s="143"/>
      <c r="AF518" s="143"/>
      <c r="AG518" s="143"/>
      <c r="AH518" s="130"/>
      <c r="AI518" s="130"/>
      <c r="AJ518" s="130"/>
      <c r="AK518" s="130"/>
      <c r="AL518" s="130"/>
      <c r="AM518" s="130"/>
      <c r="AN518" s="130"/>
      <c r="AO518" s="130"/>
      <c r="AP518" s="145"/>
      <c r="AQ518" s="133"/>
      <c r="AR518" s="134"/>
      <c r="AS518" s="135"/>
      <c r="AT518" s="136"/>
      <c r="AU518" s="137"/>
      <c r="AV518" s="133"/>
      <c r="AW518" s="138"/>
      <c r="AX518" s="139"/>
      <c r="AY518" s="140"/>
      <c r="AZ518" s="136"/>
      <c r="BA518" s="137"/>
      <c r="BB518" s="141"/>
      <c r="BC518" s="130"/>
      <c r="BD518" s="130"/>
      <c r="BE518" s="130"/>
      <c r="BF518" s="143"/>
      <c r="BG518" s="144"/>
      <c r="BH518" s="144"/>
      <c r="BI518" s="130"/>
    </row>
    <row r="519" spans="1:61" ht="15">
      <c r="A519" s="14"/>
      <c r="B519" s="146"/>
      <c r="C519" s="14"/>
      <c r="D519" s="129"/>
      <c r="E519" s="146"/>
      <c r="F519" s="146"/>
      <c r="G519" s="147"/>
      <c r="H519" s="147"/>
      <c r="I519" s="145"/>
      <c r="J519" s="147"/>
      <c r="K519" s="147"/>
      <c r="L519" s="147"/>
      <c r="M519" s="147"/>
      <c r="N519" s="132"/>
      <c r="O519" s="133"/>
      <c r="P519" s="134"/>
      <c r="Q519" s="135"/>
      <c r="R519" s="148"/>
      <c r="S519" s="148"/>
      <c r="T519" s="149"/>
      <c r="U519" s="133"/>
      <c r="V519" s="138"/>
      <c r="W519" s="139"/>
      <c r="X519" s="140"/>
      <c r="Y519" s="148"/>
      <c r="Z519" s="149"/>
      <c r="AA519" s="141"/>
      <c r="AB519" s="150"/>
      <c r="AC519" s="147"/>
      <c r="AD519" s="147"/>
      <c r="AE519" s="143"/>
      <c r="AF519" s="143"/>
      <c r="AG519" s="143"/>
      <c r="AH519" s="130"/>
      <c r="AI519" s="130"/>
      <c r="AJ519" s="147"/>
      <c r="AK519" s="130"/>
      <c r="AL519" s="130"/>
      <c r="AM519" s="130"/>
      <c r="AN519" s="130"/>
      <c r="AO519" s="130"/>
      <c r="AP519" s="145"/>
      <c r="AQ519" s="133"/>
      <c r="AR519" s="134"/>
      <c r="AS519" s="135"/>
      <c r="AT519" s="136"/>
      <c r="AU519" s="137"/>
      <c r="AV519" s="133"/>
      <c r="AW519" s="138"/>
      <c r="AX519" s="139"/>
      <c r="AY519" s="140"/>
      <c r="AZ519" s="136"/>
      <c r="BA519" s="137"/>
      <c r="BB519" s="141"/>
      <c r="BC519" s="130"/>
      <c r="BD519" s="130"/>
      <c r="BE519" s="130"/>
      <c r="BF519" s="143"/>
      <c r="BG519" s="143"/>
      <c r="BH519" s="144"/>
      <c r="BI519" s="130"/>
    </row>
    <row r="520" spans="1:61" ht="15">
      <c r="A520" s="14"/>
      <c r="B520" s="146"/>
      <c r="C520" s="14"/>
      <c r="D520" s="129"/>
      <c r="E520" s="146"/>
      <c r="F520" s="146"/>
      <c r="G520" s="147"/>
      <c r="H520" s="147"/>
      <c r="I520" s="145"/>
      <c r="J520" s="147"/>
      <c r="K520" s="147"/>
      <c r="L520" s="147"/>
      <c r="M520" s="147"/>
      <c r="N520" s="132"/>
      <c r="O520" s="133"/>
      <c r="P520" s="134"/>
      <c r="Q520" s="135"/>
      <c r="R520" s="148"/>
      <c r="S520" s="148"/>
      <c r="T520" s="149"/>
      <c r="U520" s="133"/>
      <c r="V520" s="138"/>
      <c r="W520" s="139"/>
      <c r="X520" s="140"/>
      <c r="Y520" s="148"/>
      <c r="Z520" s="149"/>
      <c r="AA520" s="141"/>
      <c r="AB520" s="150"/>
      <c r="AC520" s="147"/>
      <c r="AD520" s="147"/>
      <c r="AE520" s="143"/>
      <c r="AF520" s="143"/>
      <c r="AG520" s="143"/>
      <c r="AH520" s="130"/>
      <c r="AI520" s="147"/>
      <c r="AJ520" s="130"/>
      <c r="AK520" s="130"/>
      <c r="AL520" s="147"/>
      <c r="AM520" s="147"/>
      <c r="AN520" s="130"/>
      <c r="AO520" s="130"/>
      <c r="AP520" s="145"/>
      <c r="AQ520" s="133"/>
      <c r="AR520" s="134"/>
      <c r="AS520" s="135"/>
      <c r="AT520" s="136"/>
      <c r="AU520" s="137"/>
      <c r="AV520" s="133"/>
      <c r="AW520" s="138"/>
      <c r="AX520" s="139"/>
      <c r="AY520" s="140"/>
      <c r="AZ520" s="136"/>
      <c r="BA520" s="149"/>
      <c r="BB520" s="141"/>
      <c r="BC520" s="130"/>
      <c r="BD520" s="130"/>
      <c r="BE520" s="130"/>
      <c r="BF520" s="143"/>
      <c r="BG520" s="143"/>
      <c r="BH520" s="143"/>
      <c r="BI520" s="130"/>
    </row>
    <row r="521" spans="1:61" ht="15">
      <c r="A521" s="14"/>
      <c r="B521" s="146"/>
      <c r="C521" s="14"/>
      <c r="D521" s="129"/>
      <c r="E521" s="146"/>
      <c r="F521" s="146"/>
      <c r="G521" s="147"/>
      <c r="H521" s="147"/>
      <c r="I521" s="145"/>
      <c r="J521" s="147"/>
      <c r="K521" s="147"/>
      <c r="L521" s="147"/>
      <c r="M521" s="147"/>
      <c r="N521" s="132"/>
      <c r="O521" s="133"/>
      <c r="P521" s="134"/>
      <c r="Q521" s="135"/>
      <c r="R521" s="148"/>
      <c r="S521" s="148"/>
      <c r="T521" s="149"/>
      <c r="U521" s="133"/>
      <c r="V521" s="138"/>
      <c r="W521" s="139"/>
      <c r="X521" s="140"/>
      <c r="Y521" s="148"/>
      <c r="Z521" s="149"/>
      <c r="AA521" s="141"/>
      <c r="AB521" s="150"/>
      <c r="AC521" s="147"/>
      <c r="AD521" s="147"/>
      <c r="AE521" s="143"/>
      <c r="AF521" s="143"/>
      <c r="AG521" s="143"/>
      <c r="AH521" s="130"/>
      <c r="AI521" s="147"/>
      <c r="AJ521" s="130"/>
      <c r="AK521" s="130"/>
      <c r="AL521" s="147"/>
      <c r="AM521" s="147"/>
      <c r="AN521" s="130"/>
      <c r="AO521" s="130"/>
      <c r="AP521" s="145"/>
      <c r="AQ521" s="133"/>
      <c r="AR521" s="134"/>
      <c r="AS521" s="135"/>
      <c r="AT521" s="136"/>
      <c r="AU521" s="137"/>
      <c r="AV521" s="133"/>
      <c r="AW521" s="138"/>
      <c r="AX521" s="139"/>
      <c r="AY521" s="140"/>
      <c r="AZ521" s="136"/>
      <c r="BA521" s="149"/>
      <c r="BB521" s="141"/>
      <c r="BC521" s="130"/>
      <c r="BD521" s="130"/>
      <c r="BE521" s="130"/>
      <c r="BF521" s="143"/>
      <c r="BG521" s="143"/>
      <c r="BH521" s="144"/>
      <c r="BI521" s="130"/>
    </row>
    <row r="522" spans="1:61" ht="15">
      <c r="A522" s="14"/>
      <c r="B522" s="146"/>
      <c r="C522" s="14"/>
      <c r="D522" s="129"/>
      <c r="E522" s="146"/>
      <c r="F522" s="146"/>
      <c r="G522" s="147"/>
      <c r="H522" s="147"/>
      <c r="I522" s="145"/>
      <c r="J522" s="147"/>
      <c r="K522" s="147"/>
      <c r="L522" s="147"/>
      <c r="M522" s="147"/>
      <c r="N522" s="132"/>
      <c r="O522" s="133"/>
      <c r="P522" s="134"/>
      <c r="Q522" s="135"/>
      <c r="R522" s="148"/>
      <c r="S522" s="148"/>
      <c r="T522" s="149"/>
      <c r="U522" s="133"/>
      <c r="V522" s="138"/>
      <c r="W522" s="139"/>
      <c r="X522" s="140"/>
      <c r="Y522" s="148"/>
      <c r="Z522" s="149"/>
      <c r="AA522" s="141"/>
      <c r="AB522" s="150"/>
      <c r="AC522" s="147"/>
      <c r="AD522" s="147"/>
      <c r="AE522" s="143"/>
      <c r="AF522" s="143"/>
      <c r="AG522" s="143"/>
      <c r="AH522" s="130"/>
      <c r="AI522" s="147"/>
      <c r="AJ522" s="147"/>
      <c r="AK522" s="130"/>
      <c r="AL522" s="147"/>
      <c r="AM522" s="147"/>
      <c r="AN522" s="130"/>
      <c r="AO522" s="130"/>
      <c r="AP522" s="145"/>
      <c r="AQ522" s="133"/>
      <c r="AR522" s="134"/>
      <c r="AS522" s="135"/>
      <c r="AT522" s="136"/>
      <c r="AU522" s="137"/>
      <c r="AV522" s="133"/>
      <c r="AW522" s="138"/>
      <c r="AX522" s="139"/>
      <c r="AY522" s="140"/>
      <c r="AZ522" s="136"/>
      <c r="BA522" s="149"/>
      <c r="BB522" s="141"/>
      <c r="BC522" s="130"/>
      <c r="BD522" s="130"/>
      <c r="BE522" s="130"/>
      <c r="BF522" s="143"/>
      <c r="BG522" s="143"/>
      <c r="BH522" s="143"/>
      <c r="BI522" s="130"/>
    </row>
    <row r="523" spans="1:61" ht="15">
      <c r="A523" s="14"/>
      <c r="B523" s="146"/>
      <c r="C523" s="14"/>
      <c r="D523" s="129"/>
      <c r="E523" s="146"/>
      <c r="F523" s="146"/>
      <c r="G523" s="147"/>
      <c r="H523" s="147"/>
      <c r="I523" s="145"/>
      <c r="J523" s="147"/>
      <c r="K523" s="147"/>
      <c r="L523" s="147"/>
      <c r="M523" s="147"/>
      <c r="N523" s="132"/>
      <c r="O523" s="133"/>
      <c r="P523" s="134"/>
      <c r="Q523" s="135"/>
      <c r="R523" s="148"/>
      <c r="S523" s="148"/>
      <c r="T523" s="149"/>
      <c r="U523" s="133"/>
      <c r="V523" s="138"/>
      <c r="W523" s="139"/>
      <c r="X523" s="140"/>
      <c r="Y523" s="148"/>
      <c r="Z523" s="149"/>
      <c r="AA523" s="141"/>
      <c r="AB523" s="150"/>
      <c r="AC523" s="147"/>
      <c r="AD523" s="147"/>
      <c r="AE523" s="143"/>
      <c r="AF523" s="143"/>
      <c r="AG523" s="143"/>
      <c r="AH523" s="130"/>
      <c r="AI523" s="147"/>
      <c r="AJ523" s="147"/>
      <c r="AK523" s="130"/>
      <c r="AL523" s="147"/>
      <c r="AM523" s="147"/>
      <c r="AN523" s="130"/>
      <c r="AO523" s="130"/>
      <c r="AP523" s="145"/>
      <c r="AQ523" s="133"/>
      <c r="AR523" s="134"/>
      <c r="AS523" s="135"/>
      <c r="AT523" s="136"/>
      <c r="AU523" s="137"/>
      <c r="AV523" s="133"/>
      <c r="AW523" s="138"/>
      <c r="AX523" s="139"/>
      <c r="AY523" s="140"/>
      <c r="AZ523" s="148"/>
      <c r="BA523" s="149"/>
      <c r="BB523" s="141"/>
      <c r="BC523" s="130"/>
      <c r="BD523" s="130"/>
      <c r="BE523" s="130"/>
      <c r="BF523" s="143"/>
      <c r="BG523" s="143"/>
      <c r="BH523" s="143"/>
      <c r="BI523" s="130"/>
    </row>
    <row r="524" spans="1:61" ht="15">
      <c r="A524" s="14"/>
      <c r="B524" s="146"/>
      <c r="C524" s="14"/>
      <c r="D524" s="129"/>
      <c r="E524" s="146"/>
      <c r="F524" s="146"/>
      <c r="G524" s="147"/>
      <c r="H524" s="147"/>
      <c r="I524" s="145"/>
      <c r="J524" s="147"/>
      <c r="K524" s="147"/>
      <c r="L524" s="147"/>
      <c r="M524" s="147"/>
      <c r="N524" s="132"/>
      <c r="O524" s="133"/>
      <c r="P524" s="134"/>
      <c r="Q524" s="135"/>
      <c r="R524" s="148"/>
      <c r="S524" s="148"/>
      <c r="T524" s="149"/>
      <c r="U524" s="133"/>
      <c r="V524" s="138"/>
      <c r="W524" s="139"/>
      <c r="X524" s="140"/>
      <c r="Y524" s="148"/>
      <c r="Z524" s="149"/>
      <c r="AA524" s="141"/>
      <c r="AB524" s="150"/>
      <c r="AC524" s="147"/>
      <c r="AD524" s="147"/>
      <c r="AE524" s="143"/>
      <c r="AF524" s="143"/>
      <c r="AG524" s="143"/>
      <c r="AH524" s="130"/>
      <c r="AI524" s="147"/>
      <c r="AJ524" s="147"/>
      <c r="AK524" s="130"/>
      <c r="AL524" s="147"/>
      <c r="AM524" s="147"/>
      <c r="AN524" s="130"/>
      <c r="AO524" s="130"/>
      <c r="AP524" s="145"/>
      <c r="AQ524" s="133"/>
      <c r="AR524" s="134"/>
      <c r="AS524" s="135"/>
      <c r="AT524" s="136"/>
      <c r="AU524" s="137"/>
      <c r="AV524" s="133"/>
      <c r="AW524" s="138"/>
      <c r="AX524" s="139"/>
      <c r="AY524" s="140"/>
      <c r="AZ524" s="136"/>
      <c r="BA524" s="149"/>
      <c r="BB524" s="141"/>
      <c r="BC524" s="130"/>
      <c r="BD524" s="130"/>
      <c r="BE524" s="130"/>
      <c r="BF524" s="143"/>
      <c r="BG524" s="143"/>
      <c r="BH524" s="143"/>
      <c r="BI524" s="130"/>
    </row>
    <row r="525" spans="1:61" ht="15">
      <c r="A525" s="14"/>
      <c r="B525" s="146"/>
      <c r="C525" s="14"/>
      <c r="D525" s="129"/>
      <c r="E525" s="146"/>
      <c r="F525" s="146"/>
      <c r="G525" s="147"/>
      <c r="H525" s="147"/>
      <c r="I525" s="145"/>
      <c r="J525" s="147"/>
      <c r="K525" s="147"/>
      <c r="L525" s="147"/>
      <c r="M525" s="147"/>
      <c r="N525" s="132"/>
      <c r="O525" s="133"/>
      <c r="P525" s="134"/>
      <c r="Q525" s="135"/>
      <c r="R525" s="148"/>
      <c r="S525" s="148"/>
      <c r="T525" s="149"/>
      <c r="U525" s="133"/>
      <c r="V525" s="138"/>
      <c r="W525" s="139"/>
      <c r="X525" s="140"/>
      <c r="Y525" s="148"/>
      <c r="Z525" s="149"/>
      <c r="AA525" s="141"/>
      <c r="AB525" s="150"/>
      <c r="AC525" s="147"/>
      <c r="AD525" s="147"/>
      <c r="AE525" s="143"/>
      <c r="AF525" s="143"/>
      <c r="AG525" s="143"/>
      <c r="AH525" s="130"/>
      <c r="AI525" s="147"/>
      <c r="AJ525" s="147"/>
      <c r="AK525" s="147"/>
      <c r="AL525" s="147"/>
      <c r="AM525" s="147"/>
      <c r="AN525" s="147"/>
      <c r="AO525" s="147"/>
      <c r="AP525" s="145"/>
      <c r="AQ525" s="133"/>
      <c r="AR525" s="134"/>
      <c r="AS525" s="135"/>
      <c r="AT525" s="148"/>
      <c r="AU525" s="137"/>
      <c r="AV525" s="133"/>
      <c r="AW525" s="138"/>
      <c r="AX525" s="139"/>
      <c r="AY525" s="140"/>
      <c r="AZ525" s="148"/>
      <c r="BA525" s="149"/>
      <c r="BB525" s="141"/>
      <c r="BC525" s="147"/>
      <c r="BD525" s="147"/>
      <c r="BE525" s="147"/>
      <c r="BF525" s="143"/>
      <c r="BG525" s="143"/>
      <c r="BH525" s="143"/>
      <c r="BI525" s="130"/>
    </row>
    <row r="526" spans="1:61" ht="15">
      <c r="A526" s="14"/>
      <c r="B526" s="146"/>
      <c r="C526" s="14"/>
      <c r="D526" s="129"/>
      <c r="E526" s="146"/>
      <c r="F526" s="146"/>
      <c r="G526" s="147"/>
      <c r="H526" s="147"/>
      <c r="I526" s="145"/>
      <c r="J526" s="147"/>
      <c r="K526" s="147"/>
      <c r="L526" s="147"/>
      <c r="M526" s="147"/>
      <c r="N526" s="132"/>
      <c r="O526" s="133"/>
      <c r="P526" s="134"/>
      <c r="Q526" s="135"/>
      <c r="R526" s="148"/>
      <c r="S526" s="148"/>
      <c r="T526" s="149"/>
      <c r="U526" s="133"/>
      <c r="V526" s="138"/>
      <c r="W526" s="139"/>
      <c r="X526" s="140"/>
      <c r="Y526" s="148"/>
      <c r="Z526" s="149"/>
      <c r="AA526" s="141"/>
      <c r="AB526" s="150"/>
      <c r="AC526" s="147"/>
      <c r="AD526" s="147"/>
      <c r="AE526" s="143"/>
      <c r="AF526" s="143"/>
      <c r="AG526" s="143"/>
      <c r="AH526" s="130"/>
      <c r="AI526" s="147"/>
      <c r="AJ526" s="147"/>
      <c r="AK526" s="130"/>
      <c r="AL526" s="147"/>
      <c r="AM526" s="147"/>
      <c r="AN526" s="130"/>
      <c r="AO526" s="130"/>
      <c r="AP526" s="145"/>
      <c r="AQ526" s="133"/>
      <c r="AR526" s="134"/>
      <c r="AS526" s="135"/>
      <c r="AT526" s="136"/>
      <c r="AU526" s="137"/>
      <c r="AV526" s="133"/>
      <c r="AW526" s="138"/>
      <c r="AX526" s="139"/>
      <c r="AY526" s="140"/>
      <c r="AZ526" s="148"/>
      <c r="BA526" s="137"/>
      <c r="BB526" s="141"/>
      <c r="BC526" s="130"/>
      <c r="BD526" s="130"/>
      <c r="BE526" s="147"/>
      <c r="BF526" s="143"/>
      <c r="BG526" s="143"/>
      <c r="BH526" s="143"/>
      <c r="BI526" s="130"/>
    </row>
    <row r="527" spans="1:61" ht="15">
      <c r="A527" s="14"/>
      <c r="B527" s="146"/>
      <c r="C527" s="14"/>
      <c r="D527" s="129"/>
      <c r="E527" s="146"/>
      <c r="F527" s="146"/>
      <c r="G527" s="147"/>
      <c r="H527" s="147"/>
      <c r="I527" s="145"/>
      <c r="J527" s="147"/>
      <c r="K527" s="147"/>
      <c r="L527" s="147"/>
      <c r="M527" s="147"/>
      <c r="N527" s="132"/>
      <c r="O527" s="133"/>
      <c r="P527" s="134"/>
      <c r="Q527" s="135"/>
      <c r="R527" s="148"/>
      <c r="S527" s="148"/>
      <c r="T527" s="149"/>
      <c r="U527" s="133"/>
      <c r="V527" s="138"/>
      <c r="W527" s="139"/>
      <c r="X527" s="140"/>
      <c r="Y527" s="148"/>
      <c r="Z527" s="149"/>
      <c r="AA527" s="141"/>
      <c r="AB527" s="150"/>
      <c r="AC527" s="147"/>
      <c r="AD527" s="147"/>
      <c r="AE527" s="143"/>
      <c r="AF527" s="143"/>
      <c r="AG527" s="143"/>
      <c r="AH527" s="130"/>
      <c r="AI527" s="147"/>
      <c r="AJ527" s="147"/>
      <c r="AK527" s="130"/>
      <c r="AL527" s="147"/>
      <c r="AM527" s="147"/>
      <c r="AN527" s="130"/>
      <c r="AO527" s="130"/>
      <c r="AP527" s="145"/>
      <c r="AQ527" s="133"/>
      <c r="AR527" s="134"/>
      <c r="AS527" s="135"/>
      <c r="AT527" s="136"/>
      <c r="AU527" s="137"/>
      <c r="AV527" s="133"/>
      <c r="AW527" s="138"/>
      <c r="AX527" s="139"/>
      <c r="AY527" s="140"/>
      <c r="AZ527" s="148"/>
      <c r="BA527" s="137"/>
      <c r="BB527" s="141"/>
      <c r="BC527" s="130"/>
      <c r="BD527" s="130"/>
      <c r="BE527" s="147"/>
      <c r="BF527" s="143"/>
      <c r="BG527" s="143"/>
      <c r="BH527" s="143"/>
      <c r="BI527" s="130"/>
    </row>
    <row r="528" spans="1:61" ht="15">
      <c r="A528" s="14"/>
      <c r="B528" s="146"/>
      <c r="C528" s="14"/>
      <c r="D528" s="129"/>
      <c r="E528" s="146"/>
      <c r="F528" s="146"/>
      <c r="G528" s="147"/>
      <c r="H528" s="147"/>
      <c r="I528" s="145"/>
      <c r="J528" s="147"/>
      <c r="K528" s="147"/>
      <c r="L528" s="147"/>
      <c r="M528" s="147"/>
      <c r="N528" s="132"/>
      <c r="O528" s="133"/>
      <c r="P528" s="134"/>
      <c r="Q528" s="135"/>
      <c r="R528" s="148"/>
      <c r="S528" s="148"/>
      <c r="T528" s="149"/>
      <c r="U528" s="133"/>
      <c r="V528" s="138"/>
      <c r="W528" s="139"/>
      <c r="X528" s="140"/>
      <c r="Y528" s="148"/>
      <c r="Z528" s="149"/>
      <c r="AA528" s="141"/>
      <c r="AB528" s="150"/>
      <c r="AC528" s="147"/>
      <c r="AD528" s="147"/>
      <c r="AE528" s="143"/>
      <c r="AF528" s="143"/>
      <c r="AG528" s="143"/>
      <c r="AH528" s="130"/>
      <c r="AI528" s="147"/>
      <c r="AJ528" s="147"/>
      <c r="AK528" s="130"/>
      <c r="AL528" s="147"/>
      <c r="AM528" s="147"/>
      <c r="AN528" s="130"/>
      <c r="AO528" s="130"/>
      <c r="AP528" s="145"/>
      <c r="AQ528" s="133"/>
      <c r="AR528" s="134"/>
      <c r="AS528" s="135"/>
      <c r="AT528" s="136"/>
      <c r="AU528" s="137"/>
      <c r="AV528" s="133"/>
      <c r="AW528" s="138"/>
      <c r="AX528" s="139"/>
      <c r="AY528" s="140"/>
      <c r="AZ528" s="148"/>
      <c r="BA528" s="137"/>
      <c r="BB528" s="141"/>
      <c r="BC528" s="130"/>
      <c r="BD528" s="130"/>
      <c r="BE528" s="147"/>
      <c r="BF528" s="143"/>
      <c r="BG528" s="143"/>
      <c r="BH528" s="143"/>
      <c r="BI528" s="130"/>
    </row>
    <row r="529" spans="1:61" ht="15">
      <c r="A529" s="14"/>
      <c r="B529" s="146"/>
      <c r="C529" s="14"/>
      <c r="D529" s="129"/>
      <c r="E529" s="146"/>
      <c r="F529" s="146"/>
      <c r="G529" s="147"/>
      <c r="H529" s="147"/>
      <c r="I529" s="145"/>
      <c r="J529" s="147"/>
      <c r="K529" s="147"/>
      <c r="L529" s="147"/>
      <c r="M529" s="147"/>
      <c r="N529" s="132"/>
      <c r="O529" s="133"/>
      <c r="P529" s="134"/>
      <c r="Q529" s="135"/>
      <c r="R529" s="148"/>
      <c r="S529" s="148"/>
      <c r="T529" s="149"/>
      <c r="U529" s="133"/>
      <c r="V529" s="138"/>
      <c r="W529" s="139"/>
      <c r="X529" s="140"/>
      <c r="Y529" s="148"/>
      <c r="Z529" s="149"/>
      <c r="AA529" s="141"/>
      <c r="AB529" s="150"/>
      <c r="AC529" s="147"/>
      <c r="AD529" s="147"/>
      <c r="AE529" s="143"/>
      <c r="AF529" s="143"/>
      <c r="AG529" s="143"/>
      <c r="AH529" s="130"/>
      <c r="AI529" s="147"/>
      <c r="AJ529" s="147"/>
      <c r="AK529" s="130"/>
      <c r="AL529" s="147"/>
      <c r="AM529" s="147"/>
      <c r="AN529" s="130"/>
      <c r="AO529" s="130"/>
      <c r="AP529" s="145"/>
      <c r="AQ529" s="133"/>
      <c r="AR529" s="134"/>
      <c r="AS529" s="135"/>
      <c r="AT529" s="136"/>
      <c r="AU529" s="137"/>
      <c r="AV529" s="133"/>
      <c r="AW529" s="138"/>
      <c r="AX529" s="139"/>
      <c r="AY529" s="140"/>
      <c r="AZ529" s="148"/>
      <c r="BA529" s="137"/>
      <c r="BB529" s="141"/>
      <c r="BC529" s="130"/>
      <c r="BD529" s="130"/>
      <c r="BE529" s="147"/>
      <c r="BF529" s="143"/>
      <c r="BG529" s="143"/>
      <c r="BH529" s="143"/>
      <c r="BI529" s="130"/>
    </row>
    <row r="530" spans="1:61" ht="15">
      <c r="A530" s="14"/>
      <c r="B530" s="146"/>
      <c r="C530" s="14"/>
      <c r="D530" s="129"/>
      <c r="E530" s="146"/>
      <c r="F530" s="146"/>
      <c r="G530" s="147"/>
      <c r="H530" s="147"/>
      <c r="I530" s="145"/>
      <c r="J530" s="147"/>
      <c r="K530" s="147"/>
      <c r="L530" s="147"/>
      <c r="M530" s="147"/>
      <c r="N530" s="132"/>
      <c r="O530" s="133"/>
      <c r="P530" s="134"/>
      <c r="Q530" s="135"/>
      <c r="R530" s="148"/>
      <c r="S530" s="148"/>
      <c r="T530" s="149"/>
      <c r="U530" s="133"/>
      <c r="V530" s="138"/>
      <c r="W530" s="139"/>
      <c r="X530" s="140"/>
      <c r="Y530" s="148"/>
      <c r="Z530" s="149"/>
      <c r="AA530" s="141"/>
      <c r="AB530" s="150"/>
      <c r="AC530" s="147"/>
      <c r="AD530" s="147"/>
      <c r="AE530" s="143"/>
      <c r="AF530" s="143"/>
      <c r="AG530" s="143"/>
      <c r="AH530" s="130"/>
      <c r="AI530" s="147"/>
      <c r="AJ530" s="130"/>
      <c r="AK530" s="130"/>
      <c r="AL530" s="147"/>
      <c r="AM530" s="147"/>
      <c r="AN530" s="130"/>
      <c r="AO530" s="130"/>
      <c r="AP530" s="145"/>
      <c r="AQ530" s="133"/>
      <c r="AR530" s="134"/>
      <c r="AS530" s="135"/>
      <c r="AT530" s="136"/>
      <c r="AU530" s="137"/>
      <c r="AV530" s="133"/>
      <c r="AW530" s="138"/>
      <c r="AX530" s="139"/>
      <c r="AY530" s="140"/>
      <c r="AZ530" s="148"/>
      <c r="BA530" s="137"/>
      <c r="BB530" s="141"/>
      <c r="BC530" s="130"/>
      <c r="BD530" s="130"/>
      <c r="BE530" s="147"/>
      <c r="BF530" s="143"/>
      <c r="BG530" s="143"/>
      <c r="BH530" s="143"/>
      <c r="BI530" s="130"/>
    </row>
    <row r="531" spans="1:61" ht="15">
      <c r="A531" s="14"/>
      <c r="B531" s="146"/>
      <c r="C531" s="14"/>
      <c r="D531" s="129"/>
      <c r="E531" s="146"/>
      <c r="F531" s="146"/>
      <c r="G531" s="147"/>
      <c r="H531" s="147"/>
      <c r="I531" s="145"/>
      <c r="J531" s="147"/>
      <c r="K531" s="147"/>
      <c r="L531" s="147"/>
      <c r="M531" s="147"/>
      <c r="N531" s="132"/>
      <c r="O531" s="133"/>
      <c r="P531" s="134"/>
      <c r="Q531" s="135"/>
      <c r="R531" s="148"/>
      <c r="S531" s="148"/>
      <c r="T531" s="149"/>
      <c r="U531" s="133"/>
      <c r="V531" s="138"/>
      <c r="W531" s="139"/>
      <c r="X531" s="140"/>
      <c r="Y531" s="148"/>
      <c r="Z531" s="149"/>
      <c r="AA531" s="141"/>
      <c r="AB531" s="150"/>
      <c r="AC531" s="147"/>
      <c r="AD531" s="147"/>
      <c r="AE531" s="143"/>
      <c r="AF531" s="143"/>
      <c r="AG531" s="143"/>
      <c r="AH531" s="130"/>
      <c r="AI531" s="147"/>
      <c r="AJ531" s="130"/>
      <c r="AK531" s="130"/>
      <c r="AL531" s="147"/>
      <c r="AM531" s="147"/>
      <c r="AN531" s="130"/>
      <c r="AO531" s="130"/>
      <c r="AP531" s="145"/>
      <c r="AQ531" s="133"/>
      <c r="AR531" s="134"/>
      <c r="AS531" s="135"/>
      <c r="AT531" s="136"/>
      <c r="AU531" s="137"/>
      <c r="AV531" s="133"/>
      <c r="AW531" s="138"/>
      <c r="AX531" s="139"/>
      <c r="AY531" s="140"/>
      <c r="AZ531" s="148"/>
      <c r="BA531" s="137"/>
      <c r="BB531" s="141"/>
      <c r="BC531" s="130"/>
      <c r="BD531" s="130"/>
      <c r="BE531" s="147"/>
      <c r="BF531" s="143"/>
      <c r="BG531" s="143"/>
      <c r="BH531" s="143"/>
      <c r="BI531" s="130"/>
    </row>
    <row r="532" spans="1:61" ht="15">
      <c r="A532" s="14"/>
      <c r="B532" s="146"/>
      <c r="C532" s="14"/>
      <c r="D532" s="129"/>
      <c r="E532" s="146"/>
      <c r="F532" s="146"/>
      <c r="G532" s="147"/>
      <c r="H532" s="147"/>
      <c r="I532" s="145"/>
      <c r="J532" s="147"/>
      <c r="K532" s="147"/>
      <c r="L532" s="147"/>
      <c r="M532" s="147"/>
      <c r="N532" s="132"/>
      <c r="O532" s="133"/>
      <c r="P532" s="134"/>
      <c r="Q532" s="135"/>
      <c r="R532" s="148"/>
      <c r="S532" s="148"/>
      <c r="T532" s="149"/>
      <c r="U532" s="133"/>
      <c r="V532" s="138"/>
      <c r="W532" s="139"/>
      <c r="X532" s="140"/>
      <c r="Y532" s="148"/>
      <c r="Z532" s="149"/>
      <c r="AA532" s="141"/>
      <c r="AB532" s="150"/>
      <c r="AC532" s="147"/>
      <c r="AD532" s="147"/>
      <c r="AE532" s="143"/>
      <c r="AF532" s="143"/>
      <c r="AG532" s="143"/>
      <c r="AH532" s="130"/>
      <c r="AI532" s="147"/>
      <c r="AJ532" s="130"/>
      <c r="AK532" s="130"/>
      <c r="AL532" s="147"/>
      <c r="AM532" s="147"/>
      <c r="AN532" s="130"/>
      <c r="AO532" s="130"/>
      <c r="AP532" s="145"/>
      <c r="AQ532" s="133"/>
      <c r="AR532" s="134"/>
      <c r="AS532" s="135"/>
      <c r="AT532" s="136"/>
      <c r="AU532" s="137"/>
      <c r="AV532" s="133"/>
      <c r="AW532" s="138"/>
      <c r="AX532" s="139"/>
      <c r="AY532" s="140"/>
      <c r="AZ532" s="148"/>
      <c r="BA532" s="137"/>
      <c r="BB532" s="141"/>
      <c r="BC532" s="130"/>
      <c r="BD532" s="130"/>
      <c r="BE532" s="147"/>
      <c r="BF532" s="143"/>
      <c r="BG532" s="143"/>
      <c r="BH532" s="143"/>
      <c r="BI532" s="130"/>
    </row>
    <row r="533" spans="1:61" ht="15">
      <c r="A533" s="14"/>
      <c r="B533" s="146"/>
      <c r="C533" s="14"/>
      <c r="D533" s="129"/>
      <c r="E533" s="146"/>
      <c r="F533" s="146"/>
      <c r="G533" s="147"/>
      <c r="H533" s="147"/>
      <c r="I533" s="145"/>
      <c r="J533" s="147"/>
      <c r="K533" s="147"/>
      <c r="L533" s="147"/>
      <c r="M533" s="147"/>
      <c r="N533" s="132"/>
      <c r="O533" s="133"/>
      <c r="P533" s="134"/>
      <c r="Q533" s="135"/>
      <c r="R533" s="148"/>
      <c r="S533" s="148"/>
      <c r="T533" s="149"/>
      <c r="U533" s="133"/>
      <c r="V533" s="138"/>
      <c r="W533" s="139"/>
      <c r="X533" s="140"/>
      <c r="Y533" s="148"/>
      <c r="Z533" s="149"/>
      <c r="AA533" s="141"/>
      <c r="AB533" s="150"/>
      <c r="AC533" s="147"/>
      <c r="AD533" s="147"/>
      <c r="AE533" s="143"/>
      <c r="AF533" s="143"/>
      <c r="AG533" s="143"/>
      <c r="AH533" s="130"/>
      <c r="AI533" s="147"/>
      <c r="AJ533" s="130"/>
      <c r="AK533" s="130"/>
      <c r="AL533" s="147"/>
      <c r="AM533" s="147"/>
      <c r="AN533" s="130"/>
      <c r="AO533" s="130"/>
      <c r="AP533" s="145"/>
      <c r="AQ533" s="133"/>
      <c r="AR533" s="134"/>
      <c r="AS533" s="135"/>
      <c r="AT533" s="136"/>
      <c r="AU533" s="137"/>
      <c r="AV533" s="133"/>
      <c r="AW533" s="138"/>
      <c r="AX533" s="139"/>
      <c r="AY533" s="140"/>
      <c r="AZ533" s="148"/>
      <c r="BA533" s="137"/>
      <c r="BB533" s="141"/>
      <c r="BC533" s="130"/>
      <c r="BD533" s="130"/>
      <c r="BE533" s="147"/>
      <c r="BF533" s="143"/>
      <c r="BG533" s="143"/>
      <c r="BH533" s="143"/>
      <c r="BI533" s="130"/>
    </row>
    <row r="534" spans="1:61" ht="15">
      <c r="A534" s="14"/>
      <c r="B534" s="146"/>
      <c r="C534" s="14"/>
      <c r="D534" s="129"/>
      <c r="E534" s="146"/>
      <c r="F534" s="146"/>
      <c r="G534" s="147"/>
      <c r="H534" s="147"/>
      <c r="I534" s="145"/>
      <c r="J534" s="147"/>
      <c r="K534" s="147"/>
      <c r="L534" s="147"/>
      <c r="M534" s="147"/>
      <c r="N534" s="132"/>
      <c r="O534" s="133"/>
      <c r="P534" s="134"/>
      <c r="Q534" s="135"/>
      <c r="R534" s="148"/>
      <c r="S534" s="148"/>
      <c r="T534" s="149"/>
      <c r="U534" s="133"/>
      <c r="V534" s="138"/>
      <c r="W534" s="139"/>
      <c r="X534" s="140"/>
      <c r="Y534" s="148"/>
      <c r="Z534" s="149"/>
      <c r="AA534" s="141"/>
      <c r="AB534" s="150"/>
      <c r="AC534" s="147"/>
      <c r="AD534" s="147"/>
      <c r="AE534" s="143"/>
      <c r="AF534" s="143"/>
      <c r="AG534" s="143"/>
      <c r="AH534" s="130"/>
      <c r="AI534" s="147"/>
      <c r="AJ534" s="130"/>
      <c r="AK534" s="130"/>
      <c r="AL534" s="147"/>
      <c r="AM534" s="147"/>
      <c r="AN534" s="130"/>
      <c r="AO534" s="130"/>
      <c r="AP534" s="145"/>
      <c r="AQ534" s="133"/>
      <c r="AR534" s="134"/>
      <c r="AS534" s="135"/>
      <c r="AT534" s="136"/>
      <c r="AU534" s="137"/>
      <c r="AV534" s="133"/>
      <c r="AW534" s="138"/>
      <c r="AX534" s="139"/>
      <c r="AY534" s="140"/>
      <c r="AZ534" s="148"/>
      <c r="BA534" s="137"/>
      <c r="BB534" s="141"/>
      <c r="BC534" s="130"/>
      <c r="BD534" s="130"/>
      <c r="BE534" s="147"/>
      <c r="BF534" s="143"/>
      <c r="BG534" s="143"/>
      <c r="BH534" s="143"/>
      <c r="BI534" s="130"/>
    </row>
    <row r="535" spans="1:61" ht="15">
      <c r="A535" s="14"/>
      <c r="B535" s="146"/>
      <c r="C535" s="14"/>
      <c r="D535" s="129"/>
      <c r="E535" s="146"/>
      <c r="F535" s="146"/>
      <c r="G535" s="147"/>
      <c r="H535" s="147"/>
      <c r="I535" s="145"/>
      <c r="J535" s="147"/>
      <c r="K535" s="147"/>
      <c r="L535" s="147"/>
      <c r="M535" s="147"/>
      <c r="N535" s="132"/>
      <c r="O535" s="133"/>
      <c r="P535" s="134"/>
      <c r="Q535" s="135"/>
      <c r="R535" s="148"/>
      <c r="S535" s="148"/>
      <c r="T535" s="149"/>
      <c r="U535" s="133"/>
      <c r="V535" s="138"/>
      <c r="W535" s="139"/>
      <c r="X535" s="140"/>
      <c r="Y535" s="148"/>
      <c r="Z535" s="149"/>
      <c r="AA535" s="141"/>
      <c r="AB535" s="150"/>
      <c r="AC535" s="147"/>
      <c r="AD535" s="147"/>
      <c r="AE535" s="143"/>
      <c r="AF535" s="143"/>
      <c r="AG535" s="143"/>
      <c r="AH535" s="130"/>
      <c r="AI535" s="147"/>
      <c r="AJ535" s="130"/>
      <c r="AK535" s="130"/>
      <c r="AL535" s="147"/>
      <c r="AM535" s="147"/>
      <c r="AN535" s="130"/>
      <c r="AO535" s="130"/>
      <c r="AP535" s="145"/>
      <c r="AQ535" s="133"/>
      <c r="AR535" s="134"/>
      <c r="AS535" s="135"/>
      <c r="AT535" s="136"/>
      <c r="AU535" s="137"/>
      <c r="AV535" s="133"/>
      <c r="AW535" s="138"/>
      <c r="AX535" s="139"/>
      <c r="AY535" s="140"/>
      <c r="AZ535" s="148"/>
      <c r="BA535" s="137"/>
      <c r="BB535" s="141"/>
      <c r="BC535" s="130"/>
      <c r="BD535" s="130"/>
      <c r="BE535" s="147"/>
      <c r="BF535" s="143"/>
      <c r="BG535" s="143"/>
      <c r="BH535" s="143"/>
      <c r="BI535" s="130"/>
    </row>
    <row r="536" spans="1:61" ht="15">
      <c r="A536" s="14"/>
      <c r="B536" s="146"/>
      <c r="C536" s="14"/>
      <c r="D536" s="129"/>
      <c r="E536" s="146"/>
      <c r="F536" s="146"/>
      <c r="G536" s="147"/>
      <c r="H536" s="147"/>
      <c r="I536" s="145"/>
      <c r="J536" s="147"/>
      <c r="K536" s="147"/>
      <c r="L536" s="147"/>
      <c r="M536" s="147"/>
      <c r="N536" s="132"/>
      <c r="O536" s="133"/>
      <c r="P536" s="134"/>
      <c r="Q536" s="135"/>
      <c r="R536" s="148"/>
      <c r="S536" s="148"/>
      <c r="T536" s="149"/>
      <c r="U536" s="133"/>
      <c r="V536" s="138"/>
      <c r="W536" s="139"/>
      <c r="X536" s="140"/>
      <c r="Y536" s="148"/>
      <c r="Z536" s="149"/>
      <c r="AA536" s="141"/>
      <c r="AB536" s="150"/>
      <c r="AC536" s="147"/>
      <c r="AD536" s="147"/>
      <c r="AE536" s="143"/>
      <c r="AF536" s="143"/>
      <c r="AG536" s="143"/>
      <c r="AH536" s="130"/>
      <c r="AI536" s="147"/>
      <c r="AJ536" s="130"/>
      <c r="AK536" s="130"/>
      <c r="AL536" s="147"/>
      <c r="AM536" s="147"/>
      <c r="AN536" s="130"/>
      <c r="AO536" s="130"/>
      <c r="AP536" s="145"/>
      <c r="AQ536" s="133"/>
      <c r="AR536" s="134"/>
      <c r="AS536" s="135"/>
      <c r="AT536" s="136"/>
      <c r="AU536" s="137"/>
      <c r="AV536" s="133"/>
      <c r="AW536" s="138"/>
      <c r="AX536" s="139"/>
      <c r="AY536" s="140"/>
      <c r="AZ536" s="148"/>
      <c r="BA536" s="137"/>
      <c r="BB536" s="141"/>
      <c r="BC536" s="130"/>
      <c r="BD536" s="130"/>
      <c r="BE536" s="147"/>
      <c r="BF536" s="143"/>
      <c r="BG536" s="143"/>
      <c r="BH536" s="143"/>
      <c r="BI536" s="130"/>
    </row>
    <row r="537" spans="1:61" ht="15">
      <c r="A537" s="14"/>
      <c r="B537" s="146"/>
      <c r="C537" s="14"/>
      <c r="D537" s="129"/>
      <c r="E537" s="146"/>
      <c r="F537" s="146"/>
      <c r="G537" s="147"/>
      <c r="H537" s="147"/>
      <c r="I537" s="145"/>
      <c r="J537" s="147"/>
      <c r="K537" s="147"/>
      <c r="L537" s="147"/>
      <c r="M537" s="147"/>
      <c r="N537" s="132"/>
      <c r="O537" s="133"/>
      <c r="P537" s="134"/>
      <c r="Q537" s="135"/>
      <c r="R537" s="148"/>
      <c r="S537" s="148"/>
      <c r="T537" s="149"/>
      <c r="U537" s="133"/>
      <c r="V537" s="138"/>
      <c r="W537" s="139"/>
      <c r="X537" s="140"/>
      <c r="Y537" s="148"/>
      <c r="Z537" s="149"/>
      <c r="AA537" s="141"/>
      <c r="AB537" s="150"/>
      <c r="AC537" s="147"/>
      <c r="AD537" s="147"/>
      <c r="AE537" s="143"/>
      <c r="AF537" s="143"/>
      <c r="AG537" s="143"/>
      <c r="AH537" s="130"/>
      <c r="AI537" s="147"/>
      <c r="AJ537" s="130"/>
      <c r="AK537" s="130"/>
      <c r="AL537" s="147"/>
      <c r="AM537" s="147"/>
      <c r="AN537" s="130"/>
      <c r="AO537" s="130"/>
      <c r="AP537" s="145"/>
      <c r="AQ537" s="133"/>
      <c r="AR537" s="134"/>
      <c r="AS537" s="135"/>
      <c r="AT537" s="136"/>
      <c r="AU537" s="137"/>
      <c r="AV537" s="133"/>
      <c r="AW537" s="138"/>
      <c r="AX537" s="139"/>
      <c r="AY537" s="140"/>
      <c r="AZ537" s="148"/>
      <c r="BA537" s="137"/>
      <c r="BB537" s="141"/>
      <c r="BC537" s="130"/>
      <c r="BD537" s="130"/>
      <c r="BE537" s="147"/>
      <c r="BF537" s="143"/>
      <c r="BG537" s="143"/>
      <c r="BH537" s="143"/>
      <c r="BI537" s="130"/>
    </row>
    <row r="538" spans="1:61" ht="15">
      <c r="A538" s="14"/>
      <c r="B538" s="146"/>
      <c r="C538" s="14"/>
      <c r="D538" s="129"/>
      <c r="E538" s="146"/>
      <c r="F538" s="146"/>
      <c r="G538" s="147"/>
      <c r="H538" s="147"/>
      <c r="I538" s="145"/>
      <c r="J538" s="147"/>
      <c r="K538" s="147"/>
      <c r="L538" s="147"/>
      <c r="M538" s="147"/>
      <c r="N538" s="132"/>
      <c r="O538" s="133"/>
      <c r="P538" s="134"/>
      <c r="Q538" s="135"/>
      <c r="R538" s="148"/>
      <c r="S538" s="148"/>
      <c r="T538" s="149"/>
      <c r="U538" s="133"/>
      <c r="V538" s="138"/>
      <c r="W538" s="139"/>
      <c r="X538" s="140"/>
      <c r="Y538" s="148"/>
      <c r="Z538" s="149"/>
      <c r="AA538" s="141"/>
      <c r="AB538" s="150"/>
      <c r="AC538" s="147"/>
      <c r="AD538" s="147"/>
      <c r="AE538" s="143"/>
      <c r="AF538" s="143"/>
      <c r="AG538" s="143"/>
      <c r="AH538" s="130"/>
      <c r="AI538" s="147"/>
      <c r="AJ538" s="130"/>
      <c r="AK538" s="130"/>
      <c r="AL538" s="147"/>
      <c r="AM538" s="147"/>
      <c r="AN538" s="130"/>
      <c r="AO538" s="130"/>
      <c r="AP538" s="145"/>
      <c r="AQ538" s="133"/>
      <c r="AR538" s="134"/>
      <c r="AS538" s="135"/>
      <c r="AT538" s="136"/>
      <c r="AU538" s="137"/>
      <c r="AV538" s="133"/>
      <c r="AW538" s="138"/>
      <c r="AX538" s="139"/>
      <c r="AY538" s="140"/>
      <c r="AZ538" s="148"/>
      <c r="BA538" s="137"/>
      <c r="BB538" s="141"/>
      <c r="BC538" s="130"/>
      <c r="BD538" s="130"/>
      <c r="BE538" s="147"/>
      <c r="BF538" s="143"/>
      <c r="BG538" s="143"/>
      <c r="BH538" s="143"/>
      <c r="BI538" s="130"/>
    </row>
    <row r="539" spans="1:61" ht="15">
      <c r="A539" s="14"/>
      <c r="B539" s="146"/>
      <c r="C539" s="14"/>
      <c r="D539" s="129"/>
      <c r="E539" s="146"/>
      <c r="F539" s="146"/>
      <c r="G539" s="147"/>
      <c r="H539" s="147"/>
      <c r="I539" s="145"/>
      <c r="J539" s="147"/>
      <c r="K539" s="147"/>
      <c r="L539" s="147"/>
      <c r="M539" s="147"/>
      <c r="N539" s="132"/>
      <c r="O539" s="133"/>
      <c r="P539" s="134"/>
      <c r="Q539" s="135"/>
      <c r="R539" s="148"/>
      <c r="S539" s="148"/>
      <c r="T539" s="149"/>
      <c r="U539" s="133"/>
      <c r="V539" s="138"/>
      <c r="W539" s="139"/>
      <c r="X539" s="140"/>
      <c r="Y539" s="148"/>
      <c r="Z539" s="149"/>
      <c r="AA539" s="141"/>
      <c r="AB539" s="150"/>
      <c r="AC539" s="147"/>
      <c r="AD539" s="147"/>
      <c r="AE539" s="143"/>
      <c r="AF539" s="143"/>
      <c r="AG539" s="143"/>
      <c r="AH539" s="130"/>
      <c r="AI539" s="147"/>
      <c r="AJ539" s="130"/>
      <c r="AK539" s="130"/>
      <c r="AL539" s="147"/>
      <c r="AM539" s="147"/>
      <c r="AN539" s="130"/>
      <c r="AO539" s="130"/>
      <c r="AP539" s="145"/>
      <c r="AQ539" s="133"/>
      <c r="AR539" s="134"/>
      <c r="AS539" s="135"/>
      <c r="AT539" s="136"/>
      <c r="AU539" s="137"/>
      <c r="AV539" s="133"/>
      <c r="AW539" s="138"/>
      <c r="AX539" s="139"/>
      <c r="AY539" s="140"/>
      <c r="AZ539" s="148"/>
      <c r="BA539" s="137"/>
      <c r="BB539" s="141"/>
      <c r="BC539" s="130"/>
      <c r="BD539" s="130"/>
      <c r="BE539" s="147"/>
      <c r="BF539" s="143"/>
      <c r="BG539" s="143"/>
      <c r="BH539" s="143"/>
      <c r="BI539" s="130"/>
    </row>
    <row r="540" spans="1:61" ht="15">
      <c r="A540" s="14"/>
      <c r="B540" s="146"/>
      <c r="C540" s="14"/>
      <c r="D540" s="129"/>
      <c r="E540" s="146"/>
      <c r="F540" s="146"/>
      <c r="G540" s="147"/>
      <c r="H540" s="147"/>
      <c r="I540" s="145"/>
      <c r="J540" s="147"/>
      <c r="K540" s="147"/>
      <c r="L540" s="147"/>
      <c r="M540" s="147"/>
      <c r="N540" s="132"/>
      <c r="O540" s="133"/>
      <c r="P540" s="134"/>
      <c r="Q540" s="135"/>
      <c r="R540" s="148"/>
      <c r="S540" s="148"/>
      <c r="T540" s="149"/>
      <c r="U540" s="133"/>
      <c r="V540" s="138"/>
      <c r="W540" s="139"/>
      <c r="X540" s="140"/>
      <c r="Y540" s="148"/>
      <c r="Z540" s="149"/>
      <c r="AA540" s="141"/>
      <c r="AB540" s="150"/>
      <c r="AC540" s="147"/>
      <c r="AD540" s="147"/>
      <c r="AE540" s="143"/>
      <c r="AF540" s="143"/>
      <c r="AG540" s="143"/>
      <c r="AH540" s="130"/>
      <c r="AI540" s="147"/>
      <c r="AJ540" s="130"/>
      <c r="AK540" s="130"/>
      <c r="AL540" s="147"/>
      <c r="AM540" s="147"/>
      <c r="AN540" s="130"/>
      <c r="AO540" s="130"/>
      <c r="AP540" s="145"/>
      <c r="AQ540" s="133"/>
      <c r="AR540" s="134"/>
      <c r="AS540" s="135"/>
      <c r="AT540" s="136"/>
      <c r="AU540" s="137"/>
      <c r="AV540" s="133"/>
      <c r="AW540" s="138"/>
      <c r="AX540" s="139"/>
      <c r="AY540" s="140"/>
      <c r="AZ540" s="148"/>
      <c r="BA540" s="137"/>
      <c r="BB540" s="141"/>
      <c r="BC540" s="130"/>
      <c r="BD540" s="130"/>
      <c r="BE540" s="147"/>
      <c r="BF540" s="143"/>
      <c r="BG540" s="143"/>
      <c r="BH540" s="143"/>
      <c r="BI540" s="130"/>
    </row>
    <row r="541" spans="1:61" ht="15">
      <c r="A541" s="14"/>
      <c r="B541" s="146"/>
      <c r="C541" s="14"/>
      <c r="D541" s="129"/>
      <c r="E541" s="146"/>
      <c r="F541" s="146"/>
      <c r="G541" s="147"/>
      <c r="H541" s="147"/>
      <c r="I541" s="145"/>
      <c r="J541" s="147"/>
      <c r="K541" s="147"/>
      <c r="L541" s="147"/>
      <c r="M541" s="147"/>
      <c r="N541" s="132"/>
      <c r="O541" s="133"/>
      <c r="P541" s="134"/>
      <c r="Q541" s="135"/>
      <c r="R541" s="148"/>
      <c r="S541" s="148"/>
      <c r="T541" s="149"/>
      <c r="U541" s="133"/>
      <c r="V541" s="138"/>
      <c r="W541" s="139"/>
      <c r="X541" s="140"/>
      <c r="Y541" s="148"/>
      <c r="Z541" s="149"/>
      <c r="AA541" s="141"/>
      <c r="AB541" s="150"/>
      <c r="AC541" s="147"/>
      <c r="AD541" s="147"/>
      <c r="AE541" s="143"/>
      <c r="AF541" s="143"/>
      <c r="AG541" s="143"/>
      <c r="AH541" s="130"/>
      <c r="AI541" s="130"/>
      <c r="AJ541" s="130"/>
      <c r="AK541" s="130"/>
      <c r="AL541" s="130"/>
      <c r="AM541" s="130"/>
      <c r="AN541" s="130"/>
      <c r="AO541" s="130"/>
      <c r="AP541" s="145"/>
      <c r="AQ541" s="133"/>
      <c r="AR541" s="134"/>
      <c r="AS541" s="135"/>
      <c r="AT541" s="136"/>
      <c r="AU541" s="137"/>
      <c r="AV541" s="133"/>
      <c r="AW541" s="138"/>
      <c r="AX541" s="139"/>
      <c r="AY541" s="140"/>
      <c r="AZ541" s="136"/>
      <c r="BA541" s="137"/>
      <c r="BB541" s="141"/>
      <c r="BC541" s="130"/>
      <c r="BD541" s="130"/>
      <c r="BE541" s="130"/>
      <c r="BF541" s="143"/>
      <c r="BG541" s="144"/>
      <c r="BH541" s="144"/>
      <c r="BI541" s="130"/>
    </row>
    <row r="542" spans="1:61" ht="15">
      <c r="A542" s="14"/>
      <c r="B542" s="146"/>
      <c r="C542" s="14"/>
      <c r="D542" s="129"/>
      <c r="E542" s="146"/>
      <c r="F542" s="146"/>
      <c r="G542" s="147"/>
      <c r="H542" s="147"/>
      <c r="I542" s="145"/>
      <c r="J542" s="147"/>
      <c r="K542" s="147"/>
      <c r="L542" s="147"/>
      <c r="M542" s="147"/>
      <c r="N542" s="132"/>
      <c r="O542" s="133"/>
      <c r="P542" s="134"/>
      <c r="Q542" s="135"/>
      <c r="R542" s="148"/>
      <c r="S542" s="148"/>
      <c r="T542" s="149"/>
      <c r="U542" s="133"/>
      <c r="V542" s="138"/>
      <c r="W542" s="139"/>
      <c r="X542" s="140"/>
      <c r="Y542" s="148"/>
      <c r="Z542" s="149"/>
      <c r="AA542" s="141"/>
      <c r="AB542" s="150"/>
      <c r="AC542" s="147"/>
      <c r="AD542" s="147"/>
      <c r="AE542" s="143"/>
      <c r="AF542" s="143"/>
      <c r="AG542" s="143"/>
      <c r="AH542" s="130"/>
      <c r="AI542" s="130"/>
      <c r="AJ542" s="130"/>
      <c r="AK542" s="130"/>
      <c r="AL542" s="130"/>
      <c r="AM542" s="130"/>
      <c r="AN542" s="130"/>
      <c r="AO542" s="130"/>
      <c r="AP542" s="145"/>
      <c r="AQ542" s="133"/>
      <c r="AR542" s="134"/>
      <c r="AS542" s="135"/>
      <c r="AT542" s="136"/>
      <c r="AU542" s="137"/>
      <c r="AV542" s="133"/>
      <c r="AW542" s="138"/>
      <c r="AX542" s="139"/>
      <c r="AY542" s="140"/>
      <c r="AZ542" s="136"/>
      <c r="BA542" s="137"/>
      <c r="BB542" s="141"/>
      <c r="BC542" s="130"/>
      <c r="BD542" s="130"/>
      <c r="BE542" s="130"/>
      <c r="BF542" s="143"/>
      <c r="BG542" s="144"/>
      <c r="BH542" s="144"/>
      <c r="BI542" s="130"/>
    </row>
    <row r="543" spans="1:61" ht="15">
      <c r="A543" s="14"/>
      <c r="B543" s="146"/>
      <c r="C543" s="14"/>
      <c r="D543" s="129"/>
      <c r="E543" s="146"/>
      <c r="F543" s="146"/>
      <c r="G543" s="147"/>
      <c r="H543" s="147"/>
      <c r="I543" s="145"/>
      <c r="J543" s="147"/>
      <c r="K543" s="147"/>
      <c r="L543" s="147"/>
      <c r="M543" s="147"/>
      <c r="N543" s="132"/>
      <c r="O543" s="133"/>
      <c r="P543" s="134"/>
      <c r="Q543" s="135"/>
      <c r="R543" s="148"/>
      <c r="S543" s="148"/>
      <c r="T543" s="149"/>
      <c r="U543" s="133"/>
      <c r="V543" s="138"/>
      <c r="W543" s="139"/>
      <c r="X543" s="140"/>
      <c r="Y543" s="148"/>
      <c r="Z543" s="149"/>
      <c r="AA543" s="141"/>
      <c r="AB543" s="150"/>
      <c r="AC543" s="147"/>
      <c r="AD543" s="147"/>
      <c r="AE543" s="143"/>
      <c r="AF543" s="143"/>
      <c r="AG543" s="143"/>
      <c r="AH543" s="130"/>
      <c r="AI543" s="130"/>
      <c r="AJ543" s="130"/>
      <c r="AK543" s="130"/>
      <c r="AL543" s="130"/>
      <c r="AM543" s="130"/>
      <c r="AN543" s="130"/>
      <c r="AO543" s="130"/>
      <c r="AP543" s="145"/>
      <c r="AQ543" s="133"/>
      <c r="AR543" s="134"/>
      <c r="AS543" s="135"/>
      <c r="AT543" s="136"/>
      <c r="AU543" s="137"/>
      <c r="AV543" s="133"/>
      <c r="AW543" s="138"/>
      <c r="AX543" s="139"/>
      <c r="AY543" s="140"/>
      <c r="AZ543" s="136"/>
      <c r="BA543" s="137"/>
      <c r="BB543" s="141"/>
      <c r="BC543" s="130"/>
      <c r="BD543" s="130"/>
      <c r="BE543" s="130"/>
      <c r="BF543" s="143"/>
      <c r="BG543" s="144"/>
      <c r="BH543" s="144"/>
      <c r="BI543" s="130"/>
    </row>
    <row r="544" spans="1:61" ht="15">
      <c r="A544" s="14"/>
      <c r="B544" s="146"/>
      <c r="C544" s="14"/>
      <c r="D544" s="129"/>
      <c r="E544" s="146"/>
      <c r="F544" s="146"/>
      <c r="G544" s="147"/>
      <c r="H544" s="147"/>
      <c r="I544" s="145"/>
      <c r="J544" s="147"/>
      <c r="K544" s="147"/>
      <c r="L544" s="147"/>
      <c r="M544" s="147"/>
      <c r="N544" s="132"/>
      <c r="O544" s="133"/>
      <c r="P544" s="134"/>
      <c r="Q544" s="135"/>
      <c r="R544" s="148"/>
      <c r="S544" s="148"/>
      <c r="T544" s="149"/>
      <c r="U544" s="133"/>
      <c r="V544" s="138"/>
      <c r="W544" s="139"/>
      <c r="X544" s="140"/>
      <c r="Y544" s="148"/>
      <c r="Z544" s="149"/>
      <c r="AA544" s="141"/>
      <c r="AB544" s="150"/>
      <c r="AC544" s="147"/>
      <c r="AD544" s="147"/>
      <c r="AE544" s="143"/>
      <c r="AF544" s="143"/>
      <c r="AG544" s="143"/>
      <c r="AH544" s="130"/>
      <c r="AI544" s="130"/>
      <c r="AJ544" s="130"/>
      <c r="AK544" s="130"/>
      <c r="AL544" s="130"/>
      <c r="AM544" s="130"/>
      <c r="AN544" s="130"/>
      <c r="AO544" s="130"/>
      <c r="AP544" s="145"/>
      <c r="AQ544" s="133"/>
      <c r="AR544" s="134"/>
      <c r="AS544" s="135"/>
      <c r="AT544" s="136"/>
      <c r="AU544" s="137"/>
      <c r="AV544" s="133"/>
      <c r="AW544" s="138"/>
      <c r="AX544" s="139"/>
      <c r="AY544" s="140"/>
      <c r="AZ544" s="136"/>
      <c r="BA544" s="137"/>
      <c r="BB544" s="141"/>
      <c r="BC544" s="130"/>
      <c r="BD544" s="130"/>
      <c r="BE544" s="130"/>
      <c r="BF544" s="143"/>
      <c r="BG544" s="144"/>
      <c r="BH544" s="144"/>
      <c r="BI544" s="130"/>
    </row>
    <row r="545" spans="1:61" ht="15">
      <c r="A545" s="14"/>
      <c r="B545" s="146"/>
      <c r="C545" s="14"/>
      <c r="D545" s="129"/>
      <c r="E545" s="146"/>
      <c r="F545" s="146"/>
      <c r="G545" s="147"/>
      <c r="H545" s="147"/>
      <c r="I545" s="145"/>
      <c r="J545" s="147"/>
      <c r="K545" s="147"/>
      <c r="L545" s="147"/>
      <c r="M545" s="147"/>
      <c r="N545" s="132"/>
      <c r="O545" s="133"/>
      <c r="P545" s="134"/>
      <c r="Q545" s="135"/>
      <c r="R545" s="148"/>
      <c r="S545" s="148"/>
      <c r="T545" s="149"/>
      <c r="U545" s="133"/>
      <c r="V545" s="138"/>
      <c r="W545" s="139"/>
      <c r="X545" s="140"/>
      <c r="Y545" s="148"/>
      <c r="Z545" s="149"/>
      <c r="AA545" s="141"/>
      <c r="AB545" s="150"/>
      <c r="AC545" s="147"/>
      <c r="AD545" s="147"/>
      <c r="AE545" s="143"/>
      <c r="AF545" s="143"/>
      <c r="AG545" s="143"/>
      <c r="AH545" s="130"/>
      <c r="AI545" s="130"/>
      <c r="AJ545" s="130"/>
      <c r="AK545" s="130"/>
      <c r="AL545" s="130"/>
      <c r="AM545" s="130"/>
      <c r="AN545" s="130"/>
      <c r="AO545" s="130"/>
      <c r="AP545" s="145"/>
      <c r="AQ545" s="133"/>
      <c r="AR545" s="134"/>
      <c r="AS545" s="135"/>
      <c r="AT545" s="136"/>
      <c r="AU545" s="137"/>
      <c r="AV545" s="133"/>
      <c r="AW545" s="138"/>
      <c r="AX545" s="139"/>
      <c r="AY545" s="140"/>
      <c r="AZ545" s="136"/>
      <c r="BA545" s="137"/>
      <c r="BB545" s="141"/>
      <c r="BC545" s="130"/>
      <c r="BD545" s="130"/>
      <c r="BE545" s="130"/>
      <c r="BF545" s="143"/>
      <c r="BG545" s="144"/>
      <c r="BH545" s="144"/>
      <c r="BI545" s="130"/>
    </row>
    <row r="546" spans="1:61" ht="15">
      <c r="A546" s="14"/>
      <c r="B546" s="146"/>
      <c r="C546" s="14"/>
      <c r="D546" s="129"/>
      <c r="E546" s="146"/>
      <c r="F546" s="146"/>
      <c r="G546" s="147"/>
      <c r="H546" s="147"/>
      <c r="I546" s="145"/>
      <c r="J546" s="147"/>
      <c r="K546" s="147"/>
      <c r="L546" s="147"/>
      <c r="M546" s="147"/>
      <c r="N546" s="132"/>
      <c r="O546" s="133"/>
      <c r="P546" s="134"/>
      <c r="Q546" s="135"/>
      <c r="R546" s="148"/>
      <c r="S546" s="148"/>
      <c r="T546" s="149"/>
      <c r="U546" s="133"/>
      <c r="V546" s="138"/>
      <c r="W546" s="139"/>
      <c r="X546" s="140"/>
      <c r="Y546" s="148"/>
      <c r="Z546" s="149"/>
      <c r="AA546" s="141"/>
      <c r="AB546" s="150"/>
      <c r="AC546" s="147"/>
      <c r="AD546" s="147"/>
      <c r="AE546" s="143"/>
      <c r="AF546" s="143"/>
      <c r="AG546" s="143"/>
      <c r="AH546" s="130"/>
      <c r="AI546" s="130"/>
      <c r="AJ546" s="130"/>
      <c r="AK546" s="130"/>
      <c r="AL546" s="130"/>
      <c r="AM546" s="130"/>
      <c r="AN546" s="130"/>
      <c r="AO546" s="130"/>
      <c r="AP546" s="145"/>
      <c r="AQ546" s="133"/>
      <c r="AR546" s="134"/>
      <c r="AS546" s="135"/>
      <c r="AT546" s="136"/>
      <c r="AU546" s="137"/>
      <c r="AV546" s="133"/>
      <c r="AW546" s="138"/>
      <c r="AX546" s="139"/>
      <c r="AY546" s="140"/>
      <c r="AZ546" s="136"/>
      <c r="BA546" s="137"/>
      <c r="BB546" s="141"/>
      <c r="BC546" s="130"/>
      <c r="BD546" s="130"/>
      <c r="BE546" s="130"/>
      <c r="BF546" s="143"/>
      <c r="BG546" s="144"/>
      <c r="BH546" s="144"/>
      <c r="BI546" s="130"/>
    </row>
    <row r="547" spans="1:61" ht="15">
      <c r="A547" s="14"/>
      <c r="B547" s="146"/>
      <c r="C547" s="14"/>
      <c r="D547" s="129"/>
      <c r="E547" s="146"/>
      <c r="F547" s="146"/>
      <c r="G547" s="147"/>
      <c r="H547" s="147"/>
      <c r="I547" s="145"/>
      <c r="J547" s="147"/>
      <c r="K547" s="147"/>
      <c r="L547" s="147"/>
      <c r="M547" s="147"/>
      <c r="N547" s="132"/>
      <c r="O547" s="133"/>
      <c r="P547" s="134"/>
      <c r="Q547" s="135"/>
      <c r="R547" s="148"/>
      <c r="S547" s="148"/>
      <c r="T547" s="149"/>
      <c r="U547" s="133"/>
      <c r="V547" s="138"/>
      <c r="W547" s="139"/>
      <c r="X547" s="140"/>
      <c r="Y547" s="148"/>
      <c r="Z547" s="149"/>
      <c r="AA547" s="141"/>
      <c r="AB547" s="150"/>
      <c r="AC547" s="147"/>
      <c r="AD547" s="147"/>
      <c r="AE547" s="143"/>
      <c r="AF547" s="143"/>
      <c r="AG547" s="143"/>
      <c r="AH547" s="130"/>
      <c r="AI547" s="130"/>
      <c r="AJ547" s="130"/>
      <c r="AK547" s="130"/>
      <c r="AL547" s="130"/>
      <c r="AM547" s="130"/>
      <c r="AN547" s="130"/>
      <c r="AO547" s="130"/>
      <c r="AP547" s="145"/>
      <c r="AQ547" s="133"/>
      <c r="AR547" s="134"/>
      <c r="AS547" s="135"/>
      <c r="AT547" s="136"/>
      <c r="AU547" s="137"/>
      <c r="AV547" s="133"/>
      <c r="AW547" s="138"/>
      <c r="AX547" s="139"/>
      <c r="AY547" s="140"/>
      <c r="AZ547" s="136"/>
      <c r="BA547" s="137"/>
      <c r="BB547" s="141"/>
      <c r="BC547" s="130"/>
      <c r="BD547" s="130"/>
      <c r="BE547" s="130"/>
      <c r="BF547" s="143"/>
      <c r="BG547" s="144"/>
      <c r="BH547" s="144"/>
      <c r="BI547" s="130"/>
    </row>
    <row r="548" spans="1:61" ht="15">
      <c r="A548" s="14"/>
      <c r="B548" s="146"/>
      <c r="C548" s="14"/>
      <c r="D548" s="129"/>
      <c r="E548" s="146"/>
      <c r="F548" s="146"/>
      <c r="G548" s="147"/>
      <c r="H548" s="147"/>
      <c r="I548" s="145"/>
      <c r="J548" s="147"/>
      <c r="K548" s="147"/>
      <c r="L548" s="147"/>
      <c r="M548" s="147"/>
      <c r="N548" s="132"/>
      <c r="O548" s="133"/>
      <c r="P548" s="134"/>
      <c r="Q548" s="135"/>
      <c r="R548" s="148"/>
      <c r="S548" s="148"/>
      <c r="T548" s="149"/>
      <c r="U548" s="133"/>
      <c r="V548" s="138"/>
      <c r="W548" s="139"/>
      <c r="X548" s="140"/>
      <c r="Y548" s="148"/>
      <c r="Z548" s="149"/>
      <c r="AA548" s="141"/>
      <c r="AB548" s="150"/>
      <c r="AC548" s="147"/>
      <c r="AD548" s="147"/>
      <c r="AE548" s="143"/>
      <c r="AF548" s="143"/>
      <c r="AG548" s="143"/>
      <c r="AH548" s="130"/>
      <c r="AI548" s="130"/>
      <c r="AJ548" s="130"/>
      <c r="AK548" s="130"/>
      <c r="AL548" s="130"/>
      <c r="AM548" s="130"/>
      <c r="AN548" s="130"/>
      <c r="AO548" s="130"/>
      <c r="AP548" s="145"/>
      <c r="AQ548" s="133"/>
      <c r="AR548" s="134"/>
      <c r="AS548" s="135"/>
      <c r="AT548" s="136"/>
      <c r="AU548" s="137"/>
      <c r="AV548" s="133"/>
      <c r="AW548" s="138"/>
      <c r="AX548" s="139"/>
      <c r="AY548" s="140"/>
      <c r="AZ548" s="136"/>
      <c r="BA548" s="137"/>
      <c r="BB548" s="141"/>
      <c r="BC548" s="130"/>
      <c r="BD548" s="130"/>
      <c r="BE548" s="130"/>
      <c r="BF548" s="143"/>
      <c r="BG548" s="144"/>
      <c r="BH548" s="144"/>
      <c r="BI548" s="130"/>
    </row>
    <row r="549" spans="1:61" ht="15">
      <c r="A549" s="14"/>
      <c r="B549" s="146"/>
      <c r="C549" s="14"/>
      <c r="D549" s="129"/>
      <c r="E549" s="146"/>
      <c r="F549" s="146"/>
      <c r="G549" s="147"/>
      <c r="H549" s="147"/>
      <c r="I549" s="145"/>
      <c r="J549" s="147"/>
      <c r="K549" s="147"/>
      <c r="L549" s="147"/>
      <c r="M549" s="147"/>
      <c r="N549" s="132"/>
      <c r="O549" s="133"/>
      <c r="P549" s="134"/>
      <c r="Q549" s="135"/>
      <c r="R549" s="148"/>
      <c r="S549" s="148"/>
      <c r="T549" s="149"/>
      <c r="U549" s="133"/>
      <c r="V549" s="138"/>
      <c r="W549" s="139"/>
      <c r="X549" s="140"/>
      <c r="Y549" s="148"/>
      <c r="Z549" s="149"/>
      <c r="AA549" s="141"/>
      <c r="AB549" s="150"/>
      <c r="AC549" s="147"/>
      <c r="AD549" s="147"/>
      <c r="AE549" s="143"/>
      <c r="AF549" s="143"/>
      <c r="AG549" s="143"/>
      <c r="AH549" s="130"/>
      <c r="AI549" s="130"/>
      <c r="AJ549" s="130"/>
      <c r="AK549" s="130"/>
      <c r="AL549" s="130"/>
      <c r="AM549" s="130"/>
      <c r="AN549" s="130"/>
      <c r="AO549" s="130"/>
      <c r="AP549" s="145"/>
      <c r="AQ549" s="133"/>
      <c r="AR549" s="134"/>
      <c r="AS549" s="135"/>
      <c r="AT549" s="136"/>
      <c r="AU549" s="137"/>
      <c r="AV549" s="133"/>
      <c r="AW549" s="138"/>
      <c r="AX549" s="139"/>
      <c r="AY549" s="140"/>
      <c r="AZ549" s="136"/>
      <c r="BA549" s="137"/>
      <c r="BB549" s="141"/>
      <c r="BC549" s="130"/>
      <c r="BD549" s="130"/>
      <c r="BE549" s="130"/>
      <c r="BF549" s="143"/>
      <c r="BG549" s="144"/>
      <c r="BH549" s="144"/>
      <c r="BI549" s="130"/>
    </row>
    <row r="550" spans="1:61" ht="15">
      <c r="A550" s="14"/>
      <c r="B550" s="146"/>
      <c r="C550" s="14"/>
      <c r="D550" s="129"/>
      <c r="E550" s="146"/>
      <c r="F550" s="146"/>
      <c r="G550" s="147"/>
      <c r="H550" s="147"/>
      <c r="I550" s="145"/>
      <c r="J550" s="147"/>
      <c r="K550" s="147"/>
      <c r="L550" s="147"/>
      <c r="M550" s="147"/>
      <c r="N550" s="132"/>
      <c r="O550" s="133"/>
      <c r="P550" s="134"/>
      <c r="Q550" s="135"/>
      <c r="R550" s="148"/>
      <c r="S550" s="148"/>
      <c r="T550" s="149"/>
      <c r="U550" s="133"/>
      <c r="V550" s="138"/>
      <c r="W550" s="139"/>
      <c r="X550" s="140"/>
      <c r="Y550" s="148"/>
      <c r="Z550" s="149"/>
      <c r="AA550" s="141"/>
      <c r="AB550" s="150"/>
      <c r="AC550" s="147"/>
      <c r="AD550" s="147"/>
      <c r="AE550" s="143"/>
      <c r="AF550" s="143"/>
      <c r="AG550" s="143"/>
      <c r="AH550" s="130"/>
      <c r="AI550" s="130"/>
      <c r="AJ550" s="130"/>
      <c r="AK550" s="130"/>
      <c r="AL550" s="130"/>
      <c r="AM550" s="130"/>
      <c r="AN550" s="130"/>
      <c r="AO550" s="130"/>
      <c r="AP550" s="145"/>
      <c r="AQ550" s="133"/>
      <c r="AR550" s="134"/>
      <c r="AS550" s="135"/>
      <c r="AT550" s="136"/>
      <c r="AU550" s="137"/>
      <c r="AV550" s="133"/>
      <c r="AW550" s="138"/>
      <c r="AX550" s="139"/>
      <c r="AY550" s="140"/>
      <c r="AZ550" s="136"/>
      <c r="BA550" s="137"/>
      <c r="BB550" s="141"/>
      <c r="BC550" s="130"/>
      <c r="BD550" s="130"/>
      <c r="BE550" s="130"/>
      <c r="BF550" s="143"/>
      <c r="BG550" s="144"/>
      <c r="BH550" s="144"/>
      <c r="BI550" s="130"/>
    </row>
    <row r="551" spans="1:61" ht="15">
      <c r="A551" s="14"/>
      <c r="B551" s="146"/>
      <c r="C551" s="14"/>
      <c r="D551" s="129"/>
      <c r="E551" s="146"/>
      <c r="F551" s="146"/>
      <c r="G551" s="147"/>
      <c r="H551" s="147"/>
      <c r="I551" s="145"/>
      <c r="J551" s="147"/>
      <c r="K551" s="147"/>
      <c r="L551" s="147"/>
      <c r="M551" s="147"/>
      <c r="N551" s="132"/>
      <c r="O551" s="133"/>
      <c r="P551" s="134"/>
      <c r="Q551" s="135"/>
      <c r="R551" s="148"/>
      <c r="S551" s="148"/>
      <c r="T551" s="149"/>
      <c r="U551" s="133"/>
      <c r="V551" s="138"/>
      <c r="W551" s="139"/>
      <c r="X551" s="140"/>
      <c r="Y551" s="148"/>
      <c r="Z551" s="149"/>
      <c r="AA551" s="141"/>
      <c r="AB551" s="150"/>
      <c r="AC551" s="147"/>
      <c r="AD551" s="147"/>
      <c r="AE551" s="143"/>
      <c r="AF551" s="143"/>
      <c r="AG551" s="143"/>
      <c r="AH551" s="130"/>
      <c r="AI551" s="130"/>
      <c r="AJ551" s="130"/>
      <c r="AK551" s="130"/>
      <c r="AL551" s="130"/>
      <c r="AM551" s="130"/>
      <c r="AN551" s="130"/>
      <c r="AO551" s="130"/>
      <c r="AP551" s="145"/>
      <c r="AQ551" s="133"/>
      <c r="AR551" s="134"/>
      <c r="AS551" s="135"/>
      <c r="AT551" s="136"/>
      <c r="AU551" s="137"/>
      <c r="AV551" s="133"/>
      <c r="AW551" s="138"/>
      <c r="AX551" s="139"/>
      <c r="AY551" s="140"/>
      <c r="AZ551" s="136"/>
      <c r="BA551" s="137"/>
      <c r="BB551" s="141"/>
      <c r="BC551" s="130"/>
      <c r="BD551" s="130"/>
      <c r="BE551" s="130"/>
      <c r="BF551" s="143"/>
      <c r="BG551" s="144"/>
      <c r="BH551" s="144"/>
      <c r="BI551" s="130"/>
    </row>
    <row r="552" spans="1:61" ht="15">
      <c r="A552" s="14"/>
      <c r="B552" s="146"/>
      <c r="C552" s="14"/>
      <c r="D552" s="129"/>
      <c r="E552" s="146"/>
      <c r="F552" s="146"/>
      <c r="G552" s="147"/>
      <c r="H552" s="147"/>
      <c r="I552" s="145"/>
      <c r="J552" s="147"/>
      <c r="K552" s="147"/>
      <c r="L552" s="147"/>
      <c r="M552" s="147"/>
      <c r="N552" s="132"/>
      <c r="O552" s="133"/>
      <c r="P552" s="134"/>
      <c r="Q552" s="135"/>
      <c r="R552" s="148"/>
      <c r="S552" s="148"/>
      <c r="T552" s="149"/>
      <c r="U552" s="133"/>
      <c r="V552" s="138"/>
      <c r="W552" s="139"/>
      <c r="X552" s="140"/>
      <c r="Y552" s="148"/>
      <c r="Z552" s="149"/>
      <c r="AA552" s="141"/>
      <c r="AB552" s="150"/>
      <c r="AC552" s="147"/>
      <c r="AD552" s="147"/>
      <c r="AE552" s="143"/>
      <c r="AF552" s="143"/>
      <c r="AG552" s="143"/>
      <c r="AH552" s="130"/>
      <c r="AI552" s="130"/>
      <c r="AJ552" s="130"/>
      <c r="AK552" s="130"/>
      <c r="AL552" s="130"/>
      <c r="AM552" s="130"/>
      <c r="AN552" s="130"/>
      <c r="AO552" s="130"/>
      <c r="AP552" s="145"/>
      <c r="AQ552" s="133"/>
      <c r="AR552" s="134"/>
      <c r="AS552" s="135"/>
      <c r="AT552" s="136"/>
      <c r="AU552" s="137"/>
      <c r="AV552" s="133"/>
      <c r="AW552" s="138"/>
      <c r="AX552" s="139"/>
      <c r="AY552" s="140"/>
      <c r="AZ552" s="136"/>
      <c r="BA552" s="137"/>
      <c r="BB552" s="141"/>
      <c r="BC552" s="130"/>
      <c r="BD552" s="130"/>
      <c r="BE552" s="130"/>
      <c r="BF552" s="143"/>
      <c r="BG552" s="144"/>
      <c r="BH552" s="144"/>
      <c r="BI552" s="130"/>
    </row>
    <row r="553" spans="1:61" ht="15">
      <c r="A553" s="14"/>
      <c r="B553" s="146"/>
      <c r="C553" s="14"/>
      <c r="D553" s="129"/>
      <c r="E553" s="146"/>
      <c r="F553" s="146"/>
      <c r="G553" s="147"/>
      <c r="H553" s="147"/>
      <c r="I553" s="145"/>
      <c r="J553" s="147"/>
      <c r="K553" s="147"/>
      <c r="L553" s="147"/>
      <c r="M553" s="147"/>
      <c r="N553" s="132"/>
      <c r="O553" s="133"/>
      <c r="P553" s="134"/>
      <c r="Q553" s="135"/>
      <c r="R553" s="148"/>
      <c r="S553" s="148"/>
      <c r="T553" s="149"/>
      <c r="U553" s="133"/>
      <c r="V553" s="138"/>
      <c r="W553" s="139"/>
      <c r="X553" s="140"/>
      <c r="Y553" s="148"/>
      <c r="Z553" s="149"/>
      <c r="AA553" s="141"/>
      <c r="AB553" s="150"/>
      <c r="AC553" s="147"/>
      <c r="AD553" s="147"/>
      <c r="AE553" s="143"/>
      <c r="AF553" s="143"/>
      <c r="AG553" s="143"/>
      <c r="AH553" s="130"/>
      <c r="AI553" s="130"/>
      <c r="AJ553" s="130"/>
      <c r="AK553" s="130"/>
      <c r="AL553" s="130"/>
      <c r="AM553" s="130"/>
      <c r="AN553" s="130"/>
      <c r="AO553" s="130"/>
      <c r="AP553" s="145"/>
      <c r="AQ553" s="133"/>
      <c r="AR553" s="134"/>
      <c r="AS553" s="135"/>
      <c r="AT553" s="136"/>
      <c r="AU553" s="137"/>
      <c r="AV553" s="133"/>
      <c r="AW553" s="138"/>
      <c r="AX553" s="139"/>
      <c r="AY553" s="140"/>
      <c r="AZ553" s="136"/>
      <c r="BA553" s="137"/>
      <c r="BB553" s="141"/>
      <c r="BC553" s="130"/>
      <c r="BD553" s="130"/>
      <c r="BE553" s="130"/>
      <c r="BF553" s="143"/>
      <c r="BG553" s="144"/>
      <c r="BH553" s="144"/>
      <c r="BI553" s="130"/>
    </row>
    <row r="554" spans="1:61" ht="15">
      <c r="A554" s="14"/>
      <c r="B554" s="146"/>
      <c r="C554" s="14"/>
      <c r="D554" s="129"/>
      <c r="E554" s="146"/>
      <c r="F554" s="146"/>
      <c r="G554" s="147"/>
      <c r="H554" s="147"/>
      <c r="I554" s="145"/>
      <c r="J554" s="147"/>
      <c r="K554" s="147"/>
      <c r="L554" s="147"/>
      <c r="M554" s="147"/>
      <c r="N554" s="132"/>
      <c r="O554" s="133"/>
      <c r="P554" s="134"/>
      <c r="Q554" s="135"/>
      <c r="R554" s="148"/>
      <c r="S554" s="148"/>
      <c r="T554" s="149"/>
      <c r="U554" s="133"/>
      <c r="V554" s="138"/>
      <c r="W554" s="139"/>
      <c r="X554" s="140"/>
      <c r="Y554" s="148"/>
      <c r="Z554" s="149"/>
      <c r="AA554" s="141"/>
      <c r="AB554" s="150"/>
      <c r="AC554" s="147"/>
      <c r="AD554" s="147"/>
      <c r="AE554" s="143"/>
      <c r="AF554" s="143"/>
      <c r="AG554" s="143"/>
      <c r="AH554" s="130"/>
      <c r="AI554" s="130"/>
      <c r="AJ554" s="147"/>
      <c r="AK554" s="130"/>
      <c r="AL554" s="130"/>
      <c r="AM554" s="130"/>
      <c r="AN554" s="130"/>
      <c r="AO554" s="130"/>
      <c r="AP554" s="145"/>
      <c r="AQ554" s="133"/>
      <c r="AR554" s="134"/>
      <c r="AS554" s="135"/>
      <c r="AT554" s="136"/>
      <c r="AU554" s="137"/>
      <c r="AV554" s="133"/>
      <c r="AW554" s="138"/>
      <c r="AX554" s="139"/>
      <c r="AY554" s="140"/>
      <c r="AZ554" s="136"/>
      <c r="BA554" s="137"/>
      <c r="BB554" s="141"/>
      <c r="BC554" s="130"/>
      <c r="BD554" s="130"/>
      <c r="BE554" s="130"/>
      <c r="BF554" s="143"/>
      <c r="BG554" s="143"/>
      <c r="BH554" s="144"/>
      <c r="BI554" s="130"/>
    </row>
    <row r="555" spans="1:61" ht="15">
      <c r="A555" s="14"/>
      <c r="B555" s="146"/>
      <c r="C555" s="14"/>
      <c r="D555" s="129"/>
      <c r="E555" s="146"/>
      <c r="F555" s="146"/>
      <c r="G555" s="147"/>
      <c r="H555" s="147"/>
      <c r="I555" s="145"/>
      <c r="J555" s="147"/>
      <c r="K555" s="147"/>
      <c r="L555" s="147"/>
      <c r="M555" s="147"/>
      <c r="N555" s="132"/>
      <c r="O555" s="133"/>
      <c r="P555" s="134"/>
      <c r="Q555" s="135"/>
      <c r="R555" s="148"/>
      <c r="S555" s="148"/>
      <c r="T555" s="149"/>
      <c r="U555" s="133"/>
      <c r="V555" s="138"/>
      <c r="W555" s="139"/>
      <c r="X555" s="140"/>
      <c r="Y555" s="148"/>
      <c r="Z555" s="149"/>
      <c r="AA555" s="141"/>
      <c r="AB555" s="150"/>
      <c r="AC555" s="147"/>
      <c r="AD555" s="147"/>
      <c r="AE555" s="143"/>
      <c r="AF555" s="143"/>
      <c r="AG555" s="143"/>
      <c r="AH555" s="130"/>
      <c r="AI555" s="147"/>
      <c r="AJ555" s="130"/>
      <c r="AK555" s="130"/>
      <c r="AL555" s="147"/>
      <c r="AM555" s="147"/>
      <c r="AN555" s="130"/>
      <c r="AO555" s="130"/>
      <c r="AP555" s="145"/>
      <c r="AQ555" s="133"/>
      <c r="AR555" s="134"/>
      <c r="AS555" s="135"/>
      <c r="AT555" s="136"/>
      <c r="AU555" s="137"/>
      <c r="AV555" s="133"/>
      <c r="AW555" s="138"/>
      <c r="AX555" s="139"/>
      <c r="AY555" s="140"/>
      <c r="AZ555" s="136"/>
      <c r="BA555" s="149"/>
      <c r="BB555" s="141"/>
      <c r="BC555" s="130"/>
      <c r="BD555" s="130"/>
      <c r="BE555" s="130"/>
      <c r="BF555" s="143"/>
      <c r="BG555" s="143"/>
      <c r="BH555" s="143"/>
      <c r="BI555" s="130"/>
    </row>
    <row r="556" spans="1:61" ht="15">
      <c r="A556" s="14"/>
      <c r="B556" s="146"/>
      <c r="C556" s="14"/>
      <c r="D556" s="129"/>
      <c r="E556" s="146"/>
      <c r="F556" s="146"/>
      <c r="G556" s="147"/>
      <c r="H556" s="147"/>
      <c r="I556" s="145"/>
      <c r="J556" s="147"/>
      <c r="K556" s="147"/>
      <c r="L556" s="147"/>
      <c r="M556" s="147"/>
      <c r="N556" s="132"/>
      <c r="O556" s="133"/>
      <c r="P556" s="134"/>
      <c r="Q556" s="135"/>
      <c r="R556" s="148"/>
      <c r="S556" s="148"/>
      <c r="T556" s="149"/>
      <c r="U556" s="133"/>
      <c r="V556" s="138"/>
      <c r="W556" s="139"/>
      <c r="X556" s="140"/>
      <c r="Y556" s="148"/>
      <c r="Z556" s="149"/>
      <c r="AA556" s="141"/>
      <c r="AB556" s="150"/>
      <c r="AC556" s="147"/>
      <c r="AD556" s="147"/>
      <c r="AE556" s="143"/>
      <c r="AF556" s="143"/>
      <c r="AG556" s="143"/>
      <c r="AH556" s="130"/>
      <c r="AI556" s="147"/>
      <c r="AJ556" s="130"/>
      <c r="AK556" s="130"/>
      <c r="AL556" s="147"/>
      <c r="AM556" s="147"/>
      <c r="AN556" s="130"/>
      <c r="AO556" s="130"/>
      <c r="AP556" s="145"/>
      <c r="AQ556" s="133"/>
      <c r="AR556" s="134"/>
      <c r="AS556" s="135"/>
      <c r="AT556" s="136"/>
      <c r="AU556" s="137"/>
      <c r="AV556" s="133"/>
      <c r="AW556" s="138"/>
      <c r="AX556" s="139"/>
      <c r="AY556" s="140"/>
      <c r="AZ556" s="136"/>
      <c r="BA556" s="149"/>
      <c r="BB556" s="141"/>
      <c r="BC556" s="130"/>
      <c r="BD556" s="130"/>
      <c r="BE556" s="130"/>
      <c r="BF556" s="143"/>
      <c r="BG556" s="143"/>
      <c r="BH556" s="144"/>
      <c r="BI556" s="130"/>
    </row>
    <row r="557" spans="1:61" ht="15">
      <c r="A557" s="14"/>
      <c r="B557" s="146"/>
      <c r="C557" s="14"/>
      <c r="D557" s="129"/>
      <c r="E557" s="146"/>
      <c r="F557" s="146"/>
      <c r="G557" s="147"/>
      <c r="H557" s="147"/>
      <c r="I557" s="145"/>
      <c r="J557" s="147"/>
      <c r="K557" s="147"/>
      <c r="L557" s="147"/>
      <c r="M557" s="147"/>
      <c r="N557" s="132"/>
      <c r="O557" s="133"/>
      <c r="P557" s="134"/>
      <c r="Q557" s="135"/>
      <c r="R557" s="148"/>
      <c r="S557" s="148"/>
      <c r="T557" s="149"/>
      <c r="U557" s="133"/>
      <c r="V557" s="138"/>
      <c r="W557" s="139"/>
      <c r="X557" s="140"/>
      <c r="Y557" s="148"/>
      <c r="Z557" s="149"/>
      <c r="AA557" s="141"/>
      <c r="AB557" s="150"/>
      <c r="AC557" s="147"/>
      <c r="AD557" s="147"/>
      <c r="AE557" s="143"/>
      <c r="AF557" s="143"/>
      <c r="AG557" s="143"/>
      <c r="AH557" s="130"/>
      <c r="AI557" s="147"/>
      <c r="AJ557" s="147"/>
      <c r="AK557" s="130"/>
      <c r="AL557" s="147"/>
      <c r="AM557" s="147"/>
      <c r="AN557" s="130"/>
      <c r="AO557" s="130"/>
      <c r="AP557" s="145"/>
      <c r="AQ557" s="133"/>
      <c r="AR557" s="134"/>
      <c r="AS557" s="135"/>
      <c r="AT557" s="136"/>
      <c r="AU557" s="137"/>
      <c r="AV557" s="133"/>
      <c r="AW557" s="138"/>
      <c r="AX557" s="139"/>
      <c r="AY557" s="140"/>
      <c r="AZ557" s="136"/>
      <c r="BA557" s="149"/>
      <c r="BB557" s="141"/>
      <c r="BC557" s="130"/>
      <c r="BD557" s="130"/>
      <c r="BE557" s="130"/>
      <c r="BF557" s="143"/>
      <c r="BG557" s="143"/>
      <c r="BH557" s="143"/>
      <c r="BI557" s="130"/>
    </row>
    <row r="558" spans="1:61" ht="15">
      <c r="A558" s="14"/>
      <c r="B558" s="146"/>
      <c r="C558" s="14"/>
      <c r="D558" s="129"/>
      <c r="E558" s="146"/>
      <c r="F558" s="146"/>
      <c r="G558" s="147"/>
      <c r="H558" s="147"/>
      <c r="I558" s="145"/>
      <c r="J558" s="147"/>
      <c r="K558" s="147"/>
      <c r="L558" s="147"/>
      <c r="M558" s="147"/>
      <c r="N558" s="132"/>
      <c r="O558" s="133"/>
      <c r="P558" s="134"/>
      <c r="Q558" s="135"/>
      <c r="R558" s="148"/>
      <c r="S558" s="148"/>
      <c r="T558" s="149"/>
      <c r="U558" s="133"/>
      <c r="V558" s="138"/>
      <c r="W558" s="139"/>
      <c r="X558" s="140"/>
      <c r="Y558" s="148"/>
      <c r="Z558" s="149"/>
      <c r="AA558" s="141"/>
      <c r="AB558" s="150"/>
      <c r="AC558" s="147"/>
      <c r="AD558" s="147"/>
      <c r="AE558" s="143"/>
      <c r="AF558" s="143"/>
      <c r="AG558" s="143"/>
      <c r="AH558" s="130"/>
      <c r="AI558" s="147"/>
      <c r="AJ558" s="147"/>
      <c r="AK558" s="130"/>
      <c r="AL558" s="147"/>
      <c r="AM558" s="147"/>
      <c r="AN558" s="130"/>
      <c r="AO558" s="130"/>
      <c r="AP558" s="145"/>
      <c r="AQ558" s="133"/>
      <c r="AR558" s="134"/>
      <c r="AS558" s="135"/>
      <c r="AT558" s="136"/>
      <c r="AU558" s="137"/>
      <c r="AV558" s="133"/>
      <c r="AW558" s="138"/>
      <c r="AX558" s="139"/>
      <c r="AY558" s="140"/>
      <c r="AZ558" s="148"/>
      <c r="BA558" s="149"/>
      <c r="BB558" s="141"/>
      <c r="BC558" s="130"/>
      <c r="BD558" s="130"/>
      <c r="BE558" s="130"/>
      <c r="BF558" s="143"/>
      <c r="BG558" s="143"/>
      <c r="BH558" s="143"/>
      <c r="BI558" s="130"/>
    </row>
    <row r="559" spans="1:61" ht="15">
      <c r="A559" s="14"/>
      <c r="B559" s="146"/>
      <c r="C559" s="14"/>
      <c r="D559" s="129"/>
      <c r="E559" s="146"/>
      <c r="F559" s="146"/>
      <c r="G559" s="147"/>
      <c r="H559" s="147"/>
      <c r="I559" s="145"/>
      <c r="J559" s="147"/>
      <c r="K559" s="147"/>
      <c r="L559" s="147"/>
      <c r="M559" s="147"/>
      <c r="N559" s="132"/>
      <c r="O559" s="133"/>
      <c r="P559" s="134"/>
      <c r="Q559" s="135"/>
      <c r="R559" s="148"/>
      <c r="S559" s="148"/>
      <c r="T559" s="149"/>
      <c r="U559" s="133"/>
      <c r="V559" s="138"/>
      <c r="W559" s="139"/>
      <c r="X559" s="140"/>
      <c r="Y559" s="148"/>
      <c r="Z559" s="149"/>
      <c r="AA559" s="141"/>
      <c r="AB559" s="150"/>
      <c r="AC559" s="147"/>
      <c r="AD559" s="147"/>
      <c r="AE559" s="143"/>
      <c r="AF559" s="143"/>
      <c r="AG559" s="143"/>
      <c r="AH559" s="130"/>
      <c r="AI559" s="147"/>
      <c r="AJ559" s="147"/>
      <c r="AK559" s="130"/>
      <c r="AL559" s="147"/>
      <c r="AM559" s="147"/>
      <c r="AN559" s="130"/>
      <c r="AO559" s="130"/>
      <c r="AP559" s="145"/>
      <c r="AQ559" s="133"/>
      <c r="AR559" s="134"/>
      <c r="AS559" s="135"/>
      <c r="AT559" s="136"/>
      <c r="AU559" s="137"/>
      <c r="AV559" s="133"/>
      <c r="AW559" s="138"/>
      <c r="AX559" s="139"/>
      <c r="AY559" s="140"/>
      <c r="AZ559" s="136"/>
      <c r="BA559" s="149"/>
      <c r="BB559" s="141"/>
      <c r="BC559" s="130"/>
      <c r="BD559" s="130"/>
      <c r="BE559" s="130"/>
      <c r="BF559" s="143"/>
      <c r="BG559" s="143"/>
      <c r="BH559" s="143"/>
      <c r="BI559" s="130"/>
    </row>
    <row r="560" spans="1:61" ht="15">
      <c r="A560" s="14"/>
      <c r="B560" s="146"/>
      <c r="C560" s="14"/>
      <c r="D560" s="129"/>
      <c r="E560" s="146"/>
      <c r="F560" s="146"/>
      <c r="G560" s="147"/>
      <c r="H560" s="147"/>
      <c r="I560" s="145"/>
      <c r="J560" s="147"/>
      <c r="K560" s="147"/>
      <c r="L560" s="147"/>
      <c r="M560" s="147"/>
      <c r="N560" s="132"/>
      <c r="O560" s="133"/>
      <c r="P560" s="134"/>
      <c r="Q560" s="135"/>
      <c r="R560" s="148"/>
      <c r="S560" s="148"/>
      <c r="T560" s="149"/>
      <c r="U560" s="133"/>
      <c r="V560" s="138"/>
      <c r="W560" s="139"/>
      <c r="X560" s="140"/>
      <c r="Y560" s="148"/>
      <c r="Z560" s="149"/>
      <c r="AA560" s="141"/>
      <c r="AB560" s="150"/>
      <c r="AC560" s="147"/>
      <c r="AD560" s="147"/>
      <c r="AE560" s="143"/>
      <c r="AF560" s="143"/>
      <c r="AG560" s="143"/>
      <c r="AH560" s="130"/>
      <c r="AI560" s="147"/>
      <c r="AJ560" s="147"/>
      <c r="AK560" s="147"/>
      <c r="AL560" s="147"/>
      <c r="AM560" s="147"/>
      <c r="AN560" s="147"/>
      <c r="AO560" s="147"/>
      <c r="AP560" s="145"/>
      <c r="AQ560" s="133"/>
      <c r="AR560" s="134"/>
      <c r="AS560" s="135"/>
      <c r="AT560" s="148"/>
      <c r="AU560" s="137"/>
      <c r="AV560" s="133"/>
      <c r="AW560" s="138"/>
      <c r="AX560" s="139"/>
      <c r="AY560" s="140"/>
      <c r="AZ560" s="148"/>
      <c r="BA560" s="149"/>
      <c r="BB560" s="141"/>
      <c r="BC560" s="147"/>
      <c r="BD560" s="147"/>
      <c r="BE560" s="147"/>
      <c r="BF560" s="143"/>
      <c r="BG560" s="143"/>
      <c r="BH560" s="143"/>
      <c r="BI560" s="130"/>
    </row>
    <row r="561" spans="1:61" ht="15">
      <c r="A561" s="14"/>
      <c r="B561" s="146"/>
      <c r="C561" s="14"/>
      <c r="D561" s="129"/>
      <c r="E561" s="146"/>
      <c r="F561" s="146"/>
      <c r="G561" s="147"/>
      <c r="H561" s="147"/>
      <c r="I561" s="145"/>
      <c r="J561" s="147"/>
      <c r="K561" s="147"/>
      <c r="L561" s="147"/>
      <c r="M561" s="147"/>
      <c r="N561" s="132"/>
      <c r="O561" s="133"/>
      <c r="P561" s="134"/>
      <c r="Q561" s="135"/>
      <c r="R561" s="148"/>
      <c r="S561" s="148"/>
      <c r="T561" s="149"/>
      <c r="U561" s="133"/>
      <c r="V561" s="138"/>
      <c r="W561" s="139"/>
      <c r="X561" s="140"/>
      <c r="Y561" s="148"/>
      <c r="Z561" s="149"/>
      <c r="AA561" s="141"/>
      <c r="AB561" s="150"/>
      <c r="AC561" s="147"/>
      <c r="AD561" s="147"/>
      <c r="AE561" s="143"/>
      <c r="AF561" s="143"/>
      <c r="AG561" s="143"/>
      <c r="AH561" s="130"/>
      <c r="AI561" s="147"/>
      <c r="AJ561" s="147"/>
      <c r="AK561" s="130"/>
      <c r="AL561" s="147"/>
      <c r="AM561" s="147"/>
      <c r="AN561" s="130"/>
      <c r="AO561" s="130"/>
      <c r="AP561" s="145"/>
      <c r="AQ561" s="133"/>
      <c r="AR561" s="134"/>
      <c r="AS561" s="135"/>
      <c r="AT561" s="136"/>
      <c r="AU561" s="137"/>
      <c r="AV561" s="133"/>
      <c r="AW561" s="138"/>
      <c r="AX561" s="139"/>
      <c r="AY561" s="140"/>
      <c r="AZ561" s="148"/>
      <c r="BA561" s="137"/>
      <c r="BB561" s="141"/>
      <c r="BC561" s="130"/>
      <c r="BD561" s="130"/>
      <c r="BE561" s="147"/>
      <c r="BF561" s="143"/>
      <c r="BG561" s="143"/>
      <c r="BH561" s="143"/>
      <c r="BI561" s="130"/>
    </row>
    <row r="562" spans="1:61" ht="15">
      <c r="A562" s="14"/>
      <c r="B562" s="146"/>
      <c r="C562" s="14"/>
      <c r="D562" s="129"/>
      <c r="E562" s="146"/>
      <c r="F562" s="146"/>
      <c r="G562" s="147"/>
      <c r="H562" s="147"/>
      <c r="I562" s="145"/>
      <c r="J562" s="147"/>
      <c r="K562" s="147"/>
      <c r="L562" s="147"/>
      <c r="M562" s="147"/>
      <c r="N562" s="132"/>
      <c r="O562" s="133"/>
      <c r="P562" s="134"/>
      <c r="Q562" s="135"/>
      <c r="R562" s="148"/>
      <c r="S562" s="148"/>
      <c r="T562" s="149"/>
      <c r="U562" s="133"/>
      <c r="V562" s="138"/>
      <c r="W562" s="139"/>
      <c r="X562" s="140"/>
      <c r="Y562" s="148"/>
      <c r="Z562" s="149"/>
      <c r="AA562" s="141"/>
      <c r="AB562" s="150"/>
      <c r="AC562" s="147"/>
      <c r="AD562" s="147"/>
      <c r="AE562" s="143"/>
      <c r="AF562" s="143"/>
      <c r="AG562" s="143"/>
      <c r="AH562" s="130"/>
      <c r="AI562" s="147"/>
      <c r="AJ562" s="147"/>
      <c r="AK562" s="130"/>
      <c r="AL562" s="147"/>
      <c r="AM562" s="147"/>
      <c r="AN562" s="130"/>
      <c r="AO562" s="130"/>
      <c r="AP562" s="145"/>
      <c r="AQ562" s="133"/>
      <c r="AR562" s="134"/>
      <c r="AS562" s="135"/>
      <c r="AT562" s="136"/>
      <c r="AU562" s="137"/>
      <c r="AV562" s="133"/>
      <c r="AW562" s="138"/>
      <c r="AX562" s="139"/>
      <c r="AY562" s="140"/>
      <c r="AZ562" s="148"/>
      <c r="BA562" s="137"/>
      <c r="BB562" s="141"/>
      <c r="BC562" s="130"/>
      <c r="BD562" s="130"/>
      <c r="BE562" s="147"/>
      <c r="BF562" s="143"/>
      <c r="BG562" s="143"/>
      <c r="BH562" s="143"/>
      <c r="BI562" s="130"/>
    </row>
    <row r="563" spans="1:61" ht="15">
      <c r="A563" s="14"/>
      <c r="B563" s="146"/>
      <c r="C563" s="14"/>
      <c r="D563" s="129"/>
      <c r="E563" s="146"/>
      <c r="F563" s="146"/>
      <c r="G563" s="147"/>
      <c r="H563" s="147"/>
      <c r="I563" s="145"/>
      <c r="J563" s="147"/>
      <c r="K563" s="147"/>
      <c r="L563" s="147"/>
      <c r="M563" s="147"/>
      <c r="N563" s="132"/>
      <c r="O563" s="133"/>
      <c r="P563" s="134"/>
      <c r="Q563" s="135"/>
      <c r="R563" s="148"/>
      <c r="S563" s="148"/>
      <c r="T563" s="149"/>
      <c r="U563" s="133"/>
      <c r="V563" s="138"/>
      <c r="W563" s="139"/>
      <c r="X563" s="140"/>
      <c r="Y563" s="148"/>
      <c r="Z563" s="149"/>
      <c r="AA563" s="141"/>
      <c r="AB563" s="150"/>
      <c r="AC563" s="147"/>
      <c r="AD563" s="147"/>
      <c r="AE563" s="143"/>
      <c r="AF563" s="143"/>
      <c r="AG563" s="143"/>
      <c r="AH563" s="130"/>
      <c r="AI563" s="147"/>
      <c r="AJ563" s="147"/>
      <c r="AK563" s="130"/>
      <c r="AL563" s="147"/>
      <c r="AM563" s="147"/>
      <c r="AN563" s="130"/>
      <c r="AO563" s="130"/>
      <c r="AP563" s="145"/>
      <c r="AQ563" s="133"/>
      <c r="AR563" s="134"/>
      <c r="AS563" s="135"/>
      <c r="AT563" s="136"/>
      <c r="AU563" s="137"/>
      <c r="AV563" s="133"/>
      <c r="AW563" s="138"/>
      <c r="AX563" s="139"/>
      <c r="AY563" s="140"/>
      <c r="AZ563" s="148"/>
      <c r="BA563" s="137"/>
      <c r="BB563" s="141"/>
      <c r="BC563" s="130"/>
      <c r="BD563" s="130"/>
      <c r="BE563" s="147"/>
      <c r="BF563" s="143"/>
      <c r="BG563" s="143"/>
      <c r="BH563" s="143"/>
      <c r="BI563" s="130"/>
    </row>
    <row r="564" spans="1:61" ht="15">
      <c r="A564" s="14"/>
      <c r="B564" s="146"/>
      <c r="C564" s="14"/>
      <c r="D564" s="129"/>
      <c r="E564" s="146"/>
      <c r="F564" s="146"/>
      <c r="G564" s="147"/>
      <c r="H564" s="147"/>
      <c r="I564" s="145"/>
      <c r="J564" s="147"/>
      <c r="K564" s="147"/>
      <c r="L564" s="147"/>
      <c r="M564" s="147"/>
      <c r="N564" s="132"/>
      <c r="O564" s="133"/>
      <c r="P564" s="134"/>
      <c r="Q564" s="135"/>
      <c r="R564" s="148"/>
      <c r="S564" s="148"/>
      <c r="T564" s="149"/>
      <c r="U564" s="133"/>
      <c r="V564" s="138"/>
      <c r="W564" s="139"/>
      <c r="X564" s="140"/>
      <c r="Y564" s="148"/>
      <c r="Z564" s="149"/>
      <c r="AA564" s="141"/>
      <c r="AB564" s="150"/>
      <c r="AC564" s="147"/>
      <c r="AD564" s="147"/>
      <c r="AE564" s="143"/>
      <c r="AF564" s="143"/>
      <c r="AG564" s="143"/>
      <c r="AH564" s="130"/>
      <c r="AI564" s="147"/>
      <c r="AJ564" s="147"/>
      <c r="AK564" s="130"/>
      <c r="AL564" s="147"/>
      <c r="AM564" s="147"/>
      <c r="AN564" s="130"/>
      <c r="AO564" s="130"/>
      <c r="AP564" s="145"/>
      <c r="AQ564" s="133"/>
      <c r="AR564" s="134"/>
      <c r="AS564" s="135"/>
      <c r="AT564" s="136"/>
      <c r="AU564" s="137"/>
      <c r="AV564" s="133"/>
      <c r="AW564" s="138"/>
      <c r="AX564" s="139"/>
      <c r="AY564" s="140"/>
      <c r="AZ564" s="148"/>
      <c r="BA564" s="137"/>
      <c r="BB564" s="141"/>
      <c r="BC564" s="130"/>
      <c r="BD564" s="130"/>
      <c r="BE564" s="147"/>
      <c r="BF564" s="143"/>
      <c r="BG564" s="143"/>
      <c r="BH564" s="143"/>
      <c r="BI564" s="130"/>
    </row>
    <row r="565" spans="1:61" ht="15">
      <c r="A565" s="14"/>
      <c r="B565" s="146"/>
      <c r="C565" s="14"/>
      <c r="D565" s="129"/>
      <c r="E565" s="146"/>
      <c r="F565" s="146"/>
      <c r="G565" s="147"/>
      <c r="H565" s="147"/>
      <c r="I565" s="145"/>
      <c r="J565" s="147"/>
      <c r="K565" s="147"/>
      <c r="L565" s="147"/>
      <c r="M565" s="147"/>
      <c r="N565" s="132"/>
      <c r="O565" s="133"/>
      <c r="P565" s="134"/>
      <c r="Q565" s="135"/>
      <c r="R565" s="148"/>
      <c r="S565" s="148"/>
      <c r="T565" s="149"/>
      <c r="U565" s="133"/>
      <c r="V565" s="138"/>
      <c r="W565" s="139"/>
      <c r="X565" s="140"/>
      <c r="Y565" s="148"/>
      <c r="Z565" s="149"/>
      <c r="AA565" s="141"/>
      <c r="AB565" s="150"/>
      <c r="AC565" s="147"/>
      <c r="AD565" s="147"/>
      <c r="AE565" s="143"/>
      <c r="AF565" s="143"/>
      <c r="AG565" s="143"/>
      <c r="AH565" s="130"/>
      <c r="AI565" s="147"/>
      <c r="AJ565" s="130"/>
      <c r="AK565" s="130"/>
      <c r="AL565" s="147"/>
      <c r="AM565" s="147"/>
      <c r="AN565" s="130"/>
      <c r="AO565" s="130"/>
      <c r="AP565" s="145"/>
      <c r="AQ565" s="133"/>
      <c r="AR565" s="134"/>
      <c r="AS565" s="135"/>
      <c r="AT565" s="136"/>
      <c r="AU565" s="137"/>
      <c r="AV565" s="133"/>
      <c r="AW565" s="138"/>
      <c r="AX565" s="139"/>
      <c r="AY565" s="140"/>
      <c r="AZ565" s="148"/>
      <c r="BA565" s="137"/>
      <c r="BB565" s="141"/>
      <c r="BC565" s="130"/>
      <c r="BD565" s="130"/>
      <c r="BE565" s="147"/>
      <c r="BF565" s="143"/>
      <c r="BG565" s="143"/>
      <c r="BH565" s="143"/>
      <c r="BI565" s="130"/>
    </row>
    <row r="566" spans="1:61" ht="15">
      <c r="A566" s="14"/>
      <c r="B566" s="146"/>
      <c r="C566" s="14"/>
      <c r="D566" s="129"/>
      <c r="E566" s="146"/>
      <c r="F566" s="146"/>
      <c r="G566" s="147"/>
      <c r="H566" s="147"/>
      <c r="I566" s="145"/>
      <c r="J566" s="147"/>
      <c r="K566" s="147"/>
      <c r="L566" s="147"/>
      <c r="M566" s="147"/>
      <c r="N566" s="132"/>
      <c r="O566" s="133"/>
      <c r="P566" s="134"/>
      <c r="Q566" s="135"/>
      <c r="R566" s="148"/>
      <c r="S566" s="148"/>
      <c r="T566" s="149"/>
      <c r="U566" s="133"/>
      <c r="V566" s="138"/>
      <c r="W566" s="139"/>
      <c r="X566" s="140"/>
      <c r="Y566" s="148"/>
      <c r="Z566" s="149"/>
      <c r="AA566" s="141"/>
      <c r="AB566" s="150"/>
      <c r="AC566" s="147"/>
      <c r="AD566" s="147"/>
      <c r="AE566" s="143"/>
      <c r="AF566" s="143"/>
      <c r="AG566" s="143"/>
      <c r="AH566" s="130"/>
      <c r="AI566" s="147"/>
      <c r="AJ566" s="130"/>
      <c r="AK566" s="130"/>
      <c r="AL566" s="147"/>
      <c r="AM566" s="147"/>
      <c r="AN566" s="130"/>
      <c r="AO566" s="130"/>
      <c r="AP566" s="145"/>
      <c r="AQ566" s="133"/>
      <c r="AR566" s="134"/>
      <c r="AS566" s="135"/>
      <c r="AT566" s="136"/>
      <c r="AU566" s="137"/>
      <c r="AV566" s="133"/>
      <c r="AW566" s="138"/>
      <c r="AX566" s="139"/>
      <c r="AY566" s="140"/>
      <c r="AZ566" s="148"/>
      <c r="BA566" s="137"/>
      <c r="BB566" s="141"/>
      <c r="BC566" s="130"/>
      <c r="BD566" s="130"/>
      <c r="BE566" s="147"/>
      <c r="BF566" s="143"/>
      <c r="BG566" s="143"/>
      <c r="BH566" s="143"/>
      <c r="BI566" s="130"/>
    </row>
    <row r="567" spans="1:61" ht="15">
      <c r="A567" s="14"/>
      <c r="B567" s="146"/>
      <c r="C567" s="14"/>
      <c r="D567" s="129"/>
      <c r="E567" s="146"/>
      <c r="F567" s="146"/>
      <c r="G567" s="147"/>
      <c r="H567" s="147"/>
      <c r="I567" s="145"/>
      <c r="J567" s="147"/>
      <c r="K567" s="147"/>
      <c r="L567" s="147"/>
      <c r="M567" s="147"/>
      <c r="N567" s="132"/>
      <c r="O567" s="133"/>
      <c r="P567" s="134"/>
      <c r="Q567" s="135"/>
      <c r="R567" s="148"/>
      <c r="S567" s="148"/>
      <c r="T567" s="149"/>
      <c r="U567" s="133"/>
      <c r="V567" s="138"/>
      <c r="W567" s="139"/>
      <c r="X567" s="140"/>
      <c r="Y567" s="148"/>
      <c r="Z567" s="149"/>
      <c r="AA567" s="141"/>
      <c r="AB567" s="150"/>
      <c r="AC567" s="147"/>
      <c r="AD567" s="147"/>
      <c r="AE567" s="143"/>
      <c r="AF567" s="143"/>
      <c r="AG567" s="143"/>
      <c r="AH567" s="130"/>
      <c r="AI567" s="147"/>
      <c r="AJ567" s="130"/>
      <c r="AK567" s="130"/>
      <c r="AL567" s="147"/>
      <c r="AM567" s="147"/>
      <c r="AN567" s="130"/>
      <c r="AO567" s="130"/>
      <c r="AP567" s="145"/>
      <c r="AQ567" s="133"/>
      <c r="AR567" s="134"/>
      <c r="AS567" s="135"/>
      <c r="AT567" s="136"/>
      <c r="AU567" s="137"/>
      <c r="AV567" s="133"/>
      <c r="AW567" s="138"/>
      <c r="AX567" s="139"/>
      <c r="AY567" s="140"/>
      <c r="AZ567" s="148"/>
      <c r="BA567" s="137"/>
      <c r="BB567" s="141"/>
      <c r="BC567" s="130"/>
      <c r="BD567" s="130"/>
      <c r="BE567" s="147"/>
      <c r="BF567" s="143"/>
      <c r="BG567" s="143"/>
      <c r="BH567" s="143"/>
      <c r="BI567" s="130"/>
    </row>
    <row r="568" spans="1:61" ht="15">
      <c r="A568" s="14"/>
      <c r="B568" s="146"/>
      <c r="C568" s="14"/>
      <c r="D568" s="129"/>
      <c r="E568" s="146"/>
      <c r="F568" s="146"/>
      <c r="G568" s="147"/>
      <c r="H568" s="147"/>
      <c r="I568" s="145"/>
      <c r="J568" s="147"/>
      <c r="K568" s="147"/>
      <c r="L568" s="147"/>
      <c r="M568" s="147"/>
      <c r="N568" s="132"/>
      <c r="O568" s="133"/>
      <c r="P568" s="134"/>
      <c r="Q568" s="135"/>
      <c r="R568" s="148"/>
      <c r="S568" s="148"/>
      <c r="T568" s="149"/>
      <c r="U568" s="133"/>
      <c r="V568" s="138"/>
      <c r="W568" s="139"/>
      <c r="X568" s="140"/>
      <c r="Y568" s="148"/>
      <c r="Z568" s="149"/>
      <c r="AA568" s="141"/>
      <c r="AB568" s="150"/>
      <c r="AC568" s="147"/>
      <c r="AD568" s="147"/>
      <c r="AE568" s="143"/>
      <c r="AF568" s="143"/>
      <c r="AG568" s="143"/>
      <c r="AH568" s="130"/>
      <c r="AI568" s="147"/>
      <c r="AJ568" s="130"/>
      <c r="AK568" s="130"/>
      <c r="AL568" s="147"/>
      <c r="AM568" s="147"/>
      <c r="AN568" s="130"/>
      <c r="AO568" s="130"/>
      <c r="AP568" s="145"/>
      <c r="AQ568" s="133"/>
      <c r="AR568" s="134"/>
      <c r="AS568" s="135"/>
      <c r="AT568" s="136"/>
      <c r="AU568" s="137"/>
      <c r="AV568" s="133"/>
      <c r="AW568" s="138"/>
      <c r="AX568" s="139"/>
      <c r="AY568" s="140"/>
      <c r="AZ568" s="148"/>
      <c r="BA568" s="137"/>
      <c r="BB568" s="141"/>
      <c r="BC568" s="130"/>
      <c r="BD568" s="130"/>
      <c r="BE568" s="147"/>
      <c r="BF568" s="143"/>
      <c r="BG568" s="143"/>
      <c r="BH568" s="143"/>
      <c r="BI568" s="130"/>
    </row>
    <row r="569" spans="1:61" ht="15">
      <c r="A569" s="14"/>
      <c r="B569" s="146"/>
      <c r="C569" s="14"/>
      <c r="D569" s="129"/>
      <c r="E569" s="146"/>
      <c r="F569" s="146"/>
      <c r="G569" s="147"/>
      <c r="H569" s="147"/>
      <c r="I569" s="145"/>
      <c r="J569" s="147"/>
      <c r="K569" s="147"/>
      <c r="L569" s="147"/>
      <c r="M569" s="147"/>
      <c r="N569" s="132"/>
      <c r="O569" s="133"/>
      <c r="P569" s="134"/>
      <c r="Q569" s="135"/>
      <c r="R569" s="148"/>
      <c r="S569" s="148"/>
      <c r="T569" s="149"/>
      <c r="U569" s="133"/>
      <c r="V569" s="138"/>
      <c r="W569" s="139"/>
      <c r="X569" s="140"/>
      <c r="Y569" s="148"/>
      <c r="Z569" s="149"/>
      <c r="AA569" s="141"/>
      <c r="AB569" s="150"/>
      <c r="AC569" s="147"/>
      <c r="AD569" s="147"/>
      <c r="AE569" s="143"/>
      <c r="AF569" s="143"/>
      <c r="AG569" s="143"/>
      <c r="AH569" s="130"/>
      <c r="AI569" s="147"/>
      <c r="AJ569" s="130"/>
      <c r="AK569" s="130"/>
      <c r="AL569" s="147"/>
      <c r="AM569" s="147"/>
      <c r="AN569" s="130"/>
      <c r="AO569" s="130"/>
      <c r="AP569" s="145"/>
      <c r="AQ569" s="133"/>
      <c r="AR569" s="134"/>
      <c r="AS569" s="135"/>
      <c r="AT569" s="136"/>
      <c r="AU569" s="137"/>
      <c r="AV569" s="133"/>
      <c r="AW569" s="138"/>
      <c r="AX569" s="139"/>
      <c r="AY569" s="140"/>
      <c r="AZ569" s="148"/>
      <c r="BA569" s="137"/>
      <c r="BB569" s="141"/>
      <c r="BC569" s="130"/>
      <c r="BD569" s="130"/>
      <c r="BE569" s="147"/>
      <c r="BF569" s="143"/>
      <c r="BG569" s="143"/>
      <c r="BH569" s="143"/>
      <c r="BI569" s="130"/>
    </row>
    <row r="570" spans="1:61" ht="15">
      <c r="A570" s="14"/>
      <c r="B570" s="146"/>
      <c r="C570" s="14"/>
      <c r="D570" s="129"/>
      <c r="E570" s="146"/>
      <c r="F570" s="146"/>
      <c r="G570" s="147"/>
      <c r="H570" s="147"/>
      <c r="I570" s="145"/>
      <c r="J570" s="147"/>
      <c r="K570" s="147"/>
      <c r="L570" s="147"/>
      <c r="M570" s="147"/>
      <c r="N570" s="132"/>
      <c r="O570" s="133"/>
      <c r="P570" s="134"/>
      <c r="Q570" s="135"/>
      <c r="R570" s="148"/>
      <c r="S570" s="148"/>
      <c r="T570" s="149"/>
      <c r="U570" s="133"/>
      <c r="V570" s="138"/>
      <c r="W570" s="139"/>
      <c r="X570" s="140"/>
      <c r="Y570" s="148"/>
      <c r="Z570" s="149"/>
      <c r="AA570" s="141"/>
      <c r="AB570" s="150"/>
      <c r="AC570" s="147"/>
      <c r="AD570" s="147"/>
      <c r="AE570" s="143"/>
      <c r="AF570" s="143"/>
      <c r="AG570" s="143"/>
      <c r="AH570" s="130"/>
      <c r="AI570" s="147"/>
      <c r="AJ570" s="130"/>
      <c r="AK570" s="130"/>
      <c r="AL570" s="147"/>
      <c r="AM570" s="147"/>
      <c r="AN570" s="130"/>
      <c r="AO570" s="130"/>
      <c r="AP570" s="145"/>
      <c r="AQ570" s="133"/>
      <c r="AR570" s="134"/>
      <c r="AS570" s="135"/>
      <c r="AT570" s="136"/>
      <c r="AU570" s="137"/>
      <c r="AV570" s="133"/>
      <c r="AW570" s="138"/>
      <c r="AX570" s="139"/>
      <c r="AY570" s="140"/>
      <c r="AZ570" s="148"/>
      <c r="BA570" s="137"/>
      <c r="BB570" s="141"/>
      <c r="BC570" s="130"/>
      <c r="BD570" s="130"/>
      <c r="BE570" s="147"/>
      <c r="BF570" s="143"/>
      <c r="BG570" s="143"/>
      <c r="BH570" s="143"/>
      <c r="BI570" s="130"/>
    </row>
    <row r="571" spans="1:61" ht="15">
      <c r="A571" s="14"/>
      <c r="B571" s="146"/>
      <c r="C571" s="14"/>
      <c r="D571" s="129"/>
      <c r="E571" s="146"/>
      <c r="F571" s="146"/>
      <c r="G571" s="147"/>
      <c r="H571" s="147"/>
      <c r="I571" s="145"/>
      <c r="J571" s="147"/>
      <c r="K571" s="147"/>
      <c r="L571" s="147"/>
      <c r="M571" s="147"/>
      <c r="N571" s="132"/>
      <c r="O571" s="133"/>
      <c r="P571" s="134"/>
      <c r="Q571" s="135"/>
      <c r="R571" s="148"/>
      <c r="S571" s="148"/>
      <c r="T571" s="149"/>
      <c r="U571" s="133"/>
      <c r="V571" s="138"/>
      <c r="W571" s="139"/>
      <c r="X571" s="140"/>
      <c r="Y571" s="148"/>
      <c r="Z571" s="149"/>
      <c r="AA571" s="141"/>
      <c r="AB571" s="150"/>
      <c r="AC571" s="147"/>
      <c r="AD571" s="147"/>
      <c r="AE571" s="143"/>
      <c r="AF571" s="143"/>
      <c r="AG571" s="143"/>
      <c r="AH571" s="130"/>
      <c r="AI571" s="147"/>
      <c r="AJ571" s="130"/>
      <c r="AK571" s="130"/>
      <c r="AL571" s="147"/>
      <c r="AM571" s="147"/>
      <c r="AN571" s="130"/>
      <c r="AO571" s="130"/>
      <c r="AP571" s="145"/>
      <c r="AQ571" s="133"/>
      <c r="AR571" s="134"/>
      <c r="AS571" s="135"/>
      <c r="AT571" s="136"/>
      <c r="AU571" s="137"/>
      <c r="AV571" s="133"/>
      <c r="AW571" s="138"/>
      <c r="AX571" s="139"/>
      <c r="AY571" s="140"/>
      <c r="AZ571" s="148"/>
      <c r="BA571" s="137"/>
      <c r="BB571" s="141"/>
      <c r="BC571" s="130"/>
      <c r="BD571" s="130"/>
      <c r="BE571" s="147"/>
      <c r="BF571" s="143"/>
      <c r="BG571" s="143"/>
      <c r="BH571" s="143"/>
      <c r="BI571" s="130"/>
    </row>
    <row r="572" spans="1:61" ht="15">
      <c r="A572" s="14"/>
      <c r="B572" s="146"/>
      <c r="C572" s="14"/>
      <c r="D572" s="129"/>
      <c r="E572" s="146"/>
      <c r="F572" s="146"/>
      <c r="G572" s="147"/>
      <c r="H572" s="147"/>
      <c r="I572" s="145"/>
      <c r="J572" s="147"/>
      <c r="K572" s="147"/>
      <c r="L572" s="147"/>
      <c r="M572" s="147"/>
      <c r="N572" s="132"/>
      <c r="O572" s="133"/>
      <c r="P572" s="134"/>
      <c r="Q572" s="135"/>
      <c r="R572" s="148"/>
      <c r="S572" s="148"/>
      <c r="T572" s="149"/>
      <c r="U572" s="133"/>
      <c r="V572" s="138"/>
      <c r="W572" s="139"/>
      <c r="X572" s="140"/>
      <c r="Y572" s="148"/>
      <c r="Z572" s="149"/>
      <c r="AA572" s="141"/>
      <c r="AB572" s="150"/>
      <c r="AC572" s="147"/>
      <c r="AD572" s="147"/>
      <c r="AE572" s="143"/>
      <c r="AF572" s="143"/>
      <c r="AG572" s="143"/>
      <c r="AH572" s="130"/>
      <c r="AI572" s="147"/>
      <c r="AJ572" s="130"/>
      <c r="AK572" s="130"/>
      <c r="AL572" s="147"/>
      <c r="AM572" s="147"/>
      <c r="AN572" s="130"/>
      <c r="AO572" s="130"/>
      <c r="AP572" s="145"/>
      <c r="AQ572" s="133"/>
      <c r="AR572" s="134"/>
      <c r="AS572" s="135"/>
      <c r="AT572" s="136"/>
      <c r="AU572" s="137"/>
      <c r="AV572" s="133"/>
      <c r="AW572" s="138"/>
      <c r="AX572" s="139"/>
      <c r="AY572" s="140"/>
      <c r="AZ572" s="148"/>
      <c r="BA572" s="137"/>
      <c r="BB572" s="141"/>
      <c r="BC572" s="130"/>
      <c r="BD572" s="130"/>
      <c r="BE572" s="147"/>
      <c r="BF572" s="143"/>
      <c r="BG572" s="143"/>
      <c r="BH572" s="143"/>
      <c r="BI572" s="130"/>
    </row>
    <row r="573" spans="1:61" ht="15">
      <c r="A573" s="14"/>
      <c r="B573" s="146"/>
      <c r="C573" s="14"/>
      <c r="D573" s="129"/>
      <c r="E573" s="146"/>
      <c r="F573" s="146"/>
      <c r="G573" s="147"/>
      <c r="H573" s="147"/>
      <c r="I573" s="145"/>
      <c r="J573" s="147"/>
      <c r="K573" s="147"/>
      <c r="L573" s="147"/>
      <c r="M573" s="147"/>
      <c r="N573" s="132"/>
      <c r="O573" s="133"/>
      <c r="P573" s="134"/>
      <c r="Q573" s="135"/>
      <c r="R573" s="148"/>
      <c r="S573" s="148"/>
      <c r="T573" s="149"/>
      <c r="U573" s="133"/>
      <c r="V573" s="138"/>
      <c r="W573" s="139"/>
      <c r="X573" s="140"/>
      <c r="Y573" s="148"/>
      <c r="Z573" s="149"/>
      <c r="AA573" s="141"/>
      <c r="AB573" s="150"/>
      <c r="AC573" s="147"/>
      <c r="AD573" s="147"/>
      <c r="AE573" s="143"/>
      <c r="AF573" s="143"/>
      <c r="AG573" s="143"/>
      <c r="AH573" s="130"/>
      <c r="AI573" s="147"/>
      <c r="AJ573" s="130"/>
      <c r="AK573" s="130"/>
      <c r="AL573" s="147"/>
      <c r="AM573" s="147"/>
      <c r="AN573" s="130"/>
      <c r="AO573" s="130"/>
      <c r="AP573" s="145"/>
      <c r="AQ573" s="133"/>
      <c r="AR573" s="134"/>
      <c r="AS573" s="135"/>
      <c r="AT573" s="136"/>
      <c r="AU573" s="137"/>
      <c r="AV573" s="133"/>
      <c r="AW573" s="138"/>
      <c r="AX573" s="139"/>
      <c r="AY573" s="140"/>
      <c r="AZ573" s="148"/>
      <c r="BA573" s="137"/>
      <c r="BB573" s="141"/>
      <c r="BC573" s="130"/>
      <c r="BD573" s="130"/>
      <c r="BE573" s="147"/>
      <c r="BF573" s="143"/>
      <c r="BG573" s="143"/>
      <c r="BH573" s="143"/>
      <c r="BI573" s="130"/>
    </row>
    <row r="574" spans="1:61" ht="15">
      <c r="A574" s="14"/>
      <c r="B574" s="146"/>
      <c r="C574" s="14"/>
      <c r="D574" s="129"/>
      <c r="E574" s="146"/>
      <c r="F574" s="146"/>
      <c r="G574" s="147"/>
      <c r="H574" s="147"/>
      <c r="I574" s="145"/>
      <c r="J574" s="147"/>
      <c r="K574" s="147"/>
      <c r="L574" s="147"/>
      <c r="M574" s="147"/>
      <c r="N574" s="132"/>
      <c r="O574" s="133"/>
      <c r="P574" s="134"/>
      <c r="Q574" s="135"/>
      <c r="R574" s="148"/>
      <c r="S574" s="148"/>
      <c r="T574" s="149"/>
      <c r="U574" s="133"/>
      <c r="V574" s="138"/>
      <c r="W574" s="139"/>
      <c r="X574" s="140"/>
      <c r="Y574" s="148"/>
      <c r="Z574" s="149"/>
      <c r="AA574" s="141"/>
      <c r="AB574" s="150"/>
      <c r="AC574" s="147"/>
      <c r="AD574" s="147"/>
      <c r="AE574" s="143"/>
      <c r="AF574" s="143"/>
      <c r="AG574" s="143"/>
      <c r="AH574" s="130"/>
      <c r="AI574" s="147"/>
      <c r="AJ574" s="130"/>
      <c r="AK574" s="130"/>
      <c r="AL574" s="147"/>
      <c r="AM574" s="147"/>
      <c r="AN574" s="130"/>
      <c r="AO574" s="130"/>
      <c r="AP574" s="145"/>
      <c r="AQ574" s="133"/>
      <c r="AR574" s="134"/>
      <c r="AS574" s="135"/>
      <c r="AT574" s="136"/>
      <c r="AU574" s="137"/>
      <c r="AV574" s="133"/>
      <c r="AW574" s="138"/>
      <c r="AX574" s="139"/>
      <c r="AY574" s="140"/>
      <c r="AZ574" s="148"/>
      <c r="BA574" s="137"/>
      <c r="BB574" s="141"/>
      <c r="BC574" s="130"/>
      <c r="BD574" s="130"/>
      <c r="BE574" s="147"/>
      <c r="BF574" s="143"/>
      <c r="BG574" s="143"/>
      <c r="BH574" s="143"/>
      <c r="BI574" s="130"/>
    </row>
    <row r="575" spans="1:61" ht="15">
      <c r="A575" s="14"/>
      <c r="B575" s="146"/>
      <c r="C575" s="14"/>
      <c r="D575" s="129"/>
      <c r="E575" s="146"/>
      <c r="F575" s="146"/>
      <c r="G575" s="147"/>
      <c r="H575" s="147"/>
      <c r="I575" s="145"/>
      <c r="J575" s="147"/>
      <c r="K575" s="147"/>
      <c r="L575" s="147"/>
      <c r="M575" s="147"/>
      <c r="N575" s="132"/>
      <c r="O575" s="133"/>
      <c r="P575" s="134"/>
      <c r="Q575" s="135"/>
      <c r="R575" s="148"/>
      <c r="S575" s="148"/>
      <c r="T575" s="149"/>
      <c r="U575" s="133"/>
      <c r="V575" s="138"/>
      <c r="W575" s="139"/>
      <c r="X575" s="140"/>
      <c r="Y575" s="148"/>
      <c r="Z575" s="149"/>
      <c r="AA575" s="141"/>
      <c r="AB575" s="150"/>
      <c r="AC575" s="147"/>
      <c r="AD575" s="147"/>
      <c r="AE575" s="143"/>
      <c r="AF575" s="143"/>
      <c r="AG575" s="143"/>
      <c r="AH575" s="130"/>
      <c r="AI575" s="147"/>
      <c r="AJ575" s="130"/>
      <c r="AK575" s="130"/>
      <c r="AL575" s="147"/>
      <c r="AM575" s="147"/>
      <c r="AN575" s="130"/>
      <c r="AO575" s="130"/>
      <c r="AP575" s="145"/>
      <c r="AQ575" s="133"/>
      <c r="AR575" s="134"/>
      <c r="AS575" s="135"/>
      <c r="AT575" s="136"/>
      <c r="AU575" s="137"/>
      <c r="AV575" s="133"/>
      <c r="AW575" s="138"/>
      <c r="AX575" s="139"/>
      <c r="AY575" s="140"/>
      <c r="AZ575" s="148"/>
      <c r="BA575" s="137"/>
      <c r="BB575" s="141"/>
      <c r="BC575" s="130"/>
      <c r="BD575" s="130"/>
      <c r="BE575" s="147"/>
      <c r="BF575" s="143"/>
      <c r="BG575" s="143"/>
      <c r="BH575" s="143"/>
      <c r="BI575" s="130"/>
    </row>
    <row r="576" spans="1:61" ht="15">
      <c r="A576" s="14"/>
      <c r="B576" s="146"/>
      <c r="C576" s="14"/>
      <c r="D576" s="129"/>
      <c r="E576" s="146"/>
      <c r="F576" s="146"/>
      <c r="G576" s="147"/>
      <c r="H576" s="147"/>
      <c r="I576" s="145"/>
      <c r="J576" s="147"/>
      <c r="K576" s="147"/>
      <c r="L576" s="147"/>
      <c r="M576" s="147"/>
      <c r="N576" s="132"/>
      <c r="O576" s="133"/>
      <c r="P576" s="134"/>
      <c r="Q576" s="135"/>
      <c r="R576" s="148"/>
      <c r="S576" s="148"/>
      <c r="T576" s="149"/>
      <c r="U576" s="133"/>
      <c r="V576" s="138"/>
      <c r="W576" s="139"/>
      <c r="X576" s="140"/>
      <c r="Y576" s="148"/>
      <c r="Z576" s="149"/>
      <c r="AA576" s="141"/>
      <c r="AB576" s="150"/>
      <c r="AC576" s="147"/>
      <c r="AD576" s="147"/>
      <c r="AE576" s="143"/>
      <c r="AF576" s="143"/>
      <c r="AG576" s="143"/>
      <c r="AH576" s="130"/>
      <c r="AI576" s="130"/>
      <c r="AJ576" s="130"/>
      <c r="AK576" s="130"/>
      <c r="AL576" s="130"/>
      <c r="AM576" s="130"/>
      <c r="AN576" s="130"/>
      <c r="AO576" s="130"/>
      <c r="AP576" s="145"/>
      <c r="AQ576" s="133"/>
      <c r="AR576" s="134"/>
      <c r="AS576" s="135"/>
      <c r="AT576" s="136"/>
      <c r="AU576" s="137"/>
      <c r="AV576" s="133"/>
      <c r="AW576" s="138"/>
      <c r="AX576" s="139"/>
      <c r="AY576" s="140"/>
      <c r="AZ576" s="136"/>
      <c r="BA576" s="137"/>
      <c r="BB576" s="141"/>
      <c r="BC576" s="130"/>
      <c r="BD576" s="130"/>
      <c r="BE576" s="130"/>
      <c r="BF576" s="143"/>
      <c r="BG576" s="144"/>
      <c r="BH576" s="144"/>
      <c r="BI576" s="130"/>
    </row>
    <row r="577" spans="1:61" ht="15">
      <c r="A577" s="14"/>
      <c r="B577" s="146"/>
      <c r="C577" s="14"/>
      <c r="D577" s="129"/>
      <c r="E577" s="146"/>
      <c r="F577" s="146"/>
      <c r="G577" s="147"/>
      <c r="H577" s="147"/>
      <c r="I577" s="145"/>
      <c r="J577" s="147"/>
      <c r="K577" s="147"/>
      <c r="L577" s="147"/>
      <c r="M577" s="147"/>
      <c r="N577" s="132"/>
      <c r="O577" s="133"/>
      <c r="P577" s="134"/>
      <c r="Q577" s="135"/>
      <c r="R577" s="148"/>
      <c r="S577" s="148"/>
      <c r="T577" s="149"/>
      <c r="U577" s="133"/>
      <c r="V577" s="138"/>
      <c r="W577" s="139"/>
      <c r="X577" s="140"/>
      <c r="Y577" s="148"/>
      <c r="Z577" s="149"/>
      <c r="AA577" s="141"/>
      <c r="AB577" s="150"/>
      <c r="AC577" s="147"/>
      <c r="AD577" s="147"/>
      <c r="AE577" s="143"/>
      <c r="AF577" s="143"/>
      <c r="AG577" s="143"/>
      <c r="AH577" s="130"/>
      <c r="AI577" s="130"/>
      <c r="AJ577" s="130"/>
      <c r="AK577" s="130"/>
      <c r="AL577" s="130"/>
      <c r="AM577" s="130"/>
      <c r="AN577" s="130"/>
      <c r="AO577" s="130"/>
      <c r="AP577" s="145"/>
      <c r="AQ577" s="133"/>
      <c r="AR577" s="134"/>
      <c r="AS577" s="135"/>
      <c r="AT577" s="136"/>
      <c r="AU577" s="137"/>
      <c r="AV577" s="133"/>
      <c r="AW577" s="138"/>
      <c r="AX577" s="139"/>
      <c r="AY577" s="140"/>
      <c r="AZ577" s="136"/>
      <c r="BA577" s="137"/>
      <c r="BB577" s="141"/>
      <c r="BC577" s="130"/>
      <c r="BD577" s="130"/>
      <c r="BE577" s="130"/>
      <c r="BF577" s="143"/>
      <c r="BG577" s="144"/>
      <c r="BH577" s="144"/>
      <c r="BI577" s="130"/>
    </row>
    <row r="578" spans="1:61" ht="15">
      <c r="A578" s="14"/>
      <c r="B578" s="146"/>
      <c r="C578" s="14"/>
      <c r="D578" s="129"/>
      <c r="E578" s="146"/>
      <c r="F578" s="146"/>
      <c r="G578" s="147"/>
      <c r="H578" s="130"/>
      <c r="I578" s="131"/>
      <c r="J578" s="147"/>
      <c r="K578" s="147"/>
      <c r="L578" s="130"/>
      <c r="M578" s="130"/>
      <c r="N578" s="132"/>
      <c r="O578" s="133"/>
      <c r="P578" s="134"/>
      <c r="Q578" s="135"/>
      <c r="R578" s="148"/>
      <c r="S578" s="136"/>
      <c r="T578" s="149"/>
      <c r="U578" s="133"/>
      <c r="V578" s="138"/>
      <c r="W578" s="139"/>
      <c r="X578" s="140"/>
      <c r="Y578" s="136"/>
      <c r="Z578" s="137"/>
      <c r="AA578" s="141"/>
      <c r="AB578" s="142"/>
      <c r="AC578" s="130"/>
      <c r="AD578" s="147"/>
      <c r="AE578" s="143"/>
      <c r="AF578" s="144"/>
      <c r="AG578" s="144"/>
      <c r="AH578" s="130"/>
      <c r="AI578" s="130"/>
      <c r="AJ578" s="130"/>
      <c r="AK578" s="130"/>
      <c r="AL578" s="130"/>
      <c r="AM578" s="130"/>
      <c r="AN578" s="130"/>
      <c r="AO578" s="130"/>
      <c r="AP578" s="145"/>
      <c r="AQ578" s="133"/>
      <c r="AR578" s="134"/>
      <c r="AS578" s="135"/>
      <c r="AT578" s="136"/>
      <c r="AU578" s="137"/>
      <c r="AV578" s="133"/>
      <c r="AW578" s="138"/>
      <c r="AX578" s="139"/>
      <c r="AY578" s="140"/>
      <c r="AZ578" s="136"/>
      <c r="BA578" s="137"/>
      <c r="BB578" s="141"/>
      <c r="BC578" s="130"/>
      <c r="BD578" s="130"/>
      <c r="BE578" s="130"/>
      <c r="BF578" s="143"/>
      <c r="BG578" s="144"/>
      <c r="BH578" s="144"/>
      <c r="BI578" s="130"/>
    </row>
    <row r="579" spans="1:61" ht="15">
      <c r="A579" s="14"/>
      <c r="B579" s="146"/>
      <c r="C579" s="14"/>
      <c r="D579" s="129"/>
      <c r="E579" s="146"/>
      <c r="F579" s="146"/>
      <c r="G579" s="147"/>
      <c r="H579" s="130"/>
      <c r="I579" s="131"/>
      <c r="J579" s="147"/>
      <c r="K579" s="147"/>
      <c r="L579" s="130"/>
      <c r="M579" s="130"/>
      <c r="N579" s="132"/>
      <c r="O579" s="133"/>
      <c r="P579" s="134"/>
      <c r="Q579" s="135"/>
      <c r="R579" s="136"/>
      <c r="S579" s="136"/>
      <c r="T579" s="137"/>
      <c r="U579" s="133"/>
      <c r="V579" s="138"/>
      <c r="W579" s="139"/>
      <c r="X579" s="140"/>
      <c r="Y579" s="136"/>
      <c r="Z579" s="137"/>
      <c r="AA579" s="141"/>
      <c r="AB579" s="142"/>
      <c r="AC579" s="130"/>
      <c r="AD579" s="147"/>
      <c r="AE579" s="143"/>
      <c r="AF579" s="144"/>
      <c r="AG579" s="144"/>
      <c r="AH579" s="130"/>
      <c r="AI579" s="130"/>
      <c r="AJ579" s="130"/>
      <c r="AK579" s="130"/>
      <c r="AL579" s="130"/>
      <c r="AM579" s="130"/>
      <c r="AN579" s="130"/>
      <c r="AO579" s="130"/>
      <c r="AP579" s="145"/>
      <c r="AQ579" s="133"/>
      <c r="AR579" s="134"/>
      <c r="AS579" s="135"/>
      <c r="AT579" s="136"/>
      <c r="AU579" s="137"/>
      <c r="AV579" s="133"/>
      <c r="AW579" s="138"/>
      <c r="AX579" s="139"/>
      <c r="AY579" s="140"/>
      <c r="AZ579" s="136"/>
      <c r="BA579" s="137"/>
      <c r="BB579" s="141"/>
      <c r="BC579" s="130"/>
      <c r="BD579" s="130"/>
      <c r="BE579" s="130"/>
      <c r="BF579" s="143"/>
      <c r="BG579" s="144"/>
      <c r="BH579" s="144"/>
      <c r="BI579" s="130"/>
    </row>
    <row r="580" spans="1:61" ht="15">
      <c r="A580" s="14"/>
      <c r="B580" s="146"/>
      <c r="C580" s="14"/>
      <c r="D580" s="129"/>
      <c r="E580" s="146"/>
      <c r="F580" s="146"/>
      <c r="G580" s="147"/>
      <c r="H580" s="130"/>
      <c r="I580" s="131"/>
      <c r="J580" s="147"/>
      <c r="K580" s="147"/>
      <c r="L580" s="130"/>
      <c r="M580" s="130"/>
      <c r="N580" s="132"/>
      <c r="O580" s="133"/>
      <c r="P580" s="134"/>
      <c r="Q580" s="135"/>
      <c r="R580" s="136"/>
      <c r="S580" s="136"/>
      <c r="T580" s="137"/>
      <c r="U580" s="133"/>
      <c r="V580" s="138"/>
      <c r="W580" s="139"/>
      <c r="X580" s="140"/>
      <c r="Y580" s="136"/>
      <c r="Z580" s="137"/>
      <c r="AA580" s="141"/>
      <c r="AB580" s="142"/>
      <c r="AC580" s="130"/>
      <c r="AD580" s="147"/>
      <c r="AE580" s="143"/>
      <c r="AF580" s="144"/>
      <c r="AG580" s="144"/>
      <c r="AH580" s="130"/>
      <c r="AI580" s="130"/>
      <c r="AJ580" s="130"/>
      <c r="AK580" s="130"/>
      <c r="AL580" s="130"/>
      <c r="AM580" s="130"/>
      <c r="AN580" s="130"/>
      <c r="AO580" s="130"/>
      <c r="AP580" s="145"/>
      <c r="AQ580" s="133"/>
      <c r="AR580" s="134"/>
      <c r="AS580" s="135"/>
      <c r="AT580" s="136"/>
      <c r="AU580" s="137"/>
      <c r="AV580" s="133"/>
      <c r="AW580" s="138"/>
      <c r="AX580" s="139"/>
      <c r="AY580" s="140"/>
      <c r="AZ580" s="136"/>
      <c r="BA580" s="137"/>
      <c r="BB580" s="141"/>
      <c r="BC580" s="130"/>
      <c r="BD580" s="130"/>
      <c r="BE580" s="130"/>
      <c r="BF580" s="143"/>
      <c r="BG580" s="144"/>
      <c r="BH580" s="144"/>
      <c r="BI580" s="130"/>
    </row>
    <row r="581" spans="1:61" ht="15">
      <c r="A581" s="14"/>
      <c r="B581" s="146"/>
      <c r="C581" s="14"/>
      <c r="D581" s="129"/>
      <c r="E581" s="146"/>
      <c r="F581" s="146"/>
      <c r="G581" s="147"/>
      <c r="H581" s="130"/>
      <c r="I581" s="131"/>
      <c r="J581" s="147"/>
      <c r="K581" s="147"/>
      <c r="L581" s="130"/>
      <c r="M581" s="130"/>
      <c r="N581" s="132"/>
      <c r="O581" s="133"/>
      <c r="P581" s="134"/>
      <c r="Q581" s="135"/>
      <c r="R581" s="136"/>
      <c r="S581" s="136"/>
      <c r="T581" s="137"/>
      <c r="U581" s="133"/>
      <c r="V581" s="138"/>
      <c r="W581" s="139"/>
      <c r="X581" s="140"/>
      <c r="Y581" s="136"/>
      <c r="Z581" s="137"/>
      <c r="AA581" s="141"/>
      <c r="AB581" s="142"/>
      <c r="AC581" s="130"/>
      <c r="AD581" s="147"/>
      <c r="AE581" s="143"/>
      <c r="AF581" s="144"/>
      <c r="AG581" s="144"/>
      <c r="AH581" s="130"/>
      <c r="AI581" s="130"/>
      <c r="AJ581" s="130"/>
      <c r="AK581" s="130"/>
      <c r="AL581" s="130"/>
      <c r="AM581" s="130"/>
      <c r="AN581" s="130"/>
      <c r="AO581" s="130"/>
      <c r="AP581" s="145"/>
      <c r="AQ581" s="133"/>
      <c r="AR581" s="134"/>
      <c r="AS581" s="135"/>
      <c r="AT581" s="136"/>
      <c r="AU581" s="137"/>
      <c r="AV581" s="133"/>
      <c r="AW581" s="138"/>
      <c r="AX581" s="139"/>
      <c r="AY581" s="140"/>
      <c r="AZ581" s="136"/>
      <c r="BA581" s="137"/>
      <c r="BB581" s="141"/>
      <c r="BC581" s="130"/>
      <c r="BD581" s="130"/>
      <c r="BE581" s="130"/>
      <c r="BF581" s="143"/>
      <c r="BG581" s="144"/>
      <c r="BH581" s="144"/>
      <c r="BI581" s="130"/>
    </row>
    <row r="582" spans="1:61">
      <c r="AP582" s="86"/>
      <c r="AQ582" s="88"/>
      <c r="AR582" s="89"/>
      <c r="AS582" s="90"/>
      <c r="AV582" s="88"/>
      <c r="AW582" s="96"/>
      <c r="AX582" s="97"/>
      <c r="AY582" s="93"/>
      <c r="BB582" s="94"/>
    </row>
    <row r="583" spans="1:61">
      <c r="AP583" s="86"/>
      <c r="AQ583" s="88"/>
      <c r="AR583" s="89"/>
      <c r="AS583" s="90"/>
      <c r="AV583" s="88"/>
      <c r="AW583" s="96"/>
      <c r="AX583" s="97"/>
      <c r="AY583" s="93"/>
      <c r="BB583" s="94"/>
    </row>
    <row r="584" spans="1:61">
      <c r="AP584" s="86"/>
      <c r="AQ584" s="88"/>
      <c r="AR584" s="89"/>
      <c r="AS584" s="90"/>
      <c r="AV584" s="88"/>
      <c r="AW584" s="96"/>
      <c r="AX584" s="97"/>
      <c r="AY584" s="93"/>
      <c r="BB584" s="94"/>
    </row>
    <row r="585" spans="1:61">
      <c r="AP585" s="86"/>
      <c r="AQ585" s="88"/>
      <c r="AR585" s="89"/>
      <c r="AS585" s="90"/>
      <c r="AV585" s="88"/>
      <c r="AW585" s="96"/>
      <c r="AX585" s="97"/>
      <c r="AY585" s="93"/>
      <c r="BB585" s="94"/>
    </row>
    <row r="586" spans="1:61">
      <c r="AP586" s="86"/>
      <c r="AQ586" s="88"/>
      <c r="AR586" s="89"/>
      <c r="AS586" s="90"/>
      <c r="AV586" s="88"/>
      <c r="AW586" s="96"/>
      <c r="AX586" s="97"/>
      <c r="AY586" s="93"/>
      <c r="BB586" s="94"/>
    </row>
    <row r="587" spans="1:61">
      <c r="AP587" s="86"/>
      <c r="AQ587" s="88"/>
      <c r="AR587" s="89"/>
      <c r="AS587" s="90"/>
      <c r="AV587" s="88"/>
      <c r="AW587" s="96"/>
      <c r="AX587" s="97"/>
      <c r="AY587" s="93"/>
      <c r="BB587" s="94"/>
    </row>
    <row r="588" spans="1:61">
      <c r="AP588" s="86"/>
      <c r="AQ588" s="88"/>
      <c r="AR588" s="89"/>
      <c r="AS588" s="90"/>
      <c r="AV588" s="88"/>
      <c r="AW588" s="96"/>
      <c r="AX588" s="97"/>
      <c r="AY588" s="93"/>
      <c r="BB588" s="94"/>
    </row>
    <row r="589" spans="1:61">
      <c r="AP589" s="86"/>
      <c r="AQ589" s="88"/>
      <c r="AR589" s="89"/>
      <c r="AS589" s="90"/>
      <c r="AV589" s="88"/>
      <c r="AW589" s="96"/>
      <c r="AX589" s="97"/>
      <c r="AY589" s="93"/>
      <c r="BB589" s="94"/>
    </row>
    <row r="590" spans="1:61">
      <c r="AP590" s="86"/>
      <c r="AQ590" s="88"/>
      <c r="AR590" s="89"/>
      <c r="AS590" s="90"/>
      <c r="AV590" s="88"/>
      <c r="AW590" s="96"/>
      <c r="AX590" s="97"/>
      <c r="AY590" s="93"/>
      <c r="BB590" s="94"/>
    </row>
    <row r="591" spans="1:61">
      <c r="AP591" s="86"/>
      <c r="AQ591" s="88"/>
      <c r="AR591" s="89"/>
      <c r="AS591" s="90"/>
      <c r="AV591" s="88"/>
      <c r="AW591" s="96"/>
      <c r="AX591" s="97"/>
      <c r="AY591" s="93"/>
      <c r="BB591" s="94"/>
    </row>
    <row r="592" spans="1:61">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autoFilter ref="A1:BP542">
    <filterColumn colId="9"/>
  </autoFilter>
  <conditionalFormatting sqref="K1 K348:K382 AM1 AM184:AM190 AL2 AL117:AL121 AL132 AL134:AL150 AL160:AL183 AM192 AL7:AL111 AL124:AL129 AM196:AM232 AM257:AM382 AM234:AM251 AM467:AM1048576 K467:K1048576">
    <cfRule type="cellIs" dxfId="324" priority="319" operator="equal">
      <formula>"Seeker"</formula>
    </cfRule>
    <cfRule type="cellIs" dxfId="323" priority="320" operator="equal">
      <formula>"Neutral"</formula>
    </cfRule>
    <cfRule type="cellIs" dxfId="322" priority="321" operator="equal">
      <formula>"Rogue"</formula>
    </cfRule>
    <cfRule type="cellIs" dxfId="321" priority="322" operator="equal">
      <formula>"Guardian"</formula>
    </cfRule>
    <cfRule type="cellIs" dxfId="320" priority="323" operator="equal">
      <formula>"Survivor"</formula>
    </cfRule>
    <cfRule type="cellIs" dxfId="319" priority="324" operator="equal">
      <formula>"Mystic"</formula>
    </cfRule>
  </conditionalFormatting>
  <conditionalFormatting sqref="K2:K99 K101:K104 K234:K347">
    <cfRule type="cellIs" dxfId="318" priority="313" operator="equal">
      <formula>"seeker"</formula>
    </cfRule>
    <cfRule type="cellIs" dxfId="317" priority="314" operator="equal">
      <formula>"neutral"</formula>
    </cfRule>
    <cfRule type="cellIs" dxfId="316" priority="315" operator="equal">
      <formula>"rogue"</formula>
    </cfRule>
    <cfRule type="cellIs" dxfId="315" priority="316" operator="equal">
      <formula>"Guardian"</formula>
    </cfRule>
    <cfRule type="cellIs" dxfId="314" priority="317" operator="equal">
      <formula>"Survivor"</formula>
    </cfRule>
    <cfRule type="cellIs" dxfId="313" priority="318" operator="equal">
      <formula>"Mystic"</formula>
    </cfRule>
  </conditionalFormatting>
  <conditionalFormatting sqref="K134:K152 K158:K169 K171:K193 K105:K122 K195:K232 K124:K132">
    <cfRule type="cellIs" dxfId="312" priority="307" operator="equal">
      <formula>"seeker"</formula>
    </cfRule>
    <cfRule type="cellIs" dxfId="311" priority="308" operator="equal">
      <formula>"neutral"</formula>
    </cfRule>
    <cfRule type="cellIs" dxfId="310" priority="309" operator="equal">
      <formula>"rogue"</formula>
    </cfRule>
    <cfRule type="cellIs" dxfId="309" priority="310" operator="equal">
      <formula>"Guardian"</formula>
    </cfRule>
    <cfRule type="cellIs" dxfId="308" priority="311" operator="equal">
      <formula>"Survivor"</formula>
    </cfRule>
    <cfRule type="cellIs" dxfId="307" priority="312" operator="equal">
      <formula>"Mystic"</formula>
    </cfRule>
  </conditionalFormatting>
  <conditionalFormatting sqref="K100">
    <cfRule type="cellIs" dxfId="306" priority="301" operator="equal">
      <formula>"seeker"</formula>
    </cfRule>
    <cfRule type="cellIs" dxfId="305" priority="302" operator="equal">
      <formula>"neutral"</formula>
    </cfRule>
    <cfRule type="cellIs" dxfId="304" priority="303" operator="equal">
      <formula>"rogue"</formula>
    </cfRule>
    <cfRule type="cellIs" dxfId="303" priority="304" operator="equal">
      <formula>"Guardian"</formula>
    </cfRule>
    <cfRule type="cellIs" dxfId="302" priority="305" operator="equal">
      <formula>"Survivor"</formula>
    </cfRule>
    <cfRule type="cellIs" dxfId="301" priority="306" operator="equal">
      <formula>"Mystic"</formula>
    </cfRule>
  </conditionalFormatting>
  <conditionalFormatting sqref="AM112:AM116">
    <cfRule type="cellIs" dxfId="300" priority="295" operator="equal">
      <formula>"seeker"</formula>
    </cfRule>
    <cfRule type="cellIs" dxfId="299" priority="296" operator="equal">
      <formula>"neutral"</formula>
    </cfRule>
    <cfRule type="cellIs" dxfId="298" priority="297" operator="equal">
      <formula>"rogue"</formula>
    </cfRule>
    <cfRule type="cellIs" dxfId="297" priority="298" operator="equal">
      <formula>"Guardian"</formula>
    </cfRule>
    <cfRule type="cellIs" dxfId="296" priority="299" operator="equal">
      <formula>"Survivor"</formula>
    </cfRule>
    <cfRule type="cellIs" dxfId="295" priority="300" operator="equal">
      <formula>"Mystic"</formula>
    </cfRule>
  </conditionalFormatting>
  <conditionalFormatting sqref="AM130:AM131">
    <cfRule type="cellIs" dxfId="294" priority="289" operator="equal">
      <formula>"seeker"</formula>
    </cfRule>
    <cfRule type="cellIs" dxfId="293" priority="290" operator="equal">
      <formula>"neutral"</formula>
    </cfRule>
    <cfRule type="cellIs" dxfId="292" priority="291" operator="equal">
      <formula>"rogue"</formula>
    </cfRule>
    <cfRule type="cellIs" dxfId="291" priority="292" operator="equal">
      <formula>"Guardian"</formula>
    </cfRule>
    <cfRule type="cellIs" dxfId="290" priority="293" operator="equal">
      <formula>"Survivor"</formula>
    </cfRule>
    <cfRule type="cellIs" dxfId="289" priority="294" operator="equal">
      <formula>"Mystic"</formula>
    </cfRule>
  </conditionalFormatting>
  <conditionalFormatting sqref="AL133">
    <cfRule type="cellIs" dxfId="288" priority="283" operator="equal">
      <formula>"Seeker"</formula>
    </cfRule>
    <cfRule type="cellIs" dxfId="287" priority="284" operator="equal">
      <formula>"Neutral"</formula>
    </cfRule>
    <cfRule type="cellIs" dxfId="286" priority="285" operator="equal">
      <formula>"Rogue"</formula>
    </cfRule>
    <cfRule type="cellIs" dxfId="285" priority="286" operator="equal">
      <formula>"Guardian"</formula>
    </cfRule>
    <cfRule type="cellIs" dxfId="284" priority="287" operator="equal">
      <formula>"Survivor"</formula>
    </cfRule>
    <cfRule type="cellIs" dxfId="283" priority="288" operator="equal">
      <formula>"Mystic"</formula>
    </cfRule>
  </conditionalFormatting>
  <conditionalFormatting sqref="K133">
    <cfRule type="cellIs" dxfId="282" priority="277" operator="equal">
      <formula>"seeker"</formula>
    </cfRule>
    <cfRule type="cellIs" dxfId="281" priority="278" operator="equal">
      <formula>"neutral"</formula>
    </cfRule>
    <cfRule type="cellIs" dxfId="280" priority="279" operator="equal">
      <formula>"rogue"</formula>
    </cfRule>
    <cfRule type="cellIs" dxfId="279" priority="280" operator="equal">
      <formula>"Guardian"</formula>
    </cfRule>
    <cfRule type="cellIs" dxfId="278" priority="281" operator="equal">
      <formula>"Survivor"</formula>
    </cfRule>
    <cfRule type="cellIs" dxfId="277" priority="282" operator="equal">
      <formula>"Mystic"</formula>
    </cfRule>
  </conditionalFormatting>
  <conditionalFormatting sqref="AM151:AM152 AM158:AM159">
    <cfRule type="cellIs" dxfId="276" priority="271" operator="equal">
      <formula>"seeker"</formula>
    </cfRule>
    <cfRule type="cellIs" dxfId="275" priority="272" operator="equal">
      <formula>"neutral"</formula>
    </cfRule>
    <cfRule type="cellIs" dxfId="274" priority="273" operator="equal">
      <formula>"rogue"</formula>
    </cfRule>
    <cfRule type="cellIs" dxfId="273" priority="274" operator="equal">
      <formula>"Guardian"</formula>
    </cfRule>
    <cfRule type="cellIs" dxfId="272" priority="275" operator="equal">
      <formula>"Survivor"</formula>
    </cfRule>
    <cfRule type="cellIs" dxfId="271" priority="276" operator="equal">
      <formula>"Mystic"</formula>
    </cfRule>
  </conditionalFormatting>
  <conditionalFormatting sqref="K153">
    <cfRule type="cellIs" dxfId="270" priority="265" operator="equal">
      <formula>"seeker"</formula>
    </cfRule>
    <cfRule type="cellIs" dxfId="269" priority="266" operator="equal">
      <formula>"neutral"</formula>
    </cfRule>
    <cfRule type="cellIs" dxfId="268" priority="267" operator="equal">
      <formula>"rogue"</formula>
    </cfRule>
    <cfRule type="cellIs" dxfId="267" priority="268" operator="equal">
      <formula>"Guardian"</formula>
    </cfRule>
    <cfRule type="cellIs" dxfId="266" priority="269" operator="equal">
      <formula>"Survivor"</formula>
    </cfRule>
    <cfRule type="cellIs" dxfId="265" priority="270" operator="equal">
      <formula>"Mystic"</formula>
    </cfRule>
  </conditionalFormatting>
  <conditionalFormatting sqref="AM153">
    <cfRule type="cellIs" dxfId="264" priority="259" operator="equal">
      <formula>"seeker"</formula>
    </cfRule>
    <cfRule type="cellIs" dxfId="263" priority="260" operator="equal">
      <formula>"neutral"</formula>
    </cfRule>
    <cfRule type="cellIs" dxfId="262" priority="261" operator="equal">
      <formula>"rogue"</formula>
    </cfRule>
    <cfRule type="cellIs" dxfId="261" priority="262" operator="equal">
      <formula>"Guardian"</formula>
    </cfRule>
    <cfRule type="cellIs" dxfId="260" priority="263" operator="equal">
      <formula>"Survivor"</formula>
    </cfRule>
    <cfRule type="cellIs" dxfId="259" priority="264" operator="equal">
      <formula>"Mystic"</formula>
    </cfRule>
  </conditionalFormatting>
  <conditionalFormatting sqref="K154">
    <cfRule type="cellIs" dxfId="258" priority="253" operator="equal">
      <formula>"seeker"</formula>
    </cfRule>
    <cfRule type="cellIs" dxfId="257" priority="254" operator="equal">
      <formula>"neutral"</formula>
    </cfRule>
    <cfRule type="cellIs" dxfId="256" priority="255" operator="equal">
      <formula>"rogue"</formula>
    </cfRule>
    <cfRule type="cellIs" dxfId="255" priority="256" operator="equal">
      <formula>"Guardian"</formula>
    </cfRule>
    <cfRule type="cellIs" dxfId="254" priority="257" operator="equal">
      <formula>"Survivor"</formula>
    </cfRule>
    <cfRule type="cellIs" dxfId="253" priority="258" operator="equal">
      <formula>"Mystic"</formula>
    </cfRule>
  </conditionalFormatting>
  <conditionalFormatting sqref="AM154">
    <cfRule type="cellIs" dxfId="252" priority="247" operator="equal">
      <formula>"seeker"</formula>
    </cfRule>
    <cfRule type="cellIs" dxfId="251" priority="248" operator="equal">
      <formula>"neutral"</formula>
    </cfRule>
    <cfRule type="cellIs" dxfId="250" priority="249" operator="equal">
      <formula>"rogue"</formula>
    </cfRule>
    <cfRule type="cellIs" dxfId="249" priority="250" operator="equal">
      <formula>"Guardian"</formula>
    </cfRule>
    <cfRule type="cellIs" dxfId="248" priority="251" operator="equal">
      <formula>"Survivor"</formula>
    </cfRule>
    <cfRule type="cellIs" dxfId="247" priority="252" operator="equal">
      <formula>"Mystic"</formula>
    </cfRule>
  </conditionalFormatting>
  <conditionalFormatting sqref="K155">
    <cfRule type="cellIs" dxfId="246" priority="241" operator="equal">
      <formula>"seeker"</formula>
    </cfRule>
    <cfRule type="cellIs" dxfId="245" priority="242" operator="equal">
      <formula>"neutral"</formula>
    </cfRule>
    <cfRule type="cellIs" dxfId="244" priority="243" operator="equal">
      <formula>"rogue"</formula>
    </cfRule>
    <cfRule type="cellIs" dxfId="243" priority="244" operator="equal">
      <formula>"Guardian"</formula>
    </cfRule>
    <cfRule type="cellIs" dxfId="242" priority="245" operator="equal">
      <formula>"Survivor"</formula>
    </cfRule>
    <cfRule type="cellIs" dxfId="241" priority="246" operator="equal">
      <formula>"Mystic"</formula>
    </cfRule>
  </conditionalFormatting>
  <conditionalFormatting sqref="AM155">
    <cfRule type="cellIs" dxfId="240" priority="235" operator="equal">
      <formula>"seeker"</formula>
    </cfRule>
    <cfRule type="cellIs" dxfId="239" priority="236" operator="equal">
      <formula>"neutral"</formula>
    </cfRule>
    <cfRule type="cellIs" dxfId="238" priority="237" operator="equal">
      <formula>"rogue"</formula>
    </cfRule>
    <cfRule type="cellIs" dxfId="237" priority="238" operator="equal">
      <formula>"Guardian"</formula>
    </cfRule>
    <cfRule type="cellIs" dxfId="236" priority="239" operator="equal">
      <formula>"Survivor"</formula>
    </cfRule>
    <cfRule type="cellIs" dxfId="235" priority="240" operator="equal">
      <formula>"Mystic"</formula>
    </cfRule>
  </conditionalFormatting>
  <conditionalFormatting sqref="K156">
    <cfRule type="cellIs" dxfId="234" priority="229" operator="equal">
      <formula>"seeker"</formula>
    </cfRule>
    <cfRule type="cellIs" dxfId="233" priority="230" operator="equal">
      <formula>"neutral"</formula>
    </cfRule>
    <cfRule type="cellIs" dxfId="232" priority="231" operator="equal">
      <formula>"rogue"</formula>
    </cfRule>
    <cfRule type="cellIs" dxfId="231" priority="232" operator="equal">
      <formula>"Guardian"</formula>
    </cfRule>
    <cfRule type="cellIs" dxfId="230" priority="233" operator="equal">
      <formula>"Survivor"</formula>
    </cfRule>
    <cfRule type="cellIs" dxfId="229" priority="234" operator="equal">
      <formula>"Mystic"</formula>
    </cfRule>
  </conditionalFormatting>
  <conditionalFormatting sqref="AM156">
    <cfRule type="cellIs" dxfId="228" priority="223" operator="equal">
      <formula>"seeker"</formula>
    </cfRule>
    <cfRule type="cellIs" dxfId="227" priority="224" operator="equal">
      <formula>"neutral"</formula>
    </cfRule>
    <cfRule type="cellIs" dxfId="226" priority="225" operator="equal">
      <formula>"rogue"</formula>
    </cfRule>
    <cfRule type="cellIs" dxfId="225" priority="226" operator="equal">
      <formula>"Guardian"</formula>
    </cfRule>
    <cfRule type="cellIs" dxfId="224" priority="227" operator="equal">
      <formula>"Survivor"</formula>
    </cfRule>
    <cfRule type="cellIs" dxfId="223" priority="228" operator="equal">
      <formula>"Mystic"</formula>
    </cfRule>
  </conditionalFormatting>
  <conditionalFormatting sqref="K157">
    <cfRule type="cellIs" dxfId="222" priority="217" operator="equal">
      <formula>"seeker"</formula>
    </cfRule>
    <cfRule type="cellIs" dxfId="221" priority="218" operator="equal">
      <formula>"neutral"</formula>
    </cfRule>
    <cfRule type="cellIs" dxfId="220" priority="219" operator="equal">
      <formula>"rogue"</formula>
    </cfRule>
    <cfRule type="cellIs" dxfId="219" priority="220" operator="equal">
      <formula>"Guardian"</formula>
    </cfRule>
    <cfRule type="cellIs" dxfId="218" priority="221" operator="equal">
      <formula>"Survivor"</formula>
    </cfRule>
    <cfRule type="cellIs" dxfId="217" priority="222" operator="equal">
      <formula>"Mystic"</formula>
    </cfRule>
  </conditionalFormatting>
  <conditionalFormatting sqref="AM157">
    <cfRule type="cellIs" dxfId="216" priority="211" operator="equal">
      <formula>"seeker"</formula>
    </cfRule>
    <cfRule type="cellIs" dxfId="215" priority="212" operator="equal">
      <formula>"neutral"</formula>
    </cfRule>
    <cfRule type="cellIs" dxfId="214" priority="213" operator="equal">
      <formula>"rogue"</formula>
    </cfRule>
    <cfRule type="cellIs" dxfId="213" priority="214" operator="equal">
      <formula>"Guardian"</formula>
    </cfRule>
    <cfRule type="cellIs" dxfId="212" priority="215" operator="equal">
      <formula>"Survivor"</formula>
    </cfRule>
    <cfRule type="cellIs" dxfId="211" priority="216" operator="equal">
      <formula>"Mystic"</formula>
    </cfRule>
  </conditionalFormatting>
  <conditionalFormatting sqref="K170">
    <cfRule type="cellIs" dxfId="210" priority="205" operator="equal">
      <formula>"seeker"</formula>
    </cfRule>
    <cfRule type="cellIs" dxfId="209" priority="206" operator="equal">
      <formula>"neutral"</formula>
    </cfRule>
    <cfRule type="cellIs" dxfId="208" priority="207" operator="equal">
      <formula>"rogue"</formula>
    </cfRule>
    <cfRule type="cellIs" dxfId="207" priority="208" operator="equal">
      <formula>"Guardian"</formula>
    </cfRule>
    <cfRule type="cellIs" dxfId="206" priority="209" operator="equal">
      <formula>"Survivor"</formula>
    </cfRule>
    <cfRule type="cellIs" dxfId="205" priority="210" operator="equal">
      <formula>"Mystic"</formula>
    </cfRule>
  </conditionalFormatting>
  <conditionalFormatting sqref="AL190">
    <cfRule type="cellIs" dxfId="204" priority="199" operator="equal">
      <formula>"Seeker"</formula>
    </cfRule>
    <cfRule type="cellIs" dxfId="203" priority="200" operator="equal">
      <formula>"Neutral"</formula>
    </cfRule>
    <cfRule type="cellIs" dxfId="202" priority="201" operator="equal">
      <formula>"Rogue"</formula>
    </cfRule>
    <cfRule type="cellIs" dxfId="201" priority="202" operator="equal">
      <formula>"Guardian"</formula>
    </cfRule>
    <cfRule type="cellIs" dxfId="200" priority="203" operator="equal">
      <formula>"Survivor"</formula>
    </cfRule>
    <cfRule type="cellIs" dxfId="199" priority="204" operator="equal">
      <formula>"Mystic"</formula>
    </cfRule>
  </conditionalFormatting>
  <conditionalFormatting sqref="AM191">
    <cfRule type="cellIs" dxfId="198" priority="193" operator="equal">
      <formula>"seeker"</formula>
    </cfRule>
    <cfRule type="cellIs" dxfId="197" priority="194" operator="equal">
      <formula>"neutral"</formula>
    </cfRule>
    <cfRule type="cellIs" dxfId="196" priority="195" operator="equal">
      <formula>"rogue"</formula>
    </cfRule>
    <cfRule type="cellIs" dxfId="195" priority="196" operator="equal">
      <formula>"Guardian"</formula>
    </cfRule>
    <cfRule type="cellIs" dxfId="194" priority="197" operator="equal">
      <formula>"Survivor"</formula>
    </cfRule>
    <cfRule type="cellIs" dxfId="193" priority="198" operator="equal">
      <formula>"Mystic"</formula>
    </cfRule>
  </conditionalFormatting>
  <conditionalFormatting sqref="AM193">
    <cfRule type="cellIs" dxfId="192" priority="187" operator="equal">
      <formula>"seeker"</formula>
    </cfRule>
    <cfRule type="cellIs" dxfId="191" priority="188" operator="equal">
      <formula>"neutral"</formula>
    </cfRule>
    <cfRule type="cellIs" dxfId="190" priority="189" operator="equal">
      <formula>"rogue"</formula>
    </cfRule>
    <cfRule type="cellIs" dxfId="189" priority="190" operator="equal">
      <formula>"Guardian"</formula>
    </cfRule>
    <cfRule type="cellIs" dxfId="188" priority="191" operator="equal">
      <formula>"Survivor"</formula>
    </cfRule>
    <cfRule type="cellIs" dxfId="187" priority="192" operator="equal">
      <formula>"Mystic"</formula>
    </cfRule>
  </conditionalFormatting>
  <conditionalFormatting sqref="K194">
    <cfRule type="cellIs" dxfId="186" priority="181" operator="equal">
      <formula>"seeker"</formula>
    </cfRule>
    <cfRule type="cellIs" dxfId="185" priority="182" operator="equal">
      <formula>"neutral"</formula>
    </cfRule>
    <cfRule type="cellIs" dxfId="184" priority="183" operator="equal">
      <formula>"rogue"</formula>
    </cfRule>
    <cfRule type="cellIs" dxfId="183" priority="184" operator="equal">
      <formula>"Guardian"</formula>
    </cfRule>
    <cfRule type="cellIs" dxfId="182" priority="185" operator="equal">
      <formula>"Survivor"</formula>
    </cfRule>
    <cfRule type="cellIs" dxfId="181" priority="186" operator="equal">
      <formula>"Mystic"</formula>
    </cfRule>
  </conditionalFormatting>
  <conditionalFormatting sqref="AM195">
    <cfRule type="cellIs" dxfId="180" priority="175" operator="equal">
      <formula>"seeker"</formula>
    </cfRule>
    <cfRule type="cellIs" dxfId="179" priority="176" operator="equal">
      <formula>"neutral"</formula>
    </cfRule>
    <cfRule type="cellIs" dxfId="178" priority="177" operator="equal">
      <formula>"rogue"</formula>
    </cfRule>
    <cfRule type="cellIs" dxfId="177" priority="178" operator="equal">
      <formula>"Guardian"</formula>
    </cfRule>
    <cfRule type="cellIs" dxfId="176" priority="179" operator="equal">
      <formula>"Survivor"</formula>
    </cfRule>
    <cfRule type="cellIs" dxfId="175" priority="180" operator="equal">
      <formula>"Mystic"</formula>
    </cfRule>
  </conditionalFormatting>
  <conditionalFormatting sqref="AM194">
    <cfRule type="cellIs" dxfId="174" priority="169" operator="equal">
      <formula>"seeker"</formula>
    </cfRule>
    <cfRule type="cellIs" dxfId="173" priority="170" operator="equal">
      <formula>"neutral"</formula>
    </cfRule>
    <cfRule type="cellIs" dxfId="172" priority="171" operator="equal">
      <formula>"rogue"</formula>
    </cfRule>
    <cfRule type="cellIs" dxfId="171" priority="172" operator="equal">
      <formula>"Guardian"</formula>
    </cfRule>
    <cfRule type="cellIs" dxfId="170" priority="173" operator="equal">
      <formula>"Survivor"</formula>
    </cfRule>
    <cfRule type="cellIs" dxfId="169" priority="174" operator="equal">
      <formula>"Mystic"</formula>
    </cfRule>
  </conditionalFormatting>
  <conditionalFormatting sqref="AL3">
    <cfRule type="cellIs" dxfId="168" priority="163" operator="equal">
      <formula>"Seeker"</formula>
    </cfRule>
    <cfRule type="cellIs" dxfId="167" priority="164" operator="equal">
      <formula>"Neutral"</formula>
    </cfRule>
    <cfRule type="cellIs" dxfId="166" priority="165" operator="equal">
      <formula>"Rogue"</formula>
    </cfRule>
    <cfRule type="cellIs" dxfId="165" priority="166" operator="equal">
      <formula>"Guardian"</formula>
    </cfRule>
    <cfRule type="cellIs" dxfId="164" priority="167" operator="equal">
      <formula>"Survivor"</formula>
    </cfRule>
    <cfRule type="cellIs" dxfId="163" priority="168" operator="equal">
      <formula>"Mystic"</formula>
    </cfRule>
  </conditionalFormatting>
  <conditionalFormatting sqref="AL4">
    <cfRule type="cellIs" dxfId="162" priority="157" operator="equal">
      <formula>"Seeker"</formula>
    </cfRule>
    <cfRule type="cellIs" dxfId="161" priority="158" operator="equal">
      <formula>"Neutral"</formula>
    </cfRule>
    <cfRule type="cellIs" dxfId="160" priority="159" operator="equal">
      <formula>"Rogue"</formula>
    </cfRule>
    <cfRule type="cellIs" dxfId="159" priority="160" operator="equal">
      <formula>"Guardian"</formula>
    </cfRule>
    <cfRule type="cellIs" dxfId="158" priority="161" operator="equal">
      <formula>"Survivor"</formula>
    </cfRule>
    <cfRule type="cellIs" dxfId="157" priority="162" operator="equal">
      <formula>"Mystic"</formula>
    </cfRule>
  </conditionalFormatting>
  <conditionalFormatting sqref="AL5">
    <cfRule type="cellIs" dxfId="156" priority="151" operator="equal">
      <formula>"Seeker"</formula>
    </cfRule>
    <cfRule type="cellIs" dxfId="155" priority="152" operator="equal">
      <formula>"Neutral"</formula>
    </cfRule>
    <cfRule type="cellIs" dxfId="154" priority="153" operator="equal">
      <formula>"Rogue"</formula>
    </cfRule>
    <cfRule type="cellIs" dxfId="153" priority="154" operator="equal">
      <formula>"Guardian"</formula>
    </cfRule>
    <cfRule type="cellIs" dxfId="152" priority="155" operator="equal">
      <formula>"Survivor"</formula>
    </cfRule>
    <cfRule type="cellIs" dxfId="151" priority="156" operator="equal">
      <formula>"Mystic"</formula>
    </cfRule>
  </conditionalFormatting>
  <conditionalFormatting sqref="AL6">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L122">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L12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J123">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25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25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M255">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M256">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M252">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M383:AM387">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K383:K387">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M2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K23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388:K429 AM388:AM429">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K430:K466 AM430:AM442 AM450:AM466">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443:AM449">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K508:K542 AM508:AM542">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508:K542 AM508:AM54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K508:K542 AM508:AM542">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543:K581 AM543:AM581">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K508:K542 AM508:AM542">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508:K542 AM508:AM542">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508:K542 AM508:AM542">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508:K542 AM508:AM542">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K543:K581 AM543:AM581">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sheetPr codeName="Sheet3"/>
  <dimension ref="A2:C1813"/>
  <sheetViews>
    <sheetView showGridLines="0" workbookViewId="0">
      <pane ySplit="4" topLeftCell="A5" activePane="bottomLeft" state="frozen"/>
      <selection pane="bottomLeft" activeCell="C12" sqref="C12"/>
    </sheetView>
  </sheetViews>
  <sheetFormatPr baseColWidth="10"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84">
      <c r="A149" s="3" t="s">
        <v>534</v>
      </c>
      <c r="B149" s="5" t="s">
        <v>3050</v>
      </c>
      <c r="C149" s="3"/>
    </row>
    <row r="150" spans="1:3" ht="96">
      <c r="A150" s="3" t="s">
        <v>535</v>
      </c>
      <c r="B150" s="5" t="s">
        <v>3051</v>
      </c>
      <c r="C150" s="3" t="s">
        <v>252</v>
      </c>
    </row>
    <row r="151" spans="1:3" ht="84">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96">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72">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60">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60">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68">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60">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60">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84">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96">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72">
      <c r="A908" s="3" t="s">
        <v>3821</v>
      </c>
      <c r="B908" s="5" t="s">
        <v>3492</v>
      </c>
      <c r="C908" s="3"/>
    </row>
    <row r="909" spans="1:3" ht="132">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96">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20">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68">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68">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72">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16">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80">
      <c r="A1005" s="3" t="s">
        <v>3832</v>
      </c>
      <c r="B1005" s="3" t="s">
        <v>1962</v>
      </c>
      <c r="C1005" s="3"/>
    </row>
    <row r="1006" spans="1:3" ht="120">
      <c r="A1006" s="3" t="s">
        <v>1226</v>
      </c>
      <c r="B1006" s="5" t="s">
        <v>2510</v>
      </c>
      <c r="C1006" s="3"/>
    </row>
    <row r="1007" spans="1:3" ht="120">
      <c r="A1007" s="3" t="s">
        <v>1227</v>
      </c>
      <c r="B1007" s="5" t="s">
        <v>2511</v>
      </c>
      <c r="C1007" s="3"/>
    </row>
    <row r="1008" spans="1:3" ht="84">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96">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56">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68">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36">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48">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04">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20">
      <c r="A1086" s="3" t="s">
        <v>4020</v>
      </c>
      <c r="B1086" s="5" t="s">
        <v>4021</v>
      </c>
      <c r="C1086" s="3"/>
    </row>
    <row r="1087" spans="1:3" ht="108">
      <c r="A1087" s="3" t="s">
        <v>4022</v>
      </c>
      <c r="B1087" s="5" t="s">
        <v>4023</v>
      </c>
      <c r="C1087" s="3"/>
    </row>
    <row r="1088" spans="1:3" ht="120">
      <c r="A1088" s="3" t="s">
        <v>4024</v>
      </c>
      <c r="B1088" s="5" t="s">
        <v>4025</v>
      </c>
      <c r="C1088" s="3"/>
    </row>
    <row r="1089" spans="1:3" ht="84">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84">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08">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56">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72">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60">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84">
      <c r="A1440" s="3" t="s">
        <v>3896</v>
      </c>
      <c r="B1440" s="5" t="s">
        <v>3550</v>
      </c>
      <c r="C1440" s="3"/>
    </row>
    <row r="1441" spans="1:3" ht="108">
      <c r="A1441" s="3" t="s">
        <v>3897</v>
      </c>
      <c r="B1441" s="5" t="s">
        <v>3551</v>
      </c>
      <c r="C1441" s="3"/>
    </row>
    <row r="1442" spans="1:3" ht="108">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60">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20">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20">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20">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5.xml><?xml version="1.0" encoding="utf-8"?>
<worksheet xmlns="http://schemas.openxmlformats.org/spreadsheetml/2006/main" xmlns:r="http://schemas.openxmlformats.org/officeDocument/2006/relationships">
  <sheetPr codeName="Sheet6"/>
  <dimension ref="B1:D22"/>
  <sheetViews>
    <sheetView workbookViewId="0">
      <selection activeCell="F9" sqref="F9"/>
    </sheetView>
  </sheetViews>
  <sheetFormatPr baseColWidth="10" defaultColWidth="9.140625" defaultRowHeight="15"/>
  <cols>
    <col min="2" max="2" width="12" style="34" bestFit="1" customWidth="1"/>
    <col min="3" max="3" width="12.85546875" bestFit="1" customWidth="1"/>
    <col min="4" max="4" width="11.140625" bestFit="1" customWidth="1"/>
  </cols>
  <sheetData>
    <row r="1" spans="2:4" s="165" customFormat="1">
      <c r="B1" s="164" t="s">
        <v>6274</v>
      </c>
      <c r="C1" s="165" t="s">
        <v>6275</v>
      </c>
      <c r="D1" s="165" t="s">
        <v>6276</v>
      </c>
    </row>
    <row r="2" spans="2:4">
      <c r="B2" s="33" t="s">
        <v>4058</v>
      </c>
      <c r="C2" s="28" t="s">
        <v>1939</v>
      </c>
      <c r="D2">
        <v>940</v>
      </c>
    </row>
    <row r="3" spans="2:4">
      <c r="B3" s="29" t="s">
        <v>4059</v>
      </c>
      <c r="C3" s="28" t="s">
        <v>4039</v>
      </c>
      <c r="D3">
        <v>941</v>
      </c>
    </row>
    <row r="4" spans="2:4">
      <c r="B4" s="33" t="s">
        <v>4060</v>
      </c>
      <c r="C4" s="28" t="s">
        <v>4040</v>
      </c>
      <c r="D4">
        <v>942</v>
      </c>
    </row>
    <row r="5" spans="2:4">
      <c r="B5" s="33" t="s">
        <v>4061</v>
      </c>
      <c r="C5" s="28" t="s">
        <v>4041</v>
      </c>
      <c r="D5">
        <v>943</v>
      </c>
    </row>
    <row r="6" spans="2:4">
      <c r="B6" s="33" t="s">
        <v>4062</v>
      </c>
      <c r="C6" s="28" t="s">
        <v>4042</v>
      </c>
      <c r="D6">
        <v>944</v>
      </c>
    </row>
    <row r="7" spans="2:4">
      <c r="B7" s="33" t="s">
        <v>4063</v>
      </c>
      <c r="C7" s="28" t="s">
        <v>4043</v>
      </c>
      <c r="D7">
        <v>945</v>
      </c>
    </row>
    <row r="8" spans="2:4">
      <c r="B8" s="33" t="s">
        <v>4064</v>
      </c>
      <c r="C8" s="28" t="s">
        <v>4044</v>
      </c>
      <c r="D8">
        <v>946</v>
      </c>
    </row>
    <row r="9" spans="2:4">
      <c r="B9" s="33" t="s">
        <v>4065</v>
      </c>
      <c r="C9" s="28" t="s">
        <v>4045</v>
      </c>
      <c r="D9">
        <v>947</v>
      </c>
    </row>
    <row r="10" spans="2:4">
      <c r="B10" s="33" t="s">
        <v>4066</v>
      </c>
      <c r="C10" s="28" t="s">
        <v>4046</v>
      </c>
      <c r="D10">
        <v>948</v>
      </c>
    </row>
    <row r="11" spans="2:4">
      <c r="B11" s="33" t="s">
        <v>4067</v>
      </c>
      <c r="C11" s="28" t="s">
        <v>4047</v>
      </c>
      <c r="D11">
        <v>949</v>
      </c>
    </row>
    <row r="12" spans="2:4">
      <c r="B12" s="33" t="s">
        <v>4068</v>
      </c>
      <c r="C12" s="28" t="s">
        <v>4048</v>
      </c>
      <c r="D12">
        <v>950</v>
      </c>
    </row>
    <row r="13" spans="2:4">
      <c r="B13" s="29" t="s">
        <v>4069</v>
      </c>
      <c r="C13" s="28" t="s">
        <v>4049</v>
      </c>
      <c r="D13">
        <v>951</v>
      </c>
    </row>
    <row r="14" spans="2:4">
      <c r="B14" s="29" t="s">
        <v>4070</v>
      </c>
      <c r="C14" s="28" t="s">
        <v>4050</v>
      </c>
      <c r="D14">
        <v>952</v>
      </c>
    </row>
    <row r="15" spans="2:4">
      <c r="B15" s="29" t="s">
        <v>4071</v>
      </c>
      <c r="C15" s="28" t="s">
        <v>4051</v>
      </c>
      <c r="D15">
        <v>953</v>
      </c>
    </row>
    <row r="16" spans="2:4">
      <c r="B16" s="29" t="s">
        <v>4072</v>
      </c>
      <c r="C16" s="28" t="s">
        <v>4052</v>
      </c>
      <c r="D16">
        <v>954</v>
      </c>
    </row>
    <row r="17" spans="2:4">
      <c r="B17" s="29" t="s">
        <v>4073</v>
      </c>
      <c r="C17" s="28" t="s">
        <v>4053</v>
      </c>
      <c r="D17">
        <v>955</v>
      </c>
    </row>
    <row r="18" spans="2:4">
      <c r="B18" s="29" t="s">
        <v>4074</v>
      </c>
      <c r="C18" s="28" t="s">
        <v>4054</v>
      </c>
      <c r="D18">
        <v>956</v>
      </c>
    </row>
    <row r="19" spans="2:4">
      <c r="B19" s="29" t="s">
        <v>4075</v>
      </c>
      <c r="C19" s="28" t="s">
        <v>4055</v>
      </c>
      <c r="D19">
        <v>957</v>
      </c>
    </row>
    <row r="20" spans="2:4">
      <c r="B20" s="29" t="s">
        <v>4076</v>
      </c>
      <c r="C20" s="28" t="s">
        <v>4056</v>
      </c>
      <c r="D20">
        <v>958</v>
      </c>
    </row>
    <row r="21" spans="2:4">
      <c r="B21" s="29" t="s">
        <v>4077</v>
      </c>
      <c r="C21" s="28" t="s">
        <v>3</v>
      </c>
      <c r="D21">
        <v>959</v>
      </c>
    </row>
    <row r="22" spans="2:4">
      <c r="B22" s="29" t="s">
        <v>4078</v>
      </c>
      <c r="C22" s="28" t="s">
        <v>4057</v>
      </c>
      <c r="D22">
        <v>960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baseColWidth="10" defaultColWidth="9.140625"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baseColWidth="10"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7</vt:i4>
      </vt:variant>
    </vt:vector>
  </HeadingPairs>
  <TitlesOfParts>
    <vt:vector size="14" baseType="lpstr">
      <vt:lpstr>Sets</vt:lpstr>
      <vt:lpstr>Card Data</vt:lpstr>
      <vt:lpstr>Work Data</vt:lpstr>
      <vt:lpstr>FAQ</vt:lpstr>
      <vt:lpstr>Special Characters</vt:lpstr>
      <vt:lpstr>Tables</vt:lpstr>
      <vt:lpstr>Sheet2</vt:lpstr>
      <vt:lpstr>FAQ!Druckbereich</vt:lpstr>
      <vt:lpstr>FAQ!Drucktitel</vt:lpstr>
      <vt:lpstr>GameGUID</vt:lpstr>
      <vt:lpstr>GameVersion</vt:lpstr>
      <vt:lpstr>SymbolTable</vt:lpstr>
      <vt:lpstr>UseSymbols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Mike</cp:lastModifiedBy>
  <cp:lastPrinted>2017-06-15T17:10:49Z</cp:lastPrinted>
  <dcterms:created xsi:type="dcterms:W3CDTF">2014-06-30T14:14:02Z</dcterms:created>
  <dcterms:modified xsi:type="dcterms:W3CDTF">2017-06-17T10:04:12Z</dcterms:modified>
</cp:coreProperties>
</file>