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60" windowWidth="20175" windowHeight="117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L20" i="2" l="1"/>
  <c r="K20" i="2"/>
  <c r="J20" i="2"/>
  <c r="I20" i="2" s="1"/>
  <c r="H20" i="2"/>
  <c r="G20" i="2"/>
  <c r="AA20" i="2"/>
  <c r="AA19" i="2"/>
  <c r="Z19" i="2"/>
  <c r="Y19" i="2"/>
  <c r="X19" i="2"/>
  <c r="W19" i="2"/>
  <c r="V19" i="2"/>
  <c r="T19" i="2"/>
  <c r="S19" i="2"/>
  <c r="R19" i="2"/>
  <c r="Q19" i="2"/>
  <c r="P19" i="2"/>
  <c r="O19" i="2"/>
  <c r="L19" i="2"/>
  <c r="K19" i="2"/>
  <c r="J19" i="2"/>
  <c r="I19" i="2"/>
  <c r="H19" i="2"/>
  <c r="G19" i="2"/>
  <c r="L18" i="2"/>
  <c r="K18" i="2"/>
  <c r="J18" i="2"/>
  <c r="I18" i="2"/>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c r="H22" i="2"/>
  <c r="G22" i="2"/>
  <c r="AA23" i="2"/>
  <c r="Z23" i="2"/>
  <c r="Y23" i="2"/>
  <c r="X23" i="2"/>
  <c r="W23" i="2"/>
  <c r="V23" i="2"/>
  <c r="T23" i="2"/>
  <c r="S23" i="2"/>
  <c r="R23" i="2"/>
  <c r="Q23" i="2"/>
  <c r="P23" i="2"/>
  <c r="O23" i="2"/>
  <c r="N23" i="2"/>
  <c r="L23" i="2"/>
  <c r="K23" i="2"/>
  <c r="J23" i="2"/>
  <c r="I23" i="2"/>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<sst xmlns="http://schemas.openxmlformats.org/spreadsheetml/2006/main" count="16911" uniqueCount="8420">
  <si>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</si>
  <si>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</si>
  <si>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</si>
  <si>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</si>
  <si>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</si>
  <si>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</si>
  <si>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</si>
  <si>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</si>
  <si>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</si>
  <si>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</si>
  <si>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</si>
  <si>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</si>
  <si>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</si>
  <si>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</si>
  <si>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</si>
  <si>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</si>
  <si>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</si>
  <si>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</si>
  <si>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</si>
  <si>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</si>
  <si>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</si>
  <si>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</si>
  <si>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</si>
  <si>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</si>
  <si>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</si>
  <si>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</si>
  <si>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</si>
  <si>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</si>
  <si>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</si>
  <si>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</si>
  <si>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</si>
  <si>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</si>
  <si>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</si>
  <si>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</si>
  <si>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</si>
  <si>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</si>
  <si>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</si>
  <si>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</si>
  <si>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</si>
  <si>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</si>
  <si>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</si>
  <si>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</si>
  <si>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</si>
  <si>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</si>
  <si>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</si>
  <si>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</si>
  <si>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</si>
  <si>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</si>
  <si>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</si>
  <si>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</si>
  <si>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</si>
  <si>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</si>
  <si>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</si>
  <si>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</si>
  <si>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</si>
  <si>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</si>
  <si>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</si>
  <si>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</si>
  <si>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</si>
  <si>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</si>
  <si>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</si>
  <si>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</si>
  <si>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</si>
  <si>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</si>
  <si>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</si>
  <si>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</si>
  <si>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</si>
  <si>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</si>
  <si>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</si>
  <si>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</si>
  <si>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</si>
  <si>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</si>
  <si>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</si>
  <si>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</si>
  <si>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</si>
  <si>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</si>
  <si>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</si>
  <si>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</si>
  <si>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</si>
  <si>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</si>
  <si>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</si>
  <si>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</si>
  <si>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</si>
  <si>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</si>
  <si>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</si>
  <si>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</si>
  <si>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</si>
  <si>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</si>
  <si>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</si>
  <si>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</si>
  <si>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</si>
  <si>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</si>
  <si>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</si>
  <si>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</si>
  <si>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</si>
  <si>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</si>
  <si>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</si>
  <si>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</si>
  <si>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</si>
  <si>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</si>
  <si>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</si>
  <si>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</si>
  <si>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</si>
  <si>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</si>
  <si>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</si>
  <si>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</si>
  <si>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</si>
  <si>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</si>
  <si>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</si>
  <si>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</si>
  <si>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</si>
  <si>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</si>
  <si>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</si>
  <si>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</si>
  <si>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</si>
  <si>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</si>
  <si>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</si>
  <si>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</si>
  <si>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</si>
  <si>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</si>
  <si>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</si>
  <si>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</si>
  <si>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</si>
  <si>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</si>
  <si>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</si>
  <si>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</si>
  <si>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</si>
  <si>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</si>
  <si>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</si>
  <si>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</si>
  <si>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</si>
  <si>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</si>
  <si>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</si>
  <si>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</si>
  <si>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</si>
  <si>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</si>
  <si>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</si>
  <si>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</si>
  <si>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</si>
  <si>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</si>
  <si>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</si>
  <si>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</si>
  <si>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</si>
  <si>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</si>
  <si>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</si>
  <si>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</si>
  <si>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</si>
  <si>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</si>
  <si>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</si>
  <si>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</si>
  <si>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</si>
  <si>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</si>
  <si>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</si>
  <si>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</si>
  <si>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</si>
  <si>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</si>
  <si>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</si>
  <si>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</si>
  <si>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</si>
  <si>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</si>
  <si>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</si>
  <si>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</si>
  <si>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</si>
  <si>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</si>
  <si>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</si>
  <si>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</si>
  <si>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</si>
  <si>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</si>
  <si>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</si>
  <si>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</si>
  <si>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</si>
  <si>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</si>
  <si>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</si>
  <si>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</si>
  <si>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</si>
  <si>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</si>
  <si>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</si>
  <si>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</si>
  <si>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</si>
  <si>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</si>
  <si>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</si>
  <si>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</si>
  <si>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</si>
  <si>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</si>
  <si>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</si>
  <si>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</si>
  <si>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</si>
  <si>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</si>
  <si>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</si>
  <si>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</si>
  <si>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</si>
  <si>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</si>
  <si>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</si>
  <si>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</si>
  <si>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</si>
  <si>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</si>
  <si>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</si>
  <si>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</si>
  <si>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</si>
  <si>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</si>
  <si>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</si>
  <si>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</si>
  <si>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</si>
  <si>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</si>
  <si>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</si>
  <si>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</si>
  <si>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</si>
  <si>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</si>
  <si>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</si>
  <si>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</si>
  <si>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</si>
  <si>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</si>
  <si>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</si>
  <si>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</si>
  <si>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</si>
  <si>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</si>
  <si>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</si>
  <si>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</si>
  <si>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</si>
  <si>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</si>
  <si>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</si>
  <si>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</si>
  <si>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</si>
  <si>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</si>
  <si>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</si>
  <si>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</si>
  <si>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</si>
  <si>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</si>
  <si>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</si>
  <si>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</si>
  <si>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</si>
  <si>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</si>
  <si>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</si>
  <si>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</si>
  <si>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</si>
  <si>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</si>
  <si>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</si>
  <si>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</si>
  <si>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</si>
  <si>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</si>
  <si>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</si>
  <si>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</si>
  <si>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</si>
  <si>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</si>
  <si>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</si>
  <si>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</si>
  <si>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</si>
  <si>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</si>
  <si>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</si>
  <si>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</si>
  <si>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</si>
  <si>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</si>
  <si>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</si>
  <si>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</si>
  <si>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</si>
  <si>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</si>
  <si>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</si>
  <si>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</si>
  <si>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</si>
  <si>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</si>
  <si>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</si>
  <si>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</si>
  <si>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</si>
  <si>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</si>
  <si>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</si>
  <si>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</si>
  <si>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</si>
  <si>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</si>
  <si>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</si>
  <si>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</si>
  <si>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</si>
  <si>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</si>
  <si>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</si>
  <si>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</si>
  <si>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</si>
  <si>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</si>
  <si>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</si>
  <si>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</si>
  <si>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</si>
  <si>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</si>
  <si>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</si>
  <si>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</si>
  <si>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</si>
  <si>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</si>
  <si>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</si>
  <si>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</si>
  <si>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</si>
  <si>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</si>
  <si>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</si>
  <si>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</si>
  <si>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</si>
  <si>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</si>
  <si>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</si>
  <si>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</si>
  <si>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</si>
  <si>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</si>
  <si>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</si>
  <si>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</si>
  <si>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</si>
  <si>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</si>
  <si>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</si>
  <si>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</si>
  <si>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</si>
  <si>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</si>
  <si>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</si>
  <si>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</si>
  <si>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</si>
  <si>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</si>
  <si>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</si>
  <si>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</si>
  <si>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</si>
  <si>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</si>
  <si>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</si>
  <si>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</si>
  <si>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</si>
  <si>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</si>
  <si>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</si>
  <si>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</si>
  <si>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</si>
  <si>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</si>
  <si>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</si>
  <si>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</si>
  <si>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</si>
  <si>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</si>
  <si>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</si>
  <si>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</si>
  <si>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</si>
  <si>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</si>
  <si>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</si>
  <si>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</si>
  <si>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</si>
  <si>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</si>
  <si>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</si>
  <si>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</si>
  <si>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</si>
  <si>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</si>
  <si>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</si>
  <si>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</si>
  <si>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</si>
  <si>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</si>
  <si>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</si>
  <si>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</si>
  <si>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</si>
  <si>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</si>
  <si>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</si>
  <si>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</si>
  <si>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</si>
  <si>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</si>
  <si>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</si>
  <si>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</si>
  <si>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</si>
  <si>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</si>
  <si>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</si>
  <si>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</si>
  <si>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</si>
  <si>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</si>
  <si>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</si>
  <si>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</si>
  <si>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</si>
  <si>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</si>
  <si>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</si>
  <si>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</si>
  <si>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</si>
  <si>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</si>
  <si>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</si>
  <si>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</si>
  <si>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</si>
  <si>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</si>
  <si>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</si>
  <si>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</si>
  <si>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</si>
  <si>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</si>
  <si>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</si>
  <si>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</si>
  <si>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</si>
  <si>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</si>
  <si>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</si>
  <si>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</si>
  <si>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</si>
  <si>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</si>
  <si>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</si>
  <si>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</si>
  <si>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</si>
  <si>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</si>
  <si>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</si>
  <si>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</si>
  <si>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</si>
  <si>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</si>
  <si>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</si>
  <si>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</si>
  <si>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</si>
  <si>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</si>
  <si>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</si>
  <si>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</si>
  <si>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</si>
  <si>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</si>
  <si>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</si>
  <si>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</si>
  <si>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</si>
  <si>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</si>
  <si>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</si>
  <si>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</si>
  <si>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</si>
  <si>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</si>
  <si>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</si>
  <si>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</si>
  <si>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</si>
  <si>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</si>
  <si>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</si>
  <si>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</si>
  <si>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</si>
  <si>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</si>
  <si>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</si>
  <si>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</si>
  <si>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</si>
  <si>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</si>
  <si>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</si>
  <si>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</si>
  <si>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</si>
  <si>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</si>
  <si>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</si>
  <si>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</si>
  <si>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</si>
  <si>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</si>
  <si>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</si>
  <si>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</si>
  <si>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</si>
  <si>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</si>
  <si>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</si>
  <si>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</si>
  <si>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</si>
  <si>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</si>
  <si>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</si>
  <si>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</si>
  <si>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</si>
  <si>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</si>
  <si>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</si>
  <si>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</si>
  <si>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</si>
  <si>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</si>
  <si>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</si>
  <si>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</si>
  <si>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</si>
  <si>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</si>
  <si>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</si>
  <si>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</si>
  <si>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</si>
  <si>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</si>
  <si>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</si>
  <si>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</si>
  <si>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</si>
  <si>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</si>
  <si>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</si>
  <si>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</si>
  <si>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</si>
  <si>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</si>
  <si>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</si>
  <si>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</si>
  <si>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</si>
  <si>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</si>
  <si>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</si>
  <si>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</si>
  <si>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</si>
  <si>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</si>
  <si>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</si>
  <si>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</si>
  <si>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</si>
  <si>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</si>
  <si>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</si>
  <si>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</si>
  <si>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</si>
  <si>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</si>
  <si>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</si>
  <si>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</si>
  <si>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</si>
  <si>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</si>
  <si>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</si>
  <si>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</si>
  <si>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</si>
  <si>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</si>
  <si>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</si>
  <si>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</si>
  <si>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</si>
  <si>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</si>
  <si>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</si>
  <si>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</si>
  <si>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</si>
  <si>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</si>
  <si>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</si>
  <si>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</si>
  <si>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</si>
  <si>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</si>
  <si>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</si>
  <si>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</si>
  <si>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</si>
  <si>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</si>
  <si>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</si>
  <si>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</si>
  <si>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</si>
  <si>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</si>
  <si>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</si>
  <si>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</si>
  <si>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</si>
  <si>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</si>
  <si>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</si>
  <si>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</si>
  <si>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</si>
  <si>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</si>
  <si>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</si>
  <si>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</si>
  <si>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</si>
  <si>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</si>
  <si>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</si>
  <si>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</si>
  <si>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</si>
  <si>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</si>
  <si>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</si>
  <si>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</si>
  <si>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</si>
  <si>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</si>
  <si>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</si>
  <si>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</si>
  <si>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</si>
  <si>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</si>
  <si>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</si>
  <si>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</si>
  <si>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</si>
  <si>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</si>
  <si>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</si>
  <si>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</si>
  <si>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</si>
  <si>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</si>
  <si>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</si>
  <si>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</si>
  <si>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</si>
  <si>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</si>
  <si>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</si>
  <si>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</si>
  <si>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</si>
  <si>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</si>
  <si>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</si>
  <si>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</si>
  <si>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</si>
  <si>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</si>
  <si>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</si>
  <si>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</si>
  <si>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</si>
  <si>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</si>
  <si>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</si>
  <si>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</si>
  <si>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</si>
  <si>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</si>
  <si>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</si>
  <si>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</si>
  <si>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</si>
  <si>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</si>
  <si>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</si>
  <si>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</si>
  <si>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</si>
  <si>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</si>
  <si>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</si>
  <si>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</si>
  <si>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</si>
  <si>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</si>
  <si>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</si>
  <si>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</si>
  <si>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</si>
  <si>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</si>
  <si>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</si>
  <si>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</si>
  <si>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</si>
  <si>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</si>
  <si>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</si>
  <si>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</si>
  <si>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</si>
  <si>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</si>
  <si>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</si>
  <si>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</si>
  <si>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</si>
  <si>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</si>
  <si>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</si>
  <si>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</si>
  <si>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</si>
  <si>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</si>
  <si>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</si>
  <si>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</si>
  <si>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</si>
  <si>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</si>
  <si>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</si>
  <si>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</si>
  <si>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</si>
  <si>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</si>
  <si>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</si>
  <si>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</si>
  <si>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</si>
  <si>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</si>
  <si>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</si>
  <si>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</si>
  <si>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</si>
  <si>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</si>
  <si>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</si>
  <si>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</si>
  <si>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</si>
  <si>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</si>
  <si>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</si>
  <si>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</si>
  <si>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</si>
  <si>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</si>
  <si>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</si>
  <si>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</si>
  <si>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</si>
  <si>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</si>
  <si>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</si>
  <si>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</si>
  <si>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</si>
  <si>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</si>
  <si>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</si>
  <si>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</si>
  <si>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</si>
  <si>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</si>
  <si>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</si>
  <si>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</si>
  <si>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</si>
  <si>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</si>
  <si>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</si>
  <si>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</si>
  <si>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</si>
  <si>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</si>
  <si>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</si>
  <si>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</si>
  <si>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</si>
  <si>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</si>
  <si>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</si>
  <si>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</si>
  <si>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</si>
  <si>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</si>
  <si>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</si>
  <si>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</si>
  <si>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</si>
  <si>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</si>
  <si>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</si>
  <si>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</si>
  <si>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</si>
  <si>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</si>
  <si>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</si>
  <si>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</si>
  <si>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</si>
  <si>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</si>
  <si>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</si>
  <si>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</si>
  <si>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</si>
  <si>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</si>
  <si>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</si>
  <si>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</si>
  <si>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</si>
  <si>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</si>
  <si>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</si>
  <si>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</si>
  <si>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</si>
  <si>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</si>
  <si>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</si>
  <si>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</si>
  <si>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</si>
  <si>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</si>
  <si>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</si>
  <si>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</si>
  <si>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</si>
  <si>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</si>
  <si>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</si>
  <si>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</si>
  <si>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</si>
  <si>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</si>
  <si>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</si>
  <si>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</si>
  <si>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</si>
  <si>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</si>
  <si>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</si>
  <si>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</si>
  <si>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</si>
  <si>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</si>
  <si>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</si>
  <si>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</si>
  <si>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</si>
  <si>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</si>
  <si>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</si>
  <si>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</si>
  <si>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</si>
  <si>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</si>
  <si>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</si>
  <si>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</si>
  <si>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</si>
  <si>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</si>
  <si>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</si>
  <si>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</si>
  <si>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</si>
  <si>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</si>
  <si>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</si>
  <si>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</si>
  <si>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</si>
  <si>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</si>
  <si>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</si>
  <si>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</si>
  <si>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</si>
  <si>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</si>
  <si>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</si>
  <si>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</si>
  <si>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</si>
  <si>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</si>
  <si>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</si>
  <si>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</si>
  <si>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</si>
  <si>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</si>
  <si>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</si>
  <si>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</si>
  <si>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</si>
  <si>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</si>
  <si>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</si>
  <si>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</si>
  <si>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</si>
  <si>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</si>
  <si>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</si>
  <si>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</si>
  <si>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</si>
  <si>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</si>
  <si>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</si>
  <si>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</si>
  <si>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</si>
  <si>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</si>
  <si>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</si>
  <si>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</si>
  <si>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</si>
  <si>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</si>
  <si>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</si>
  <si>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</si>
  <si>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</si>
  <si>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</si>
  <si>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</si>
  <si>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</si>
  <si>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</si>
  <si>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</si>
  <si>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</si>
  <si>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</si>
  <si>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</si>
  <si>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</si>
  <si>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</si>
  <si>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</si>
  <si>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</si>
  <si>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</si>
  <si>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</si>
  <si>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</si>
  <si>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</si>
  <si>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</si>
  <si>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</si>
  <si>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</si>
  <si>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</si>
  <si>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</si>
  <si>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</si>
  <si>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</si>
  <si>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</si>
  <si>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</si>
  <si>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</si>
  <si>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</si>
  <si>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</si>
  <si>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</si>
  <si>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</si>
  <si>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</si>
  <si>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</si>
  <si>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</si>
  <si>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</si>
  <si>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</si>
  <si>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</si>
  <si>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</si>
  <si>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</si>
  <si>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</si>
  <si>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</si>
  <si>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</si>
  <si>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</si>
  <si>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</si>
  <si>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</si>
  <si>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</si>
  <si>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</si>
  <si>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</si>
  <si>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</si>
  <si>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</si>
  <si>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</si>
  <si>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</si>
  <si>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</si>
  <si>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</si>
  <si>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</si>
  <si>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</si>
  <si>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</si>
  <si>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</si>
  <si>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</si>
  <si>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</si>
  <si>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</si>
  <si>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</si>
  <si>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</si>
  <si>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</si>
  <si>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</si>
  <si>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</si>
  <si>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</si>
  <si>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</si>
  <si>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</si>
  <si>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</si>
  <si>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</si>
  <si>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</si>
  <si>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</si>
  <si>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</si>
  <si>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</si>
  <si>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</si>
  <si>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</si>
  <si>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</si>
  <si>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</si>
  <si>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</si>
  <si>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</si>
  <si>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</si>
  <si>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</si>
  <si>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</si>
  <si>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</si>
  <si>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</si>
  <si>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</si>
  <si>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</si>
  <si>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</si>
  <si>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</si>
  <si>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</si>
  <si>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</si>
  <si>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</si>
  <si>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</si>
  <si>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</si>
  <si>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</si>
  <si>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</si>
  <si>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</si>
  <si>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</si>
  <si>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</si>
  <si>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</si>
  <si>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</si>
  <si>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</si>
  <si>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</si>
  <si>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</si>
  <si>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</si>
  <si>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</si>
  <si>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</si>
  <si>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</si>
  <si>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</si>
  <si>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</si>
  <si>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</si>
  <si>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</si>
  <si>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</si>
  <si>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</si>
  <si>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</si>
  <si>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</si>
  <si>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</si>
  <si>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</si>
  <si>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</si>
  <si>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</si>
  <si>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</si>
  <si>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</si>
  <si>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</si>
  <si>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</si>
  <si>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</si>
  <si>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</si>
  <si>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</si>
  <si>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</si>
  <si>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</si>
  <si>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</si>
  <si>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</si>
  <si>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</si>
  <si>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</si>
  <si>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</si>
  <si>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</si>
  <si>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</si>
  <si>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</si>
  <si>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</si>
  <si>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</si>
  <si>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</si>
  <si>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</si>
  <si>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</si>
  <si>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</si>
  <si>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</si>
  <si>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</si>
  <si>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</si>
  <si>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</si>
  <si>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</si>
  <si>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</si>
  <si>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</si>
  <si>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</si>
  <si>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</si>
  <si>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</si>
  <si>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</si>
  <si>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</si>
  <si>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</si>
  <si>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</si>
  <si>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</si>
  <si>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</si>
  <si>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</si>
  <si>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</si>
  <si>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</si>
  <si>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</si>
  <si>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</si>
  <si>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</si>
  <si>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</si>
  <si>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</si>
  <si>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</si>
  <si>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</si>
  <si>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</si>
  <si>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</si>
  <si>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</si>
  <si>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</si>
  <si>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</si>
  <si>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</si>
  <si>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</si>
  <si>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</si>
  <si>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</si>
  <si>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</si>
  <si>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</si>
  <si>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</si>
  <si>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</si>
  <si>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</si>
  <si>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</si>
  <si>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</si>
  <si>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</si>
  <si>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</si>
  <si>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</si>
  <si>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</si>
  <si>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</si>
  <si>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</si>
  <si>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</si>
  <si>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</si>
  <si>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</si>
  <si>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</si>
  <si>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</si>
  <si>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</si>
  <si>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</si>
  <si>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</si>
  <si>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</si>
  <si>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</si>
  <si>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</si>
  <si>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</si>
  <si>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</si>
  <si>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</si>
  <si>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</si>
  <si>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</si>
  <si>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</si>
  <si>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</si>
  <si>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</si>
  <si>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</si>
  <si>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</si>
  <si>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</si>
  <si>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</si>
  <si>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</si>
  <si>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</si>
  <si>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</si>
  <si>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</si>
  <si>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</si>
  <si>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</si>
  <si>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</si>
  <si>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</si>
  <si>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</si>
  <si>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</si>
  <si>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</si>
  <si>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</si>
  <si>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</si>
  <si>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</si>
  <si>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</si>
  <si>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</si>
  <si>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</si>
  <si>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</si>
  <si>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</si>
  <si>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</si>
  <si>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</si>
  <si>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</si>
  <si>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</si>
  <si>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</si>
  <si>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</si>
  <si>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</si>
  <si>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</si>
  <si>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</si>
  <si>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</si>
  <si>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</si>
  <si>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</si>
  <si>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</si>
  <si>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</si>
  <si>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</si>
  <si>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</si>
  <si>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</si>
  <si>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</si>
  <si>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</si>
  <si>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</si>
  <si>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</si>
  <si>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</si>
  <si>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</si>
  <si>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</si>
  <si>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</si>
  <si>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</si>
  <si>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</si>
  <si>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</si>
  <si>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</si>
  <si>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</si>
  <si>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</si>
  <si>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</si>
  <si>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</si>
  <si>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</si>
  <si>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</si>
  <si>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</si>
  <si>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</si>
  <si>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</si>
  <si>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</si>
  <si>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</si>
  <si>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</si>
  <si>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</si>
  <si>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</si>
  <si>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</si>
  <si>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</si>
  <si>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</si>
  <si>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</si>
  <si>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</si>
  <si>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</si>
  <si>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</si>
  <si>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</si>
  <si>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</si>
  <si>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</si>
  <si>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</si>
  <si>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</si>
  <si>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</si>
  <si>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</si>
  <si>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</si>
  <si>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</si>
  <si>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</si>
  <si>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</si>
  <si>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</si>
  <si>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</si>
  <si>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</si>
  <si>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</si>
  <si>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</si>
  <si>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</si>
  <si>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</si>
  <si>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</si>
  <si>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</si>
  <si>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</si>
  <si>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</si>
  <si>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</si>
  <si>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</si>
  <si>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</si>
  <si>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</si>
  <si>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</si>
  <si>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</si>
  <si>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</si>
  <si>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</si>
  <si>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</si>
  <si>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</si>
  <si>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</si>
  <si>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</si>
  <si>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</si>
  <si>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</si>
  <si>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</si>
  <si>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</si>
  <si>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</si>
  <si>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</si>
  <si>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</si>
  <si>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</si>
  <si>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</si>
  <si>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</si>
  <si>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</si>
  <si>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</si>
  <si>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</si>
  <si>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</si>
  <si>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</si>
  <si>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</si>
  <si>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</si>
  <si>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</si>
  <si>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</si>
  <si>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</si>
  <si>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</si>
  <si>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</si>
  <si>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</si>
  <si>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</si>
  <si>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</si>
  <si>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</si>
  <si>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</si>
  <si>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</si>
  <si>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</si>
  <si>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</si>
  <si>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</si>
  <si>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</si>
  <si>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</si>
  <si>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</si>
  <si>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</si>
  <si>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</si>
  <si>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</si>
  <si>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</si>
  <si>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</si>
  <si>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</si>
  <si>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</si>
  <si>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</si>
  <si>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</si>
  <si>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</si>
  <si>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</si>
  <si>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</si>
  <si>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</si>
  <si>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</si>
  <si>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</si>
  <si>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</si>
  <si>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</si>
  <si>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</si>
  <si>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</si>
  <si>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</si>
  <si>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</si>
  <si>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</si>
  <si>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</si>
  <si>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</si>
  <si>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</si>
  <si>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</si>
  <si>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</si>
  <si>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</si>
  <si>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</si>
  <si>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</si>
  <si>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</si>
  <si>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</si>
  <si>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</si>
  <si>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</si>
  <si>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</si>
  <si>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</si>
  <si>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</si>
  <si>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</si>
  <si>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</si>
  <si>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</si>
  <si>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</si>
  <si>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</si>
  <si>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</si>
  <si>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</si>
  <si>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</si>
  <si>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</si>
  <si>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</si>
  <si>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</si>
  <si>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</si>
  <si>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</si>
  <si>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</si>
  <si>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</si>
  <si>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</si>
  <si>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</si>
  <si>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</si>
  <si>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</si>
  <si>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</si>
  <si>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</si>
  <si>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</si>
  <si>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</si>
  <si>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</si>
  <si>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</si>
  <si>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</si>
  <si>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</si>
  <si>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</si>
  <si>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</si>
  <si>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</si>
  <si>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</si>
  <si>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</si>
  <si>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</si>
  <si>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</si>
  <si>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</si>
  <si>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</si>
  <si>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</si>
  <si>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</si>
  <si>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</si>
  <si>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</si>
  <si>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</si>
  <si>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</si>
  <si>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</si>
  <si>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</si>
  <si>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</si>
  <si>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</si>
  <si>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</si>
  <si>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</si>
  <si>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</si>
  <si>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</si>
  <si>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</si>
  <si>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</si>
  <si>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</si>
  <si>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</si>
  <si>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</si>
  <si>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</si>
  <si>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</si>
  <si>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</si>
  <si>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</si>
  <si>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</si>
  <si>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</si>
  <si>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</si>
  <si>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</si>
  <si>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</si>
  <si>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</si>
  <si>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</si>
  <si>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</si>
  <si>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</si>
  <si>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</si>
  <si>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</si>
  <si>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</si>
  <si>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</si>
  <si>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</si>
  <si>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</si>
  <si>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</si>
  <si>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</si>
  <si>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</si>
  <si>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</si>
  <si>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</si>
  <si>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</si>
  <si>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</si>
  <si>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</si>
  <si>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</si>
  <si>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</si>
  <si>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</si>
  <si>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</si>
  <si>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</si>
  <si>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</si>
  <si>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</si>
  <si>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</si>
  <si>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</si>
  <si>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</si>
  <si>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</si>
  <si>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</si>
  <si>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</si>
  <si>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</si>
  <si>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</si>
  <si>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</si>
  <si>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</si>
  <si>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</si>
  <si>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</si>
  <si>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</si>
  <si>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</si>
  <si>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</si>
  <si>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</si>
  <si>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</si>
  <si>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</si>
  <si>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</si>
  <si>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</si>
  <si>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</si>
  <si>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</si>
  <si>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</si>
  <si>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</si>
  <si>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</si>
  <si>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</si>
  <si>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</si>
  <si>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</si>
  <si>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</si>
  <si>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</si>
  <si>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</si>
  <si>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</si>
  <si>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</si>
  <si>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</si>
  <si>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</si>
  <si>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</si>
  <si>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</si>
  <si>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</si>
  <si>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</si>
  <si>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</si>
  <si>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</si>
  <si>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</si>
  <si>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</si>
  <si>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</si>
  <si>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</si>
  <si>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</si>
  <si>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</si>
  <si>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</si>
  <si>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</si>
  <si>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</si>
  <si>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</si>
  <si>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</si>
  <si>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</si>
  <si>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</si>
  <si>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</si>
  <si>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</si>
  <si>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</si>
  <si>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</si>
  <si>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</si>
  <si>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</si>
  <si>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</si>
  <si>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</si>
  <si>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</si>
  <si>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</si>
  <si>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</si>
  <si>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</si>
  <si>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</si>
  <si>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</si>
  <si>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</si>
  <si>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</si>
  <si>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</si>
  <si>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</si>
  <si>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</si>
  <si>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</si>
  <si>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</si>
  <si>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</si>
  <si>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</si>
  <si>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</si>
  <si>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</si>
  <si>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</si>
  <si>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</si>
  <si>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</si>
  <si>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</si>
  <si>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</si>
  <si>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</si>
  <si>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</si>
  <si>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</si>
  <si>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</si>
  <si>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</si>
  <si>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</si>
  <si>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</si>
  <si>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</si>
  <si>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</si>
  <si>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</si>
  <si>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</si>
  <si>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</si>
  <si>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</si>
  <si>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</si>
  <si>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</si>
  <si>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</si>
  <si>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</si>
  <si>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</si>
  <si>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</si>
  <si>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</si>
  <si>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</si>
  <si>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</si>
  <si>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</si>
  <si>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</si>
  <si>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</si>
  <si>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</si>
  <si>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</si>
  <si>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</si>
  <si>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</si>
  <si>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</si>
  <si>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</si>
  <si>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</si>
  <si>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</si>
  <si>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</si>
  <si>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</si>
  <si>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</si>
  <si>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</si>
  <si>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</si>
  <si>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</si>
  <si>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</si>
  <si>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</si>
  <si>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</si>
  <si>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</si>
  <si>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</si>
  <si>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</si>
  <si>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</si>
  <si>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</si>
  <si>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</si>
  <si>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</si>
  <si>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</si>
  <si>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</si>
  <si>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</si>
  <si>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</si>
  <si>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</si>
  <si>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</si>
  <si>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</si>
  <si>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</si>
  <si>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</si>
  <si>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</si>
  <si>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</si>
  <si>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</si>
  <si>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</si>
  <si>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</si>
  <si>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</si>
  <si>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</si>
  <si>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</si>
  <si>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</si>
  <si>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</si>
  <si>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</si>
  <si>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</si>
  <si>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</si>
  <si>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</si>
  <si>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</si>
  <si>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</si>
  <si>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</si>
  <si>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</si>
  <si>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</si>
  <si>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</si>
  <si>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</si>
  <si>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</si>
  <si>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</si>
  <si>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</si>
  <si>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</si>
  <si>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</si>
  <si>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</si>
  <si>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</si>
  <si>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</si>
  <si>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</si>
  <si>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</si>
  <si>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</si>
  <si>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</si>
  <si>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</si>
  <si>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</si>
  <si>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</si>
  <si>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</si>
  <si>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</si>
  <si>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</si>
  <si>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</si>
  <si>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</si>
  <si>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</si>
  <si>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</si>
  <si>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</si>
  <si>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</si>
  <si>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</si>
  <si>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</si>
  <si>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</si>
  <si>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</si>
  <si>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</si>
  <si>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</si>
  <si>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</si>
  <si>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</si>
  <si>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</si>
  <si>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</si>
  <si>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</si>
  <si>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</si>
  <si>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</si>
  <si>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</si>
  <si>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</si>
  <si>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</si>
  <si>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</si>
  <si>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</si>
  <si>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</si>
  <si>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</si>
  <si>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</si>
  <si>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</si>
  <si>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</si>
  <si>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</si>
  <si>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</si>
  <si>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</si>
  <si>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</si>
  <si>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</si>
  <si>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</si>
  <si>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</si>
  <si>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</si>
  <si>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</si>
  <si>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</si>
  <si>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</si>
  <si>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</si>
  <si>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</si>
  <si>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</si>
  <si>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</si>
  <si>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</si>
  <si>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</si>
  <si>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</si>
  <si>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</si>
  <si>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</si>
  <si>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</si>
  <si>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</si>
  <si>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</si>
  <si>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</si>
  <si>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</si>
  <si>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</si>
  <si>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</si>
  <si>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</si>
  <si>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</si>
  <si>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</si>
  <si>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</si>
  <si>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</si>
  <si>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</si>
  <si>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</si>
  <si>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</si>
  <si>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</si>
  <si>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</si>
  <si>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</si>
  <si>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</si>
  <si>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</si>
  <si>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</si>
  <si>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</si>
  <si>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</si>
  <si>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</si>
  <si>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</si>
  <si>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</si>
  <si>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</si>
  <si>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</si>
  <si>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</si>
  <si>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</si>
  <si>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</si>
  <si>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</si>
  <si>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</si>
  <si>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</si>
  <si>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</si>
  <si>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</si>
  <si>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</si>
  <si>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</si>
  <si>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</si>
  <si>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</si>
  <si>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</si>
  <si>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</si>
  <si>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</si>
  <si>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</si>
  <si>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</si>
  <si>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</si>
  <si>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</si>
  <si>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</si>
  <si>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</si>
  <si>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</si>
  <si>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</si>
  <si>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</si>
  <si>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</si>
  <si>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</si>
  <si>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</si>
  <si>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</si>
  <si>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</si>
  <si>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</si>
  <si>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</si>
  <si>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</si>
  <si>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</si>
  <si>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</si>
  <si>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</si>
  <si>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</si>
  <si>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</si>
  <si>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</si>
  <si>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</si>
  <si>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</si>
  <si>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</si>
  <si>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</si>
  <si>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</si>
  <si>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</si>
  <si>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</si>
  <si>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</si>
  <si>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</si>
  <si>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</si>
  <si>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</si>
  <si>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</si>
  <si>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</si>
  <si>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</si>
  <si>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</si>
  <si>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</si>
  <si>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</si>
  <si>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</si>
  <si>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</si>
  <si>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</si>
  <si>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</si>
  <si>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</si>
  <si>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</si>
  <si>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</si>
  <si>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</si>
  <si>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</si>
  <si>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</si>
  <si>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</si>
  <si>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</si>
  <si>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</si>
  <si>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</si>
  <si>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</si>
  <si>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</si>
  <si>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</si>
  <si>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</si>
  <si>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</si>
  <si>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</si>
  <si>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</si>
  <si>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</si>
  <si>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</si>
  <si>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</si>
  <si>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</si>
  <si>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</si>
  <si>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</si>
  <si>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</si>
  <si>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</si>
  <si>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</si>
  <si>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</si>
  <si>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</si>
  <si>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</si>
  <si>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</si>
  <si>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</si>
  <si>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</si>
  <si>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</si>
  <si>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</si>
  <si>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</si>
  <si>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</si>
  <si>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</si>
  <si>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</si>
  <si>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</si>
  <si>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</si>
  <si>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</si>
  <si>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</si>
  <si>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</si>
  <si>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</si>
  <si>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</si>
  <si>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</si>
  <si>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</si>
  <si>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</si>
  <si>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</si>
  <si>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</si>
  <si>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</si>
  <si>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</si>
  <si>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</si>
  <si>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</si>
  <si>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</si>
  <si>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</si>
  <si>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</si>
  <si>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</si>
  <si>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</si>
  <si>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</si>
  <si>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</si>
  <si>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</si>
  <si>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</si>
  <si>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</si>
  <si>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</si>
  <si>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</si>
  <si>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</si>
  <si>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</si>
  <si>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</si>
  <si>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</si>
  <si>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</si>
  <si>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</si>
  <si>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</si>
  <si>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</si>
  <si>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</si>
  <si>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</si>
  <si>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</si>
  <si>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</si>
  <si>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</si>
  <si>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</si>
  <si>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</si>
  <si>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</si>
  <si>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</si>
  <si>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</si>
  <si>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</si>
  <si>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</si>
  <si>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</si>
  <si>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</si>
  <si>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</si>
  <si>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</si>
  <si>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</si>
  <si>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</si>
  <si>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</si>
  <si>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</si>
  <si>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</si>
  <si>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</si>
  <si>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</si>
  <si>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</si>
  <si>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</si>
  <si>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</si>
  <si>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</si>
  <si>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</si>
  <si>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</si>
  <si>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</si>
  <si>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</si>
  <si>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</si>
  <si>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</si>
  <si>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</si>
  <si>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</si>
  <si>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</si>
  <si>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</si>
  <si>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</si>
  <si>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</si>
  <si>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</si>
  <si>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</si>
  <si>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</si>
  <si>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</si>
  <si>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</si>
  <si>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</si>
  <si>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</si>
  <si>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</si>
  <si>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</si>
  <si>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</si>
  <si>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</si>
  <si>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</si>
  <si>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</si>
  <si>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</si>
  <si>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</si>
  <si>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</si>
  <si>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</si>
  <si>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</si>
  <si>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</si>
  <si>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</si>
  <si>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</si>
  <si>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</si>
  <si>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</si>
  <si>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</si>
  <si>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</si>
  <si>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</si>
  <si>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</si>
  <si>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</si>
  <si>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</si>
  <si>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</si>
  <si>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</si>
  <si>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</si>
  <si>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</si>
  <si>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</si>
  <si>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</si>
  <si>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</si>
  <si>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</si>
  <si>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</si>
  <si>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</si>
  <si>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</si>
  <si>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</si>
  <si>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</si>
  <si>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</si>
  <si>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</si>
  <si>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</si>
  <si>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</si>
  <si>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</si>
  <si>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</si>
  <si>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</si>
  <si>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</si>
  <si>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</si>
  <si>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</si>
  <si>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</si>
  <si>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</si>
  <si>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</si>
  <si>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</si>
  <si>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</si>
  <si>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</si>
  <si>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</si>
  <si>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</si>
  <si>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</si>
  <si>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</si>
  <si>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</si>
  <si>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</si>
  <si>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</si>
  <si>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</si>
  <si>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</si>
  <si>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</si>
  <si>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</si>
  <si>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</si>
  <si>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</si>
  <si>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</si>
  <si>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</si>
  <si>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</si>
  <si>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</si>
  <si>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</si>
  <si>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</si>
  <si>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</si>
  <si>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</si>
  <si>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</si>
  <si>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</si>
  <si>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</si>
  <si>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</si>
  <si>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</si>
  <si>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</si>
  <si>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</si>
  <si>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</si>
  <si>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</si>
  <si>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</si>
  <si>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</si>
  <si>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</si>
  <si>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</si>
  <si>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</si>
  <si>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</si>
  <si>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</si>
  <si>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</si>
  <si>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</si>
  <si>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</si>
  <si>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</si>
  <si>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</si>
  <si>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</si>
  <si>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</si>
  <si>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</si>
  <si>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</si>
  <si>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</si>
  <si>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</si>
  <si>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</si>
  <si>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</si>
  <si>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</si>
  <si>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</si>
  <si>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</si>
  <si>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</si>
  <si>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</si>
  <si>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</si>
  <si>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</si>
  <si>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</si>
  <si>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</si>
  <si>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</si>
  <si>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</si>
  <si>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</si>
  <si>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</si>
  <si>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</si>
  <si>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</si>
  <si>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</si>
  <si>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</si>
  <si>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</si>
  <si>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</si>
  <si>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</si>
  <si>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</si>
  <si>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</si>
  <si>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</si>
  <si>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</si>
  <si>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</si>
  <si>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</si>
  <si>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</si>
  <si>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</si>
  <si>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</si>
  <si>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</si>
  <si>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</si>
  <si>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</si>
  <si>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</si>
  <si>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</si>
  <si>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</si>
  <si>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</si>
  <si>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</si>
  <si>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</si>
  <si>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</si>
  <si>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</si>
  <si>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</si>
  <si>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</si>
  <si>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</si>
  <si>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</si>
  <si>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</si>
  <si>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</si>
  <si>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</si>
  <si>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</si>
  <si>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</si>
  <si>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</si>
  <si>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</si>
  <si>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</si>
  <si>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</si>
  <si>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</si>
  <si>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</si>
  <si>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</si>
  <si>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</si>
  <si>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</si>
  <si>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</si>
  <si>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</si>
  <si>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</si>
  <si>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</si>
  <si>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</si>
  <si>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</si>
  <si>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</si>
  <si>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</si>
  <si>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</si>
  <si>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</si>
  <si>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</si>
  <si>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</si>
  <si>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</si>
  <si>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</si>
  <si>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</si>
  <si>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</si>
  <si>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</si>
  <si>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</si>
  <si>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</si>
  <si>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</si>
  <si>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</si>
  <si>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</si>
  <si>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</si>
  <si>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</si>
  <si>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</si>
  <si>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</si>
  <si>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</si>
  <si>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</si>
  <si>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</si>
  <si>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</si>
  <si>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</si>
  <si>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</si>
  <si>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</si>
  <si>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</si>
  <si>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</si>
  <si>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</si>
  <si>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</si>
  <si>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</si>
  <si>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</si>
  <si>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</si>
  <si>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</si>
  <si>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</si>
  <si>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</si>
  <si>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</si>
  <si>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</si>
  <si>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</si>
  <si>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</si>
  <si>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</si>
  <si>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</si>
  <si>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</si>
  <si>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</si>
  <si>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</si>
  <si>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</si>
  <si>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</si>
  <si>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</si>
  <si>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</si>
  <si>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</si>
  <si>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</si>
  <si>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</si>
  <si>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</si>
  <si>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</si>
  <si>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</si>
  <si>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</si>
  <si>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</si>
  <si>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</si>
  <si>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</si>
  <si>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</si>
  <si>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</si>
  <si>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</si>
  <si>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</si>
  <si>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</si>
  <si>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</si>
  <si>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</si>
  <si>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</si>
  <si>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</si>
  <si>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</si>
  <si>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</si>
  <si>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</si>
  <si>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</si>
  <si>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</si>
  <si>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</si>
  <si>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</si>
  <si>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</si>
  <si>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</si>
  <si>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</si>
  <si>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</si>
  <si>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</si>
  <si>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</si>
  <si>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</si>
  <si>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</si>
  <si>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</si>
  <si>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</si>
  <si>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</si>
  <si>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</si>
  <si>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</si>
  <si>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</si>
  <si>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</si>
  <si>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</si>
  <si>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</si>
  <si>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</si>
  <si>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</si>
  <si>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</si>
  <si>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</si>
  <si>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</si>
  <si>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</si>
  <si>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</si>
  <si>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</si>
  <si>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</si>
  <si>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</si>
  <si>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</si>
  <si>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</si>
  <si>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</si>
  <si>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</si>
  <si>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</si>
  <si>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</si>
  <si>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</si>
  <si>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</si>
  <si>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</si>
  <si>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</si>
  <si>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</si>
  <si>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</si>
  <si>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</si>
  <si>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</si>
  <si>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</si>
  <si>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</si>
  <si>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</si>
  <si>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</si>
  <si>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</si>
  <si>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</si>
  <si>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</si>
  <si>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</si>
  <si>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</si>
  <si>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</si>
  <si>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</si>
  <si>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</si>
  <si>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</si>
  <si>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</si>
  <si>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</si>
  <si>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</si>
  <si>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</si>
  <si>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</si>
  <si>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</si>
  <si>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</si>
  <si>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</si>
  <si>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</si>
  <si>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</si>
  <si>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</si>
  <si>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</si>
  <si>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</si>
  <si>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</si>
  <si>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</si>
  <si>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</si>
  <si>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</si>
  <si>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</si>
  <si>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</si>
  <si>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</si>
  <si>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</si>
  <si>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</si>
  <si>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</si>
  <si>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</si>
  <si>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</si>
  <si>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</si>
  <si>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</si>
  <si>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</si>
  <si>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</si>
  <si>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</si>
  <si>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</si>
  <si>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</si>
  <si>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</si>
  <si>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</si>
  <si>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</si>
  <si>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</si>
  <si>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</si>
  <si>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</si>
  <si>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</si>
  <si>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</si>
  <si>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</si>
  <si>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</si>
  <si>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</si>
  <si>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</si>
  <si>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</si>
  <si>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</si>
  <si>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</si>
  <si>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</si>
  <si>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</si>
  <si>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</si>
  <si>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</si>
  <si>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</si>
  <si>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</si>
  <si>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</si>
  <si>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</si>
  <si>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</si>
  <si>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</si>
  <si>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</si>
  <si>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</si>
  <si>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</si>
  <si>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</si>
  <si>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</si>
  <si>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</si>
  <si>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</si>
  <si>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</si>
  <si>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</si>
  <si>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</si>
  <si>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</si>
  <si>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</si>
  <si>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</si>
  <si>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</si>
  <si>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</si>
  <si>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</si>
  <si>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</si>
  <si>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</si>
  <si>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</si>
  <si>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</si>
  <si>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</si>
  <si>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</si>
  <si>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</si>
  <si>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</si>
  <si>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</si>
  <si>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</si>
  <si>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</si>
  <si>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</si>
  <si>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</si>
  <si>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</si>
  <si>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</si>
  <si>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</si>
  <si>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</si>
  <si>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</si>
  <si>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</si>
  <si>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</si>
  <si>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</si>
  <si>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</si>
  <si>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</si>
  <si>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</si>
  <si>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</si>
  <si>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</si>
  <si>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</si>
  <si>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</si>
  <si>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</si>
  <si>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</si>
  <si>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</si>
  <si>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</si>
  <si>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</si>
  <si>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</si>
  <si>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</si>
  <si>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</si>
  <si>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</si>
  <si>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</si>
  <si>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</si>
  <si>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</si>
  <si>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</si>
  <si>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</si>
  <si>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</si>
  <si>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</si>
  <si>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</si>
  <si>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</si>
  <si>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</si>
  <si>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</si>
  <si>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</si>
  <si>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</si>
  <si>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</si>
  <si>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</si>
  <si>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</si>
  <si>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</si>
  <si>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</si>
  <si>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</si>
  <si>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</si>
  <si>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</si>
  <si>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</si>
  <si>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</si>
  <si>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</si>
  <si>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</si>
  <si>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</si>
  <si>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</si>
  <si>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</si>
  <si>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</si>
  <si>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</si>
  <si>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</si>
  <si>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</si>
  <si>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</si>
  <si>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</si>
  <si>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</si>
  <si>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</si>
  <si>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</si>
  <si>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</si>
  <si>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</si>
  <si>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</si>
  <si>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</si>
  <si>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</si>
  <si>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</si>
  <si>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</si>
  <si>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</si>
  <si>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</si>
  <si>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</si>
  <si>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</si>
  <si>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</si>
  <si>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</si>
  <si>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</si>
  <si>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</si>
  <si>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</si>
  <si>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</si>
  <si>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</si>
  <si>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</si>
  <si>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</si>
  <si>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</si>
  <si>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</si>
  <si>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</si>
  <si>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</si>
  <si>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</si>
  <si>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</si>
  <si>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</si>
  <si>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</si>
  <si>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</si>
  <si>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</si>
  <si>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</si>
  <si>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</si>
  <si>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</si>
  <si>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</si>
  <si>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</si>
  <si>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</si>
  <si>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</si>
  <si>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</si>
  <si>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</si>
  <si>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</si>
  <si>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</si>
  <si>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</si>
  <si>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</si>
  <si>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</si>
  <si>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</si>
  <si>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</si>
  <si>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</si>
  <si>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</si>
  <si>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</si>
  <si>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</si>
  <si>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</si>
  <si>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</si>
  <si>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</si>
  <si>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</si>
  <si>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</si>
  <si>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</si>
  <si>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</si>
  <si>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</si>
  <si>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</si>
  <si>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</si>
  <si>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</si>
  <si>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</si>
  <si>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</si>
  <si>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</si>
  <si>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</si>
  <si>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</si>
  <si>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</si>
  <si>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</si>
  <si>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</si>
  <si>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</si>
  <si>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</si>
  <si>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</si>
  <si>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</si>
  <si>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</si>
  <si>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</si>
  <si>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</si>
  <si>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</si>
  <si>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</si>
  <si>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</si>
  <si>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</si>
  <si>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</si>
  <si>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</si>
  <si>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</si>
  <si>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</si>
  <si>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</si>
  <si>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</si>
  <si>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</si>
  <si>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</si>
  <si>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</si>
  <si>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</si>
  <si>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</si>
  <si>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</si>
  <si>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</si>
  <si>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</si>
  <si>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</si>
  <si>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</si>
  <si>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</si>
  <si>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</si>
  <si>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</si>
  <si>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</si>
  <si>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</si>
  <si>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</si>
  <si>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</si>
  <si>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</si>
  <si>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</si>
  <si>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</si>
  <si>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</si>
  <si>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</si>
  <si>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</si>
  <si>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</si>
  <si>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</si>
  <si>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</si>
  <si>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</si>
  <si>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</si>
  <si>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</si>
  <si>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</si>
  <si>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</si>
  <si>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</si>
  <si>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</si>
  <si>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</si>
  <si>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</si>
  <si>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</si>
  <si>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</si>
  <si>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</si>
  <si>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</si>
  <si>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</si>
  <si>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</si>
  <si>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</si>
  <si>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</si>
  <si>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</si>
  <si>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</si>
  <si>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</si>
  <si>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</si>
  <si>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</si>
  <si>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</si>
  <si>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</si>
  <si>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</si>
  <si>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</si>
  <si>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</si>
  <si>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</si>
  <si>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</si>
  <si>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</si>
  <si>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</si>
  <si>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</si>
  <si>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</si>
  <si>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</si>
  <si>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</si>
  <si>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</si>
  <si>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</si>
  <si>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</si>
  <si>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</si>
  <si>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</si>
  <si>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</si>
  <si>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</si>
  <si>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</si>
  <si>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</si>
  <si>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</si>
  <si>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</si>
  <si>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</si>
  <si>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</si>
  <si>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</si>
  <si>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</si>
  <si>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</si>
  <si>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</si>
  <si>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</si>
  <si>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</si>
  <si>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</si>
  <si>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</si>
  <si>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</si>
  <si>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</si>
  <si>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</si>
  <si>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</si>
  <si>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</si>
  <si>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</si>
  <si>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</si>
  <si>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</si>
  <si>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</si>
  <si>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</si>
  <si>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</si>
  <si>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</si>
  <si>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</si>
  <si>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</si>
  <si>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</si>
  <si>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</si>
  <si>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</si>
  <si>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</si>
  <si>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</si>
  <si>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</si>
  <si>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</si>
  <si>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</si>
  <si>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</si>
  <si>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</si>
  <si>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</si>
  <si>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</si>
  <si>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</si>
  <si>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</si>
  <si>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</si>
  <si>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</si>
  <si>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</si>
  <si>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</si>
  <si>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</si>
  <si>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</si>
  <si>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</si>
  <si>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</si>
  <si>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</si>
  <si>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</si>
  <si>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</si>
  <si>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</si>
  <si>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</si>
  <si>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</si>
  <si>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</si>
  <si>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</si>
  <si>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</si>
  <si>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</si>
  <si>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</si>
  <si>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</si>
  <si>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</si>
  <si>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</si>
  <si>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</si>
  <si>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</si>
  <si>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</si>
  <si>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</si>
  <si>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</si>
  <si>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</si>
  <si>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</si>
  <si>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</si>
  <si>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</si>
  <si>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</si>
  <si>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</si>
  <si>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</si>
  <si>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</si>
  <si>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</si>
  <si>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</si>
  <si>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</si>
  <si>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</si>
  <si>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</si>
  <si>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</si>
  <si>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</si>
  <si>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</si>
  <si>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</si>
  <si>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</si>
  <si>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</si>
  <si>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</si>
  <si>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</si>
  <si>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</si>
  <si>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</si>
  <si>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</si>
  <si>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</si>
  <si>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</si>
  <si>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</si>
  <si>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</si>
  <si>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</si>
  <si>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</si>
  <si>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</si>
  <si>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</si>
  <si>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</si>
  <si>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</si>
  <si>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</si>
  <si>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</si>
  <si>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</si>
  <si>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</si>
  <si>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</si>
  <si>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</si>
  <si>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</si>
  <si>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</si>
  <si>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</si>
  <si>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</si>
  <si>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</si>
  <si>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</si>
  <si>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</si>
  <si>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</si>
  <si>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</si>
  <si>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</si>
  <si>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</si>
  <si>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</si>
  <si>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</si>
  <si>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</si>
  <si>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</si>
  <si>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</si>
  <si>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</si>
  <si>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</si>
  <si>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</si>
  <si>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</si>
  <si>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</si>
  <si>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</si>
  <si>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</si>
  <si>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</si>
  <si>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</si>
  <si>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</si>
  <si>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</si>
  <si>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</si>
  <si>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</si>
  <si>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</si>
  <si>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</si>
  <si>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</si>
  <si>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</si>
  <si>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</si>
  <si>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</si>
  <si>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</si>
  <si>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</si>
  <si>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</si>
  <si>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</si>
  <si>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</si>
  <si>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</si>
  <si>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</si>
  <si>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</si>
  <si>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</si>
  <si>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</si>
  <si>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</si>
  <si>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</si>
  <si>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</si>
  <si>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</si>
  <si>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</si>
  <si>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</si>
  <si>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</si>
  <si>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</si>
  <si>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</si>
  <si>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</si>
  <si>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</si>
  <si>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</si>
  <si>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</si>
  <si>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</si>
  <si>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</si>
  <si>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</si>
  <si>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</si>
  <si>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</si>
  <si>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</si>
  <si>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</si>
  <si>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</si>
  <si>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</si>
  <si>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</si>
  <si>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</si>
  <si>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</si>
  <si>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</si>
  <si>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</si>
  <si>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</si>
  <si>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</si>
  <si>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</si>
  <si>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</si>
  <si>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</si>
  <si>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</si>
  <si>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</si>
  <si>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</si>
  <si>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</si>
  <si>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</si>
  <si>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</si>
  <si>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</si>
  <si>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</si>
  <si>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</si>
  <si>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</si>
  <si>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</si>
  <si>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</si>
  <si>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</si>
  <si>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</si>
  <si>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</si>
  <si>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</si>
  <si>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</si>
  <si>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</si>
  <si>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</si>
  <si>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</si>
  <si>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</si>
  <si>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</si>
  <si>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</si>
  <si>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</si>
  <si>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</si>
  <si>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</si>
  <si>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</si>
  <si>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</si>
  <si>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</si>
  <si>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</si>
  <si>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</si>
  <si>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</si>
  <si>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</si>
  <si>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</si>
  <si>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</si>
  <si>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</si>
  <si>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</si>
  <si>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</si>
  <si>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</si>
  <si>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</si>
  <si>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</si>
  <si>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</si>
  <si>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</si>
  <si>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</si>
  <si>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</si>
  <si>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</si>
  <si>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</si>
  <si>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</si>
  <si>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</si>
  <si>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</si>
  <si>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</si>
  <si>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</si>
  <si>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</si>
  <si>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</si>
  <si>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</si>
  <si>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</si>
  <si>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</si>
  <si>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</si>
  <si>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</si>
  <si>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</si>
  <si>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</si>
  <si>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</si>
  <si>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</si>
  <si>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</si>
  <si>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</si>
  <si>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</si>
  <si>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</si>
  <si>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</si>
  <si>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</si>
  <si>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</si>
  <si>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</si>
  <si>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</si>
  <si>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</si>
  <si>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</si>
  <si>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</si>
  <si>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</si>
  <si>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</si>
  <si>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</si>
  <si>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</si>
  <si>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</si>
  <si>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</si>
  <si>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</si>
  <si>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</si>
  <si>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</si>
  <si>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</si>
  <si>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</si>
  <si>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</si>
  <si>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</si>
  <si>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</si>
  <si>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</si>
  <si>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</si>
  <si>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</si>
  <si>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</si>
  <si>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</si>
  <si>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</si>
  <si>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</si>
  <si>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</si>
  <si>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</si>
  <si>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</si>
  <si>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</si>
  <si>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</si>
  <si>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</si>
  <si>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</si>
  <si>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</si>
  <si>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</si>
  <si>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</si>
  <si>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</si>
  <si>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</si>
  <si>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</si>
  <si>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</si>
  <si>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</si>
  <si>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</si>
  <si>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</si>
  <si>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</si>
  <si>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</si>
  <si>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</si>
  <si>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</si>
  <si>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</si>
  <si>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</si>
  <si>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</si>
  <si>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</si>
  <si>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</si>
  <si>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</si>
  <si>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</si>
  <si>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</si>
  <si>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</si>
  <si>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</si>
  <si>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</si>
  <si>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</si>
  <si>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</si>
  <si>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</si>
  <si>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</si>
  <si>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</si>
  <si>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</si>
  <si>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</si>
  <si>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</si>
  <si>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</si>
  <si>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</si>
  <si>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</si>
  <si>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</si>
  <si>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</si>
  <si>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</si>
  <si>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</si>
  <si>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</si>
  <si>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</si>
  <si>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</si>
  <si>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</si>
  <si>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</si>
  <si>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</si>
  <si>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</si>
  <si>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</si>
  <si>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</si>
  <si>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</si>
  <si>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</si>
  <si>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</si>
  <si>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</si>
  <si>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</si>
  <si>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</si>
  <si>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</si>
  <si>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</si>
  <si>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</si>
  <si>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</si>
  <si>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</si>
  <si>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</si>
  <si>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</si>
  <si>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</si>
  <si>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</si>
  <si>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</si>
  <si>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</si>
  <si>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</si>
  <si>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</si>
  <si>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</si>
  <si>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</si>
  <si>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</si>
  <si>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</si>
  <si>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</si>
  <si>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</si>
  <si>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</si>
  <si>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</si>
  <si>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</si>
  <si>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</si>
  <si>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</si>
  <si>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</si>
  <si>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</si>
  <si>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</si>
  <si>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</si>
  <si>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</si>
  <si>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</si>
  <si>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</si>
  <si>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</si>
  <si>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</si>
  <si>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</si>
  <si>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</si>
  <si>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</si>
  <si>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</si>
  <si>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</si>
  <si>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</si>
  <si>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</si>
  <si>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</si>
  <si>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</si>
  <si>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</si>
  <si>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</si>
  <si>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</si>
  <si>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</si>
  <si>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</si>
  <si>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</si>
  <si>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</si>
  <si>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</si>
  <si>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</si>
  <si>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</si>
  <si>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</si>
  <si>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</si>
  <si>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</si>
  <si>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</si>
  <si>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</si>
  <si>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</si>
  <si>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</si>
  <si>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</si>
  <si>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</si>
  <si>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</si>
  <si>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</si>
  <si>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</si>
  <si>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</si>
  <si>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</si>
  <si>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</si>
  <si>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</si>
  <si>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</si>
  <si>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</si>
  <si>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</si>
  <si>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</si>
  <si>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</si>
  <si>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</si>
  <si>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</si>
  <si>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</si>
  <si>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</si>
  <si>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</si>
  <si>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</si>
  <si>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</si>
  <si>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</si>
  <si>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</si>
  <si>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</si>
  <si>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</si>
  <si>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</si>
  <si>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</si>
  <si>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</si>
  <si>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</si>
  <si>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</si>
  <si>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</si>
  <si>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</si>
  <si>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</si>
  <si>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</si>
  <si>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</si>
  <si>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</si>
  <si>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</si>
  <si>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</si>
  <si>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</si>
  <si>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</si>
  <si>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</si>
  <si>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</si>
  <si>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</si>
  <si>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</si>
  <si>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</si>
  <si>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</si>
  <si>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</si>
  <si>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</si>
  <si>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</si>
  <si>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</si>
  <si>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</si>
  <si>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</si>
  <si>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</si>
  <si>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</si>
  <si>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</si>
  <si>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</si>
  <si>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</si>
  <si>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</si>
  <si>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</si>
  <si>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</si>
  <si>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</si>
  <si>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</si>
  <si>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</si>
  <si>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</si>
  <si>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</si>
  <si>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</si>
  <si>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</si>
  <si>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</si>
  <si>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</si>
  <si>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</si>
  <si>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</si>
  <si>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</si>
  <si>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</si>
  <si>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</si>
  <si>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</si>
  <si>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</si>
  <si>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</si>
  <si>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</si>
  <si>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</si>
  <si>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</si>
  <si>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</si>
  <si>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</si>
  <si>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</si>
  <si>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</si>
  <si>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</si>
  <si>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</si>
  <si>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</si>
  <si>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</si>
  <si>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</si>
  <si>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</si>
  <si>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</si>
  <si>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</si>
  <si>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</si>
  <si>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</si>
  <si>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</si>
  <si>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</si>
  <si>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</si>
  <si>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</si>
  <si>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</si>
  <si>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</si>
  <si>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</si>
  <si>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</si>
  <si>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</si>
  <si>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</si>
  <si>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</si>
  <si>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</si>
  <si>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</si>
  <si>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</si>
  <si>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</si>
  <si>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</si>
  <si>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</si>
  <si>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</si>
  <si>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</si>
  <si>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</si>
  <si>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</si>
  <si>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</si>
  <si>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</si>
  <si>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</si>
  <si>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</si>
  <si>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</si>
  <si>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</si>
  <si>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</si>
  <si>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</si>
  <si>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</si>
  <si>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</si>
  <si>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</si>
  <si>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</si>
  <si>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</si>
  <si>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</si>
  <si>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</si>
  <si>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</si>
  <si>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</si>
  <si>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</si>
  <si>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</si>
  <si>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</si>
  <si>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</si>
  <si>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</si>
  <si>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</si>
  <si>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</si>
  <si>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</si>
  <si>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</si>
  <si>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</si>
  <si>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</si>
  <si>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</si>
  <si>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</si>
  <si>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</si>
  <si>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</si>
  <si>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</si>
  <si>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</si>
  <si>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</si>
  <si>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</si>
  <si>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</si>
  <si>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</si>
  <si>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</si>
  <si>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</si>
  <si>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</si>
  <si>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</si>
  <si>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</si>
  <si>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</si>
  <si>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</si>
  <si>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</si>
  <si>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</si>
  <si>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</si>
  <si>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</si>
  <si>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</si>
  <si>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</si>
  <si>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</si>
  <si>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</si>
  <si>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</si>
  <si>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</si>
  <si>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</si>
  <si>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</si>
  <si>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</si>
  <si>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</si>
  <si>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</si>
  <si>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</si>
  <si>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</si>
  <si>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</si>
  <si>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</si>
  <si>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</si>
  <si>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</si>
  <si>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</si>
  <si>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</si>
  <si>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</si>
  <si>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</si>
  <si>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</si>
  <si>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</si>
  <si>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</si>
  <si>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</si>
  <si>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</si>
  <si>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</si>
  <si>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</si>
  <si>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</si>
  <si>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</si>
  <si>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</si>
  <si>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</si>
  <si>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</si>
  <si>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</si>
  <si>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</si>
  <si>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</si>
  <si>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</si>
  <si>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</si>
  <si>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</si>
  <si>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</si>
  <si>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</si>
  <si>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</si>
  <si>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</si>
  <si>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</si>
  <si>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</si>
  <si>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</si>
  <si>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</si>
  <si>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</si>
  <si>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</si>
  <si>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</si>
  <si>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</si>
  <si>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</si>
  <si>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</si>
  <si>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</si>
  <si>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</si>
  <si>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</si>
  <si>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</si>
  <si>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</si>
  <si>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</si>
  <si>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</si>
  <si>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</si>
  <si>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</si>
  <si>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</si>
  <si>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</si>
  <si>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</si>
  <si>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</si>
  <si>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</si>
  <si>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</si>
  <si>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</si>
  <si>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</si>
  <si>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</si>
  <si>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</si>
  <si>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</si>
  <si>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</si>
  <si>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</si>
  <si>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</si>
  <si>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</si>
  <si>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</si>
  <si>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</si>
  <si>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</si>
  <si>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</si>
  <si>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</si>
  <si>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</si>
  <si>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</si>
  <si>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</si>
  <si>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</si>
  <si>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</si>
  <si>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</si>
  <si>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</si>
  <si>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</si>
  <si>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</si>
  <si>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</si>
  <si>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</si>
  <si>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</si>
  <si>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</si>
  <si>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</si>
  <si>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</si>
  <si>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</si>
  <si>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</si>
  <si>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</si>
  <si>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</si>
  <si>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</si>
  <si>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</si>
  <si>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</si>
  <si>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</si>
  <si>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</si>
  <si>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</si>
  <si>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</si>
  <si>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</si>
  <si>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</si>
  <si>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</si>
  <si>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</si>
  <si>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</si>
  <si>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</si>
  <si>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</si>
  <si>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</si>
  <si>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</si>
  <si>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</si>
  <si>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</si>
  <si>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</si>
  <si>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</si>
  <si>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</si>
  <si>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</si>
  <si>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</si>
  <si>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</si>
  <si>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</si>
  <si>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</si>
  <si>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</si>
  <si>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</si>
  <si>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</si>
  <si>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</si>
  <si>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</si>
  <si>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</si>
  <si>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</si>
  <si>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</si>
  <si>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</si>
  <si>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</si>
  <si>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</si>
  <si>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</si>
  <si>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</si>
  <si>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</si>
  <si>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</si>
  <si>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</si>
  <si>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</si>
  <si>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</si>
  <si>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</si>
  <si>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</si>
  <si>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</si>
  <si>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</si>
  <si>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</si>
  <si>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</si>
  <si>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</si>
  <si>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</si>
  <si>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</si>
  <si>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</si>
  <si>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</si>
  <si>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</si>
  <si>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</si>
  <si>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</si>
  <si>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</si>
  <si>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</si>
  <si>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</si>
  <si>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</si>
  <si>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</si>
  <si>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</si>
  <si>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</si>
  <si>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</si>
  <si>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</si>
  <si>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</si>
  <si>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</si>
  <si>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</si>
  <si>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</si>
  <si>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</si>
  <si>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</si>
  <si>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</si>
  <si>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</si>
  <si>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</si>
  <si>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</si>
  <si>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</si>
  <si>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</si>
  <si>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</si>
  <si>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</si>
  <si>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</si>
  <si>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</si>
  <si>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</si>
  <si>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</si>
  <si>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</si>
  <si>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</si>
  <si>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</si>
  <si>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</si>
  <si>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</si>
  <si>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</si>
  <si>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</si>
  <si>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</si>
  <si>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</si>
  <si>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</si>
  <si>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</si>
  <si>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</si>
  <si>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</si>
  <si>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</si>
  <si>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</si>
  <si>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</si>
  <si>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</si>
  <si>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</si>
  <si>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</si>
  <si>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</si>
  <si>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</si>
  <si>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</si>
  <si>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</si>
  <si>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</si>
  <si>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</si>
  <si>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</si>
  <si>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</si>
  <si>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</si>
  <si>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</si>
  <si>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</si>
  <si>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</si>
  <si>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</si>
  <si>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</si>
  <si>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</si>
  <si>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</si>
  <si>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</si>
  <si>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</si>
  <si>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</si>
  <si>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</si>
  <si>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</si>
  <si>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</si>
  <si>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</si>
  <si>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</si>
  <si>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</si>
  <si>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</si>
  <si>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</si>
  <si>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</si>
  <si>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</si>
  <si>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</si>
  <si>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</si>
  <si>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</si>
  <si>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</si>
  <si>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</si>
  <si>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</si>
  <si>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</si>
  <si>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</si>
  <si>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</si>
  <si>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</si>
  <si>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</si>
  <si>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</si>
  <si>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</si>
  <si>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</si>
  <si>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</si>
  <si>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</si>
  <si>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</si>
  <si>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</si>
  <si>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</si>
  <si>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</si>
  <si>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</si>
  <si>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</si>
  <si>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</si>
  <si>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</si>
  <si>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</si>
  <si>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</si>
  <si>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</si>
  <si>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</si>
  <si>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</si>
  <si>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</si>
  <si>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</si>
  <si>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</si>
  <si>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</si>
  <si>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</si>
  <si>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</si>
  <si>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</si>
  <si>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</si>
  <si>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</si>
  <si>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</si>
  <si>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</si>
  <si>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</si>
  <si>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</si>
  <si>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</si>
  <si>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</si>
  <si>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</si>
  <si>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</si>
  <si>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</si>
  <si>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</si>
  <si>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</si>
  <si>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</si>
  <si>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</si>
  <si>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</si>
  <si>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</si>
  <si>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</si>
  <si>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</si>
  <si>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</si>
  <si>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</si>
  <si>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</si>
  <si>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</si>
  <si>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</si>
  <si>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</si>
  <si>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</si>
  <si>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</si>
  <si>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</si>
  <si>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</si>
  <si>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</si>
  <si>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</si>
  <si>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</si>
  <si>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</si>
  <si>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</si>
  <si>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</si>
  <si>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</si>
  <si>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</si>
  <si>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</si>
  <si>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</si>
  <si>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</si>
  <si>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</si>
  <si>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</si>
  <si>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</si>
  <si>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</si>
  <si>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</si>
  <si>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</si>
  <si>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</si>
  <si>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</si>
  <si>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</si>
  <si>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</si>
  <si>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</si>
  <si>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</si>
  <si>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</si>
  <si>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</si>
  <si>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</si>
  <si>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</si>
  <si>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</si>
  <si>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</si>
  <si>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</si>
  <si>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</si>
  <si>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</si>
  <si>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</si>
  <si>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</si>
  <si>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</si>
  <si>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</si>
  <si>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</si>
  <si>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</si>
  <si>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</si>
  <si>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</si>
  <si>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</si>
  <si>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</si>
  <si>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</si>
  <si>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</si>
  <si>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</si>
  <si>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</si>
  <si>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</si>
  <si>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</si>
  <si>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</si>
  <si>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</si>
  <si>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</si>
  <si>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</si>
  <si>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</si>
  <si>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</si>
  <si>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</si>
  <si>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</si>
  <si>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</si>
  <si>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</si>
  <si>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</si>
  <si>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</si>
  <si>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</si>
  <si>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</si>
  <si>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</si>
  <si>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</si>
  <si>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</si>
  <si>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</si>
  <si>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</si>
  <si>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</si>
  <si>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</si>
  <si>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</si>
  <si>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</si>
  <si>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</si>
  <si>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</si>
  <si>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</si>
  <si>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</si>
  <si>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</si>
  <si>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</si>
  <si>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</si>
  <si>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</si>
  <si>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</si>
  <si>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</si>
  <si>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</si>
  <si>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</si>
  <si>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</si>
  <si>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</si>
  <si>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</si>
  <si>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</si>
  <si>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</si>
  <si>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</si>
  <si>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</si>
  <si>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</si>
  <si>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</si>
  <si>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</si>
  <si>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</si>
  <si>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</si>
  <si>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</si>
  <si>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</si>
  <si>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</si>
  <si>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</si>
  <si>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</si>
  <si>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</si>
  <si>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</si>
  <si>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</si>
  <si>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</si>
  <si>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</si>
  <si>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</si>
  <si>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</si>
  <si>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</si>
  <si>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</si>
  <si>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</si>
  <si>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</si>
  <si>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</si>
  <si>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</si>
  <si>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</si>
  <si>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</si>
  <si>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</si>
  <si>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</si>
  <si>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</si>
  <si>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</si>
  <si>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</si>
  <si>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</si>
  <si>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</si>
  <si>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</si>
  <si>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</si>
  <si>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</si>
  <si>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</si>
  <si>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</si>
  <si>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</si>
  <si>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</si>
  <si>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</si>
  <si>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</si>
  <si>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</si>
  <si>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</si>
  <si>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</si>
  <si>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</si>
  <si>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</si>
  <si>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</si>
  <si>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</si>
  <si>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</si>
  <si>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</si>
  <si>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</si>
  <si>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</si>
  <si>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</si>
  <si>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</si>
  <si>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</si>
  <si>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</si>
  <si>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</si>
  <si>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</si>
  <si>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</si>
  <si>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</si>
  <si>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</si>
  <si>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</si>
  <si>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</si>
  <si>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</si>
  <si>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</si>
  <si>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</si>
  <si>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</si>
  <si>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</si>
  <si>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</si>
  <si>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</si>
  <si>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</si>
  <si>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</si>
  <si>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</si>
  <si>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</si>
  <si>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</si>
  <si>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</si>
  <si>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</si>
  <si>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</si>
  <si>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</si>
  <si>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</si>
  <si>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</si>
  <si>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</si>
  <si>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</si>
  <si>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</si>
  <si>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</si>
  <si>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</si>
  <si>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</si>
  <si>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</si>
  <si>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</si>
  <si>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</si>
  <si>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</si>
  <si>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</si>
  <si>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</si>
  <si>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</si>
  <si>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</si>
  <si>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</si>
  <si>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</si>
  <si>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</si>
  <si>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</si>
  <si>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</si>
  <si>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</si>
  <si>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</si>
  <si>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</si>
  <si>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</si>
  <si>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</si>
  <si>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</si>
  <si>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</si>
  <si>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</si>
  <si>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</si>
  <si>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</si>
  <si>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</si>
  <si>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</si>
  <si>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</si>
  <si>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</si>
  <si>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</si>
  <si>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</si>
  <si>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</si>
  <si>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</si>
  <si>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</si>
  <si>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</si>
  <si>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</si>
  <si>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</si>
  <si>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</si>
  <si>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</si>
  <si>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</si>
  <si>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</si>
  <si>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</si>
  <si>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</si>
  <si>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</si>
  <si>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</si>
  <si>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</si>
  <si>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</si>
  <si>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</si>
  <si>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</si>
  <si>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</si>
  <si>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</si>
  <si>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</si>
  <si>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</si>
  <si>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</si>
  <si>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</si>
  <si>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</si>
  <si>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</si>
  <si>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</si>
  <si>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</si>
  <si>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</si>
  <si>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</si>
  <si>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</si>
  <si>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</si>
  <si>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</si>
  <si>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</si>
  <si>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</si>
  <si>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</si>
  <si>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</si>
  <si>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</si>
  <si>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</si>
  <si>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</si>
  <si>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</si>
  <si>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</si>
  <si>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</si>
  <si>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</si>
  <si>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</si>
  <si>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</si>
  <si>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</si>
  <si>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</si>
  <si>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</si>
  <si>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</si>
  <si>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</si>
  <si>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</si>
  <si>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</si>
  <si>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</si>
  <si>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</si>
  <si>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</si>
  <si>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</si>
  <si>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</si>
  <si>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</si>
  <si>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</si>
  <si>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</si>
  <si>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</si>
  <si>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</si>
  <si>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</si>
  <si>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</si>
  <si>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</si>
  <si>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</si>
  <si>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</si>
  <si>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</si>
  <si>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</si>
  <si>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</si>
  <si>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</si>
  <si>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</si>
  <si>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</si>
  <si>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</si>
  <si>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</si>
  <si>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</si>
  <si>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</si>
  <si>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</si>
  <si>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</si>
  <si>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</si>
  <si>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</si>
  <si>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</si>
  <si>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</si>
  <si>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</si>
  <si>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</si>
  <si>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</si>
  <si>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</si>
  <si>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</si>
  <si>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</si>
  <si>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</si>
  <si>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</si>
  <si>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</si>
  <si>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</si>
  <si>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</si>
  <si>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</si>
  <si>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</si>
  <si>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</si>
  <si>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</si>
  <si>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</si>
  <si>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</si>
  <si>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</si>
  <si>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</si>
  <si>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</si>
  <si>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</si>
  <si>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</si>
  <si>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</si>
  <si>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</si>
  <si>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</si>
  <si>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</si>
  <si>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</si>
  <si>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</si>
  <si>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</si>
  <si>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</si>
  <si>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</si>
  <si>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</si>
  <si>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</si>
  <si>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</si>
  <si>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</si>
  <si>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</si>
  <si>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</si>
  <si>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</si>
  <si>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</si>
  <si>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</si>
  <si>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</si>
  <si>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</si>
  <si>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</si>
  <si>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</si>
  <si>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</si>
  <si>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</si>
  <si>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</si>
  <si>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</si>
  <si>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</si>
  <si>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</si>
  <si>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</si>
  <si>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</si>
  <si>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</si>
  <si>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</si>
  <si>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</si>
  <si>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</si>
  <si>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</si>
  <si>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</si>
  <si>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</si>
  <si>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</si>
  <si>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</si>
  <si>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</si>
  <si>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</si>
  <si>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</si>
  <si>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</si>
  <si>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</si>
  <si>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</si>
  <si>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</si>
  <si>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</si>
  <si>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</si>
  <si>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</si>
  <si>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</si>
  <si>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</si>
  <si>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</si>
  <si>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</si>
  <si>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</si>
  <si>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</si>
  <si>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</si>
  <si>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</si>
  <si>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</si>
  <si>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</si>
  <si>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</si>
  <si>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</si>
  <si>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</si>
  <si>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</si>
  <si>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</si>
  <si>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</si>
  <si>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</si>
  <si>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</si>
  <si>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</si>
  <si>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</si>
  <si>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</si>
  <si>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</si>
  <si>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</si>
  <si>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</si>
  <si>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</si>
  <si>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</si>
  <si>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</si>
  <si>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</si>
  <si>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</si>
  <si>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</si>
  <si>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</si>
  <si>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</si>
  <si>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</si>
  <si>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</si>
  <si>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</si>
  <si>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</si>
  <si>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</si>
  <si>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</si>
  <si>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</si>
  <si>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</si>
  <si>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</si>
  <si>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</si>
  <si>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</si>
  <si>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</si>
  <si>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</si>
  <si>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</si>
  <si>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</si>
  <si>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</si>
  <si>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</si>
  <si>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</si>
  <si>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</si>
  <si>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</si>
  <si>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</si>
  <si>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</si>
  <si>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</si>
  <si>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</si>
  <si>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</si>
  <si>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</si>
  <si>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</si>
  <si>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</si>
  <si>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</si>
  <si>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</si>
  <si>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</si>
  <si>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</si>
  <si>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</si>
  <si>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</si>
  <si>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</si>
  <si>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</si>
  <si>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</si>
  <si>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</si>
  <si>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</si>
  <si>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</si>
  <si>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</si>
  <si>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</si>
  <si>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</si>
  <si>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</si>
  <si>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</si>
  <si>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</si>
  <si>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</si>
  <si>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</si>
  <si>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</si>
  <si>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</si>
  <si>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</si>
  <si>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</si>
  <si>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</si>
  <si>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</si>
  <si>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</si>
  <si>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</si>
  <si>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</si>
  <si>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</si>
  <si>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</si>
  <si>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</si>
  <si>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</si>
  <si>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</si>
  <si>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</si>
  <si>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</si>
  <si>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</si>
  <si>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</si>
  <si>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</si>
  <si>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</si>
  <si>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</si>
  <si>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</si>
  <si>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</si>
  <si>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</si>
  <si>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</si>
  <si>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</si>
  <si>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</si>
  <si>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</si>
  <si>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</si>
  <si>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</si>
  <si>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</si>
  <si>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</si>
  <si>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</si>
  <si>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</si>
  <si>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</si>
  <si>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</si>
  <si>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</si>
  <si>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</si>
  <si>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</si>
  <si>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</si>
  <si>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</si>
  <si>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</si>
  <si>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</si>
  <si>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</si>
  <si>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</si>
  <si>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</si>
  <si>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</si>
  <si>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</si>
  <si>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</si>
  <si>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</si>
  <si>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</si>
  <si>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</si>
  <si>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</si>
  <si>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</si>
  <si>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</si>
  <si>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</si>
  <si>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</si>
  <si>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</si>
  <si>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</si>
  <si>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</si>
  <si>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</si>
  <si>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</si>
  <si>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</si>
  <si>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</si>
  <si>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</si>
  <si>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</si>
  <si>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</si>
  <si>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</si>
  <si>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</si>
  <si>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</si>
  <si>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</si>
  <si>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</si>
  <si>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</si>
  <si>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</si>
  <si>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</si>
  <si>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</si>
  <si>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</si>
  <si>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</si>
  <si>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</si>
  <si>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</si>
  <si>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</si>
  <si>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</si>
  <si>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</si>
  <si>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</si>
  <si>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</si>
  <si>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</si>
  <si>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</si>
  <si>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</si>
  <si>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</si>
  <si>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</si>
  <si>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</si>
  <si>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</si>
  <si>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</si>
  <si>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</si>
  <si>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</si>
  <si>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</si>
  <si>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</si>
  <si>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</si>
  <si>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</si>
  <si>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</si>
  <si>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</si>
  <si>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</si>
  <si>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</si>
  <si>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</si>
  <si>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</si>
  <si>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</si>
  <si>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</si>
  <si>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</si>
  <si>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</si>
  <si>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</si>
  <si>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</si>
  <si>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</si>
  <si>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</si>
  <si>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</si>
  <si>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</si>
  <si>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</si>
  <si>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</si>
  <si>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</si>
  <si>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</si>
  <si>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</si>
  <si>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</si>
  <si>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</si>
  <si>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</si>
  <si>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</si>
  <si>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</si>
  <si>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</si>
  <si>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</si>
  <si>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</si>
  <si>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</si>
  <si>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</si>
  <si>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</si>
  <si>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</si>
  <si>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</si>
  <si>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</si>
  <si>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</si>
  <si>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</si>
  <si>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</si>
  <si>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</si>
  <si>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</si>
  <si>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</si>
  <si>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</si>
  <si>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</si>
  <si>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</si>
  <si>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</si>
  <si>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</si>
  <si>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</si>
  <si>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</si>
  <si>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</si>
  <si>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</si>
  <si>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</si>
  <si>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</si>
  <si>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</si>
  <si>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</si>
  <si>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</si>
  <si>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</si>
  <si>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</si>
  <si>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</si>
  <si>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</si>
  <si>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</si>
  <si>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</si>
  <si>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</si>
  <si>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</si>
  <si>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</si>
  <si>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</si>
  <si>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</si>
  <si>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</si>
  <si>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</si>
  <si>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</si>
  <si>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</si>
  <si>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</si>
  <si>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</si>
  <si>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</si>
  <si>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</si>
  <si>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</si>
  <si>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</si>
  <si>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</si>
  <si>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</si>
  <si>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</si>
  <si>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</si>
  <si>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</si>
  <si>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</si>
  <si>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</si>
  <si>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</si>
  <si>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</si>
  <si>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</si>
  <si>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</si>
  <si>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</si>
  <si>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</si>
  <si>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</si>
  <si>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</si>
  <si>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</si>
  <si>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</si>
  <si>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</si>
  <si>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</si>
  <si>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</si>
  <si>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</si>
  <si>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</si>
  <si>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</si>
  <si>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</si>
  <si>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</si>
  <si>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</si>
  <si>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</si>
  <si>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</si>
  <si>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</si>
  <si>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</si>
  <si>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</si>
  <si>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</si>
  <si>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</si>
  <si>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</si>
  <si>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</si>
  <si>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</si>
  <si>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</si>
  <si>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</si>
  <si>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</si>
  <si>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</si>
  <si>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</si>
  <si>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</si>
  <si>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</si>
  <si>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</si>
  <si>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</si>
  <si>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</si>
  <si>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</si>
  <si>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</si>
  <si>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</si>
  <si>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</si>
  <si>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</si>
  <si>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</si>
  <si>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</si>
  <si>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</si>
  <si>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</si>
  <si>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</si>
  <si>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</si>
  <si>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</si>
  <si>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</si>
  <si>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</si>
  <si>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</si>
  <si>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</si>
  <si>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</si>
  <si>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</si>
  <si>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</si>
  <si>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</si>
  <si>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</si>
  <si>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</si>
  <si>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</si>
  <si>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</si>
  <si>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</si>
  <si>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</si>
  <si>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</si>
  <si>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</si>
  <si>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</si>
  <si>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</si>
  <si>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</si>
  <si>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</si>
  <si>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</si>
  <si>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</si>
  <si>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</si>
  <si>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</si>
  <si>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</si>
  <si>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</si>
  <si>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</si>
  <si>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</si>
  <si>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</si>
  <si>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</si>
  <si>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</si>
  <si>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</si>
  <si>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</si>
  <si>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</si>
  <si>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</si>
  <si>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</si>
  <si>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</si>
  <si>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</si>
  <si>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</si>
  <si>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</si>
  <si>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</si>
  <si>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</si>
  <si>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</si>
  <si>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</si>
  <si>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</si>
  <si>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</si>
  <si>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</si>
  <si>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</si>
  <si>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</si>
  <si>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</si>
  <si>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</si>
  <si>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</si>
  <si>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</si>
  <si>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</si>
  <si>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</si>
  <si>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</si>
  <si>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</si>
  <si>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</si>
  <si>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</si>
  <si>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</si>
  <si>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</si>
  <si>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</si>
  <si>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</si>
  <si>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</si>
  <si>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</si>
  <si>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</si>
  <si>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</si>
  <si>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</si>
  <si>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</si>
  <si>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</si>
  <si>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</si>
  <si>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</si>
  <si>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</si>
  <si>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</si>
  <si>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</si>
  <si>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</si>
  <si>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</si>
  <si>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</si>
  <si>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</si>
  <si>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</si>
  <si>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</si>
  <si>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</si>
  <si>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</si>
  <si>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</si>
  <si>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</si>
  <si>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</si>
  <si>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</si>
  <si>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</si>
  <si>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</si>
  <si>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</si>
  <si>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</si>
  <si>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</si>
  <si>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</si>
  <si>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</si>
  <si>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</si>
  <si>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</si>
  <si>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</si>
  <si>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</si>
  <si>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</si>
  <si>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</si>
  <si>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</si>
  <si>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</si>
  <si>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</si>
  <si>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</si>
  <si>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</si>
  <si>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</si>
  <si>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</si>
  <si>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</si>
  <si>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</si>
  <si>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</si>
  <si>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</si>
  <si>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</si>
  <si>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</si>
  <si>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</si>
  <si>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</si>
  <si>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</si>
  <si>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</si>
  <si>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</si>
  <si>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</si>
  <si>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</si>
  <si>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</si>
  <si>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</si>
  <si>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</si>
  <si>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</si>
  <si>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</si>
  <si>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</si>
  <si>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</si>
  <si>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</si>
  <si>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</si>
  <si>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</si>
  <si>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</si>
  <si>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</si>
  <si>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</si>
  <si>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</si>
  <si>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</si>
  <si>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</si>
  <si>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</si>
  <si>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</si>
  <si>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</si>
  <si>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</si>
  <si>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</si>
  <si>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</si>
  <si>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</si>
  <si>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</si>
  <si>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</si>
  <si>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</si>
  <si>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</si>
  <si>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</si>
  <si>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</si>
  <si>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</si>
  <si>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</si>
  <si>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</si>
  <si>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</si>
  <si>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</si>
  <si>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</si>
  <si>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</si>
  <si>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</si>
  <si>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</si>
  <si>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</si>
  <si>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</si>
  <si>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</si>
  <si>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</si>
  <si>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</si>
  <si>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</si>
  <si>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</si>
  <si>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</si>
  <si>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</si>
  <si>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</si>
  <si>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</si>
  <si>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</si>
  <si>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</si>
  <si>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</si>
  <si>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</si>
  <si>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</si>
  <si>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</si>
  <si>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</si>
  <si>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</si>
  <si>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</si>
  <si>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</si>
  <si>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</si>
  <si>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</si>
  <si>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</si>
  <si>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</si>
  <si>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</si>
  <si>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</si>
  <si>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</si>
  <si>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</si>
  <si>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</si>
  <si>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</si>
  <si>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</si>
  <si>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</si>
  <si>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</si>
  <si>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</si>
  <si>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</si>
  <si>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</si>
  <si>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</si>
  <si>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</si>
  <si>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</si>
  <si>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</si>
  <si>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</si>
  <si>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</si>
  <si>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</si>
  <si>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</si>
  <si>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</si>
  <si>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</si>
  <si>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</si>
  <si>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</si>
  <si>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</si>
  <si>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</si>
  <si>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</si>
  <si>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</si>
  <si>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</si>
  <si>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</si>
  <si>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</si>
  <si>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</si>
  <si>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</si>
  <si>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</si>
  <si>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</si>
  <si>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</si>
  <si>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</si>
  <si>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</si>
  <si>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</si>
  <si>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</si>
  <si>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</si>
  <si>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</si>
  <si>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</si>
  <si>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</si>
  <si>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</si>
  <si>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</si>
  <si>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</si>
  <si>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</si>
  <si>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</si>
  <si>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</si>
  <si>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</si>
  <si>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</si>
  <si>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</si>
  <si>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</si>
  <si>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</si>
  <si>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</si>
  <si>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</si>
  <si>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</si>
  <si>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</si>
  <si>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</si>
  <si>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</si>
  <si>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</si>
  <si>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</si>
  <si>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</si>
  <si>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</si>
  <si>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</si>
  <si>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</si>
  <si>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</si>
  <si>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</si>
  <si>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</si>
  <si>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</si>
  <si>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</si>
  <si>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</si>
  <si>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</si>
  <si>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</si>
  <si>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</si>
  <si>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</si>
  <si>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</si>
  <si>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</si>
  <si>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</si>
  <si>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</si>
  <si>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</si>
  <si>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</si>
  <si>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</si>
  <si>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</si>
  <si>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</si>
  <si>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</si>
  <si>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</si>
  <si>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</si>
  <si>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</si>
  <si>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</si>
  <si>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</si>
  <si>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</si>
  <si>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</si>
  <si>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</si>
  <si>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</si>
  <si>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</si>
  <si>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</si>
  <si>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</si>
  <si>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</si>
  <si>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</si>
  <si>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</si>
  <si>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</si>
  <si>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</si>
  <si>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</si>
  <si>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</si>
  <si>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</si>
  <si>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</si>
  <si>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</si>
  <si>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</si>
  <si>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</si>
  <si>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</si>
  <si>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</si>
  <si>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</si>
  <si>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</si>
  <si>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</si>
  <si>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</si>
  <si>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</si>
  <si>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</si>
  <si>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</si>
  <si>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</si>
  <si>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</si>
  <si>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</si>
  <si>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</si>
  <si>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</si>
  <si>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</si>
  <si>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</si>
  <si>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</si>
  <si>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</si>
  <si>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</si>
  <si>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</si>
  <si>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</si>
  <si>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</si>
  <si>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</si>
  <si>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</si>
  <si>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</si>
  <si>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</si>
  <si>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</si>
  <si>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</si>
  <si>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</si>
  <si>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</si>
  <si>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</si>
  <si>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</si>
  <si>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</si>
  <si>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</si>
  <si>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</si>
  <si>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</si>
  <si>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</si>
  <si>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</si>
  <si>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</si>
  <si>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</si>
  <si>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</si>
  <si>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</si>
  <si>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</si>
  <si>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</si>
  <si>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</si>
  <si>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</si>
  <si>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</si>
  <si>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</si>
  <si>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</si>
  <si>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</si>
  <si>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</si>
  <si>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</si>
  <si>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</si>
  <si>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</si>
  <si>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</si>
  <si>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</si>
  <si>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</si>
  <si>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</si>
  <si>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</si>
  <si>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</si>
  <si>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</si>
  <si>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</si>
  <si>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</si>
  <si>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</si>
  <si>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</si>
  <si>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</si>
  <si>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</si>
  <si>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</si>
  <si>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</si>
  <si>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</si>
  <si>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</si>
  <si>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</si>
  <si>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</si>
  <si>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</si>
  <si>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</si>
  <si>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</si>
  <si>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</si>
  <si>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</si>
  <si>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</si>
  <si>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</si>
  <si>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</si>
  <si>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</si>
  <si>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</si>
  <si>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</si>
  <si>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</si>
  <si>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</si>
  <si>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</si>
  <si>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</si>
  <si>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</si>
  <si>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</si>
  <si>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</si>
  <si>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</si>
  <si>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</si>
  <si>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</si>
  <si>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</si>
  <si>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</si>
  <si>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</si>
  <si>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</si>
  <si>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</si>
  <si>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</si>
  <si>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</si>
  <si>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</si>
  <si>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</si>
  <si>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</si>
  <si>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</si>
  <si>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</si>
  <si>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</si>
  <si>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</si>
  <si>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</si>
  <si>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</si>
  <si>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</si>
  <si>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</si>
  <si>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</si>
  <si>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</si>
  <si>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</si>
  <si>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</si>
  <si>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</si>
  <si>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</si>
  <si>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</si>
  <si>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</si>
  <si>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</si>
  <si>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</si>
  <si>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</si>
  <si>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</si>
  <si>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</si>
  <si>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</si>
  <si>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</si>
  <si>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</si>
  <si>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</si>
  <si>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</si>
  <si>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</si>
  <si>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</si>
  <si>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</si>
  <si>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</si>
  <si>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</si>
  <si>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</si>
  <si>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</si>
  <si>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</si>
  <si>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</si>
  <si>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</si>
  <si>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</si>
  <si>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</si>
  <si>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</si>
  <si>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</si>
  <si>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</si>
  <si>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</si>
  <si>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</si>
  <si>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</si>
  <si>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</si>
  <si>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</si>
  <si>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</si>
  <si>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</si>
  <si>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</si>
  <si>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</si>
  <si>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</si>
  <si>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</si>
  <si>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</si>
  <si>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</si>
  <si>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</si>
  <si>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</si>
  <si>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</si>
  <si>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</si>
  <si>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</si>
  <si>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</si>
  <si>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</si>
  <si>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</si>
  <si>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</si>
  <si>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</si>
  <si>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</si>
  <si>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</si>
  <si>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</si>
  <si>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</si>
  <si>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</si>
  <si>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</si>
  <si>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</si>
  <si>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</si>
  <si>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</si>
  <si>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</si>
  <si>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</si>
  <si>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</si>
  <si>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</si>
  <si>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</si>
  <si>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</si>
  <si>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</si>
  <si>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</si>
  <si>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</si>
  <si>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</si>
  <si>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</si>
  <si>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</si>
  <si>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</si>
  <si>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</si>
  <si>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</si>
  <si>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</si>
  <si>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</si>
  <si>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</si>
  <si>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</si>
  <si>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</si>
  <si>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</si>
  <si>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</si>
  <si>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</si>
  <si>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</si>
  <si>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</si>
  <si>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</si>
  <si>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</si>
  <si>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</si>
  <si>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</si>
  <si>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</si>
  <si>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</si>
  <si>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</si>
  <si>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</si>
  <si>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</si>
  <si>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</si>
  <si>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</si>
  <si>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</si>
  <si>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</si>
  <si>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</si>
  <si>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</si>
  <si>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</si>
  <si>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</si>
  <si>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</si>
  <si>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</si>
  <si>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</si>
  <si>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</si>
  <si>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</si>
  <si>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</si>
  <si>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</si>
  <si>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</si>
  <si>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</si>
  <si>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</si>
  <si>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</si>
  <si>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</si>
  <si>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</si>
  <si>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</si>
  <si>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</si>
  <si>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</si>
  <si>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</si>
  <si>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</si>
  <si>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</si>
  <si>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</si>
  <si>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</si>
  <si>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</si>
  <si>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</si>
  <si>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</si>
  <si>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</si>
  <si>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</si>
  <si>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</si>
  <si>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</si>
  <si>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</si>
  <si>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</si>
  <si>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</si>
  <si>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</si>
  <si>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</si>
  <si>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</si>
  <si>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</si>
  <si>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</si>
  <si>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</si>
  <si>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</si>
  <si>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</si>
  <si>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</si>
  <si>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</si>
  <si>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</si>
  <si>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</si>
  <si>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</si>
  <si>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</si>
  <si>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</si>
  <si>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</si>
  <si>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</si>
  <si>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</si>
  <si>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</si>
  <si>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</si>
  <si>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</si>
  <si>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</si>
  <si>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</si>
  <si>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</si>
  <si>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</si>
  <si>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</si>
  <si>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</si>
  <si>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</si>
  <si>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</si>
  <si>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</si>
  <si>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</si>
  <si>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</si>
  <si>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</si>
  <si>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</si>
  <si>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</si>
  <si>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</si>
  <si>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</si>
  <si>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</si>
  <si>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</si>
  <si>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</si>
  <si>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</si>
  <si>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</si>
  <si>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</si>
  <si>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</si>
  <si>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</si>
  <si>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</si>
  <si>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</si>
  <si>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</si>
  <si>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</si>
  <si>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</si>
  <si>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</si>
  <si>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</si>
  <si>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</si>
  <si>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</si>
  <si>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</si>
  <si>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</si>
  <si>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</si>
  <si>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</si>
  <si>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</si>
  <si>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</si>
  <si>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</si>
  <si>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</si>
  <si>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</si>
  <si>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</si>
  <si>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</si>
  <si>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</si>
  <si>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</si>
  <si>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</si>
  <si>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</si>
  <si>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</si>
  <si>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</si>
  <si>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</si>
  <si>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</si>
  <si>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</si>
  <si>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</si>
  <si>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</si>
  <si>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</si>
  <si>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</si>
  <si>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</si>
  <si>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</si>
  <si>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</si>
  <si>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</si>
  <si>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</si>
  <si>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</si>
  <si>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</si>
  <si>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</si>
  <si>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</si>
  <si>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</si>
  <si>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</si>
  <si>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</si>
  <si>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</si>
  <si>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</si>
  <si>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</si>
  <si>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</si>
  <si>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</si>
  <si>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</si>
  <si>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</si>
  <si>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</si>
  <si>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</si>
  <si>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</si>
  <si>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</si>
  <si>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</si>
  <si>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</si>
  <si>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</si>
  <si>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</si>
  <si>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</si>
  <si>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</si>
  <si>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</si>
  <si>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</si>
  <si>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</si>
  <si>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</si>
  <si>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</si>
  <si>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</si>
  <si>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</si>
  <si>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</si>
  <si>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</si>
  <si>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</si>
  <si>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</si>
  <si>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</si>
  <si>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</si>
  <si>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</si>
  <si>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</si>
  <si>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</si>
  <si>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</si>
  <si>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</si>
  <si>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</si>
  <si>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</si>
  <si>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</si>
  <si>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</si>
  <si>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</si>
  <si>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</si>
  <si>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</si>
  <si>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</si>
  <si>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</si>
  <si>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</si>
  <si>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</si>
  <si>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</si>
  <si>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</si>
  <si>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</si>
  <si>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</si>
  <si>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</si>
  <si>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</si>
  <si>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</si>
  <si>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</si>
  <si>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</si>
  <si>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</si>
  <si>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</si>
  <si>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</si>
  <si>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</si>
  <si>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</si>
  <si>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</si>
  <si>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</si>
  <si>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</si>
  <si>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</si>
  <si>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</si>
  <si>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</si>
  <si>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</si>
  <si>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</si>
  <si>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</si>
  <si>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</si>
  <si>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</si>
  <si>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</si>
  <si>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</si>
  <si>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</si>
  <si>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</si>
  <si>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</si>
  <si>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</si>
  <si>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</si>
  <si>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</si>
  <si>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</si>
  <si>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</si>
  <si>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</si>
  <si>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</si>
  <si>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</si>
  <si>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</si>
  <si>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</si>
  <si>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</si>
  <si>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</si>
  <si>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</si>
  <si>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</si>
  <si>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</si>
  <si>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</si>
  <si>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</si>
  <si>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</si>
  <si>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</si>
  <si>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</si>
  <si>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</si>
  <si>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</si>
  <si>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</si>
  <si>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</si>
  <si>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</si>
  <si>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</si>
  <si>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</si>
  <si>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</si>
  <si>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</si>
  <si>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</si>
  <si>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</si>
  <si>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</si>
  <si>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</si>
  <si>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</si>
  <si>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</si>
  <si>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</si>
  <si>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</si>
  <si>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</si>
  <si>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</si>
  <si>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</si>
  <si>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</si>
  <si>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</si>
  <si>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</si>
  <si>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</si>
  <si>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</si>
  <si>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</si>
  <si>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</si>
  <si>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</si>
  <si>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</si>
  <si>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</si>
  <si>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</si>
  <si>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</si>
  <si>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</si>
  <si>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</si>
  <si>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</si>
  <si>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</si>
  <si>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</si>
  <si>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</si>
  <si>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</si>
  <si>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</si>
  <si>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</si>
  <si>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</si>
  <si>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</si>
  <si>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</si>
  <si>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</si>
  <si>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</si>
  <si>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</si>
  <si>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</si>
  <si>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</si>
  <si>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</si>
  <si>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</si>
  <si>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</si>
  <si>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</si>
  <si>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</si>
  <si>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</si>
  <si>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</si>
  <si>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</si>
  <si>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</si>
  <si>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</si>
  <si>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</si>
  <si>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</si>
  <si>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</si>
  <si>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</si>
  <si>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</si>
  <si>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</si>
  <si>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</si>
  <si>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</si>
  <si>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</si>
  <si>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</si>
  <si>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</si>
  <si>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</si>
  <si>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</si>
  <si>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</si>
  <si>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</si>
  <si>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</si>
  <si>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</si>
  <si>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</si>
  <si>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</si>
  <si>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</si>
  <si>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</si>
  <si>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</si>
  <si>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</si>
  <si>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</si>
  <si>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</si>
  <si>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</si>
  <si>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</si>
  <si>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</si>
  <si>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</si>
  <si>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</si>
  <si>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</si>
  <si>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</si>
  <si>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</si>
  <si>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</si>
  <si>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</si>
  <si>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</si>
  <si>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</si>
  <si>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</si>
  <si>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</si>
  <si>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</si>
  <si>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</si>
  <si>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</si>
  <si>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</si>
  <si>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</si>
  <si>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</si>
  <si>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</si>
  <si>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</si>
  <si>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</si>
  <si>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</si>
  <si>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</si>
  <si>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</si>
  <si>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</si>
  <si>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</si>
  <si>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</si>
  <si>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</si>
  <si>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</si>
  <si>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</si>
  <si>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</si>
  <si>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</si>
  <si>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</si>
  <si>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</si>
  <si>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</si>
  <si>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</si>
  <si>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</si>
  <si>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</si>
  <si>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</si>
  <si>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</si>
  <si>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</si>
  <si>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</si>
  <si>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</si>
  <si>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</si>
  <si>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</si>
  <si>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</si>
  <si>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</si>
  <si>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</si>
  <si>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</si>
  <si>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</si>
  <si>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</si>
  <si>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</si>
  <si>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</si>
  <si>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</si>
  <si>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</si>
  <si>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</si>
  <si>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</si>
  <si>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</si>
  <si>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</si>
  <si>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</si>
  <si>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</si>
  <si>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</si>
  <si>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</si>
  <si>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</si>
  <si>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</si>
  <si>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</si>
  <si>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</si>
  <si>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</si>
  <si>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</si>
  <si>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</si>
  <si>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</si>
  <si>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</si>
  <si>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</si>
  <si>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</si>
  <si>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</si>
  <si>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</si>
  <si>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</si>
  <si>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</si>
  <si>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</si>
  <si>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</si>
  <si>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</si>
  <si>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</si>
  <si>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</si>
  <si>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</si>
  <si>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</si>
  <si>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</si>
  <si>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</si>
  <si>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</si>
  <si>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</si>
  <si>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</si>
  <si>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</si>
  <si>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</si>
  <si>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</si>
  <si>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</si>
  <si>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</si>
  <si>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</si>
  <si>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</si>
  <si>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</si>
  <si>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</si>
  <si>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</si>
  <si>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</si>
  <si>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</si>
  <si>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</si>
  <si>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</si>
  <si>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</si>
  <si>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</si>
  <si>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</si>
  <si>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</si>
  <si>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</si>
  <si>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</si>
  <si>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</si>
  <si>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</si>
  <si>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</si>
  <si>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</si>
  <si>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</si>
  <si>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</si>
  <si>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</si>
  <si>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</si>
  <si>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</si>
  <si>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</si>
  <si>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</si>
  <si>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</si>
  <si>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</si>
  <si>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</si>
  <si>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</si>
  <si>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</si>
  <si>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</si>
  <si>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</si>
  <si>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</si>
  <si>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</si>
  <si>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</si>
  <si>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</si>
  <si>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</si>
  <si>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</si>
  <si>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</si>
  <si>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</si>
  <si>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</si>
  <si>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</si>
  <si>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</si>
  <si>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</si>
  <si>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</si>
  <si>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</si>
  <si>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</si>
  <si>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</si>
  <si>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</si>
  <si>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</si>
  <si>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</si>
  <si>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</si>
  <si>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</si>
  <si>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</si>
  <si>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</si>
  <si>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</si>
  <si>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</si>
  <si>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</si>
  <si>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</si>
  <si>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</si>
  <si>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</si>
  <si>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</si>
  <si>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</si>
  <si>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</si>
  <si>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</si>
  <si>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</si>
  <si>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</si>
  <si>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</si>
  <si>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</si>
  <si>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</si>
  <si>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</si>
  <si>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</si>
  <si>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</si>
  <si>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</si>
  <si>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</si>
  <si>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</si>
  <si>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</si>
  <si>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</si>
  <si>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</si>
  <si>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</si>
  <si>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</si>
  <si>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</si>
  <si>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</si>
  <si>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</si>
  <si>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</si>
  <si>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</si>
  <si>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</si>
  <si>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</si>
  <si>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</si>
  <si>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</si>
  <si>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</si>
  <si>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</si>
  <si>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</si>
  <si>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</si>
  <si>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</si>
  <si>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</si>
  <si>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</si>
  <si>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</si>
  <si>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</si>
  <si>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</si>
  <si>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</si>
  <si>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</si>
  <si>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</si>
  <si>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</si>
  <si>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</si>
  <si>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</si>
  <si>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</si>
  <si>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</si>
  <si>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</si>
  <si>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</si>
  <si>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</si>
  <si>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</si>
  <si>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</si>
  <si>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</si>
  <si>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</si>
  <si>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</si>
  <si>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</si>
  <si>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</si>
  <si>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</si>
  <si>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</si>
  <si>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</si>
  <si>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</si>
  <si>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</si>
  <si>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</si>
  <si>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</si>
  <si>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</si>
  <si>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</si>
  <si>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</si>
  <si>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</si>
  <si>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</si>
  <si>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</si>
  <si>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</si>
  <si>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</si>
  <si>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</si>
  <si>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</si>
  <si>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</si>
  <si>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</si>
  <si>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</si>
  <si>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</si>
  <si>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</si>
  <si>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</si>
  <si>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</si>
  <si>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</si>
  <si>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</si>
  <si>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</si>
  <si>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</si>
  <si>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</si>
  <si>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</si>
  <si>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</si>
  <si>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</si>
  <si>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</si>
  <si>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</si>
  <si>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</si>
  <si>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</si>
  <si>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</si>
  <si>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</si>
  <si>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</si>
  <si>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</si>
  <si>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</si>
  <si>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</si>
  <si>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</si>
  <si>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</si>
  <si>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</si>
  <si>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</si>
  <si>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</si>
  <si>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</si>
  <si>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</si>
  <si>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</si>
  <si>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</si>
  <si>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</si>
  <si>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</si>
  <si>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</si>
  <si>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</si>
  <si>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</si>
  <si>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</si>
  <si>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</si>
  <si>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</si>
  <si>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</si>
  <si>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</si>
  <si>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</si>
  <si>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</si>
  <si>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</si>
  <si>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</si>
  <si>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</si>
  <si>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</si>
  <si>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</si>
  <si>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</si>
  <si>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</si>
  <si>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</si>
  <si>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</si>
  <si>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</si>
  <si>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</si>
  <si>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</si>
  <si>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</si>
  <si>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</si>
  <si>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</si>
  <si>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</si>
  <si>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</si>
  <si>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</si>
  <si>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</si>
  <si>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</si>
  <si>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</si>
  <si>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</si>
  <si>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</si>
  <si>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</si>
  <si>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</si>
  <si>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</si>
  <si>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</si>
  <si>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</si>
  <si>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</si>
  <si>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</si>
  <si>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</si>
  <si>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</si>
  <si>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</si>
  <si>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</si>
  <si>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</si>
  <si>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</si>
  <si>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</si>
  <si>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</si>
  <si>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</si>
  <si>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</si>
  <si>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</si>
  <si>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</si>
  <si>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</si>
  <si>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</si>
  <si>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</si>
  <si>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</si>
  <si>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</si>
  <si>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</si>
  <si>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</si>
  <si>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</si>
  <si>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</si>
  <si>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</si>
  <si>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</si>
  <si>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</si>
  <si>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</si>
  <si>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</si>
  <si>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</si>
  <si>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</si>
  <si>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</si>
  <si>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</si>
  <si>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</si>
  <si>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</si>
  <si>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</si>
  <si>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</si>
  <si>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</si>
  <si>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</si>
  <si>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</si>
  <si>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</si>
  <si>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</si>
  <si>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</si>
  <si>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</si>
  <si>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</si>
  <si>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</si>
  <si>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</si>
  <si>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</si>
  <si>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</si>
  <si>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</si>
  <si>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</si>
  <si>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</si>
  <si>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</si>
  <si>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</si>
  <si>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</si>
  <si>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</si>
  <si>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</si>
  <si>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</si>
  <si>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</si>
  <si>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</si>
  <si>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</si>
  <si>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</si>
  <si>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</si>
  <si>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</si>
  <si>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</si>
  <si>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</si>
  <si>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</si>
  <si>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</si>
  <si>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</si>
  <si>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</si>
  <si>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</si>
  <si>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</si>
  <si>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</si>
  <si>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</si>
  <si>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</si>
  <si>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</si>
  <si>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</si>
  <si>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</si>
  <si>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</si>
  <si>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</si>
  <si>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</si>
  <si>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</si>
  <si>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</si>
  <si>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</si>
  <si>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</si>
  <si>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</si>
  <si>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</si>
  <si>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</si>
  <si>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</si>
  <si>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</si>
  <si>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</si>
  <si>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</si>
  <si>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</si>
  <si>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</si>
  <si>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</si>
  <si>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</si>
  <si>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</si>
  <si>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</si>
  <si>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</si>
  <si>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</si>
  <si>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</si>
  <si>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</si>
  <si>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</si>
  <si>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</si>
  <si>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</si>
  <si>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</si>
  <si>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</si>
  <si>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</si>
  <si>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</si>
  <si>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</si>
  <si>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</si>
  <si>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</si>
  <si>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</si>
  <si>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</si>
  <si>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</si>
  <si>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</si>
  <si>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</si>
  <si>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</si>
  <si>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</si>
  <si>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</si>
  <si>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</si>
  <si>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</si>
  <si>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</si>
  <si>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</si>
  <si>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</si>
  <si>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</si>
  <si>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</si>
  <si>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</si>
  <si>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</si>
  <si>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</si>
  <si>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</si>
  <si>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</si>
  <si>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</si>
  <si>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</si>
  <si>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</si>
  <si>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</si>
  <si>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</si>
  <si>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</si>
  <si>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</si>
  <si>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</si>
  <si>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</si>
  <si>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</si>
  <si>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</si>
  <si>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</si>
  <si>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</si>
  <si>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</si>
  <si>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</si>
  <si>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</si>
  <si>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</si>
  <si>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</si>
  <si>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</si>
  <si>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</si>
  <si>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</si>
  <si>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</si>
  <si>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</si>
  <si>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</si>
  <si>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</si>
  <si>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</si>
  <si>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</si>
  <si>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</si>
  <si>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</si>
  <si>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</si>
  <si>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</si>
  <si>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</si>
  <si>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</si>
  <si>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</si>
  <si>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</si>
  <si>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</si>
  <si>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</si>
  <si>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</si>
  <si>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</si>
  <si>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</si>
  <si>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</si>
  <si>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</si>
  <si>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</si>
  <si>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</si>
  <si>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</si>
  <si>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</si>
  <si>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</si>
  <si>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</si>
  <si>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</si>
  <si>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</si>
  <si>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</si>
  <si>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</si>
  <si>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</si>
  <si>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</si>
  <si>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</si>
  <si>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</si>
  <si>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</si>
  <si>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</si>
  <si>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</si>
  <si>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</si>
  <si>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</si>
  <si>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</si>
  <si>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</si>
  <si>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</si>
  <si>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</si>
  <si>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</si>
  <si>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</si>
  <si>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</si>
  <si>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</si>
  <si>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</si>
  <si>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</si>
  <si>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</si>
  <si>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</si>
  <si>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</si>
  <si>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</si>
  <si>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</si>
  <si>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</si>
  <si>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</si>
  <si>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</si>
  <si>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</si>
  <si>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</si>
  <si>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</si>
  <si>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</si>
  <si>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</si>
  <si>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</si>
  <si>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</si>
  <si>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</si>
  <si>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</si>
  <si>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</si>
  <si>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</si>
  <si>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</si>
  <si>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</si>
  <si>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</si>
  <si>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</si>
  <si>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</si>
  <si>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</si>
  <si>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</si>
  <si>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</si>
  <si>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</si>
  <si>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</si>
  <si>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</si>
  <si>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</si>
  <si>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</si>
  <si>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</si>
  <si>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</si>
  <si>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</si>
  <si>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</si>
  <si>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</si>
  <si>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</si>
  <si>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</si>
  <si>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</si>
  <si>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</si>
  <si>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</si>
  <si>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</si>
  <si>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</si>
  <si>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</si>
  <si>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</si>
  <si>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</si>
  <si>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</si>
  <si>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</si>
  <si>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</si>
  <si>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</si>
  <si>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</si>
  <si>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</si>
  <si>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</si>
  <si>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</si>
  <si>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</si>
  <si>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</si>
  <si>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</si>
  <si>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</si>
  <si>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</si>
  <si>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</si>
  <si>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</si>
  <si>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</si>
  <si>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</si>
  <si>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</si>
  <si>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</si>
  <si>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</si>
  <si>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</si>
  <si>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</si>
  <si>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</si>
  <si>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</si>
  <si>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</si>
  <si>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</si>
  <si>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</si>
  <si>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</si>
  <si>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</si>
  <si>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</si>
  <si>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</si>
  <si>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</si>
  <si>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</si>
  <si>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</si>
  <si>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</si>
  <si>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</si>
  <si>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</si>
  <si>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</si>
  <si>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</si>
  <si>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</si>
  <si>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</si>
  <si>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</si>
  <si>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</si>
  <si>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</si>
  <si>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</si>
  <si>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</si>
  <si>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</si>
  <si>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</si>
  <si>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</si>
  <si>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</si>
  <si>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</si>
  <si>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</si>
  <si>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</si>
  <si>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</si>
  <si>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</si>
  <si>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</si>
  <si>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</si>
  <si>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</si>
  <si>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</si>
  <si>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</si>
  <si>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</si>
  <si>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</si>
  <si>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</si>
  <si>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</si>
  <si>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</si>
  <si>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</si>
  <si>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</si>
  <si>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</si>
  <si>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</si>
  <si>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</si>
  <si>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</si>
  <si>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</si>
  <si>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</si>
  <si>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</si>
  <si>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</si>
  <si>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</si>
  <si>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</si>
  <si>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</si>
  <si>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</si>
  <si>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</si>
  <si>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</si>
  <si>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</si>
  <si>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</si>
  <si>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</si>
  <si>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</si>
  <si>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</si>
  <si>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</si>
  <si>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</si>
  <si>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</si>
  <si>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</si>
  <si>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</si>
  <si>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</si>
  <si>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</si>
  <si>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</si>
  <si>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</si>
  <si>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</si>
  <si>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</si>
  <si>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</si>
  <si>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</si>
  <si>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</si>
  <si>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</si>
  <si>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</si>
  <si>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</si>
  <si>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</si>
  <si>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</si>
  <si>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</si>
  <si>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</si>
  <si>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</si>
  <si>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</si>
  <si>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</si>
  <si>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</si>
  <si>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</si>
  <si>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</si>
  <si>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</si>
  <si>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</si>
  <si>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</si>
  <si>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</si>
  <si>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</si>
  <si>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</si>
  <si>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</si>
  <si>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</si>
  <si>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</si>
  <si>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</si>
  <si>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</si>
  <si>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</si>
  <si>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</si>
  <si>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</si>
  <si>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</si>
  <si>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</si>
  <si>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</si>
  <si>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</si>
  <si>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</si>
  <si>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</si>
  <si>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</si>
  <si>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</si>
  <si>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</si>
  <si>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</si>
  <si>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</si>
  <si>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</si>
  <si>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</si>
  <si>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</si>
  <si>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</si>
  <si>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</si>
  <si>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</si>
  <si>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</si>
  <si>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</si>
  <si>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</si>
  <si>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</si>
  <si>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</si>
  <si>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</si>
  <si>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</si>
  <si>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</si>
  <si>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</si>
  <si>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</si>
  <si>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</si>
  <si>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</si>
  <si>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</si>
  <si>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</si>
  <si>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</si>
  <si>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</si>
  <si>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</si>
  <si>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</si>
  <si>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</si>
  <si>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</si>
  <si>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</si>
  <si>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</si>
  <si>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</si>
  <si>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</si>
  <si>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</si>
  <si>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</si>
  <si>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</si>
  <si>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</si>
  <si>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</si>
  <si>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</si>
  <si>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</si>
  <si>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</si>
  <si>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</si>
  <si>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</si>
  <si>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</si>
  <si>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</si>
  <si>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</si>
  <si>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</si>
  <si>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</si>
  <si>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</si>
  <si>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</si>
  <si>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</si>
  <si>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</si>
  <si>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</si>
  <si>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</si>
  <si>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</si>
  <si>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</si>
  <si>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</si>
  <si>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</si>
  <si>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</si>
  <si>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</si>
  <si>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</si>
  <si>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</si>
  <si>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</si>
  <si>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</si>
  <si>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</si>
  <si>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</si>
  <si>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</si>
  <si>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</si>
  <si>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</si>
  <si>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</si>
  <si>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</si>
  <si>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</si>
  <si>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</si>
  <si>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</si>
  <si>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</si>
  <si>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</si>
  <si>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</si>
  <si>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</si>
  <si>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</si>
  <si>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</si>
  <si>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</si>
  <si>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</si>
  <si>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</si>
  <si>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</si>
  <si>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</si>
  <si>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</si>
  <si>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</si>
  <si>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</si>
  <si>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</si>
  <si>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</si>
  <si>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</si>
  <si>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</si>
  <si>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</si>
  <si>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</si>
  <si>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</si>
  <si>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</si>
  <si>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</si>
  <si>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</si>
  <si>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</si>
  <si>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</si>
  <si>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</si>
  <si>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</si>
  <si>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</si>
  <si>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</si>
  <si>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</si>
  <si>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</si>
  <si>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</si>
  <si>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</si>
  <si>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</si>
  <si>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</si>
  <si>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</si>
  <si>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</si>
  <si>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</si>
  <si>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</si>
  <si>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</si>
  <si>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</si>
  <si>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</si>
  <si>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</si>
  <si>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</si>
  <si>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</si>
  <si>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</si>
  <si>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</si>
  <si>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</si>
  <si>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</si>
  <si>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</si>
  <si>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</si>
  <si>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</si>
  <si>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</si>
  <si>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</si>
  <si>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</si>
  <si>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</si>
  <si>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</si>
  <si>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</si>
  <si>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</si>
  <si>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</si>
  <si>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</si>
  <si>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</si>
  <si>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</si>
  <si>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</si>
  <si>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</si>
  <si>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</si>
  <si>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</si>
  <si>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</si>
  <si>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</si>
  <si>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</si>
  <si>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</si>
  <si>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</si>
  <si>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</si>
  <si>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</si>
  <si>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</si>
  <si>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</si>
  <si>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</si>
  <si>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</si>
  <si>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</si>
  <si>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</si>
  <si>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</si>
  <si>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</si>
  <si>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</si>
  <si>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</si>
  <si>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</si>
  <si>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</si>
  <si>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</si>
  <si>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</si>
  <si>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</si>
  <si>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</si>
  <si>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</si>
  <si>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</si>
  <si>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</si>
  <si>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</si>
  <si>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</si>
  <si>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</si>
  <si>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</si>
  <si>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</si>
  <si>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</si>
  <si>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</si>
  <si>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</si>
  <si>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</si>
  <si>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</si>
  <si>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</si>
  <si>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</si>
  <si>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</si>
  <si>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</si>
  <si>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</si>
  <si>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</si>
  <si>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</si>
  <si>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</si>
  <si>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</si>
  <si>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</si>
  <si>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</si>
  <si>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</si>
  <si>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</si>
  <si>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</si>
  <si>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</si>
  <si>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</si>
  <si>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</si>
  <si>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</si>
  <si>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</si>
  <si>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</si>
  <si>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</si>
  <si>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</si>
  <si>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</si>
  <si>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</si>
  <si>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</si>
  <si>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</si>
  <si>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</si>
  <si>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</si>
  <si>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</si>
  <si>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</si>
  <si>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</si>
  <si>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</si>
  <si>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</si>
  <si>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</si>
  <si>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</si>
  <si>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</si>
  <si>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</si>
  <si>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</si>
  <si>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</si>
  <si>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</si>
  <si>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</si>
  <si>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</si>
  <si>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</si>
  <si>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</si>
  <si>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</si>
  <si>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</si>
  <si>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</si>
  <si>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</si>
  <si>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</si>
  <si>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</si>
  <si>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</si>
  <si>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</si>
  <si>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</si>
  <si>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</si>
  <si>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</si>
  <si>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</si>
  <si>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</si>
  <si>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</si>
  <si>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</si>
  <si>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</si>
  <si>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</si>
  <si>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</si>
  <si>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</si>
  <si>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</si>
  <si>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</si>
  <si>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</si>
  <si>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</si>
  <si>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</si>
  <si>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</si>
  <si>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</si>
  <si>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</si>
  <si>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</si>
  <si>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</si>
  <si>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</si>
  <si>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</si>
  <si>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</si>
  <si>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</si>
  <si>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</si>
  <si>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</si>
  <si>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</si>
  <si>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</si>
  <si>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</si>
  <si>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</si>
  <si>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</si>
  <si>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</si>
  <si>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</si>
  <si>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</si>
  <si>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</si>
  <si>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</si>
  <si>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</si>
  <si>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</si>
  <si>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</si>
  <si>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</si>
  <si>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</si>
  <si>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</si>
  <si>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</si>
  <si>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</si>
  <si>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</si>
  <si>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</si>
  <si>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</si>
  <si>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</si>
  <si>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</si>
  <si>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</si>
  <si>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</si>
  <si>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</si>
  <si>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</si>
  <si>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</si>
  <si>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</si>
  <si>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</si>
  <si>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</si>
  <si>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</si>
  <si>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</si>
  <si>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</si>
  <si>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</si>
  <si>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</si>
  <si>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</si>
  <si>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</si>
  <si>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</si>
  <si>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</si>
  <si>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</si>
  <si>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</si>
  <si>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</si>
  <si>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</si>
  <si>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</si>
  <si>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</si>
  <si>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</si>
  <si>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</si>
  <si>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</si>
  <si>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</si>
  <si>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</si>
  <si>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</si>
  <si>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</si>
  <si>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</si>
  <si>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</si>
  <si>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</si>
  <si>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</si>
  <si>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</si>
  <si>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</si>
  <si>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</si>
  <si>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</si>
  <si>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</si>
  <si>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</si>
  <si>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</si>
  <si>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</si>
  <si>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</si>
  <si>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</si>
  <si>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</si>
  <si>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</si>
  <si>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</si>
  <si>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</si>
  <si>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</si>
  <si>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</si>
  <si>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</si>
  <si>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</si>
  <si>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</si>
  <si>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</si>
  <si>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</si>
  <si>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</si>
  <si>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</si>
  <si>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</si>
  <si>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</si>
  <si>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</si>
  <si>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</si>
  <si>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</si>
  <si>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</si>
  <si>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</si>
  <si>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</si>
  <si>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</si>
  <si>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</si>
  <si>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</si>
  <si>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</si>
  <si>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</si>
  <si>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</si>
  <si>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</si>
  <si>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</si>
  <si>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</si>
  <si>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</si>
  <si>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</si>
  <si>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</si>
  <si>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</si>
  <si>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</si>
  <si>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</si>
  <si>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</si>
  <si>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</si>
  <si>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</si>
  <si>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</si>
  <si>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</si>
  <si>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</si>
  <si>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</si>
  <si>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</si>
  <si>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</si>
  <si>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</si>
  <si>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</si>
  <si>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</si>
  <si>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</si>
  <si>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</si>
  <si>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</si>
  <si>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</si>
  <si>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</si>
  <si>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</si>
  <si>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</si>
  <si>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</si>
  <si>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</si>
  <si>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</si>
  <si>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</si>
  <si>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</si>
  <si>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</si>
  <si>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</si>
  <si>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</si>
  <si>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</si>
  <si>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</si>
  <si>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</si>
  <si>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</si>
  <si>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</si>
  <si>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</si>
  <si>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</si>
  <si>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</si>
  <si>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</si>
  <si>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</si>
  <si>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</si>
  <si>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</si>
  <si>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</si>
  <si>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</si>
  <si>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</si>
  <si>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</si>
  <si>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</si>
  <si>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</si>
  <si>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</si>
  <si>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</si>
  <si>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</si>
  <si>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</si>
  <si>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</si>
  <si>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</si>
  <si>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</si>
  <si>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</si>
  <si>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</si>
  <si>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</si>
  <si>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</si>
  <si>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</si>
  <si>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</si>
  <si>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</si>
  <si>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</si>
  <si>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</si>
  <si>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</si>
  <si>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</si>
  <si>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</si>
  <si>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</si>
  <si>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</si>
  <si>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</si>
  <si>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</si>
  <si>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</si>
  <si>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</si>
  <si>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</si>
  <si>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</si>
  <si>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</si>
  <si>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</si>
  <si>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</si>
  <si>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</si>
  <si>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</si>
  <si>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</si>
  <si>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</si>
  <si>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</si>
  <si>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</si>
  <si>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</si>
  <si>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</si>
  <si>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</si>
  <si>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</si>
  <si>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</si>
  <si>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</si>
  <si>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</si>
  <si>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</si>
  <si>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</si>
  <si>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</si>
  <si>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</si>
  <si>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</si>
  <si>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</si>
  <si>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</si>
  <si>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</si>
  <si>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</si>
  <si>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</si>
  <si>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</si>
  <si>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</si>
  <si>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</si>
  <si>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</si>
  <si>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</si>
  <si>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</si>
  <si>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</si>
  <si>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</si>
  <si>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</si>
  <si>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</si>
  <si>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</si>
  <si>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</si>
  <si>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</si>
  <si>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</si>
  <si>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</si>
  <si>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</si>
  <si>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</si>
  <si>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</si>
  <si>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</si>
  <si>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</si>
  <si>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</si>
  <si>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</si>
  <si>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</si>
  <si>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</si>
  <si>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</si>
  <si>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</si>
  <si>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</si>
  <si>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</si>
  <si>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</si>
  <si>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</si>
  <si>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</si>
  <si>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</si>
  <si>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</si>
  <si>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</si>
  <si>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</si>
  <si>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</si>
  <si>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</si>
  <si>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</si>
  <si>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</si>
  <si>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</si>
  <si>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</si>
  <si>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</si>
  <si>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</si>
  <si>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</si>
  <si>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</si>
  <si>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</si>
  <si>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</si>
  <si>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</si>
  <si>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</si>
  <si>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</si>
  <si>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</si>
  <si>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</si>
  <si>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</si>
  <si>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</si>
  <si>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</si>
  <si>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</si>
  <si>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</si>
  <si>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</si>
  <si>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</si>
  <si>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</si>
  <si>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</si>
  <si>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</si>
  <si>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</si>
  <si>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</si>
  <si>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</si>
  <si>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</si>
  <si>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</si>
  <si>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</si>
  <si>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</si>
  <si>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</si>
  <si>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</si>
  <si>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</si>
  <si>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</si>
  <si>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</si>
  <si>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</si>
  <si>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</si>
  <si>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</si>
  <si>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</si>
  <si>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</si>
  <si>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</si>
  <si>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</si>
  <si>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</si>
  <si>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</si>
  <si>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</si>
  <si>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</si>
  <si>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</si>
  <si>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</si>
  <si>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</si>
  <si>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</si>
  <si>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</si>
  <si>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</si>
  <si>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</si>
  <si>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</si>
  <si>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</si>
  <si>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</si>
  <si>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</si>
  <si>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</si>
  <si>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</si>
  <si>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</si>
  <si>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</si>
  <si>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</si>
  <si>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</si>
  <si>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</si>
  <si>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</si>
  <si>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</si>
  <si>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</si>
  <si>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</si>
  <si>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</si>
  <si>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</si>
  <si>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</si>
  <si>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</si>
  <si>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</si>
  <si>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</si>
  <si>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</si>
  <si>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</si>
  <si>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</si>
  <si>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</si>
  <si>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</si>
  <si>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</si>
  <si>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</si>
  <si>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</si>
  <si>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</si>
  <si>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</si>
  <si>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</si>
  <si>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</si>
  <si>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</si>
  <si>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</si>
  <si>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</si>
  <si>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</si>
  <si>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</si>
  <si>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</si>
  <si>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</si>
  <si>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</si>
  <si>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</si>
  <si>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</si>
  <si>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</si>
  <si>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</si>
  <si>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</si>
  <si>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</si>
  <si>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</si>
  <si>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</si>
  <si>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</si>
  <si>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</si>
  <si>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</si>
  <si>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</si>
  <si>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</si>
  <si>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</si>
  <si>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</si>
  <si>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</si>
  <si>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</si>
  <si>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</si>
  <si>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</si>
  <si>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</si>
  <si>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</si>
  <si>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</si>
  <si>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</si>
  <si>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</si>
  <si>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</si>
  <si>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</si>
  <si>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</si>
  <si>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</si>
  <si>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</si>
  <si>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</si>
  <si>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</si>
  <si>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</si>
  <si>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</si>
  <si>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</si>
  <si>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</si>
  <si>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</si>
  <si>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</si>
  <si>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</si>
  <si>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</si>
  <si>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</si>
  <si>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</si>
  <si>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</si>
  <si>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</si>
  <si>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</si>
  <si>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</si>
  <si>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</si>
  <si>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</si>
  <si>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</si>
  <si>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</si>
  <si>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</si>
  <si>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</si>
  <si>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</si>
  <si>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</si>
  <si>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</si>
  <si>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</si>
  <si>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</si>
  <si>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</si>
  <si>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</si>
  <si>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</si>
  <si>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</si>
  <si>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</si>
  <si>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</si>
  <si>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</si>
  <si>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</si>
  <si>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</si>
  <si>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</si>
  <si>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</si>
  <si>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</si>
  <si>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</si>
  <si>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</si>
  <si>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</si>
  <si>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</si>
  <si>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</si>
  <si>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</si>
  <si>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</si>
  <si>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</si>
  <si>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</si>
  <si>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</si>
  <si>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</si>
  <si>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</si>
  <si>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</si>
  <si>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</si>
  <si>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</si>
  <si>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</si>
  <si>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</si>
  <si>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</si>
  <si>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</si>
  <si>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</si>
  <si>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</si>
  <si>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</si>
  <si>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</si>
  <si>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</si>
  <si>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</si>
  <si>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</si>
  <si>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</si>
  <si>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</si>
  <si>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</si>
  <si>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</si>
  <si>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</si>
  <si>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</si>
  <si>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</si>
  <si>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</si>
  <si>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</si>
  <si>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</si>
  <si>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</si>
  <si>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</si>
  <si>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</si>
  <si>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</si>
  <si>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</si>
  <si>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</si>
  <si>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</si>
  <si>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</si>
  <si>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</si>
  <si>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</si>
  <si>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</si>
  <si>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</si>
  <si>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</si>
  <si>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</si>
  <si>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</si>
  <si>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</si>
  <si>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</si>
  <si>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</si>
  <si>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</si>
  <si>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</si>
  <si>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</si>
  <si>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</si>
  <si>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</si>
  <si>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</si>
  <si>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</si>
  <si>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</si>
  <si>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</si>
  <si>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</si>
  <si>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</si>
  <si>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</si>
  <si>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</si>
  <si>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</si>
  <si>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</si>
  <si>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</si>
  <si>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</si>
  <si>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</si>
  <si>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</si>
  <si>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</si>
  <si>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</si>
  <si>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</si>
  <si>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</si>
  <si>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</si>
  <si>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</si>
  <si>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</si>
  <si>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</si>
  <si>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</si>
  <si>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</si>
  <si>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</si>
  <si>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</si>
  <si>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</si>
  <si>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</si>
  <si>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</si>
  <si>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</si>
  <si>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</si>
  <si>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</si>
  <si>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</si>
  <si>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</si>
  <si>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</si>
  <si>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</si>
  <si>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</si>
  <si>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</si>
  <si>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</si>
  <si>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</si>
  <si>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</si>
  <si>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</si>
  <si>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</si>
  <si>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</si>
  <si>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</si>
  <si>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</si>
  <si>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</si>
  <si>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</si>
  <si>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</si>
  <si>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</si>
  <si>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</si>
  <si>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</si>
  <si>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</si>
  <si>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</si>
  <si>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</si>
  <si>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</si>
  <si>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</si>
  <si>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</si>
  <si>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</si>
  <si>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</si>
  <si>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</si>
  <si>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</si>
  <si>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</si>
  <si>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</si>
  <si>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</si>
  <si>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</si>
  <si>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</si>
  <si>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</si>
  <si>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</si>
  <si>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</si>
  <si>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</si>
  <si>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</si>
  <si>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</si>
  <si>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</si>
  <si>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</si>
  <si>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</si>
  <si>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</si>
  <si>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</si>
  <si>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</si>
  <si>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</si>
  <si>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</si>
  <si>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</si>
  <si>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</si>
  <si>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</si>
  <si>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</si>
  <si>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</si>
  <si>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</si>
  <si>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</si>
  <si>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</si>
  <si>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</si>
  <si>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</si>
  <si>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</si>
  <si>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</si>
  <si>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</si>
  <si>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</si>
  <si>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</si>
  <si>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</si>
  <si>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</si>
  <si>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</si>
  <si>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</si>
  <si>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</si>
  <si>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</si>
  <si>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</si>
  <si>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</si>
  <si>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</si>
  <si>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</si>
  <si>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</si>
  <si>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</si>
  <si>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</si>
  <si>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</si>
  <si>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</si>
  <si>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</si>
  <si>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</si>
  <si>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</si>
  <si>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</si>
  <si>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</si>
  <si>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</si>
  <si>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</si>
  <si>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</si>
  <si>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</si>
  <si>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</si>
  <si>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</si>
  <si>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</si>
  <si>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</si>
  <si>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</si>
  <si>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</si>
  <si>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</si>
  <si>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</si>
  <si>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</si>
  <si>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</si>
  <si>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</si>
  <si>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</si>
  <si>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</si>
  <si>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</si>
  <si>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</si>
  <si>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</si>
  <si>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</si>
  <si>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</si>
  <si>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</si>
  <si>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</si>
  <si>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</si>
  <si>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</si>
  <si>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</si>
  <si>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</si>
  <si>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</si>
  <si>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</si>
  <si>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</si>
  <si>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</si>
  <si>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</si>
  <si>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</si>
  <si>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</si>
  <si>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</si>
  <si>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</si>
  <si>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</si>
  <si>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</si>
  <si>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</si>
  <si>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</si>
  <si>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</si>
  <si>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</si>
  <si>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</si>
  <si>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</si>
  <si>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</si>
  <si>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</si>
  <si>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</si>
  <si>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</si>
  <si>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</si>
  <si>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</si>
  <si>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</si>
  <si>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</si>
  <si>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</si>
  <si>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</si>
  <si>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</si>
  <si>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</si>
  <si>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</si>
  <si>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</si>
  <si>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</si>
  <si>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</si>
  <si>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</si>
  <si>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</si>
  <si>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</si>
  <si>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</si>
  <si>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</si>
  <si>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</si>
  <si>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</si>
  <si>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</si>
  <si>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</si>
  <si>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</si>
  <si>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</si>
  <si>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</si>
  <si>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</si>
  <si>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</si>
  <si>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</si>
  <si>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</si>
  <si>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</si>
  <si>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</si>
  <si>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</si>
  <si>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</si>
  <si>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</si>
  <si>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</si>
  <si>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</si>
  <si>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</si>
  <si>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</si>
  <si>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</si>
  <si>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</si>
  <si>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</si>
  <si>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</si>
  <si>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</si>
  <si>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</si>
  <si>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</si>
  <si>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</si>
  <si>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</si>
  <si>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</si>
  <si>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</si>
  <si>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</si>
  <si>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</si>
  <si>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</si>
  <si>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</si>
  <si>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</si>
  <si>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</si>
  <si>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</si>
  <si>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</si>
  <si>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</si>
  <si>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</si>
  <si>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</si>
  <si>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</si>
  <si>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</si>
  <si>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</si>
  <si>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</si>
  <si>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</si>
  <si>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</si>
  <si>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</si>
  <si>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</si>
  <si>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</si>
  <si>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</si>
  <si>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</si>
  <si>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</si>
  <si>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</si>
  <si>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</si>
  <si>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</si>
  <si>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</si>
  <si>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</si>
  <si>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</si>
  <si>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</si>
  <si>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</si>
  <si>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</si>
  <si>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</si>
  <si>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</si>
  <si>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</si>
  <si>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</si>
  <si>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</si>
  <si>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</si>
  <si>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</si>
  <si>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</si>
  <si>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</si>
  <si>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</si>
  <si>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</si>
  <si>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</si>
  <si>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</si>
  <si>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</si>
  <si>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</si>
  <si>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</si>
  <si>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</si>
  <si>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</si>
  <si>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</si>
  <si>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</si>
  <si>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</si>
  <si>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</si>
  <si>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</si>
  <si>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</si>
  <si>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</si>
  <si>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</si>
  <si>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</si>
  <si>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</si>
  <si>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</si>
  <si>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</si>
  <si>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</si>
  <si>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</si>
  <si>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</si>
  <si>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</si>
  <si>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</si>
  <si>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</si>
  <si>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</si>
  <si>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</si>
  <si>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</si>
  <si>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</si>
  <si>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</si>
  <si>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</si>
  <si>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</si>
  <si>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</si>
  <si>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</si>
  <si>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</si>
  <si>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</si>
  <si>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</si>
  <si>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</si>
  <si>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</si>
  <si>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</si>
  <si>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</si>
  <si>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</si>
  <si>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</si>
  <si>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</si>
  <si>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</si>
  <si>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</si>
  <si>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</si>
  <si>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</si>
  <si>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</si>
  <si>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</si>
  <si>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</si>
  <si>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</si>
  <si>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</si>
  <si>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</si>
  <si>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</si>
  <si>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</si>
  <si>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</si>
  <si>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</si>
  <si>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</si>
  <si>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</si>
  <si>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</si>
  <si>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</si>
  <si>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</si>
  <si>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</si>
  <si>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</si>
  <si>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</si>
  <si>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</si>
  <si>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</si>
  <si>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</si>
  <si>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</si>
  <si>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</si>
  <si>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</si>
  <si>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</si>
  <si>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</si>
  <si>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</si>
  <si>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</si>
  <si>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</si>
  <si>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</si>
  <si>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</si>
  <si>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</si>
  <si>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</si>
  <si>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</si>
  <si>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</si>
  <si>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</si>
  <si>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</si>
  <si>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</si>
  <si>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</si>
  <si>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</si>
  <si>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</si>
  <si>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</si>
  <si>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</si>
  <si>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</si>
  <si>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</si>
  <si>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</si>
  <si>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</si>
  <si>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</si>
  <si>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</si>
  <si>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</si>
  <si>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</si>
  <si>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</si>
  <si>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</si>
  <si>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</si>
  <si>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</si>
  <si>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</si>
  <si>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</si>
  <si>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</si>
  <si>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</si>
  <si>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</si>
  <si>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</si>
  <si>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</si>
  <si>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</si>
  <si>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</si>
  <si>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</si>
  <si>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</si>
  <si>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</si>
  <si>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</si>
  <si>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</si>
  <si>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</si>
  <si>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</si>
  <si>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</si>
  <si>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</si>
  <si>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</si>
  <si>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</si>
  <si>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</si>
  <si>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</si>
  <si>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</si>
  <si>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</si>
  <si>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</si>
  <si>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</si>
  <si>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</si>
  <si>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</si>
  <si>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</si>
  <si>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</si>
  <si>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</si>
  <si>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</si>
  <si>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</si>
  <si>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</si>
  <si>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</si>
  <si>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</si>
  <si>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</si>
  <si>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</si>
  <si>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</si>
  <si>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</si>
  <si>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</si>
  <si>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</si>
  <si>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</si>
  <si>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</si>
  <si>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</si>
  <si>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</si>
  <si>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</si>
  <si>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</si>
  <si>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</si>
  <si>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</si>
  <si>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</si>
  <si>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</si>
  <si>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</si>
  <si>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</si>
  <si>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</si>
  <si>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</si>
  <si>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</si>
  <si>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</si>
  <si>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</si>
  <si>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</si>
  <si>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</si>
  <si>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</si>
  <si>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</si>
  <si>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</si>
  <si>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</si>
  <si>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</si>
  <si>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</si>
  <si>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</si>
  <si>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</si>
  <si>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</si>
  <si>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</si>
  <si>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</si>
  <si>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</si>
  <si>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</si>
  <si>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</si>
  <si>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</si>
  <si>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</si>
  <si>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</si>
  <si>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</si>
  <si>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</si>
  <si>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</si>
  <si>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</si>
  <si>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</si>
  <si>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</si>
  <si>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</si>
  <si>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</si>
  <si>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</si>
  <si>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</si>
  <si>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</si>
  <si>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</si>
  <si>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</si>
  <si>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</si>
  <si>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</si>
  <si>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</si>
  <si>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</si>
  <si>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</si>
  <si>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</si>
  <si>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</si>
  <si>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</si>
  <si>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</si>
  <si>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</si>
  <si>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</si>
  <si>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</si>
  <si>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</si>
  <si>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</si>
  <si>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</si>
  <si>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</si>
  <si>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</si>
  <si>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</si>
  <si>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</si>
  <si>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</si>
  <si>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</si>
  <si>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</si>
  <si>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</si>
  <si>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</si>
  <si>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</si>
  <si>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</si>
  <si>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</si>
  <si>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</si>
  <si>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</si>
  <si>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</si>
  <si>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</si>
  <si>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</si>
  <si>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</si>
  <si>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</si>
  <si>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</si>
  <si>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</si>
  <si>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</si>
  <si>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</si>
  <si>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</si>
  <si>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</si>
  <si>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</si>
  <si>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</si>
  <si>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</si>
  <si>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</si>
  <si>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</si>
  <si>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</si>
  <si>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</si>
  <si>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</si>
  <si>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</si>
  <si>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</si>
  <si>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</si>
  <si>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</si>
  <si>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</si>
  <si>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</si>
  <si>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</si>
  <si>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</si>
  <si>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</si>
  <si>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</si>
  <si>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</si>
  <si>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</si>
  <si>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</si>
  <si>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</si>
  <si>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</si>
  <si>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</si>
  <si>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</si>
  <si>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</si>
  <si>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</si>
  <si>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</si>
  <si>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</si>
  <si>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</si>
  <si>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</si>
  <si>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</si>
  <si>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</si>
  <si>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</si>
  <si>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</si>
  <si>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</si>
  <si>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</si>
  <si>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</si>
  <si>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</si>
  <si>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</si>
  <si>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</si>
  <si>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</si>
  <si>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</si>
  <si>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</si>
  <si>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</si>
  <si>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</si>
  <si>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</si>
  <si>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</si>
  <si>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</si>
  <si>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</si>
  <si>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</si>
  <si>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</si>
  <si>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</si>
  <si>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</si>
  <si>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</si>
  <si>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</si>
  <si>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</si>
  <si>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</si>
  <si>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</si>
  <si>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</si>
  <si>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</si>
  <si>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</si>
  <si>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</si>
  <si>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</si>
  <si>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</si>
  <si>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</si>
  <si>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</si>
  <si>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</si>
  <si>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</si>
  <si>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</si>
  <si>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</si>
  <si>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</si>
  <si>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</si>
  <si>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</si>
  <si>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</si>
  <si>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</si>
  <si>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</si>
  <si>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</si>
  <si>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</si>
  <si>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</si>
  <si>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</si>
  <si>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</si>
  <si>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</si>
  <si>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</si>
  <si>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</si>
  <si>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</si>
  <si>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</si>
  <si>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</si>
  <si>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</si>
  <si>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</si>
  <si>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</si>
  <si>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</si>
  <si>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</si>
  <si>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</si>
  <si>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</si>
  <si>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</si>
  <si>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</si>
  <si>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</si>
  <si>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</si>
  <si>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</si>
  <si>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</si>
  <si>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</si>
  <si>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</si>
  <si>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</si>
  <si>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</si>
  <si>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</si>
  <si>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</si>
  <si>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</si>
  <si>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</si>
  <si>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</si>
  <si>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</si>
  <si>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</si>
  <si>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</si>
  <si>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</si>
  <si>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</si>
  <si>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</si>
  <si>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</si>
  <si>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</si>
  <si>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</si>
  <si>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</si>
  <si>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</si>
  <si>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</si>
  <si>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</si>
  <si>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</si>
  <si>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</si>
  <si>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</si>
  <si>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</si>
  <si>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</si>
  <si>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</si>
  <si>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</si>
  <si>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</si>
  <si>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</si>
  <si>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</si>
  <si>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</si>
  <si>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</si>
  <si>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</si>
  <si>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</si>
  <si>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</si>
  <si>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</si>
  <si>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</si>
  <si>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</si>
  <si>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</si>
  <si>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</si>
  <si>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</si>
  <si>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</si>
  <si>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</si>
  <si>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</si>
  <si>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</si>
  <si>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</si>
  <si>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</si>
  <si>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</si>
  <si>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</si>
  <si>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</si>
  <si>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</si>
  <si>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</si>
  <si>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</si>
  <si>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</si>
  <si>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</si>
  <si>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</si>
  <si>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</si>
  <si>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</si>
  <si>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</si>
  <si>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</si>
  <si>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</si>
  <si>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</si>
  <si>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</si>
  <si>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</si>
  <si>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</si>
  <si>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</si>
  <si>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</si>
  <si>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</si>
  <si>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</si>
  <si>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</si>
  <si>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</si>
  <si>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</si>
  <si>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</si>
  <si>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</si>
  <si>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</si>
  <si>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</si>
  <si>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</si>
  <si>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</si>
  <si>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</si>
  <si>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</si>
  <si>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</si>
  <si>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</si>
  <si>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</si>
  <si>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</si>
  <si>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</si>
  <si>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</si>
  <si>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</si>
  <si>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</si>
  <si>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</si>
  <si>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</si>
  <si>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</si>
  <si>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</si>
  <si>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</si>
  <si>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</si>
  <si>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</si>
  <si>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</si>
  <si>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</si>
  <si>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</si>
  <si>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</si>
  <si>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</si>
  <si>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</si>
  <si>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</si>
  <si>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</si>
  <si>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</si>
  <si>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</si>
  <si>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</si>
  <si>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</si>
  <si>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</si>
  <si>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</si>
  <si>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</si>
  <si>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</si>
  <si>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</si>
  <si>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</si>
  <si>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</si>
  <si>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</si>
  <si>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</si>
  <si>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</si>
  <si>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</si>
  <si>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</si>
  <si>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</si>
  <si>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</si>
  <si>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</si>
  <si>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</si>
  <si>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</si>
  <si>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</si>
  <si>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</si>
  <si>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</si>
  <si>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</si>
  <si>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</si>
  <si>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</si>
  <si>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</si>
  <si>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</si>
  <si>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</si>
  <si>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</si>
  <si>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</si>
  <si>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</si>
  <si>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</si>
  <si>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</si>
  <si>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</si>
  <si>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</si>
  <si>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</si>
  <si>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</si>
  <si>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</si>
  <si>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</si>
  <si>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</si>
  <si>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</si>
  <si>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</si>
  <si>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</si>
  <si>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</si>
  <si>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</si>
  <si>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</si>
  <si>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</si>
  <si>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</si>
  <si>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</si>
  <si>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</si>
  <si>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</si>
  <si>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</si>
  <si>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</si>
  <si>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</si>
  <si>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</si>
  <si>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</si>
  <si>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</si>
  <si>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</si>
  <si>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</si>
  <si>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</si>
  <si>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</si>
  <si>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</si>
  <si>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</si>
  <si>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</si>
  <si>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</si>
  <si>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</si>
  <si>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</si>
  <si>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</si>
  <si>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</si>
  <si>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</si>
  <si>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</si>
  <si>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</si>
  <si>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</si>
  <si>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</si>
  <si>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</si>
  <si>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</si>
  <si>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</si>
  <si>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</si>
  <si>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</si>
  <si>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</si>
  <si>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</si>
  <si>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</si>
  <si>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</si>
  <si>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</si>
  <si>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</si>
  <si>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</si>
  <si>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</si>
  <si>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</si>
  <si>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</si>
  <si>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</si>
  <si>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</si>
  <si>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</si>
  <si>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</si>
  <si>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</si>
  <si>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</si>
  <si>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</si>
  <si>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</si>
  <si>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</si>
  <si>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</si>
  <si>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</si>
  <si>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</si>
  <si>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</si>
  <si>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</si>
  <si>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</si>
  <si>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</si>
  <si>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</si>
  <si>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</si>
  <si>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</si>
  <si>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</si>
  <si>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</si>
  <si>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</si>
  <si>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</si>
  <si>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</si>
  <si>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</si>
  <si>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</si>
  <si>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</si>
  <si>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</si>
  <si>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</si>
  <si>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</si>
  <si>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</si>
  <si>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</si>
  <si>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</si>
  <si>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</si>
  <si>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</si>
  <si>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</si>
  <si>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</si>
  <si>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</si>
  <si>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</si>
  <si>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</si>
  <si>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</si>
  <si>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</si>
  <si>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</si>
  <si>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</si>
  <si>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</si>
  <si>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</si>
  <si>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</si>
  <si>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</si>
  <si>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</si>
  <si>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</si>
  <si>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</si>
  <si>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</si>
  <si>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</si>
  <si>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</si>
  <si>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</si>
  <si>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</si>
  <si>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</si>
  <si>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</si>
  <si>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</si>
  <si>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</si>
  <si>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</si>
  <si>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</si>
  <si>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</si>
  <si>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</si>
  <si>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</si>
  <si>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</si>
  <si>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</si>
  <si>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</si>
  <si>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</si>
  <si>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</si>
  <si>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</si>
  <si>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</si>
  <si>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</si>
  <si>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</si>
  <si>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</si>
  <si>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</si>
  <si>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</si>
  <si>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</si>
  <si>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</si>
  <si>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</si>
  <si>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</si>
  <si>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</si>
  <si>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</si>
  <si>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</si>
  <si>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</si>
  <si>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</si>
  <si>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</si>
  <si>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</si>
  <si>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</si>
  <si>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</si>
  <si>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</si>
  <si>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</si>
  <si>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</si>
  <si>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</si>
  <si>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</si>
  <si>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</si>
  <si>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</si>
  <si>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</si>
  <si>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</si>
  <si>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</si>
  <si>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</si>
  <si>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</si>
  <si>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</si>
  <si>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</si>
  <si>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</si>
  <si>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</si>
  <si>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</si>
  <si>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</si>
  <si>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</si>
  <si>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</si>
  <si>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</si>
  <si>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</si>
  <si>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</si>
  <si>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</si>
  <si>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</si>
  <si>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</si>
  <si>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</si>
  <si>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</si>
  <si>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</si>
  <si>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</si>
  <si>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</si>
  <si>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</si>
  <si>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</si>
  <si>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</si>
  <si>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</si>
  <si>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</si>
  <si>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</si>
  <si>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</si>
  <si>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</si>
  <si>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</si>
  <si>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</si>
  <si>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</si>
  <si>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</si>
  <si>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</si>
  <si>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</si>
  <si>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</si>
  <si>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</si>
  <si>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</si>
  <si>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</si>
  <si>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</si>
  <si>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</si>
  <si>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</si>
  <si>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</si>
  <si>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</si>
  <si>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</si>
  <si>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</si>
  <si>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</si>
  <si>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</si>
  <si>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</si>
  <si>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</si>
  <si>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</si>
  <si>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</si>
  <si>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</si>
  <si>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</si>
  <si>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</si>
  <si>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</si>
  <si>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</si>
  <si>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</si>
  <si>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</si>
  <si>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</si>
  <si>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</si>
  <si>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</si>
  <si>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</si>
  <si>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</si>
  <si>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</si>
  <si>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</si>
  <si>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</si>
  <si>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</si>
  <si>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</si>
  <si>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</si>
  <si>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</si>
  <si>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</si>
  <si>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</si>
  <si>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</si>
  <si>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</si>
  <si>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</si>
  <si>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</si>
  <si>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</si>
  <si>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</si>
  <si>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</si>
  <si>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</si>
  <si>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</si>
  <si>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</si>
  <si>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</si>
  <si>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</si>
  <si>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</si>
  <si>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</si>
  <si>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</si>
  <si>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</si>
  <si>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</si>
  <si>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</si>
  <si>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</si>
  <si>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</si>
  <si>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</si>
  <si>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</si>
  <si>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</si>
  <si>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</si>
  <si>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</si>
  <si>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</si>
  <si>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</si>
  <si>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</si>
  <si>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</si>
  <si>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</si>
  <si>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</si>
  <si>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</si>
  <si>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</si>
  <si>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</si>
  <si>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</si>
  <si>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</si>
  <si>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</si>
  <si>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</si>
  <si>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</si>
  <si>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</si>
  <si>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</si>
  <si>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</si>
  <si>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</si>
  <si>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</si>
  <si>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</si>
  <si>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</si>
  <si>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</si>
  <si>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</si>
  <si>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</si>
  <si>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</si>
  <si>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</si>
  <si>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</si>
  <si>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</si>
  <si>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</si>
  <si>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</si>
  <si>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</si>
  <si>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</si>
  <si>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</si>
  <si>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</si>
  <si>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</si>
  <si>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</si>
  <si>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</si>
  <si>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</si>
  <si>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</si>
  <si>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</si>
  <si>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</si>
  <si>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</si>
  <si>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</si>
  <si>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</si>
  <si>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</si>
  <si>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</si>
  <si>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</si>
  <si>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</si>
  <si>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</si>
  <si>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</si>
  <si>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</si>
  <si>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</si>
  <si>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</si>
  <si>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</si>
  <si>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</si>
  <si>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</si>
  <si>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</si>
  <si>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</si>
  <si>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</si>
  <si>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</si>
  <si>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</si>
  <si>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</si>
  <si>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</si>
  <si>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</si>
  <si>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</si>
  <si>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</si>
  <si>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</si>
  <si>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</si>
  <si>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</si>
  <si>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</si>
  <si>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</si>
  <si>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</si>
  <si>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</si>
  <si>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</si>
  <si>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</si>
  <si>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</si>
  <si>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</si>
  <si>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</si>
  <si>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</si>
  <si>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</si>
  <si>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</si>
  <si>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</si>
  <si>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</si>
  <si>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</si>
  <si>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</si>
  <si>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</si>
  <si>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</si>
  <si>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</si>
  <si>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</si>
  <si>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</si>
  <si>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</si>
  <si>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</si>
  <si>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</si>
  <si>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</si>
  <si>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</si>
  <si>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</si>
  <si>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</si>
  <si>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</si>
  <si>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</si>
  <si>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</si>
  <si>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</si>
  <si>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</si>
  <si>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</si>
  <si>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</si>
  <si>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</si>
  <si>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</si>
  <si>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</si>
  <si>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</si>
  <si>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</si>
  <si>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</si>
  <si>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</si>
  <si>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</si>
  <si>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</si>
  <si>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</si>
  <si>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</si>
  <si>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</si>
  <si>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</si>
  <si>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</si>
  <si>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</si>
  <si>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</si>
  <si>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</si>
  <si>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</si>
  <si>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</si>
  <si>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</si>
  <si>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</si>
  <si>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</si>
  <si>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</si>
  <si>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</si>
  <si>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</si>
  <si>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</si>
  <si>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</si>
  <si>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</si>
  <si>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</si>
  <si>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</si>
  <si>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</si>
  <si>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</si>
  <si>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</si>
  <si>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</si>
  <si>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</si>
  <si>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</si>
  <si>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</si>
  <si>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</si>
  <si>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</si>
  <si>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</si>
  <si>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</si>
  <si>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</si>
  <si>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</si>
  <si>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</si>
  <si>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</si>
  <si>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</si>
  <si>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</si>
  <si>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</si>
  <si>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</si>
  <si>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</si>
  <si>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</si>
  <si>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</si>
  <si>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</si>
  <si>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</si>
  <si>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</si>
  <si>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</si>
  <si>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</si>
  <si>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</si>
  <si>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</si>
  <si>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</si>
  <si>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</si>
  <si>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</si>
  <si>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</si>
  <si>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</si>
  <si>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</si>
  <si>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</si>
  <si>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</si>
  <si>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</si>
  <si>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</si>
  <si>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</si>
  <si>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</si>
  <si>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</si>
  <si>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</si>
  <si>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</si>
  <si>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</si>
  <si>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</si>
  <si>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</si>
  <si>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</si>
  <si>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</si>
  <si>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</si>
  <si>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</si>
  <si>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</si>
  <si>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</si>
  <si>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</si>
  <si>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</si>
  <si>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</si>
  <si>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</si>
  <si>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</si>
  <si>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</si>
  <si>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</si>
  <si>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</si>
  <si>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</si>
  <si>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</si>
  <si>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</si>
  <si>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</si>
  <si>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</si>
  <si>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</si>
  <si>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</si>
  <si>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</si>
  <si>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</si>
  <si>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</si>
  <si>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</si>
  <si>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</si>
  <si>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</si>
  <si>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</si>
  <si>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</si>
  <si>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</si>
  <si>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</si>
  <si>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</si>
  <si>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</si>
  <si>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</si>
  <si>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</si>
  <si>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</si>
  <si>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</si>
  <si>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</si>
  <si>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</si>
  <si>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</si>
  <si>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</si>
  <si>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</si>
  <si>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</si>
  <si>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</si>
  <si>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</si>
  <si>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</si>
  <si>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</si>
  <si>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</si>
  <si>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</si>
  <si>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</si>
  <si>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</si>
  <si>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</si>
  <si>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</si>
  <si>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</si>
  <si>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</si>
  <si>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</si>
  <si>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</si>
  <si>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</si>
  <si>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</si>
  <si>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</si>
  <si>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</si>
  <si>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</si>
  <si>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</si>
  <si>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</si>
  <si>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</si>
  <si>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</si>
  <si>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</si>
  <si>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</si>
  <si>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</si>
  <si>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</si>
  <si>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</si>
  <si>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</si>
  <si>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</si>
  <si>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</si>
  <si>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</si>
  <si>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</si>
  <si>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</si>
  <si>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</si>
  <si>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</si>
  <si>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</si>
  <si>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</si>
  <si>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</si>
  <si>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</si>
  <si>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</si>
  <si>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</si>
  <si>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</si>
  <si>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</si>
  <si>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</si>
  <si>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</si>
  <si>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</si>
  <si>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</si>
  <si>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</si>
  <si>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</si>
  <si>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</si>
  <si>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</si>
  <si>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</si>
  <si>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</si>
  <si>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</si>
  <si>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</si>
  <si>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</si>
  <si>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</si>
  <si>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</si>
  <si>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</si>
  <si>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</si>
  <si>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</si>
  <si>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</si>
  <si>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</si>
  <si>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</si>
  <si>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</si>
  <si>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</si>
  <si>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</si>
  <si>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</si>
  <si>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</si>
  <si>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</si>
  <si>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</si>
  <si>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</si>
  <si>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</si>
  <si>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</si>
  <si>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</si>
  <si>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</si>
  <si>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</si>
  <si>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</si>
  <si>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</si>
  <si>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</si>
  <si>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</si>
  <si>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</si>
  <si>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</si>
  <si>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</si>
  <si>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</si>
  <si>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</si>
  <si>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</si>
  <si>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</si>
  <si>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</si>
  <si>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</si>
  <si>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</si>
  <si>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</si>
  <si>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</si>
  <si>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</si>
  <si>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</si>
  <si>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</si>
  <si>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</si>
  <si>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</si>
  <si>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</si>
  <si>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</si>
  <si>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</si>
  <si>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</si>
  <si>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</si>
  <si>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</si>
  <si>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</si>
  <si>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</si>
  <si>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</si>
  <si>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</si>
  <si>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</si>
  <si>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</si>
  <si>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</si>
  <si>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</si>
  <si>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</si>
  <si>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</si>
  <si>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</si>
  <si>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</si>
  <si>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</si>
  <si>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</si>
  <si>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</si>
  <si>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</si>
  <si>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</si>
  <si>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</si>
  <si>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</si>
  <si>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</si>
  <si>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</si>
  <si>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</si>
  <si>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</si>
  <si>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</si>
  <si>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</si>
  <si>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</si>
  <si>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</si>
  <si>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</si>
  <si>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</si>
  <si>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</si>
  <si>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</si>
  <si>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</si>
  <si>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</si>
  <si>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</si>
  <si>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</si>
  <si>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</si>
  <si>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</si>
  <si>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</si>
  <si>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</si>
  <si>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</si>
  <si>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</si>
  <si>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</si>
  <si>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</si>
  <si>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</si>
  <si>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</si>
  <si>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</si>
  <si>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</si>
  <si>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</si>
  <si>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</si>
  <si>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</si>
  <si>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</si>
  <si>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</si>
  <si>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</si>
  <si>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</si>
  <si>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</si>
  <si>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</si>
  <si>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</si>
  <si>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</si>
  <si>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</si>
  <si>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</si>
  <si>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</si>
  <si>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</si>
  <si>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</si>
  <si>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</si>
  <si>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</si>
  <si>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</si>
  <si>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</si>
  <si>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</si>
  <si>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</si>
  <si>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</si>
  <si>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</si>
  <si>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</si>
  <si>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</si>
  <si>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</si>
  <si>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</si>
  <si>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</si>
  <si>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</si>
  <si>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</si>
  <si>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</si>
  <si>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</si>
  <si>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</si>
  <si>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</si>
  <si>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</si>
  <si>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</si>
  <si>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</si>
  <si>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</si>
  <si>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</si>
  <si>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</si>
  <si>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</si>
  <si>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</si>
  <si>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</si>
  <si>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</si>
  <si>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</si>
  <si>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</si>
  <si>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</si>
  <si>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</si>
  <si>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</si>
  <si>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</si>
  <si>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</si>
  <si>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</si>
  <si>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</si>
  <si>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</si>
  <si>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</si>
  <si>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</si>
  <si>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</si>
  <si>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</si>
  <si>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</si>
  <si>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</si>
  <si>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</si>
  <si>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</si>
  <si>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</si>
  <si>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</si>
  <si>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</si>
  <si>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</si>
  <si>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</si>
  <si>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</si>
  <si>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</si>
  <si>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</si>
  <si>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</si>
  <si>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</si>
  <si>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</si>
  <si>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</si>
  <si>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</si>
  <si>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</si>
  <si>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</si>
  <si>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</si>
  <si>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</si>
  <si>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</si>
  <si>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</si>
  <si>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</si>
  <si>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</si>
  <si>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</si>
  <si>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</si>
  <si>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</si>
  <si>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</si>
  <si>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</si>
  <si>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</si>
  <si>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</si>
  <si>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</si>
  <si>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</si>
  <si>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</si>
  <si>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</si>
  <si>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</si>
  <si>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</si>
  <si>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</si>
  <si>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</si>
  <si>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</si>
  <si>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</si>
  <si>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</si>
  <si>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</si>
  <si>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</si>
  <si>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</si>
  <si>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</si>
  <si>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</si>
  <si>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</si>
  <si>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</si>
  <si>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</si>
  <si>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</si>
  <si>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</si>
  <si>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</si>
  <si>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</si>
  <si>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</si>
  <si>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</si>
  <si>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</si>
  <si>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</si>
  <si>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</si>
  <si>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</si>
  <si>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</si>
  <si>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</si>
  <si>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</si>
  <si>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</si>
  <si>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</si>
  <si>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</si>
  <si>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</si>
  <si>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</si>
  <si>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</si>
  <si>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</si>
  <si>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</si>
  <si>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</si>
  <si>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</si>
  <si>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</si>
  <si>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</si>
  <si>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</si>
  <si>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</si>
  <si>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</si>
  <si>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</si>
  <si>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</si>
  <si>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</si>
  <si>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</si>
  <si>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</si>
  <si>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</si>
  <si>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</si>
  <si>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</si>
  <si>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</si>
  <si>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</si>
  <si>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</si>
  <si>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</si>
  <si>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</si>
  <si>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</si>
  <si>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</si>
  <si>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</si>
  <si>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</si>
  <si>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</si>
  <si>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</si>
  <si>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</si>
  <si>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</si>
  <si>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</si>
  <si>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</si>
  <si>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</si>
  <si>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</si>
  <si>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</si>
  <si>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</si>
  <si>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</si>
  <si>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</si>
  <si>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</si>
  <si>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</si>
  <si>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</si>
  <si>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</si>
  <si>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</si>
  <si>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</si>
  <si>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</si>
  <si>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</si>
  <si>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</si>
  <si>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</si>
  <si>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</si>
  <si>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</si>
  <si>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</si>
  <si>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</si>
  <si>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</si>
  <si>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</si>
  <si>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</si>
  <si>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</si>
  <si>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</si>
  <si>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</si>
  <si>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</si>
  <si>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</si>
  <si>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</si>
  <si>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</si>
  <si>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</si>
  <si>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</si>
  <si>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</si>
  <si>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</si>
  <si>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</si>
  <si>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</si>
  <si>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</si>
  <si>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</si>
  <si>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</si>
  <si>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</si>
  <si>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</si>
  <si>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</si>
  <si>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</si>
  <si>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</si>
  <si>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</si>
  <si>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</si>
  <si>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</si>
  <si>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</si>
  <si>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</si>
  <si>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</si>
  <si>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</si>
  <si>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</si>
  <si>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</si>
  <si>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</si>
  <si>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</si>
  <si>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</si>
  <si>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</si>
  <si>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</si>
  <si>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</si>
  <si>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</si>
  <si>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</si>
  <si>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</si>
  <si>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</si>
  <si>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</si>
  <si>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</si>
  <si>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</si>
  <si>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</si>
  <si>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</si>
  <si>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</si>
  <si>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</si>
  <si>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</si>
  <si>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</si>
  <si>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</si>
  <si>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</si>
  <si>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</si>
  <si>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</si>
  <si>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</si>
  <si>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</si>
  <si>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</si>
  <si>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</si>
  <si>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</si>
  <si>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</si>
  <si>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</si>
  <si>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</si>
  <si>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</si>
  <si>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</si>
  <si>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</si>
  <si>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</si>
  <si>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</si>
  <si>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</si>
  <si>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</si>
  <si>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</si>
  <si>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</si>
  <si>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</si>
  <si>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</si>
  <si>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</si>
  <si>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</si>
  <si>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</si>
  <si>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</si>
  <si>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</si>
  <si>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</si>
  <si>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</si>
  <si>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</si>
  <si>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</si>
  <si>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</si>
  <si>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</si>
  <si>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</si>
  <si>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</si>
  <si>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</si>
  <si>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</si>
  <si>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</si>
  <si>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</si>
  <si>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</si>
  <si>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</si>
  <si>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</si>
  <si>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</si>
  <si>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</si>
  <si>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</si>
  <si>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</si>
  <si>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</si>
  <si>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</si>
  <si>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</si>
  <si>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</si>
  <si>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</si>
  <si>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</si>
  <si>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</si>
  <si>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</si>
  <si>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</si>
  <si>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</si>
  <si>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</si>
  <si>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</si>
  <si>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</si>
  <si>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</si>
  <si>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</si>
  <si>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</si>
  <si>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</si>
  <si>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</si>
  <si>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</si>
  <si>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</si>
  <si>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</si>
  <si>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</si>
  <si>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</si>
  <si>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</si>
  <si>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</si>
  <si>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</si>
  <si>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</si>
  <si>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</si>
  <si>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</si>
  <si>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</si>
  <si>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</si>
  <si>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</si>
  <si>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</si>
  <si>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</si>
  <si>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085654e5-4d3c-475b-84f5-857e93e19d03</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</si>
  <si>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</si>
  <si>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</si>
  <si>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</si>
  <si>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</si>
  <si>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</si>
  <si>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</si>
  <si>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9e5a4bc6-5547-49b9-807e-1c360ff71448</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</si>
  <si>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</si>
  <si>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</si>
  <si>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</si>
  <si>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</si>
  <si>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08983f31-0d22-44d2-a1da-ff7fa0d538cc</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</si>
  <si>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</si>
  <si>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</si>
  <si>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</si>
  <si>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</si>
  <si>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</si>
  <si>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98162f0f-483a-47ee-84bd-d95b06831bd4</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</si>
  <si>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</si>
  <si>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</si>
  <si>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</si>
  <si>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</si>
  <si>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</si>
  <si>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49f0c59a-54d4-4aa1-a395-e89f385ff771</t>
  </si>
  <si>
    <t>Mich Brown</t>
  </si>
  <si>
    <t>Sole Survivor</t>
  </si>
  <si>
    <t>Ally. Wayfarer.</t>
  </si>
  <si>
    <t>Leo Anderson deck only.
You have 2 additional ally slots, which can only be used to hold non-unique allies.</t>
  </si>
  <si>
    <t>b226fad1-ccc0-4cd4-a730-cb8d7d68380b</t>
  </si>
  <si>
    <t>Bought in Blood</t>
  </si>
  <si>
    <t>Revelation – You must either discard an Ally asset you control from play, or discard each Ally asset from your hand. If no assets are discarded by this effect, shuffle Bought in Blood back into your deck.</t>
  </si>
  <si>
    <t>ed378f6f-2166-49ed-b380-446df6275e02</t>
  </si>
  <si>
    <t>Jake Williams</t>
  </si>
  <si>
    <t>Loyal Companion</t>
  </si>
  <si>
    <t>Ursula Downs deck only.
The first move or investigate action you perform each turn does not provoke attacks of opportunity.
ι After you reveal a location or put a new location into play, exhaust Jake Williams: Draw 1 card.</t>
  </si>
  <si>
    <t>96b9b8ef-8875-43b9-80f5-3c6c8ce71aba</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</si>
  <si>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</si>
  <si>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</si>
  <si>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09e7f429-9fa3-45be-887f-e4ac51f8ab22</t>
  </si>
  <si>
    <t>Smuggled Goods</t>
  </si>
  <si>
    <t xml:space="preserve">Finn Edwards deck only.
Play only if you are not engaged with an enemy.
Search either your discard pile or the top 9 cards of your deck for an Illicit card and draw it. If you searched your deck, shuffle Smuggled Goods into your deck.
</t>
  </si>
  <si>
    <t>9e9db6d9-f51b-4d7b-be5b-ec4f8a50f926</t>
  </si>
  <si>
    <t>Finn's Trusty .38</t>
  </si>
  <si>
    <t>Finn Edwards deck only. Fast. Uses (3 ammo).
η Spend 1 ammo: Fight. You get +2 ή for this attack. If the attacked enemy is not engaged with you, you deal +1 damage for this attack.</t>
  </si>
  <si>
    <t>22f2181b-f0b0-47cb-8a25-6cf909707ebe</t>
  </si>
  <si>
    <t>Caught Red-Handed</t>
  </si>
  <si>
    <t>Revelation – Ready each enemy at your location or a connecting location. Each hunter enemy at a connecting location moves 1 location toward you. If no enemies move as a result of this effect, shuffle Caught Red-Handed back into your deck.</t>
  </si>
  <si>
    <t>33ae0c43-8b3a-4d77-af32-3ed7cab88259</t>
  </si>
  <si>
    <t>The Codex of Ages</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</si>
  <si>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</si>
  <si>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</si>
  <si>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148ca2da-f2ba-4be3-9a62-acbc2add44d2</t>
  </si>
  <si>
    <t>Serpents of Yig</t>
  </si>
  <si>
    <t>Humanoid. Monster. Serpent.</t>
  </si>
  <si>
    <t>Prey – Father Mateo only.
Hunter.
Revelation – Search the chaos bag for the ε chaos token and seal it on Serpents of Yig.</t>
  </si>
  <si>
    <t>6b03c20d-c456-403b-9f91-495daed2107e</t>
  </si>
  <si>
    <t>Until the End of Time</t>
  </si>
  <si>
    <t>Calvin Wright deck only.
Direct damage and direct horror may be assigned to Until the End of Time.</t>
  </si>
  <si>
    <t>57044336-db1f-4e8c-a547-8db0e2d777af</t>
  </si>
  <si>
    <t>Voice of the Messenger</t>
  </si>
  <si>
    <t>Curse. Pact.</t>
  </si>
  <si>
    <t>Revelation – You must either (choose one):
–Take 1 direct damage and suffer 1 physical trauma.
–Take 1 direct horror and suffer 1 mental trauma.</t>
  </si>
  <si>
    <t>071297dd-139f-4c06-bdc0-36579f0e1a4b</t>
  </si>
  <si>
    <t>Survival Knife</t>
  </si>
  <si>
    <t>η: Fight. You get +1 ή for this attack.
ι After an enemy attack deals damage to you during the enemy phase, exhaust Survival Knife: Fight. This attack targets the attacking enemy. You get +2 ή and deal +1 damage for this attack.</t>
  </si>
  <si>
    <t>2922eaa2-b8ca-4784-970e-7a154ff923d4</t>
  </si>
  <si>
    <t>Venturer</t>
  </si>
  <si>
    <t>Uses (3 supplies).
θ Spend 1 supply and exhaust Venturer: Place 1 supply or ammo on an asset controlled by an investigator at your location.</t>
  </si>
  <si>
    <t>3f0de4d2-244f-4125-8d12-43484818136d</t>
  </si>
  <si>
    <t>Trusted</t>
  </si>
  <si>
    <t>Upgrade.</t>
  </si>
  <si>
    <t>Fast. Play only during your turn.
Attach to an Ally asset you control.
Attached asset gets +1 health and +1 sanity.</t>
  </si>
  <si>
    <t>648d6735-a917-4b21-8041-b7bdd012c4dd</t>
  </si>
  <si>
    <t>Reliable</t>
  </si>
  <si>
    <t>Fast. Play only during your turn.
Attach to an Item asset you control.
While resolving a triggered ability on attached asset, you get +1 to each of your skills.</t>
  </si>
  <si>
    <t>ce034798-64fd-4a9c-8691-50c3e2477938</t>
  </si>
  <si>
    <t>Dr. Elli Horowitz</t>
  </si>
  <si>
    <t>Assistant Curator</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</si>
  <si>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</si>
  <si>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</si>
  <si>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7177aa07-e576-407d-a0ae-2c2e9ea6da57</t>
  </si>
  <si>
    <t>Ancient Stone</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</si>
  <si>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</si>
  <si>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ffdc9ae3-cbab-4998-8fde-44a84c35611e</t>
  </si>
  <si>
    <t>Tooth of Eztli</t>
  </si>
  <si>
    <t>Mortal Reminder</t>
  </si>
  <si>
    <t>You get +1 ά and +1 ί while resolving an ability on a treachery card.
ι After you succeed at a skill test while resolving an ability on a treachery card, exhaust Tooth of Eztli: Draw 1 card.</t>
  </si>
  <si>
    <t>f325bfbf-5715-4c8f-8607-01d52a87e344</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</si>
  <si>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</si>
  <si>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</si>
  <si>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c5c0118e-1eda-46e5-978b-26451f83b1ff</t>
  </si>
  <si>
    <t>Treasure Hunter</t>
  </si>
  <si>
    <t>You get +1 έ.
Forced – At the end of the upkeep phase: You must either pay 1 resource or discard Treasure Hunter.</t>
  </si>
  <si>
    <t>bfec127a-821d-4603-89c0-9cb188e310c2</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</si>
  <si>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</si>
  <si>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</si>
  <si>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</si>
  <si>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</si>
  <si>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</si>
  <si>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</si>
  <si>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</si>
  <si>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</si>
  <si>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</si>
  <si>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</si>
  <si>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Fast. Play after you draw a non-peril encounter card, but before resolving that card’s effects.
Choose another investigator. That investigator is considered to have drawn that encounter card instead. Gain 1 resource.</t>
  </si>
  <si>
    <t>d271e127-2cc4-4553-a5f6-5107236100d5</t>
  </si>
  <si>
    <t>Mists of R'lyeh</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</si>
  <si>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</si>
  <si>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57860818-e764-4e7b-91be-21c744ad22c8</t>
  </si>
  <si>
    <t>The Chthonian Stone</t>
  </si>
  <si>
    <t>Stygian Waymark</t>
  </si>
  <si>
    <t>Seal (α, β, γ, or δ).
Forced – After you reveal an ζ symbol during a skill test: Return The Chthonian Stone to your hand.</t>
  </si>
  <si>
    <t>d0830ae8-fa1a-4fd4-9ab6-414e65e02464</t>
  </si>
  <si>
    <t>Protective Incantation</t>
  </si>
  <si>
    <t>Ritual. Blessed.</t>
  </si>
  <si>
    <t>Group limit 2 copies of Protective Incantation in play.
Seal (any except ζ).
Forced – At the end of your turn: You must either spend 1 resource or discard Protective Incantation.</t>
  </si>
  <si>
    <t>1361a141-20f1-49eb-b466-7dd2856ec15d</t>
  </si>
  <si>
    <t>Dark Prophecy</t>
  </si>
  <si>
    <t>Augury.</t>
  </si>
  <si>
    <t>Fast. Play when you would reveal a chaos token.
Reveal 5 chaos tokens instead of 1. Choose one of those tokens with a α, β, γ, δ, or ζ symbol to resolve, and ignore the rest. (If no such token is revealed, choose any one of those tokens to resolve, and ignore the rest.)</t>
  </si>
  <si>
    <t>38e51b29-b8ec-43b9-8668-d284dd7ed06f</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</si>
  <si>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</si>
  <si>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</si>
  <si>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</si>
  <si>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7fd1157f-32b6-46a0-a0b8-d64c5f6e34b0</t>
  </si>
  <si>
    <t>Dumb Luck</t>
  </si>
  <si>
    <t>Fast. Play after you fail a skill test by 2 or less during an evasion attempt against a non-Elite enemy.
Place that enemy on top of the encounter deck.</t>
  </si>
  <si>
    <t>2f93c268-b201-4e83-ae34-b5b009296a8e</t>
  </si>
  <si>
    <t>Yaotl</t>
  </si>
  <si>
    <t>Lost Son of Eztli</t>
  </si>
  <si>
    <t>θ Exhaust Yaotl: During this skill test, you get a bonus to each skill equal to the number of matching skill icons on the top card of your discard pile (not counting ΰ icons).
θ: Discard the top card of your deck. (Limit once per turn.)</t>
  </si>
  <si>
    <t>fc7e359f-8979-490a-bd24-a810c1ed9253</t>
  </si>
  <si>
    <t>Last Chance</t>
  </si>
  <si>
    <t>ΰΰΰΰΰ</t>
  </si>
  <si>
    <t>Commit only to a skill test with no other cards committed to it. Other cards cannot be committed to this skill test.
Last Chance loses ΰ for each card in your hand.</t>
  </si>
  <si>
    <t>78abaa4c-d90b-4e4f-a14f-38ac41ae4904</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</si>
  <si>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</si>
  <si>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</si>
  <si>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d2a6e29c-05d8-44d1-8359-87eee3f68597</t>
  </si>
  <si>
    <t>Dark Pact</t>
  </si>
  <si>
    <t>Campaign Mode only.
Deal 2 damage to an investigator at your location.
Forced – When the game ends or you are eliminated, if Dark Pact is still in your hand: Remove Dark Pact from your deck. Search the collection for The Price of Failure and add it to your deck.</t>
  </si>
  <si>
    <t>c993d3ba-4af0-4ca6-b1c9-b2b1e4162b2f</t>
  </si>
  <si>
    <t>Revelation – Take 2 damage and 2 horror. Place 1 doom on the current agenda (this effect can cause the current agenda to advance). Remove The Price of Failure from your deck. Search the collection for Dark Pact and place it in your discard pile.</t>
  </si>
  <si>
    <t>14254816-3365-4c12-bb9f-02ba35920333</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</si>
  <si>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</si>
  <si>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</si>
  <si>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63481a59-ebe6-41dd-a15e-ad374cb62d8e</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</si>
  <si>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</si>
  <si>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</si>
  <si>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7e128568-d28c-436f-9c73-1b5f6b3e40ee</t>
  </si>
  <si>
    <t>The Bell Tolls</t>
  </si>
  <si>
    <t>Revelation – The hour of your demise has arrived. You are killed.</t>
  </si>
  <si>
    <t>6ea63fe0-6d47-49f8-aded-c891b70b6c63</t>
  </si>
  <si>
    <t>The Untamed Wilds</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</si>
  <si>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</si>
  <si>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</si>
  <si>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cf16a4b5-94ef-48af-8493-39999789746f</t>
  </si>
  <si>
    <t>Expedition into the Wild</t>
  </si>
  <si>
    <t>η: Explore. Draw the top card of the exploration deck. If it is a connecting location, put it into play and move to it.</t>
  </si>
  <si>
    <t>The Serpents Attack!</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</si>
  <si>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</si>
  <si>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9156e93a-8c28-4ec3-aae0-ab1ecfa166a0</t>
  </si>
  <si>
    <t>Intruders</t>
  </si>
  <si>
    <t>Endless Meandering</t>
  </si>
  <si>
    <t>Each investigator is defeated. Each investigator who is not poisoned adds a set-aside Poisoned weakness to his or her deck.</t>
  </si>
  <si>
    <t>08b4e0e4-9da1-47c4-98e3-3599fc9292dc</t>
  </si>
  <si>
    <t>Exploring the Rainforest</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</si>
  <si>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</si>
  <si>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</si>
  <si>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</si>
  <si>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bf9a29c5-c5c9-453c-abd7-705d1abedad4</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</si>
  <si>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</si>
  <si>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</si>
  <si>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</si>
  <si>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</si>
  <si>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8c8bbc06-beec-46e9-be4d-b332167db610</t>
  </si>
  <si>
    <t>Search for the Ruins</t>
  </si>
  <si>
    <t>Each Eztli Guardian enemy cannot attack or be attacked. Ignore the effects of each Arrows from the Trees treachery.
Objective – Only investigators at the Ruins of Eztli can spend the requisite number of clues, as a group, to advance.</t>
  </si>
  <si>
    <t>Discovery of a Lifetime</t>
  </si>
  <si>
    <t>(-&gt;R1)</t>
  </si>
  <si>
    <t>193b5971-e931-474a-a8c6-8280f5def4bf</t>
  </si>
  <si>
    <t>The Guarded Ruins</t>
  </si>
  <si>
    <t>Each Eztli Guardian enemy gets +1 fight and +1 evade. Each Arrows from the Trees treachery gains surge.
Objective – Only investigators at the Ruins of Eztli can spend the requisite number of clues, as a group, to advance.</t>
  </si>
  <si>
    <t>(-&gt;R2)</t>
  </si>
  <si>
    <t>7f70d751-9b35-486c-b588-688b30ec2954</t>
  </si>
  <si>
    <t>Expedition Camp</t>
  </si>
  <si>
    <t>Campsite. Jungle.</t>
  </si>
  <si>
    <t>η: Resign. The wilds are too dangerous!
η: Check your supplies. If you have a map, look at the top 3 cards of the exploration deck. Place 1 on the bottom and the other 2 on top, in any order.</t>
  </si>
  <si>
    <t>1f751654-9485-433c-a9e4-d989155a316f</t>
  </si>
  <si>
    <t>Alejandro Vela</t>
  </si>
  <si>
    <t>Renowned Historian</t>
  </si>
  <si>
    <t>You get +1 skill value while investigating an Ancient location.
η If you are at an Ancient location, exhaust Alejandro Vela: Draw 2 cards.</t>
  </si>
  <si>
    <t>882f22d1-b171-4c18-8379-8a5e5e1d1a6d</t>
  </si>
  <si>
    <t>Ichtaca</t>
  </si>
  <si>
    <t>Keeper of the Eztli</t>
  </si>
  <si>
    <t>Humanoid. Eztli. Elite.</t>
  </si>
  <si>
    <t>Alert. Retaliate.</t>
  </si>
  <si>
    <t>η: Parley. Test έ (4) to convince Ichtaca you are not her enemy. If you succeed, place 1 clue (from the token bank) on her. If you fail and Ichtaca is ready, she attacks you.
Victory 1.</t>
  </si>
  <si>
    <t>e99a8289-8797-4ac9-9ad5-dd1d10ca4827</t>
  </si>
  <si>
    <t>Ruins of Eztli</t>
  </si>
  <si>
    <t>Ancient. Ruins.</t>
  </si>
  <si>
    <t>After you fail a skill test while investigating Ruins of Eztli: Draw the top card of the encounter deck.
Victory 2.</t>
  </si>
  <si>
    <t>879c1767-bb80-4859-876a-264845386d78</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</si>
  <si>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</si>
  <si>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</si>
  <si>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</si>
  <si>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e8557d55-2e3e-4ecd-bea1-25560e5055c9</t>
  </si>
  <si>
    <t>Something Stirs…</t>
  </si>
  <si>
    <t>6*</t>
  </si>
  <si>
    <t>*This agenda gets +1π doom threshold.
Forced – When this agenda advances: Do not remove doom from each location in play.</t>
  </si>
  <si>
    <t>The Ruins Awaken</t>
  </si>
  <si>
    <t>Spawn the set-aside Harbinger of Valusia at the location with the most doom.</t>
  </si>
  <si>
    <t>4995a39c-ec0a-44b2-8c15-8182f7271ecc</t>
  </si>
  <si>
    <t>The Temple Warden</t>
  </si>
  <si>
    <t>12*</t>
  </si>
  <si>
    <t>*This agenda gets +1π doom threshold.</t>
  </si>
  <si>
    <t>Catastrophic Ruin</t>
  </si>
  <si>
    <t>Each investigator who has not resigned is defeated.</t>
  </si>
  <si>
    <t>8073f966-3ada-45a9-8d80-8e0721b95aeb</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</si>
  <si>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</si>
  <si>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</si>
  <si>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</si>
  <si>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15a7ae40-ec24-4d7d-b594-1a6063eb5a2e</t>
  </si>
  <si>
    <t>Magic and Science</t>
  </si>
  <si>
    <t>η: Explore. Draw the top card of the exploration deck. If it is a connecting location, put it into play and move to it.
Objective – Only investigators in the Chamber of Time may spend the requisite number of clues, as a group, to advance.</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</si>
  <si>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</si>
  <si>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</si>
  <si>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d174a49b-479f-431c-91ac-0d56b328dff8</t>
  </si>
  <si>
    <t>Escape the Ruins</t>
  </si>
  <si>
    <t>While there are 3 or more vengeance points in the victory display, each Serpent enemy gets +1 evade.
Objective – If each undefeated investigator has resigned, advance.</t>
  </si>
  <si>
    <t>Avoiding Doom</t>
  </si>
  <si>
    <t xml:space="preserve">If an investigator resigned with the Relic of Ages under his or her control: (-&gt;R1)
Otherwise:(-&gt;R3)
</t>
  </si>
  <si>
    <t>638c7211-68ec-451d-b38c-c2398126090d</t>
  </si>
  <si>
    <t>Entryway</t>
  </si>
  <si>
    <t>η: Resign. You’ve escaped…for now.
η: Check your supplies. If you have torches, look at the top 2 cards of the exploration deck. Discard each treachery looked at by this effect. Shuffle the exploration deck.</t>
  </si>
  <si>
    <t>3e73a9f2-c47b-4cf4-b05a-810f19432a49</t>
  </si>
  <si>
    <t>Relic of Ages</t>
  </si>
  <si>
    <t>… A Device, of Some Sort</t>
  </si>
  <si>
    <t>bbff23f5-ba78-4cf4-908a-a9562c37d692</t>
  </si>
  <si>
    <t>Harbinger of Valusia</t>
  </si>
  <si>
    <t>The Sleeper Awakens</t>
  </si>
  <si>
    <t>10π</t>
  </si>
  <si>
    <t>Humanoid. Monster. Serpent. Elite.</t>
  </si>
  <si>
    <t>Alert. Hunter. Retaliate.</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</si>
  <si>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</si>
  <si>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29b45f4f-ebbe-435e-ab30-278593e21f8c</t>
  </si>
  <si>
    <t>Ancient Hall</t>
  </si>
  <si>
    <t>Forced – At the end of the round: Flip 1 of the clues on Ancient Hall to its doom side. Any investigator at Ancient Hall may spend 3 resources to cancel this effect.</t>
  </si>
  <si>
    <t>1c400e14-07a5-4711-b075-0ebd839221f6</t>
  </si>
  <si>
    <t>Grand Chamber</t>
  </si>
  <si>
    <t>Forced – When you investigate Grand Chamber and do not succeed by at least 2: Before resolving any other effects from this skill test, flip 1 of the clues on Grand Chamber to its doom side.
Victory 1.</t>
  </si>
  <si>
    <t>419e2e1d-23ab-4c8a-88df-982968e2891b</t>
  </si>
  <si>
    <t>Burial Pit</t>
  </si>
  <si>
    <t>Forced – After you put Burial Pit into play by exploring successfully: You must either draw 2 cards from the top of the encounter deck or place 2 doom on Burial Pit, or any combination thereof.
Victory 1.</t>
  </si>
  <si>
    <t>b504f6a9-95fc-4db6-957c-c128b810d77a</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</si>
  <si>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</si>
  <si>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</si>
  <si>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a3e5b78b-c05f-49d5-b674-97ff888b4f35</t>
  </si>
  <si>
    <t>Secret Passage</t>
  </si>
  <si>
    <t>Forced – After you enter Secret Passage: You must either take 1 horror and 1 damage, or place 1 doom on Secret Passage. Check your supplies. If you or an investigator at Secret Passage has a rope, ignore this effect.
Victory 1.</t>
  </si>
  <si>
    <t>30d4b977-2178-4471-89d1-c341c854bc04</t>
  </si>
  <si>
    <t>Chamber of Time</t>
  </si>
  <si>
    <t>Forgotten. Ruins.</t>
  </si>
  <si>
    <t>Forced – After Chamber of Time enters play: Attach the set-aside Relic of Ages asset to the Chamber of Time. Place 1 doom on Chamber of Time.
Vengeance 2. Victory 2.</t>
  </si>
  <si>
    <t>1666bdb1-e21b-4f02-b4b3-564593f2181f</t>
  </si>
  <si>
    <t>Rainforest</t>
  </si>
  <si>
    <t>Path of Thorns</t>
  </si>
  <si>
    <t>Jungle.</t>
  </si>
  <si>
    <t>Forced – After you fail a skill test while investigating Path of Thorns: Take 1 damage.
Forced – After you explore while at Path of Thorns, if the exploration was not successful: Take 1 damage.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</si>
  <si>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</si>
  <si>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</si>
  <si>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</si>
  <si>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</si>
  <si>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</si>
  <si>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</si>
  <si>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bd95f839-567b-4b3c-9720-0015498baaf8</t>
  </si>
  <si>
    <t>Serpent's Haven</t>
  </si>
  <si>
    <t>Each Serpent enemy at Serpent’s Haven gets +1 fight.
Forced – After you investigate or explore while at Serpent’s Haven, if you are poisoned: Take 1 damage.
Victory 1.</t>
  </si>
  <si>
    <t>db538e9b-2c4e-4416-b41a-0c5972d46bd9</t>
  </si>
  <si>
    <t>Circuitous Trail</t>
  </si>
  <si>
    <t>As an additional cost for you to investigate or explore while at Circuitous Trail, check your supplies. If no investigator at your location has a compass, you must spend 3 resources.
Victory 1.</t>
  </si>
  <si>
    <t>52025ebe-feb2-4d76-b420-be511c642bf1</t>
  </si>
  <si>
    <t>Temple of the Fang</t>
  </si>
  <si>
    <t>Temple of the Fang gets +1 shroud for each vengeance point in the victory display.
Victory 2.</t>
  </si>
  <si>
    <t>37b7a822-5ccc-4939-9810-f3f03cf8c6c2</t>
  </si>
  <si>
    <t>Overgrown Ruins</t>
  </si>
  <si>
    <t>Forced – After you enter Overgrown Ruins, if you are poisoned: Lose all remaining actions and end your turn.
Victory 2.</t>
  </si>
  <si>
    <t>f4d0bee6-9086-448f-8408-0c4c0afc99f6</t>
  </si>
  <si>
    <t>Overgrowth</t>
  </si>
  <si>
    <t>Revelation – Attach to your location. Limit 1 per location.
You cannot explore at attached location.
η: Test ή (4) to hack through the brush or έ (4) to find another route. If you succeed, discard Overgrowth.</t>
  </si>
  <si>
    <t>db2a7d83-bc7d-4dea-ae92-fc02f9d62f0d</t>
  </si>
  <si>
    <t>Voice of the Jungle</t>
  </si>
  <si>
    <t>Revelation – Put Voice of the Jungle into play in your threat area.
Forced – At the end of your turn, if you did not successfully explore this turn: Take 1 horror.
η: Test ά (3). If you succeed, discard Voice of the Jungle.</t>
  </si>
  <si>
    <t>20130830-bb18-44ac-b429-de7ab8ca1d6a</t>
  </si>
  <si>
    <t>Serpents</t>
  </si>
  <si>
    <t>Pit Viper</t>
  </si>
  <si>
    <t>Creature. Serpent.</t>
  </si>
  <si>
    <t>Forced – After Pit Viper deals you damage from its attack: If you are not poisoned, put a set-aside Poisoned weakness into play in your threat area.
Vengeance 1.</t>
  </si>
  <si>
    <t>d1a5b69b-6d3a-48ab-bace-e33633b93b5a</t>
  </si>
  <si>
    <t>Boa Constrictor</t>
  </si>
  <si>
    <t>Forced – After Boa Constrictor attacks you: During the next upkeep phase, your exhausted cards cannot ready.
Vengeance 2.</t>
  </si>
  <si>
    <t>39d0f46c-20e2-447d-acd4-24d6b2794d99</t>
  </si>
  <si>
    <t>Snake Bite</t>
  </si>
  <si>
    <t>Hazard. Poison.</t>
  </si>
  <si>
    <t>Revelation – Test ί (3). If you fail, you must either (choose one):
–Deal 5 damage to an Ally asset you control.
–Take 1 direct damage. If you are not poisoned, put a set-aside Poisoned weakness into play in your threat area.</t>
  </si>
  <si>
    <t>1095c136-0cd2-4add-a70f-b0d1a91221b6</t>
  </si>
  <si>
    <t>Expedition</t>
  </si>
  <si>
    <t>Lost in the Wilds</t>
  </si>
  <si>
    <t>Revelation – Test ά (3). If you fail, take 1 horror for each point you fail by and add Lost in the Wilds to your threat area.
You cannot move or explore.
Forced – At the end of your turn: Discard Lost in the Wilds.</t>
  </si>
  <si>
    <t>fa2580af-7586-427c-b2c0-1536a80afe16</t>
  </si>
  <si>
    <t>Low on Supplies</t>
  </si>
  <si>
    <t>Revelation – You must decide (choose one): 
– Each investigator loses 2 resources.
– Each investigator takes 1 damage.
– Each investigator chooses and discards an asset he or she controls.</t>
  </si>
  <si>
    <t>929ee783-a8a7-4a27-baa0-b9f88c9b66fc</t>
  </si>
  <si>
    <t>Agents of Yig</t>
  </si>
  <si>
    <t>Brood of Yig</t>
  </si>
  <si>
    <t>Brood of Yig gets +1 fight for each vengeance point in the victory display.</t>
  </si>
  <si>
    <t>184cb383-35f8-4ecc-af00-33b427b1df7b</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</si>
  <si>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</si>
  <si>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</si>
  <si>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56778b1f-923b-4618-b4ff-445a972d1bfe</t>
  </si>
  <si>
    <t>Curse of Yig</t>
  </si>
  <si>
    <t>Revelation – Put Curse of Yig into play in your threat area.
You get –1 ή, –1 health, and gain the Serpent trait.
η: Test ά (2). This test gets +1 difficulty for each vengeance point in the victory display. If you succeed, discard Curse of Yig.</t>
  </si>
  <si>
    <t>cf96c698-ac9c-4d12-8aa8-bbc70a9ae088</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</si>
  <si>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</si>
  <si>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</si>
  <si>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</si>
  <si>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</si>
  <si>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</si>
  <si>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0c9b4bfc-b552-48de-9759-0f81ee668c92</t>
  </si>
  <si>
    <t>Arrows from the Trees</t>
  </si>
  <si>
    <t>Revelation – Take 1 damage, plus 1 additional damage for each Ally asset you control. Each other investigator at an Ancient location must also resolve that effect.</t>
  </si>
  <si>
    <t>4a02ea48-d391-4a1f-af82-a66a31dccb73</t>
  </si>
  <si>
    <t>Deadly Traps</t>
  </si>
  <si>
    <t>Final Mistake</t>
  </si>
  <si>
    <t>Revelation – Test ί (2). This test gets +1 difficulty for each doom on your location. If you fail, take 2 damage.</t>
  </si>
  <si>
    <t>b7326daa-e159-43f2-bb23-af98316e4698</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</si>
  <si>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</si>
  <si>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</si>
  <si>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712542a8-a8ee-438c-957c-b461e0aa7467</t>
  </si>
  <si>
    <t>Temporal Flux</t>
  </si>
  <si>
    <t>A Tear in Time</t>
  </si>
  <si>
    <t>Revelation – Test ά (3). For each point you fail by, you must either lose 1 action or take 1 horror.</t>
  </si>
  <si>
    <t>7d3e98bb-b186-43a4-8e35-f5d369cd2f09</t>
  </si>
  <si>
    <t>Lost in Time</t>
  </si>
  <si>
    <t>Revelation – Shuffle a non-story asset you control into your deck, moving all damage and horror from that asset to your investigator. If no asset is shuffled into your deck by this effect, choose and discard 3 cards from your hand.</t>
  </si>
  <si>
    <t>6d4b1487-e67b-44b9-97a3-0691039ef958</t>
  </si>
  <si>
    <t>Forgotten Ruins</t>
  </si>
  <si>
    <t>Ill Omen</t>
  </si>
  <si>
    <t>Omen. Terror.</t>
  </si>
  <si>
    <t>Revelation – Choose a location where there is at least 1 investigator. Place 1 doom on that location. Each investigator at the chosen location takes 1 horror.</t>
  </si>
  <si>
    <t>c5645847-3aba-4c61-9afe-52367226f9c0</t>
  </si>
  <si>
    <t>Ancestral Fear</t>
  </si>
  <si>
    <t>Peril. Surge.</t>
  </si>
  <si>
    <t>Revelation – You must either (choose one): 
–Place 1 doom on your location and discard Ancestral Fear (instead of placing it in the victory display).
–Place Ancestral Fear in the victory display.
Vengeance 1.</t>
  </si>
  <si>
    <t>13aff50c-dfa0-4058-a1f3-a3a79c191b74</t>
  </si>
  <si>
    <t>Deep Dark</t>
  </si>
  <si>
    <t>Revelation – Put Deep Dark into play next to the agenda deck.
No more than 1 clue may be discovered from each location by each investigator each round.
Forced – At the end of the round: Discard 1 copy of Deep Dark from play. (Max once per round.)</t>
  </si>
  <si>
    <t>03096321-bfc0-457f-8026-6b37a8b7d7ff</t>
  </si>
  <si>
    <t>Pnakotic Brotherhood</t>
  </si>
  <si>
    <t>Brotherhood Cultist</t>
  </si>
  <si>
    <t>Brotherhood Cultist gets +1 fight and +1 evade for each doom on it.
Forced – When you initiate an attack against Brotherhood Cultist: Place 1 doom on Brotherhood Cultist.</t>
  </si>
  <si>
    <t>b631d81d-7794-48ba-894e-f1fcc5bc2ca4</t>
  </si>
  <si>
    <t>Shadowed</t>
  </si>
  <si>
    <t>Revelation – If there are no Cultist enemies in play, take 1 horror and Shadowed gains surge. Otherwise, find the Cultist enemy nearest to you. Place 1 doom on that enemy and test ά (X), where X is that enemy’s fight value. If you fail, take 2 horror.</t>
  </si>
  <si>
    <t>bc5708bc-2e93-4840-9617-eb35944fe2f7</t>
  </si>
  <si>
    <t>Words of Power</t>
  </si>
  <si>
    <t>Revelation – Put Words of Power into play in your threat area.
If there are 1 or more enemies at your location with doom on them, you cannot damage those enemies or discover clues at your location.
η η: Discard Words of Power.</t>
  </si>
  <si>
    <t>fc9f9748-abfc-4765-934f-35e34aaf4e18</t>
  </si>
  <si>
    <t>Yig's Venom</t>
  </si>
  <si>
    <t>Fang of Yig</t>
  </si>
  <si>
    <t>Prey – Poisoned investigator.
Retaliate.</t>
  </si>
  <si>
    <t>While Fang of Yig is engaged with a poisoned investigator, that investigator cannot play cards or commit cards to skill tests.</t>
  </si>
  <si>
    <t>51fa25ad-358e-4511-a25f-a72eab8f4264</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</si>
  <si>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</si>
  <si>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</si>
  <si>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5836ef11-4edb-475d-ab6b-b6b8157a3fde</t>
  </si>
  <si>
    <t>Serpent's Call</t>
  </si>
  <si>
    <t>Revelation – You must either (choose one): Put a set-aside Poisoned weakness into play in your threat area, or draw the top 2 cards of the encounter deck.</t>
  </si>
  <si>
    <t>525eb456-3976-4c7b-bcbc-e8d29ead83f9</t>
  </si>
  <si>
    <t>Poison</t>
  </si>
  <si>
    <t>Creeping Poison</t>
  </si>
  <si>
    <t>Poison.</t>
  </si>
  <si>
    <t>Revelation – Each investigator who is poisoned takes 1 damage.</t>
  </si>
  <si>
    <t>826a83fd-9a59-4442-b934-6f961d9fbbbd</t>
  </si>
  <si>
    <t>Poisoned</t>
  </si>
  <si>
    <t>Limit 1 per investigator. Limit 1 per deck.
Permanent.</t>
  </si>
  <si>
    <t>You are poisoned. (This has no game effect on its own. Other card effects may change or become stronger while you are 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</si>
  <si>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</si>
  <si>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</si>
  <si>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</si>
  <si>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</si>
  <si>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</si>
  <si>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</si>
  <si>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</si>
  <si>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</si>
  <si>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</si>
  <si>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</si>
  <si>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</si>
  <si>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</si>
  <si>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Play only as your first action.
Discover 1 clue at your location (2 clues instead if there is an enemy at that location). This action does not provoke attacks of opportunity.</t>
  </si>
  <si>
    <t>932f8e80-96a5-4e69-85a0-35b5b86927f6</t>
  </si>
  <si>
    <t>Marksmanship</t>
  </si>
  <si>
    <t>Fast. Play when you activate the Fight ability on a Firearm or Ranged asset.
This attack can target an enemy at a connecting location. Ignore the aloof and retaliate keywords for this attack. If this attack succeeds against an enemy not engaged with you, the attack deals +1 damage.</t>
  </si>
  <si>
    <t>8cc2d9c7-68be-4c2e-ac73-255a2cef591b</t>
  </si>
  <si>
    <t>Persuasion</t>
  </si>
  <si>
    <t>Parley. Choose a non-weakness Humanoid enemy at your location and test έ (3). This test gets +X difficulty, where X is that enemy’s horror value. If you succeed, shuffle the chosen enemy into the encounter deck. If the chosen enemy is Elite, automatically evade it instead.</t>
  </si>
  <si>
    <t>fb699136-e5ee-442c-9c02-95e377190aa9</t>
  </si>
  <si>
    <t>Shrewd Analysis</t>
  </si>
  <si>
    <t>Permanent. Limit 1 per deck.</t>
  </si>
  <si>
    <t>Anytime you would upgrade a card with the (Unidentified) or (Untranslated) subtitle, you may upgrade a second copy of that card at no experience cost. If you do, the two upgraded versions are chosen at random from among the eligible options. (You must still meet all deckbuilding restrictions.)</t>
  </si>
  <si>
    <t>7c6aa8c3-705b-4a93-a1a5-7dc0975cba7e</t>
  </si>
  <si>
    <t>Lucky Cigarette Case</t>
  </si>
  <si>
    <t>ι After you succeed at a skill test by 2 or more, exhaust Lucky Cigarette Case: Draw 1 card.</t>
  </si>
  <si>
    <t>85fa1c83-ba81-4786-808a-fb38a92c4726</t>
  </si>
  <si>
    <t>Fence</t>
  </si>
  <si>
    <t>Connection. Illicit.</t>
  </si>
  <si>
    <t>ι When you play an Illicit card during your turn, exhaust Fence: The Illicit card gains fast. If it was already fast, reduce its cost by 1 instead.</t>
  </si>
  <si>
    <t>0c55f421-9614-420e-b9e1-1b6a45ccf54f</t>
  </si>
  <si>
    <t>Arcane Research</t>
  </si>
  <si>
    <t>When you purchase Arcane Research, suffer 1 mental trauma.
After each scenario of a campaign, reduce the experience cost of the first Spell card you upgrade before the next scenario by 1.</t>
  </si>
  <si>
    <t>410909a0-d960-43ff-8cc1-b92c69b52c08</t>
  </si>
  <si>
    <t>Counterspell</t>
  </si>
  <si>
    <t>Spell. Blessed.</t>
  </si>
  <si>
    <t>Fast. Play when a α, β, γ, or δ chaos token is revealed during a skill test at your location.
Cancel that chaos token. (Do not reveal a new chaos token to replace it.)</t>
  </si>
  <si>
    <t>edf0ac36-d2d1-4c12-9635-177e3f7e2d3e</t>
  </si>
  <si>
    <t>Perseverance</t>
  </si>
  <si>
    <t>Fast. Play when you are assigned damage and/or horror that would defeat you.
Cancel up to 4 of that damage and/or horror.</t>
  </si>
  <si>
    <t>f7b0af4f-1d4c-43b3-bd58-4e343090d774</t>
  </si>
  <si>
    <t>Stunning Blow</t>
  </si>
  <si>
    <t>If this skill test is successful during an attack, automatically evade the attacked enemy.</t>
  </si>
  <si>
    <t>3e01c1d4-8e5c-472b-b803-357c6474ca01</t>
  </si>
  <si>
    <t>Threads of Fate</t>
  </si>
  <si>
    <t>α : –X. X is the highest number of doom on a Cultist enemy.
β: –2. If you do not succeed by at least 1, take 1 damage.
γ: –2. If you do not succeed by at least 1, place 1 doom on the nearest Cultist enemy.
δ: –2. If you fail, lose 1 of your clues.</t>
  </si>
  <si>
    <t>α : –X. X is the total number of doom in play.
β: –2. If you do not succeed by at least 2, take 1 direct damage.
γ: –2. If you do not succeed by at least 2, place 1 doom on each Cultist enemy.
δ: –3. If you fail, lose 1 of your clues.</t>
  </si>
  <si>
    <t>c4993b69-869c-454a-9bba-9cc7eb6f884a</t>
  </si>
  <si>
    <t>Three Fates</t>
  </si>
  <si>
    <t>η: Resign. You don’t want to risk taking too long, so you head to safety with the information you’ve gathered.</t>
  </si>
  <si>
    <t>At the Sun's Peak</t>
  </si>
  <si>
    <t>Shuffle the encounter discard pile into the encounter deck.
If there are only 2 act decks in play, place 1 doom on agenda 2a as it is revealed.</t>
  </si>
  <si>
    <t>816fe8c3-f374-4fe1-add3-f7acad18e294</t>
  </si>
  <si>
    <t>Behind the Curtain</t>
  </si>
  <si>
    <t>The Sun Sets</t>
  </si>
  <si>
    <t>Shuffle the encounter discard pile into the encounter deck.
If there are only 2 act decks in play, place 1 doom on agenda 3a as it is revealed.
If there is only 1 act deck in play, place 2 doom on agenda 3a as it is revealed.</t>
  </si>
  <si>
    <t>d2e20ace-26f5-4a59-b8a6-655a18dcfdc1</t>
  </si>
  <si>
    <t>Hidden Entanglements</t>
  </si>
  <si>
    <t>Night Passes</t>
  </si>
  <si>
    <t>Each surviving investigator is defeated and suffers 1 mental trauma.</t>
  </si>
  <si>
    <t>896613e6-b4a2-488a-8460-929df1a72bf4</t>
  </si>
  <si>
    <t>The Relic Is Missing!</t>
  </si>
  <si>
    <t>Objective – Only investigators in Miskatonic University can spend the requisite number of clues, as a group, to advance.</t>
  </si>
  <si>
    <t>Eztli Exhibit</t>
  </si>
  <si>
    <t>Revelation – Put the Eztli Exhibit into play.
Forced – After you reveal a α, β, γ, δ, or ζ symbol while investigating the Eztli Exhibit: Take 1 horror.
Victory 1.</t>
  </si>
  <si>
    <t>c8d55c59-96cd-438b-afaa-366bfe19730c</t>
  </si>
  <si>
    <t>Harlan Is in Danger!</t>
  </si>
  <si>
    <t>Harlan Earnstone</t>
  </si>
  <si>
    <t>Historical Theorist</t>
  </si>
  <si>
    <t>Bystander. Miskatonic.</t>
  </si>
  <si>
    <t>Revelation – Put Harlan Earnstone into play in Easttown.
η Discard the top 3 cards of your deck: Parley. You try to snap Earnstone out of his daze. Test ά (4). If you succeed, place 1 clue on him (from the token pool).</t>
  </si>
  <si>
    <t>da71f372-8c2b-4616-aae2-008483386f6a</t>
  </si>
  <si>
    <t>At the Exhibit</t>
  </si>
  <si>
    <t>Objective – Only investigators in the Eztli Exhibit can spend the requisite number of clues, as a group, to advance.</t>
  </si>
  <si>
    <t>The Relic's Location</t>
  </si>
  <si>
    <t>Put the set-aside Town Hall location into play. If it was already in play, add add 1π clues to it. Attach the set-aside Relic of Ages to the Town Hall. 
If there are 2 or fewer act decks in play, add an additional 1π clues to the Town Hall.
Advance to Act 3a–“Find the Relic.”</t>
  </si>
  <si>
    <t>7a519eb0-846d-412d-8d23-bf773ec5b4a3</t>
  </si>
  <si>
    <t>The Brotherhood's Plot</t>
  </si>
  <si>
    <t>Search the encounter deck, discard pile, and victory display for a Brotherhood Cultist and spawn it in the location farthest from all investigators. Heal all damage from each Brotherhood Cultist in play.
Attach the set-aside Relic of Ages to the Brotherhood Cultist farthest from all investigators.
If there are 2 or fewer act decks in play, add 1 doom to the Brotherhood Cultist with the attached Relic of Ages.
Advance to Act 3a—“Recover the Relic.”</t>
  </si>
  <si>
    <t>c6b3c676-8d25-46d4-a43c-898324bbd6e0</t>
  </si>
  <si>
    <t>Harlan's Curse</t>
  </si>
  <si>
    <t>Objective – If there are 1π clues on Harlan Earnstone: You must remove them and immediately advance.</t>
  </si>
  <si>
    <t>Safekeeping</t>
  </si>
  <si>
    <t>Attach the set-aside Relic of Ages to the Curiositie Shoppe.
If there are 2 or fewer act decks in play, search the encounter deck for 1 Acolyte (2 Acolytes instead if there are 3 or 4 investigators in the game). Spawn each searched-for Acolyte in the Curiositie Shoppe.
Advance to Act 3a–“Find the Relic.”</t>
  </si>
  <si>
    <t>d2aff041-a1f8-4b31-a630-651661ac22fc</t>
  </si>
  <si>
    <t>Crazed by the Curse</t>
  </si>
  <si>
    <t>Humanoid. Cursed. Elite.</t>
  </si>
  <si>
    <t>Revelation – Switch this card with the Bystander version of Harlan Earnstone, removing that version from the game. Attach the set-aside Relic of Ages to Harlan Earnstone. Advance to Act 3a–“Recover the Relic.”
Forced – After you successfully evade Harlan Earnstone by 3 or more: Add him to the victory display.
Victory 1.</t>
  </si>
  <si>
    <t>71fc4500-eaf7-43b1-b6b4-165248055cdf</t>
  </si>
  <si>
    <t>Find the Relic</t>
  </si>
  <si>
    <t>While Relic of Ages is attached to a location, that location gets +2 shroud.
Objective – If Relic of Ages is attached to a location with no remaining clues, advance.</t>
  </si>
  <si>
    <t>The Relic Is Found</t>
  </si>
  <si>
    <t>If the Relic of Ages is attached to the Town Hall:
The investigator nearest to the Town Hall takes control of the Relic of Ages. Remove the remainder of the “a/b” act deck from the game. If another act card is in play, continue playing. Otherwise, proceed to (-&gt;R1).
If the Relic of Ages is attached to the Curiositie Shoppe:
The investigator nearest to the Curiositie Shoppe takes control of the Relic of Ages. Remove the remainder of the “a/b” act deck from the game. If another act card is in play, continue playing. Otherwise, proceed to (-&gt;R1).</t>
  </si>
  <si>
    <t>aa707a76-33be-4960-9a91-ce58e22b7728</t>
  </si>
  <si>
    <t>Recover the Relic</t>
  </si>
  <si>
    <t>While Relic of Ages is attached to an enemy, that enemy gets +2π health.
Objective – If the enemy the Relic of Ages is attached to leaves play, advance.</t>
  </si>
  <si>
    <t>The Relic Is Recovered</t>
  </si>
  <si>
    <t>If the Relic of Ages was attached to a Brotherhood Cultist:
the remainder of the “a/b” act deck from the game. If another act card is in play, continue playing. Otherwise, proceed to (-&gt;R1).
If the Relic of Ages was attached to Harlan Earnstone:
The investigator nearest to Harlan Earnstone’s location takes control of the Relic of Ages. Remove the remainder of the “a/b” act deck from the game. If another act card is in play, continue playing. Otherwise, proceed to (-&gt;R1).</t>
  </si>
  <si>
    <t>7a75e4c5-445e-4159-925f-957163e47e29</t>
  </si>
  <si>
    <t>Search for Alejandro</t>
  </si>
  <si>
    <t>Objective – Only investigators in Easttown can spend the requisite number of clues, as a group, to advance.</t>
  </si>
  <si>
    <t>Henry Deveau</t>
  </si>
  <si>
    <t>Friend of Alejandro</t>
  </si>
  <si>
    <t>Revelation – Put Henry Deveau into play in Velma’s Diner.
η Choose and discard a card from your hand: Parley. You discuss Alejandro’s whereabouts. Test έ (3). If you succeed, place 1 clue on this card (from the token pool).</t>
  </si>
  <si>
    <t>1a414a99-25cc-4ec4-8463-c7301a87e6e9</t>
  </si>
  <si>
    <t>Missing Persons</t>
  </si>
  <si>
    <t>Arkham Police Station</t>
  </si>
  <si>
    <t>Revelation – Put the Arkham Police Station into play.
Easttown is connected to Arkham Police Station.
η: Search the top 6 cards of your deck for a Weapon card and add it to your hand. Shuffle your deck.
Victory 1.</t>
  </si>
  <si>
    <t>c18e7c75-2d45-4e81-9df6-2d4a738c0992</t>
  </si>
  <si>
    <t>At the Station</t>
  </si>
  <si>
    <t>Objective – Only investigators in the Arkham Police Station can spend the requisite number of clues, as a group, to advance.</t>
  </si>
  <si>
    <t>In Shadowed Talons</t>
  </si>
  <si>
    <t>Search the encounter deck, discard pile, and victory display for a Hunting Nightgaunt and spawn it in the location farthest from all investigators. Heal all damage from each Hunting Nightgaunt in play.
Attach the set-aside Alejandro Vela to the Hunting Nightgaunt farthest from all investigators.
Advance to Act 3c—“Alejandro’s Plight.”</t>
  </si>
  <si>
    <t>10a58a3d-9813-4947-8737-88f77b3e7a9a</t>
  </si>
  <si>
    <t>Train Tracks</t>
  </si>
  <si>
    <t>Revelation – Put Train Tracks into play. Attach the set-aside Alejandro Vela to Train Tracks. Advance to Act 3c—“Alejandro’s Prison.”
Northside is connected to Train Tracks.
η Spend 1 clue: Draw 4 cards. (Limit once per game.)</t>
  </si>
  <si>
    <t>a5a42d27-9725-4218-b8d3-eccb2523cd7c</t>
  </si>
  <si>
    <t>Friends in High Places</t>
  </si>
  <si>
    <t>Objective – If there are 1π clues on Henry Deveau: You must remove them and immediately advance.</t>
  </si>
  <si>
    <t>Henry's Information</t>
  </si>
  <si>
    <t>Put the set-aside Town Hall location into play, if it is not already in play.
Attach the set-aside Alejandro Vela to the Town Hall.
Advance to Act 3c–“Alejandro’s Prison.”</t>
  </si>
  <si>
    <t>4d53700c-093c-40fe-8019-4f88be99fe4e</t>
  </si>
  <si>
    <t>Alejandro's Kidnapper</t>
  </si>
  <si>
    <t>Humanoid. Conspirator. Elite.</t>
  </si>
  <si>
    <t>Revelation – Switch this card with the Bystander version of Henry Deveau, removing that version from the game. Attach the set-aside Alejandro Vela to Henry Deveau. Advance to Act 3c–“Alejandro’s Plight.”
Victory 1.</t>
  </si>
  <si>
    <t>a67d45ac-5e24-4742-878c-4a5abab74085</t>
  </si>
  <si>
    <t>Alejandro’s Prison</t>
  </si>
  <si>
    <t>While Alejandro Vela is attached to a location, that location gets +2 shroud.
Objective – If Alejandro Vela is attached to a location with no remaining clues, advance.</t>
  </si>
  <si>
    <t>Alejandro Is Found</t>
  </si>
  <si>
    <t>If Alejandro Vela is attached to the Train Tracks:
The investigator nearest to the Train Tracks takes control of Alejandro Vela. Remove the remainder of the “c/d” act deck from the game. If another act card is in play, continue playing. Otherwise, proceed to (-&gt;R1).
If Alejandro Vela is attached to the Town Hall:
The investigator nearest to the Town Hall takes control of Alejandro Vela. Remove the remainder of the “c/d” act deck from the game. If another act card is in play, continue playing. Otherwise, proceed to (-&gt;R1).</t>
  </si>
  <si>
    <t>7dbfd611-3f62-4dca-ad0d-2613b1ce58a7</t>
  </si>
  <si>
    <t>Alejandro’s Plight</t>
  </si>
  <si>
    <t>While Alejandro Vela is attached to an enemy, that enemy gets +2π health.
Objective – If the enemy Alejandro Vela is attached to leaves play, advance.</t>
  </si>
  <si>
    <t>Alejandro Is Rescued</t>
  </si>
  <si>
    <t>If Alejandro Vela was attached to a Hunting Nightgaunt:
The investigator nearest to the Hunting Nightgaunt takes control of Alejandro Vela. Remove the remainder of the “c/d” act deck from the game. If another act card is in play, continue playing. Otherwise, proceed to (-&gt;R1).
If Alejandro Vela was attached to Henry Deveau:
The investigator nearest to Henry Deveau takes control of Alejandro Vela. Remove the remainder of the “c/d” act deck from the game. If another act card is in play, continue playing. Otherwise, proceed to (-&gt;R1).</t>
  </si>
  <si>
    <t>9055bfa1-1073-4150-8106-3a7de023f891</t>
  </si>
  <si>
    <t>Trial of the Huntress</t>
  </si>
  <si>
    <t>Objective – Only investigators in Rivertown can spend the requisite number of clues, as a group, to advance.</t>
  </si>
  <si>
    <t>Black Cave</t>
  </si>
  <si>
    <t>Revelation – Put Black Cave into play.
Forced – At the end of your turn, if you are in the Black Cave: You must either take 1 horror or choose and discard 2 cards from your hand.</t>
  </si>
  <si>
    <t>219d4017-96f6-4196-a72b-18330def361a</t>
  </si>
  <si>
    <t>The Guardian's Inquiry</t>
  </si>
  <si>
    <t>Objective – Only investigators in Northside can spend the requisite number of clues, as a group, to advance.</t>
  </si>
  <si>
    <t>Maria DeSilva</t>
  </si>
  <si>
    <t>Wealthy Patron</t>
  </si>
  <si>
    <t>Revelation – Put Maria DeSilva into play in Curiositie Shoppe.
η Spend 1 resource: Parley. You chat with Maria about the artifacts on sale. Test έ (3). If you succeed, place 1 clue on her (from the token pool).</t>
  </si>
  <si>
    <t>1e0e7df5-4c67-42e4-b1c6-74f4805da1fd</t>
  </si>
  <si>
    <t>The Cave of Darkness</t>
  </si>
  <si>
    <t>Objective – Only investigators in the Black Cave can spend the requisite number of clues, as a group, to advance. There must be no clues remaining on the Black Cave in order to advance this act.</t>
  </si>
  <si>
    <t>Embroiled in Battle</t>
  </si>
  <si>
    <t>Shuffle the encounter discard pile into the encounter deck. Discard cards from the top of the encounter deck until a Cultist enemy is discarded (2 Cultist enemies instead if there are 2 or fewer act decks remaining). 
Spawn those enemies in Black Cave (instead of their normal spawn location). Until the end of the scenario, remember that those enemies are “Ichtaca’s prey.”
Advance to Act 3e–“The Brotherhood Is Revealed.”</t>
  </si>
  <si>
    <t>dfd302e9-57ac-44ae-a817-54d195dc167f</t>
  </si>
  <si>
    <t>Tunnels in the Dark</t>
  </si>
  <si>
    <t>Put the set-aside Town Hall location into play, if it is not already in play. Remember that the Town Hall is “Ichtaca’s destination.” For the remainder of the game, Black Cave and Town Hall are connected to one another. 
One at a time, in player order, each investigator discards the top card of the encounter deck. Each investigator who discards a treachery card must draw that card.
Advance to Act 3e–“Strange Occurrences.”</t>
  </si>
  <si>
    <t>74372f0c-0743-4e05-a8bc-18502b57c988</t>
  </si>
  <si>
    <t>Strange Relics</t>
  </si>
  <si>
    <t>Objective – If there are 1π clues on Maria DeSilva: You must remove them and immediately advance.</t>
  </si>
  <si>
    <t>Knows More Than She Lets On</t>
  </si>
  <si>
    <t>Revelation – Switch this card with the Bystander version of Maria DeSilva, removing that version from the game. Remember that she is “Ichtaca’s prey.” Advance to Act 3e–“The Brotherhood is Revealed.”
Victory 1.</t>
  </si>
  <si>
    <t>9ce3c434-b63a-42d7-b986-4f502bbd5c52</t>
  </si>
  <si>
    <t>Maria's Information</t>
  </si>
  <si>
    <t>One at a time, in player order, each investigator discards the top card of the encounter deck. Each investigator who discards a treachery card must draw that card.
Advance to Act 3e–“Strange Occurrences.”</t>
  </si>
  <si>
    <t>41c0621d-986b-454f-983a-868dc9d21330</t>
  </si>
  <si>
    <t>Strange Occurrences</t>
  </si>
  <si>
    <t>While you are at any of “Ichtaca’s destinations,” the first treachery you draw from the encounter deck each round gains surge.
Objective – If there are no clues remaining on each of “Ichtaca’s destinations,” advance.</t>
  </si>
  <si>
    <t>Uncovered the Conspiracy</t>
  </si>
  <si>
    <t>If “Ichtaca’s destination” was the Town Hall:
The investigator nearest to the Town Hall takes control of the set-aside Ichtaca (The Forgotten Guardian). Remove the remainder of the “e/f” act deck from the game. If another act card is in play, continue playing. Otherwise, proceed to (-&gt;R1).
If “Ichtaca’s destinations” were Downtown and Rivertown:
The investigator nearest to Rivertown takes control of the set‑aside Ichtaca (The Forgotten Guardian). Remove the remainder of the “e/f” act deck from the game. If another act card is in play, continue playing. Otherwise, proceed to (-&gt;R1).</t>
  </si>
  <si>
    <t>e5189103-fa67-4b13-8d55-673260fa4d8a</t>
  </si>
  <si>
    <t>The Brotherhood Is Revealed</t>
  </si>
  <si>
    <t>“Ichtaca’s prey” each get +1 fight, +1π health, and +1 evade while at a location with no clues on it.
Objective – If each of “Ichtaca’s prey” is no longer in play, advance.</t>
  </si>
  <si>
    <t>If “Ichtaca’s prey” were 1 or more Cultist enemies:
The investigator nearest to the Black Cave takes control of the set-aside Ichtaca (The Forgotten Guardian). Remove the remainder of the “e/f” act deck from the game. If another act card is in play, continue playing. Otherwise, proceed to (-&gt;R1).
If “Ichtaca’s prey” was Maria DeSilva:
The investigator nearest to Maria DeSilva takes control of the set-aside Ichtaca (The Forgotten Guardian). Remove the remainder of the “e/f” act deck from the game. If another act card is in play, continue playing. Otherwise, proceed to (-&gt;R1).</t>
  </si>
  <si>
    <t>9c3d252b-4623-4e0c-b5eb-03a2a39b0186</t>
  </si>
  <si>
    <t>Velma’s Diner</t>
  </si>
  <si>
    <t>Easttown is connected to Velma’s Diner.</t>
  </si>
  <si>
    <t>Velma's Diner</t>
  </si>
  <si>
    <t>Easttown is connected to Velma’s Diner.
η η η: You kill some time at the diner and listen to the conversations of the patrons around you. Gain 2 clues from the token pool. (Limit once per game.)</t>
  </si>
  <si>
    <t>f6286165-890e-4c38-9524-0636de3905ac</t>
  </si>
  <si>
    <t>Curiositie Shoppe</t>
  </si>
  <si>
    <t>Northside is connected to Curiositie Shoppe.</t>
  </si>
  <si>
    <t>Northside is connected to Curiositie Shoppe.
While you are in the Curiositie Shoppe, reduce the cost of each Relic asset you play by 2.
Victory 1.</t>
  </si>
  <si>
    <t>06176be8-6bd0-4a8a-b2f4-fd8989f41647</t>
  </si>
  <si>
    <t>Town Hall</t>
  </si>
  <si>
    <t>Downtown is connected to Town Hall.</t>
  </si>
  <si>
    <t>Downtown is connected to Town Hall.
Forced – After you enter Town Hall, if you have 4 or more cards in your hand: Choose and discard cards from your hand until you have 3 cards in your hand.
Victory 1.</t>
  </si>
  <si>
    <t>d77ea283-6e6d-4991-8e3b-bb4b484dc3f9</t>
  </si>
  <si>
    <t>The Secret Must Be Kept</t>
  </si>
  <si>
    <t>Revelation – Test ά (3). If you fail, take 1 damage and 1 horror. For each act deck the investigators have completed, this skill test gets +1 difficulty and deals +1 damage and +1 horror if it is failed.</t>
  </si>
  <si>
    <t>57116f0c-4e7e-42a1-b461-dbad526a4c72</t>
  </si>
  <si>
    <t>Nobody's Home</t>
  </si>
  <si>
    <t>Mystery.</t>
  </si>
  <si>
    <t>Revelation – Attach to your location. If there are no clues on your location, Nobody’s Home gains surge.
You must spend 1 additional action to investigate attached location.
Forced – If there are no clues on attached location: Discard Nobody’s Home.</t>
  </si>
  <si>
    <t>1e47bdde-2704-4e41-aaa9-c589dec0cc34</t>
  </si>
  <si>
    <t>Conspiracy of Blood</t>
  </si>
  <si>
    <t>Revelation – Attach Conspiracy of Blood to the current agenda.
Attached agenda gets –1 doom threshold.
Each Cultist enemy gains: “η Parley. Test ά (4). If you succeed, discard 1 copy of Conspiracy of Blood from play. If you fail, place 1 doom on this enemy.”</t>
  </si>
  <si>
    <t>63aa6903-867f-4e4a-ae99-0b0bbff20634</t>
  </si>
  <si>
    <t>ήίΰ</t>
  </si>
  <si>
    <t>Ally. Eztli. Wayfarer.</t>
  </si>
  <si>
    <t>You get +1 ή (+2 ή instead while attacking an enemy with Victory X).
You get +1 ί (+2 ί instead while attempting to evade an enemy with Vengeance X).
ι After you add an enemy to the victory display, exhaust Ichtaca: You and Ichtaca each heal 1 horror.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</si>
  <si>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</si>
  <si>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</si>
  <si>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</si>
  <si>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</si>
  <si>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</si>
  <si>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</si>
  <si>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</si>
  <si>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</si>
  <si>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θ Spend 1 resource: You get +1 ά for this skill test.
θ Spend 1 resource: You get +1 ή for this skill test.</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</si>
  <si>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</si>
  <si>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</si>
  <si>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</si>
  <si>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θ Spend 1 resource: You get +1 έ for this skill test.
θ Spend 1 resource: You get +1 ί for this skill test.</t>
  </si>
  <si>
    <t>16fa746a-97c0-463b-92bf-161daec2fad4</t>
  </si>
  <si>
    <t>Attach to your location.
Non-Elite enemies cannot move into or spawn at attached location. Anytime an enemy would spawn at attached location, spawn it at a connecting location instead, if able.
Forced – When an investigator leaves attached location: Discard Barricade.</t>
  </si>
  <si>
    <t>06ca5c79-9a97-4169-a5ed-0178d2fd7c83</t>
  </si>
  <si>
    <t>ήήίί</t>
  </si>
  <si>
    <t>θ Spend 1 resource: You get +1 ή for this skill test.
θ Spend 1 resource: You get +1 ί for this skill test.</t>
  </si>
  <si>
    <t>953123c5-4c6c-420c-b801-7df40d6b6d56</t>
  </si>
  <si>
    <t>ea5e88b7-4553-49f0-9e74-8b4c35c38c9c</t>
  </si>
  <si>
    <t>θ Spend 1 resource: You get +1 ά for this skill test.
θ Spend 1 resource: You get +1 έ for this skill test.</t>
  </si>
  <si>
    <t>39880fb2-a13c-4cb1-a67a-2bc1baa3def4</t>
  </si>
  <si>
    <t>Fast. Play after a phase begins.
Choose a non-Elite enemy in your location. Until the end of the round, reduce the chosen enemy’s damage and horror values by 1, and treat its printed text box as if it were blank (except for Traits).</t>
  </si>
  <si>
    <t>450ee5ca-c143-4770-992f-030b38fb7f00</t>
  </si>
  <si>
    <t>θ Spend 1 resource: You get +1 ά for this skill test.
θ Spend 1 resource: You get +1 ί for this skill test.</t>
  </si>
  <si>
    <t>fe813717-c347-4052-b20c-3f7b11617b23</t>
  </si>
  <si>
    <t>ι After you fail a skill test, exhaust Rabbit’s Foot: Search the top X cards of your deck for a card, draw it, and shuffle the remaining cards into your deck. X is the amount you failed by.</t>
  </si>
  <si>
    <t>348b18f3-7de3-487b-89ea-c2aff969758e</t>
  </si>
  <si>
    <t>Return to The Gathering</t>
  </si>
  <si>
    <t>Perform the setup as indicated in the Night of the Zealot Campaign Guide, with the following exceptions:
—When gathering encounter sets, also gather the new encounter sets for Return to The Gathering shown here.
{Return to the Gathering}
{Ghouls} -&gt; {Ghouls of Umôrdhoth}
—Remove Act 1a—“Trapped” from the game and replace it with the new Act 1a—“Mysterious Gateway.”
(Continued on reverse side.)</t>
  </si>
  <si>
    <t>—Remove the original Study location from the game and replace it with the new Study (Aberrant Gateway). Put the Study (Aberrant Gateway) into play. Each investigator begins play in the Study (Aberrant Gateway).
—Put the new Guest Hall, Bedroom, and Bathroom locations into play.
—Remove the original Hallway location from the game.
—Choose one of the two Attic locations and one of the two Cellar locations at random, and set them aside, out of play. Remove the other versions of Attic and Cellar from the game.
—Set each other location aside, out of play.</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</si>
  <si>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</si>
  <si>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</si>
  <si>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</si>
  <si>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</si>
  <si>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</si>
  <si>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</si>
  <si>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</si>
  <si>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η η: Draw 3 cards. Only the lead investigator can activate this ability.
Forced – When an enemy attempts to spawn at a location that is not in play: Put that location into play and spawn that enemy there.</t>
  </si>
  <si>
    <t>75defe19-b92c-4532-ae60-f0eafc33d70d</t>
  </si>
  <si>
    <t>Guest Hall</t>
  </si>
  <si>
    <t>Investigators in this location cannot take draw actions.</t>
  </si>
  <si>
    <t>5aff163d-84b7-45c3-b504-b62f4da591c6</t>
  </si>
  <si>
    <t>Bedroom</t>
  </si>
  <si>
    <t>Forced – After you fail a skill test while investigating the Bedroom: Discard 1 card at random from your hand.</t>
  </si>
  <si>
    <t>c9d0339a-9289-4a86-8876-634725d3b293</t>
  </si>
  <si>
    <t>Bathroom</t>
  </si>
  <si>
    <t>Forced – After you reveal a α, β, γ, or ζ symbol while investigating the Bathroom: Lose all remaining actions and end your turn.</t>
  </si>
  <si>
    <t>8db65b5a-eb09-4034-9dc8-dd108852047b</t>
  </si>
  <si>
    <t>Hole in the Wall</t>
  </si>
  <si>
    <t>Forced – After you reveal this location: Put the set-aside Attic, Cellar, and Parlor locations into play.</t>
  </si>
  <si>
    <t>29d5549f-ecca-4f23-8da1-6d9cbddae746</t>
  </si>
  <si>
    <t>Forced – After you reveal the Attic: Put the set-aside Far Above Your House location into play.</t>
  </si>
  <si>
    <t>6697716b-1ee1-4bef-9736-3700f7c48678</t>
  </si>
  <si>
    <t>Far Above Your House</t>
  </si>
  <si>
    <t>Forced – After you reveal Field of Graves: Test ά (4). For each point you fail by, discard 1 card at random from each player’s hand.
Victory 1.</t>
  </si>
  <si>
    <t>bae88f2a-456b-4822-a9cc-961c2b20d61f</t>
  </si>
  <si>
    <t>Field of Graves</t>
  </si>
  <si>
    <t>Forced – After you reveal the Cellar: Put the set-aside Deep Below Your House location into play.</t>
  </si>
  <si>
    <t>560d50f2-aa92-44fa-9ea9-2657b7a12468</t>
  </si>
  <si>
    <t>Deep Below Your House</t>
  </si>
  <si>
    <t>Ghoul Pits</t>
  </si>
  <si>
    <t>Forced – After you reveal Ghoul Pits: Test ί (3). For each point you fail by, search the encounter deck and discard pile for a copy of Swarm of Rats and draw it. Shuffle the encounter deck.
Victory 1.</t>
  </si>
  <si>
    <t>23361475-086f-491b-b649-c616a96ef554</t>
  </si>
  <si>
    <t>Corpse-Hungry-Ghoul</t>
  </si>
  <si>
    <t>Spawn – Bedroom.
Hunter.</t>
  </si>
  <si>
    <t>Victory 1.</t>
  </si>
  <si>
    <t>452a12c3-b50c-44e6-b760-7dcc723c4750</t>
  </si>
  <si>
    <t>Ghoul from the Depths</t>
  </si>
  <si>
    <t>Spawn – Bathroom.
Retaliate.</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</si>
  <si>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</si>
  <si>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</si>
  <si>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</si>
  <si>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</si>
  <si>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</si>
  <si>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Perform the setup as indicated in the Night of the Zealot Campaign Guide, with the following exceptions:
—When gathering encounter sets, also gather the new encounter sets for Return to the Midnight Masks shown here.
{Return to The Midnight Masks} {Cult of Umôrdhoth}
{Dark Cult} -&gt; {The Devourer's Cult}
—Construct the act deck using one of the two copies of Agenda 1a—“Predator or Prey” at random, without looking at their other sides. Remove the other version of Agenda 1a from the game.
(Continued on reverse side.)</t>
  </si>
  <si>
    <t>—Choose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—When creating the “Cultist deck,” include the 3 new Cult of Umôrdhoth cards included in this expansion. Shuffle the Cultist deck and remove 3 random cards from it, without looking at them. (You should be left with a 5-card Cultist deck.)
—If you are instructed to search the encounter deck for an Acolyte, search the encounter deck for any 1-health enemy, instead.</t>
  </si>
  <si>
    <t>88bddeac-9738-45c5-b8d1-a80aa0526af3</t>
  </si>
  <si>
    <t>Predator or Prey?</t>
  </si>
  <si>
    <t>Narôgath</t>
  </si>
  <si>
    <t>The Charnel Lord</t>
  </si>
  <si>
    <t>Spawn – Engaged with Prey.
Prey – Nearest to another Cultist enemy.
Hunter.</t>
  </si>
  <si>
    <t>Narôgath gets +3 health per investigator.
While Narôgath is ready, each investigator at its location or a connecting location cannot Parley with Cultist enemies.
Victory 2.</t>
  </si>
  <si>
    <t>044fef90-d736-4096-bdd9-9690686cc3fc</t>
  </si>
  <si>
    <t>Easttown</t>
  </si>
  <si>
    <t>η: Add 2 supply tokens or ammo tokens to an asset you control. (Limit once per game.)
Victory 1.</t>
  </si>
  <si>
    <t>d586b6ec-bf06-4f75-a75b-e072dc00b17f</t>
  </si>
  <si>
    <t>η: Move to any Arkham location. (Limit once per game.)</t>
  </si>
  <si>
    <t>fdf83f91-9221-4969-86f8-7a00f2db4c57</t>
  </si>
  <si>
    <t>η Take 2 horror: Gain 1 clue from the token pool. (Limit once per game.)</t>
  </si>
  <si>
    <t>1b559c70-1531-43e2-b228-a194eccfdab6</t>
  </si>
  <si>
    <t>η Discard a card with X ά icons: Remove X doom from a cultist enemy in play. (Group limit once per game.)</t>
  </si>
  <si>
    <t>11c05026-4172-4726-9912-aa3f38826335</t>
  </si>
  <si>
    <t>Masked Horrors</t>
  </si>
  <si>
    <t>Power. Scheme.</t>
  </si>
  <si>
    <t>Revelation – Each investigator with 2 or more clues takes 2 horror. If no horror is dealt by this effect, place 1 doom on the current agenda. This effect can cause the current agenda to advance.</t>
  </si>
  <si>
    <t>d5cfae27-f999-4a39-846b-90badc9c5224</t>
  </si>
  <si>
    <t>Return to The Devourer Below</t>
  </si>
  <si>
    <t>Perform the setup as indicated in the Night of the Zealot Campaign Guide, with the following exceptions:
—When gathering encounter sets, also gather the new encounter sets for Return to The Devourer Below shown here.
{Return to The Devourer Below}
{Ghouls} -&gt; {Ghouls of Umôrdhoth}
{Dark Cult} -&gt; {The Devourer's Cult}
—When choosing 4 Arkham Woods locations to put into play at random, include the 4 new Arkham Woods locations included in this encounter set, for a total of 10 possibilities.
—After setting the Umôrdhoth enemy aside, flip this card over and attach it to Umôrdhoth.</t>
  </si>
  <si>
    <t>Vault of Earthly Demise</t>
  </si>
  <si>
    <t>Eldritch. Otherworld.</t>
  </si>
  <si>
    <t>Vault of Earthly Demise cannot leave play. 
Umôrdhoth gets +X health per investigator and gets +X fight, where X is the number of resources on this card.
Forced – When Umôrdhoth enters play, place 1 resource on this card for each act remaining in the act deck.</t>
  </si>
  <si>
    <t>3595d549-8f11-45d3-a4fd-6459e49e86c7</t>
  </si>
  <si>
    <t>Forced – After an investigator at this location succeeds at a skill test on a treachery: That treachery gains surge. (Group limit once per round.)</t>
  </si>
  <si>
    <t>6acc6ff2-3090-4ac8-9b77-72d27b858ca6</t>
  </si>
  <si>
    <t>Forced – After you reveal a chaos token from the chaos bag while investigating this location: Reveal and resolve an additional chaos token. (Limit once per test.)</t>
  </si>
  <si>
    <t>f2c23f02-f085-4d59-939a-aafe534c82d2</t>
  </si>
  <si>
    <t>Each enemy at this location cannot take more than 1 damage from each attack performed against it.</t>
  </si>
  <si>
    <t>b2dbfd62-653e-4488-a3e7-413af8103ca0</t>
  </si>
  <si>
    <t>Forced – After you reveal a chaos token from the chaos bag during an evasion attempt at this location: Reveal and resolve an additional chaos token. (Limit once per test.)</t>
  </si>
  <si>
    <t>5e0ae575-24d3-439c-bfbe-4a74a1869b2d</t>
  </si>
  <si>
    <t>Umôrdhoth’s Hunger</t>
  </si>
  <si>
    <t>Revelation – Each investigator must discard 1 card at random from his or her hand. Each investigator who has no cards in his or her hand is killed. Heal 1 damage from each enemy in play.</t>
  </si>
  <si>
    <t>09cbf4b7-0112-49e1-86a5-62b655c433b5</t>
  </si>
  <si>
    <t>Ghouls of Umôrdhoth</t>
  </si>
  <si>
    <t>Grave-Eater</t>
  </si>
  <si>
    <t>Forced – After Grave-Eater attacks you: Discard 1 card at random from your hand.</t>
  </si>
  <si>
    <t>49146909-d31f-4110-90f7-c75da63c9bfc</t>
  </si>
  <si>
    <t>Acolyte of Umôrdhoth</t>
  </si>
  <si>
    <t>Prey – Fewest cards in hand.</t>
  </si>
  <si>
    <t>While engaged with an investigator with no cards in his or her hand, Acolyte of Umôrdhoth cannot be evaded.</t>
  </si>
  <si>
    <t>4b84112d-91ca-4c27-aecd-f1f4953ac7ae</t>
  </si>
  <si>
    <t>Chill from Below</t>
  </si>
  <si>
    <t>Revelation – Test ά (3). For each point you fail by, you must discard 1 card at random from your hand. For each card you cannot discard, take 1 damage.</t>
  </si>
  <si>
    <t>9b005319-813a-4dfb-91a3-6a2ed4ec7ddb</t>
  </si>
  <si>
    <t>The Devourer’s Cult</t>
  </si>
  <si>
    <t>Disciple of the Devourer</t>
  </si>
  <si>
    <t>Spawn – Farthest empty location.</t>
  </si>
  <si>
    <t>Forced – After you spawn Disciple of the Devourer: You must either place 1 doom on it or place 1 of your clues on its location. If the current agenda is not agenda 1, do both instead.</t>
  </si>
  <si>
    <t>fdcf1086-a86d-4542-bd7a-572a5f2b6058</t>
  </si>
  <si>
    <t>Corpse-Taker</t>
  </si>
  <si>
    <t>Monster. Servitor. Cultist.</t>
  </si>
  <si>
    <t>Forced – At the end of the mythos phase: Place 1 doom on Corpse-Taker.
Forced – At the end of the enemy phase: Corpse-Taker moves once toward Rivertown or Main Path. If Corpse-Taker is already at Rivertown or Main Path, move all doom from Corpse-Taker to the current agenda, instead.</t>
  </si>
  <si>
    <t>96df8c6f-d47f-4d9b-ac14-89226ad948f2</t>
  </si>
  <si>
    <t>Mask of Umôrdhoth</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</si>
  <si>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</si>
  <si>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18006f11-385d-4557-bd62-2db39fe64af7</t>
  </si>
  <si>
    <t>Cult of Umôrdhoth</t>
  </si>
  <si>
    <t>Jeremiah Pierce</t>
  </si>
  <si>
    <t>Spawn – Your House. Otherwise, Rivertown.</t>
  </si>
  <si>
    <t>η: Parley. Add Jeremiah Pierce to the victory display. Then, test ά (4). Place 1 doom on the current agenda for each point you fail by (this can cause the current agenda to advance).</t>
  </si>
  <si>
    <t>9a76a809-4675-40bf-b161-423a3c5dcc82</t>
  </si>
  <si>
    <t>Billy Cooper</t>
  </si>
  <si>
    <t>Spawn – Easttown.</t>
  </si>
  <si>
    <t>Forced – After a Monster enemy is defeated at Billy Cooper’s location: Add Billy Cooper to the victory display.</t>
  </si>
  <si>
    <t>386b3309-1666-4955-933f-0f011b7174a8</t>
  </si>
  <si>
    <t>Alma Hill</t>
  </si>
  <si>
    <t>Spawn – Southside.</t>
  </si>
  <si>
    <t>η: Parley. Draw the top 3 cards of the encounter deck. Then, add Alma Hill to the victory display.</t>
  </si>
  <si>
    <t>RTNOTZ</t>
  </si>
  <si>
    <t>Return to The Night of the Zealot</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</si>
</sst>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
      <sz val="9"/>
      <color rgb="FF000000"/>
      <name val="Calibri Arkham"/>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11" fontId="23" fillId="0" borderId="0" xfId="0" applyNumberFormat="1" applyFont="1" applyFill="1" applyAlignment="1">
      <alignment horizontal="left" vertical="top" wrapText="1"/>
    </xf>
    <xf numFmtId="11" fontId="3" fillId="17" borderId="0" xfId="0" applyNumberFormat="1" applyFont="1" applyFill="1" applyAlignment="1">
      <alignment horizontal="left" vertical="top" wrapText="1"/>
    </xf>
    <xf numFmtId="0" fontId="18" fillId="3" borderId="5" xfId="0" applyFont="1" applyFill="1" applyBorder="1" applyAlignment="1">
      <alignment horizontal="center"/>
    </xf>
    <xf numFmtId="0" fontId="18" fillId="3" borderId="1" xfId="0" applyFont="1" applyFill="1" applyBorder="1" applyAlignment="1">
      <alignment horizontal="center"/>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Alignment="1">
      <alignment horizontal="left" vertical="top" wrapText="1"/>
    </xf>
    <xf numFmtId="0" fontId="29" fillId="0" borderId="0" xfId="0" applyFont="1" applyAlignment="1">
      <alignment horizontal="left" vertical="top"/>
    </xf>
    <xf numFmtId="0" fontId="29" fillId="0" borderId="0" xfId="0" applyFont="1" applyAlignment="1">
      <alignment horizontal="left" vertical="top" wrapText="1"/>
    </xf>
    <xf numFmtId="0" fontId="29" fillId="0" borderId="0" xfId="0" applyNumberFormat="1" applyFont="1" applyAlignment="1">
      <alignment horizontal="left" vertical="top" wrapText="1"/>
    </xf>
    <xf numFmtId="0" fontId="29" fillId="9" borderId="2" xfId="0" applyNumberFormat="1" applyFont="1" applyFill="1" applyBorder="1" applyAlignment="1">
      <alignment horizontal="left" vertical="top" wrapText="1"/>
    </xf>
    <xf numFmtId="0" fontId="29" fillId="4" borderId="2" xfId="0" applyNumberFormat="1" applyFont="1" applyFill="1" applyBorder="1" applyAlignment="1">
      <alignment horizontal="left" vertical="top" wrapText="1"/>
    </xf>
    <xf numFmtId="0" fontId="29" fillId="10" borderId="2" xfId="0" applyNumberFormat="1" applyFont="1" applyFill="1" applyBorder="1" applyAlignment="1">
      <alignment horizontal="left" vertical="top" wrapText="1"/>
    </xf>
    <xf numFmtId="0" fontId="29" fillId="8" borderId="2" xfId="0" applyFont="1" applyFill="1" applyBorder="1" applyAlignment="1">
      <alignment horizontal="left" vertical="top" wrapText="1"/>
    </xf>
    <xf numFmtId="0" fontId="29" fillId="5" borderId="2" xfId="0" applyFont="1" applyFill="1" applyBorder="1" applyAlignment="1">
      <alignment horizontal="left" vertical="top" wrapText="1"/>
    </xf>
    <xf numFmtId="0" fontId="29" fillId="7" borderId="2" xfId="0" applyFont="1" applyFill="1" applyBorder="1" applyAlignment="1">
      <alignment horizontal="left" vertical="top" wrapText="1"/>
    </xf>
    <xf numFmtId="0" fontId="30" fillId="13" borderId="2" xfId="0" applyNumberFormat="1" applyFont="1" applyFill="1" applyBorder="1" applyAlignment="1">
      <alignment horizontal="left" vertical="top" wrapText="1"/>
    </xf>
    <xf numFmtId="0" fontId="30" fillId="14" borderId="2" xfId="0" applyNumberFormat="1" applyFont="1" applyFill="1" applyBorder="1" applyAlignment="1">
      <alignment horizontal="left" vertical="top" wrapText="1"/>
    </xf>
    <xf numFmtId="0" fontId="29" fillId="6" borderId="2" xfId="0" applyNumberFormat="1" applyFont="1" applyFill="1" applyBorder="1" applyAlignment="1">
      <alignment horizontal="left" vertical="top" wrapText="1"/>
    </xf>
    <xf numFmtId="0" fontId="29" fillId="5" borderId="2" xfId="0" applyNumberFormat="1" applyFont="1" applyFill="1" applyBorder="1" applyAlignment="1">
      <alignment horizontal="left" vertical="top" wrapText="1"/>
    </xf>
    <xf numFmtId="0" fontId="31" fillId="0" borderId="0" xfId="0" applyFont="1" applyAlignment="1">
      <alignment horizontal="left" vertical="top" wrapText="1"/>
    </xf>
    <xf numFmtId="0" fontId="31" fillId="0" borderId="0" xfId="0" applyFont="1" applyAlignment="1">
      <alignment horizontal="left" vertical="top"/>
    </xf>
    <xf numFmtId="0" fontId="29" fillId="0" borderId="0" xfId="0" applyNumberFormat="1" applyFont="1" applyAlignment="1">
      <alignment horizontal="left" vertical="top"/>
    </xf>
    <xf numFmtId="0" fontId="29" fillId="9" borderId="2" xfId="0" applyNumberFormat="1" applyFont="1" applyFill="1" applyBorder="1" applyAlignment="1">
      <alignment horizontal="left" vertical="top"/>
    </xf>
    <xf numFmtId="0" fontId="29" fillId="4" borderId="2" xfId="0" applyNumberFormat="1" applyFont="1" applyFill="1" applyBorder="1" applyAlignment="1">
      <alignment horizontal="left" vertical="top"/>
    </xf>
    <xf numFmtId="0" fontId="29" fillId="10" borderId="2" xfId="0" applyNumberFormat="1" applyFont="1" applyFill="1" applyBorder="1" applyAlignment="1">
      <alignment horizontal="left" vertical="top"/>
    </xf>
    <xf numFmtId="0" fontId="29" fillId="8" borderId="2" xfId="0" applyFont="1" applyFill="1" applyBorder="1" applyAlignment="1">
      <alignment horizontal="left" vertical="top"/>
    </xf>
    <xf numFmtId="0" fontId="29" fillId="5" borderId="2" xfId="0" applyFont="1" applyFill="1" applyBorder="1" applyAlignment="1">
      <alignment horizontal="left" vertical="top"/>
    </xf>
    <xf numFmtId="0" fontId="30" fillId="13" borderId="2" xfId="0" applyNumberFormat="1" applyFont="1" applyFill="1" applyBorder="1" applyAlignment="1">
      <alignment horizontal="left" vertical="top"/>
    </xf>
    <xf numFmtId="0" fontId="30" fillId="14" borderId="2" xfId="0" applyNumberFormat="1" applyFont="1" applyFill="1" applyBorder="1" applyAlignment="1">
      <alignment horizontal="left" vertical="top"/>
    </xf>
    <xf numFmtId="0" fontId="29" fillId="6" borderId="2" xfId="0" applyNumberFormat="1" applyFont="1" applyFill="1" applyBorder="1" applyAlignment="1">
      <alignment horizontal="left" vertical="top"/>
    </xf>
    <xf numFmtId="0" fontId="29" fillId="5" borderId="2" xfId="0" applyNumberFormat="1" applyFont="1" applyFill="1" applyBorder="1" applyAlignment="1">
      <alignment horizontal="left" vertical="top"/>
    </xf>
  </cellXfs>
  <cellStyles count="1">
    <cellStyle name="Normal" xfId="0" builtinId="0"/>
  </cellStyles>
  <dxfs count="84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3" sqref="B23"/>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63" t="s">
        <v>3303</v>
      </c>
      <c r="H1" s="164"/>
      <c r="I1" s="164"/>
      <c r="J1" s="165"/>
      <c r="K1" s="161"/>
      <c r="L1" s="161"/>
      <c r="M1" s="162"/>
      <c r="N1" s="166" t="s">
        <v>4</v>
      </c>
      <c r="O1" s="166"/>
      <c r="P1" s="166"/>
      <c r="Q1" s="166"/>
      <c r="R1" s="166"/>
      <c r="S1" s="166"/>
      <c r="T1" s="166"/>
      <c r="U1" s="21"/>
      <c r="V1" s="166" t="s">
        <v>4079</v>
      </c>
      <c r="W1" s="166"/>
      <c r="X1" s="166"/>
      <c r="Y1" s="166"/>
      <c r="Z1" s="166"/>
      <c r="AA1" s="166"/>
    </row>
    <row r="2" spans="1:27" ht="18.75">
      <c r="A2" s="28"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4" customFormat="1">
      <c r="A3" s="29" t="s">
        <v>4037</v>
      </c>
      <c r="B3" s="29" t="s">
        <v>50</v>
      </c>
      <c r="C3" s="30" t="s">
        <v>2107</v>
      </c>
      <c r="D3" s="29"/>
      <c r="E3" s="29" t="s">
        <v>146</v>
      </c>
      <c r="G3" s="23">
        <f>SUMIF('Card Data'!$A:$A,$A3,'Card Data'!$E:$E)</f>
        <v>238</v>
      </c>
      <c r="H3" s="23">
        <f>SUMIFS('Card Data'!$E:$E,'Card Data'!$A:$A,$A3,'Card Data'!$K:$K,"&lt;&gt;",'Card Data'!$J:$J,"&lt;&gt;Investigator")-SUMIFS('Card Data'!$E:$E,'Card Data'!$A:$A,$A3,'Card Data'!$K:$K,"&lt;&gt;",'Card Data'!$J:$J,"Mini")</f>
        <v>116</v>
      </c>
      <c r="I3" s="23">
        <f>SUMIFS('Card Data'!$E:$E,'Card Data'!$A:$A,$A3,'Card Data'!$K:$K,"",'Card Data'!$J:$J,"&lt;&gt;Campaign")+SUMIFS('Card Data'!$E:$E,'Card Data'!$A:$A,$A3,'Card Data'!$K:$K,"Mythos")-J3</f>
        <v>104</v>
      </c>
      <c r="J3" s="23">
        <f>SUMIFS('Card Data'!$E:$E,'Card Data'!$J:$J,J$2,'Card Data'!$A:$A,$A3,'Card Data'!$AD:$AD,"&lt;&gt;*Side Quest.*")</f>
        <v>8</v>
      </c>
      <c r="K3" s="23">
        <f>COUNTIFS('Card Data'!$J:$J,K$2,'Card Data'!$A:$A,$A3,'Card Data'!$AD:$AD,"&lt;&gt;*Side Quest.*")</f>
        <v>7</v>
      </c>
      <c r="L3" s="23">
        <f>COUNTIFS('Card Data'!$J:$J,L$2,'Card Data'!$A:$A,$A3,'Card Data'!$AD:$AD,"&lt;&gt;*Side Quest.*")</f>
        <v>3</v>
      </c>
      <c r="M3" s="25"/>
      <c r="N3" s="23">
        <f>COUNTIFS('Card Data'!$J:$J,N$2,'Card Data'!$A:$A,$A3)</f>
        <v>5</v>
      </c>
      <c r="O3" s="23">
        <f>COUNTIFS('Card Data'!$J:$J,O$2,'Card Data'!$A:$A,$A3)</f>
        <v>51</v>
      </c>
      <c r="P3" s="23">
        <f>COUNTIFS('Card Data'!$J:$J,P$2,'Card Data'!$A:$A,$A3)</f>
        <v>27</v>
      </c>
      <c r="Q3" s="23">
        <f>COUNTIFS('Card Data'!$J:$J,Q$2,'Card Data'!$A:$A,$A3)</f>
        <v>10</v>
      </c>
      <c r="R3" s="23">
        <f>COUNTIFS('Card Data'!$J:$J,R$2,'Card Data'!$A:$A,$A3)</f>
        <v>24</v>
      </c>
      <c r="S3" s="23">
        <f>COUNTIFS('Card Data'!$J:$J,S$2,'Card Data'!$A:$A,$A3)</f>
        <v>24</v>
      </c>
      <c r="T3" s="23">
        <f>COUNTIFS('Card Data'!$J:$J,T$2,'Card Data'!$A:$A,$A3)</f>
        <v>24</v>
      </c>
      <c r="U3" s="25"/>
      <c r="V3" s="23">
        <f>COUNTIFS('Card Data'!$K:$K,V$2,'Card Data'!$A:$A,$A3)</f>
        <v>16</v>
      </c>
      <c r="W3" s="23">
        <f>COUNTIFS('Card Data'!$K:$K,W$2,'Card Data'!$A:$A,$A3)</f>
        <v>16</v>
      </c>
      <c r="X3" s="23">
        <f>COUNTIFS('Card Data'!$K:$K,X$2,'Card Data'!$A:$A,$A3)</f>
        <v>16</v>
      </c>
      <c r="Y3" s="23">
        <f>COUNTIFS('Card Data'!$K:$K,Y$2,'Card Data'!$A:$A,$A3)</f>
        <v>16</v>
      </c>
      <c r="Z3" s="23">
        <f>COUNTIFS('Card Data'!$K:$K,Z$2,'Card Data'!$A:$A,$A3)</f>
        <v>16</v>
      </c>
      <c r="AA3" s="23">
        <f>COUNTIFS('Card Data'!$K:$K,AA$2,'Card Data'!$A:$A,$A3)</f>
        <v>28</v>
      </c>
    </row>
    <row r="4" spans="1:27">
      <c r="A4" s="45" t="s">
        <v>4787</v>
      </c>
      <c r="B4" s="45" t="s">
        <v>4788</v>
      </c>
      <c r="C4" s="46" t="s">
        <v>2107</v>
      </c>
      <c r="D4" s="45"/>
      <c r="E4" s="45" t="s">
        <v>4786</v>
      </c>
      <c r="F4" s="18"/>
      <c r="G4" s="23">
        <f>SUMIF('Card Data'!$A:$A,$A4,'Card Data'!$E:$E)</f>
        <v>61</v>
      </c>
      <c r="H4" s="23">
        <f>SUMIFS('Card Data'!$E:$E,'Card Data'!$A:$A,$A4,'Card Data'!$K:$K,"&lt;&gt;",'Card Data'!$J:$J,"&lt;&gt;Investigator")-SUMIFS('Card Data'!$E:$E,'Card Data'!$A:$A,$A4,'Card Data'!$K:$K,"&lt;&gt;",'Card Data'!$J:$J,"Mini")</f>
        <v>0</v>
      </c>
      <c r="I4" s="23">
        <f>SUMIFS('Card Data'!$E:$E,'Card Data'!$A:$A,$A4,'Card Data'!$K:$K,"",'Card Data'!$J:$J,"&lt;&gt;Campaign")+SUMIFS('Card Data'!$E:$E,'Card Data'!$A:$A,$A4,'Card Data'!$K:$K,"Mythos")-J4</f>
        <v>54</v>
      </c>
      <c r="J4" s="23">
        <f>SUMIFS('Card Data'!$E:$E,'Card Data'!$J:$J,J$2,'Card Data'!$A:$A,$A4,'Card Data'!$AD:$AD,"&lt;&gt;*Side Quest.*")</f>
        <v>3</v>
      </c>
      <c r="K4" s="23">
        <f>COUNTIFS('Card Data'!$J:$J,K$2,'Card Data'!$A:$A,$A4,'Card Data'!$AD:$AD,"&lt;&gt;*Side Quest.*")</f>
        <v>2</v>
      </c>
      <c r="L4" s="23">
        <f>COUNTIFS('Card Data'!$J:$J,L$2,'Card Data'!$A:$A,$A4,'Card Data'!$AD:$AD,"&lt;&gt;*Side Quest.*")</f>
        <v>1</v>
      </c>
      <c r="M4" s="25"/>
      <c r="N4" s="23">
        <f>COUNTIFS('Card Data'!$J:$J,N$2,'Card Data'!$A:$A,$A4)</f>
        <v>0</v>
      </c>
      <c r="O4" s="23">
        <f>COUNTIFS('Card Data'!$J:$J,O$2,'Card Data'!$A:$A,$A4)</f>
        <v>4</v>
      </c>
      <c r="P4" s="23">
        <f>COUNTIFS('Card Data'!$J:$J,P$2,'Card Data'!$A:$A,$A4)</f>
        <v>0</v>
      </c>
      <c r="Q4" s="23">
        <f>COUNTIFS('Card Data'!$J:$J,Q$2,'Card Data'!$A:$A,$A4)</f>
        <v>0</v>
      </c>
      <c r="R4" s="23">
        <f>COUNTIFS('Card Data'!$J:$J,R$2,'Card Data'!$A:$A,$A4)</f>
        <v>6</v>
      </c>
      <c r="S4" s="23">
        <f>COUNTIFS('Card Data'!$J:$J,S$2,'Card Data'!$A:$A,$A4)</f>
        <v>12</v>
      </c>
      <c r="T4" s="23">
        <f>COUNTIFS('Card Data'!$J:$J,T$2,'Card Data'!$A:$A,$A4)</f>
        <v>8</v>
      </c>
      <c r="U4" s="25"/>
      <c r="V4" s="23">
        <f>COUNTIFS('Card Data'!$K:$K,V$2,'Card Data'!$A:$A,$A4)</f>
        <v>0</v>
      </c>
      <c r="W4" s="23">
        <f>COUNTIFS('Card Data'!$K:$K,W$2,'Card Data'!$A:$A,$A4)</f>
        <v>0</v>
      </c>
      <c r="X4" s="23">
        <f>COUNTIFS('Card Data'!$K:$K,X$2,'Card Data'!$A:$A,$A4)</f>
        <v>0</v>
      </c>
      <c r="Y4" s="23">
        <f>COUNTIFS('Card Data'!$K:$K,Y$2,'Card Data'!$A:$A,$A4)</f>
        <v>0</v>
      </c>
      <c r="Z4" s="23">
        <f>COUNTIFS('Card Data'!$K:$K,Z$2,'Card Data'!$A:$A,$A4)</f>
        <v>0</v>
      </c>
      <c r="AA4" s="23">
        <f>COUNTIFS('Card Data'!$K:$K,AA$2,'Card Data'!$A:$A,$A4)</f>
        <v>0</v>
      </c>
    </row>
    <row r="5" spans="1:27" s="15" customFormat="1">
      <c r="A5" s="47" t="s">
        <v>4979</v>
      </c>
      <c r="B5" s="47" t="s">
        <v>4980</v>
      </c>
      <c r="C5" s="48" t="s">
        <v>2107</v>
      </c>
      <c r="D5" s="47"/>
      <c r="E5" s="47" t="s">
        <v>4980</v>
      </c>
      <c r="G5" s="23">
        <f>SUMIF('Card Data'!$A:$A,$A5,'Card Data'!$E:$E)</f>
        <v>4</v>
      </c>
      <c r="H5" s="23">
        <f>SUMIFS('Card Data'!$E:$E,'Card Data'!$A:$A,$A5,'Card Data'!$K:$K,"&lt;&gt;",'Card Data'!$J:$J,"&lt;&gt;Investigator")-SUMIFS('Card Data'!$E:$E,'Card Data'!$A:$A,$A5,'Card Data'!$K:$K,"&lt;&gt;",'Card Data'!$J:$J,"Mini")</f>
        <v>2</v>
      </c>
      <c r="I5" s="23">
        <f>SUMIFS('Card Data'!$E:$E,'Card Data'!$A:$A,$A5,'Card Data'!$K:$K,"",'Card Data'!$J:$J,"&lt;&gt;Campaign")+SUMIFS('Card Data'!$E:$E,'Card Data'!$A:$A,$A5,'Card Data'!$K:$K,"Mythos")-J5</f>
        <v>0</v>
      </c>
      <c r="J5" s="23">
        <f>SUMIFS('Card Data'!$E:$E,'Card Data'!$J:$J,J$2,'Card Data'!$A:$A,$A5,'Card Data'!$AD:$AD,"&lt;&gt;*Side Quest.*")</f>
        <v>0</v>
      </c>
      <c r="K5" s="23">
        <f>COUNTIFS('Card Data'!$J:$J,K$2,'Card Data'!$A:$A,$A5,'Card Data'!$AD:$AD,"&lt;&gt;*Side Quest.*")</f>
        <v>0</v>
      </c>
      <c r="L5" s="23">
        <f>COUNTIFS('Card Data'!$J:$J,L$2,'Card Data'!$A:$A,$A5,'Card Data'!$AD:$AD,"&lt;&gt;*Side Quest.*")</f>
        <v>0</v>
      </c>
      <c r="M5" s="25"/>
      <c r="N5" s="23">
        <f>COUNTIFS('Card Data'!$J:$J,N$2,'Card Data'!$A:$A,$A5)</f>
        <v>1</v>
      </c>
      <c r="O5" s="23">
        <f>COUNTIFS('Card Data'!$J:$J,O$2,'Card Data'!$A:$A,$A5)</f>
        <v>1</v>
      </c>
      <c r="P5" s="23">
        <f>COUNTIFS('Card Data'!$J:$J,P$2,'Card Data'!$A:$A,$A5)</f>
        <v>1</v>
      </c>
      <c r="Q5" s="23">
        <f>COUNTIFS('Card Data'!$J:$J,Q$2,'Card Data'!$A:$A,$A5)</f>
        <v>0</v>
      </c>
      <c r="R5" s="23">
        <f>COUNTIFS('Card Data'!$J:$J,R$2,'Card Data'!$A:$A,$A5)</f>
        <v>0</v>
      </c>
      <c r="S5" s="23">
        <f>COUNTIFS('Card Data'!$J:$J,S$2,'Card Data'!$A:$A,$A5)</f>
        <v>0</v>
      </c>
      <c r="T5" s="23">
        <f>COUNTIFS('Card Data'!$J:$J,T$2,'Card Data'!$A:$A,$A5)</f>
        <v>0</v>
      </c>
      <c r="U5" s="25"/>
      <c r="V5" s="23">
        <f>COUNTIFS('Card Data'!$K:$K,V$2,'Card Data'!$A:$A,$A5)</f>
        <v>0</v>
      </c>
      <c r="W5" s="23">
        <f>COUNTIFS('Card Data'!$K:$K,W$2,'Card Data'!$A:$A,$A5)</f>
        <v>0</v>
      </c>
      <c r="X5" s="23">
        <f>COUNTIFS('Card Data'!$K:$K,X$2,'Card Data'!$A:$A,$A5)</f>
        <v>0</v>
      </c>
      <c r="Y5" s="23">
        <f>COUNTIFS('Card Data'!$K:$K,Y$2,'Card Data'!$A:$A,$A5)</f>
        <v>2</v>
      </c>
      <c r="Z5" s="23">
        <f>COUNTIFS('Card Data'!$K:$K,Z$2,'Card Data'!$A:$A,$A5)</f>
        <v>0</v>
      </c>
      <c r="AA5" s="23">
        <f>COUNTIFS('Card Data'!$K:$K,AA$2,'Card Data'!$A:$A,$A5)</f>
        <v>2</v>
      </c>
    </row>
    <row r="6" spans="1:27" s="15" customFormat="1">
      <c r="A6" s="47" t="s">
        <v>5053</v>
      </c>
      <c r="B6" s="47" t="s">
        <v>4985</v>
      </c>
      <c r="C6" s="48" t="s">
        <v>2107</v>
      </c>
      <c r="D6" s="47"/>
      <c r="E6" s="47" t="s">
        <v>5054</v>
      </c>
      <c r="G6" s="23">
        <f>SUMIF('Card Data'!$A:$A,$A6,'Card Data'!$E:$E)</f>
        <v>63</v>
      </c>
      <c r="H6" s="23">
        <f>SUMIFS('Card Data'!$E:$E,'Card Data'!$A:$A,$A6,'Card Data'!$K:$K,"&lt;&gt;",'Card Data'!$J:$J,"&lt;&gt;Investigator")-SUMIFS('Card Data'!$E:$E,'Card Data'!$A:$A,$A6,'Card Data'!$K:$K,"&lt;&gt;",'Card Data'!$J:$J,"Mini")</f>
        <v>8</v>
      </c>
      <c r="I6" s="23">
        <f>SUMIFS('Card Data'!$E:$E,'Card Data'!$A:$A,$A6,'Card Data'!$K:$K,"",'Card Data'!$J:$J,"&lt;&gt;Campaign")+SUMIFS('Card Data'!$E:$E,'Card Data'!$A:$A,$A6,'Card Data'!$K:$K,"Mythos")-J6</f>
        <v>46</v>
      </c>
      <c r="J6" s="23">
        <f>SUMIFS('Card Data'!$E:$E,'Card Data'!$J:$J,J$2,'Card Data'!$A:$A,$A6,'Card Data'!$AD:$AD,"&lt;&gt;*Side Quest.*")</f>
        <v>3</v>
      </c>
      <c r="K6" s="23">
        <f>COUNTIFS('Card Data'!$J:$J,K$2,'Card Data'!$A:$A,$A6,'Card Data'!$AD:$AD,"&lt;&gt;*Side Quest.*")</f>
        <v>3</v>
      </c>
      <c r="L6" s="23">
        <f>COUNTIFS('Card Data'!$J:$J,L$2,'Card Data'!$A:$A,$A6,'Card Data'!$AD:$AD,"&lt;&gt;*Side Quest.*")</f>
        <v>1</v>
      </c>
      <c r="M6" s="25"/>
      <c r="N6" s="23">
        <f>COUNTIFS('Card Data'!$J:$J,N$2,'Card Data'!$A:$A,$A6)</f>
        <v>0</v>
      </c>
      <c r="O6" s="23">
        <f>COUNTIFS('Card Data'!$J:$J,O$2,'Card Data'!$A:$A,$A6)</f>
        <v>6</v>
      </c>
      <c r="P6" s="23">
        <f>COUNTIFS('Card Data'!$J:$J,P$2,'Card Data'!$A:$A,$A6)</f>
        <v>0</v>
      </c>
      <c r="Q6" s="23">
        <f>COUNTIFS('Card Data'!$J:$J,Q$2,'Card Data'!$A:$A,$A6)</f>
        <v>0</v>
      </c>
      <c r="R6" s="23">
        <f>COUNTIFS('Card Data'!$J:$J,R$2,'Card Data'!$A:$A,$A6)</f>
        <v>9</v>
      </c>
      <c r="S6" s="23">
        <f>COUNTIFS('Card Data'!$J:$J,S$2,'Card Data'!$A:$A,$A6)</f>
        <v>10</v>
      </c>
      <c r="T6" s="23">
        <f>COUNTIFS('Card Data'!$J:$J,T$2,'Card Data'!$A:$A,$A6)</f>
        <v>7</v>
      </c>
      <c r="U6" s="25"/>
      <c r="V6" s="23">
        <f>COUNTIFS('Card Data'!$K:$K,V$2,'Card Data'!$A:$A,$A6)</f>
        <v>0</v>
      </c>
      <c r="W6" s="23">
        <f>COUNTIFS('Card Data'!$K:$K,W$2,'Card Data'!$A:$A,$A6)</f>
        <v>0</v>
      </c>
      <c r="X6" s="23">
        <f>COUNTIFS('Card Data'!$K:$K,X$2,'Card Data'!$A:$A,$A6)</f>
        <v>0</v>
      </c>
      <c r="Y6" s="23">
        <f>COUNTIFS('Card Data'!$K:$K,Y$2,'Card Data'!$A:$A,$A6)</f>
        <v>0</v>
      </c>
      <c r="Z6" s="23">
        <f>COUNTIFS('Card Data'!$K:$K,Z$2,'Card Data'!$A:$A,$A6)</f>
        <v>0</v>
      </c>
      <c r="AA6" s="23">
        <f>COUNTIFS('Card Data'!$K:$K,AA$2,'Card Data'!$A:$A,$A6)</f>
        <v>6</v>
      </c>
    </row>
    <row r="7" spans="1:27">
      <c r="A7" s="49" t="s">
        <v>5157</v>
      </c>
      <c r="B7" s="49" t="s">
        <v>5158</v>
      </c>
      <c r="C7" s="44" t="s">
        <v>2107</v>
      </c>
      <c r="D7" s="49"/>
      <c r="E7" s="49" t="s">
        <v>5159</v>
      </c>
      <c r="G7" s="23">
        <f>SUMIF('Card Data'!$A:$A,$A7,'Card Data'!$E:$E)</f>
        <v>161</v>
      </c>
      <c r="H7" s="23">
        <f>SUMIFS('Card Data'!$E:$E,'Card Data'!$A:$A,$A7,'Card Data'!$K:$K,"&lt;&gt;",'Card Data'!$J:$J,"&lt;&gt;Investigator")-SUMIFS('Card Data'!$E:$E,'Card Data'!$A:$A,$A7,'Card Data'!$K:$K,"&lt;&gt;",'Card Data'!$J:$J,"Mini")</f>
        <v>64</v>
      </c>
      <c r="I7" s="23">
        <f>SUMIFS('Card Data'!$E:$E,'Card Data'!$A:$A,$A7,'Card Data'!$K:$K,"",'Card Data'!$J:$J,"&lt;&gt;Campaign")+SUMIFS('Card Data'!$E:$E,'Card Data'!$A:$A,$A7,'Card Data'!$K:$K,"Mythos")-J7</f>
        <v>81</v>
      </c>
      <c r="J7" s="23">
        <f>SUMIFS('Card Data'!$E:$E,'Card Data'!$J:$J,J$2,'Card Data'!$A:$A,$A7,'Card Data'!$AD:$AD,"&lt;&gt;*Side Quest.*")</f>
        <v>6</v>
      </c>
      <c r="K7" s="23">
        <f>COUNTIFS('Card Data'!$J:$J,K$2,'Card Data'!$A:$A,$A7,'Card Data'!$AD:$AD,"&lt;&gt;*Side Quest.*")</f>
        <v>7</v>
      </c>
      <c r="L7" s="23">
        <f>COUNTIFS('Card Data'!$J:$J,L$2,'Card Data'!$A:$A,$A7,'Card Data'!$AD:$AD,"&lt;&gt;*Side Quest.*")</f>
        <v>2</v>
      </c>
      <c r="M7" s="25"/>
      <c r="N7" s="23">
        <f>COUNTIFS('Card Data'!$J:$J,N$2,'Card Data'!$A:$A,$A7)</f>
        <v>5</v>
      </c>
      <c r="O7" s="23">
        <f>COUNTIFS('Card Data'!$J:$J,O$2,'Card Data'!$A:$A,$A7)</f>
        <v>22</v>
      </c>
      <c r="P7" s="23">
        <f>COUNTIFS('Card Data'!$J:$J,P$2,'Card Data'!$A:$A,$A7)</f>
        <v>9</v>
      </c>
      <c r="Q7" s="23">
        <f>COUNTIFS('Card Data'!$J:$J,Q$2,'Card Data'!$A:$A,$A7)</f>
        <v>1</v>
      </c>
      <c r="R7" s="23">
        <f>COUNTIFS('Card Data'!$J:$J,R$2,'Card Data'!$A:$A,$A7)</f>
        <v>11</v>
      </c>
      <c r="S7" s="23">
        <f>COUNTIFS('Card Data'!$J:$J,S$2,'Card Data'!$A:$A,$A7)</f>
        <v>18</v>
      </c>
      <c r="T7" s="23">
        <f>COUNTIFS('Card Data'!$J:$J,T$2,'Card Data'!$A:$A,$A7)</f>
        <v>23</v>
      </c>
      <c r="U7" s="25"/>
      <c r="V7" s="23">
        <f>COUNTIFS('Card Data'!$K:$K,V$2,'Card Data'!$A:$A,$A7)</f>
        <v>6</v>
      </c>
      <c r="W7" s="23">
        <f>COUNTIFS('Card Data'!$K:$K,W$2,'Card Data'!$A:$A,$A7)</f>
        <v>6</v>
      </c>
      <c r="X7" s="23">
        <f>COUNTIFS('Card Data'!$K:$K,X$2,'Card Data'!$A:$A,$A7)</f>
        <v>6</v>
      </c>
      <c r="Y7" s="23">
        <f>COUNTIFS('Card Data'!$K:$K,Y$2,'Card Data'!$A:$A,$A7)</f>
        <v>6</v>
      </c>
      <c r="Z7" s="23">
        <f>COUNTIFS('Card Data'!$K:$K,Z$2,'Card Data'!$A:$A,$A7)</f>
        <v>6</v>
      </c>
      <c r="AA7" s="23">
        <f>COUNTIFS('Card Data'!$K:$K,AA$2,'Card Data'!$A:$A,$A7)</f>
        <v>20</v>
      </c>
    </row>
    <row r="8" spans="1:27">
      <c r="A8" s="14" t="s">
        <v>5568</v>
      </c>
      <c r="B8" s="14" t="s">
        <v>5569</v>
      </c>
      <c r="C8" s="16" t="s">
        <v>2107</v>
      </c>
      <c r="E8" s="14" t="s">
        <v>5570</v>
      </c>
      <c r="G8" s="23">
        <f>SUMIF('Card Data'!$A:$A,$A8,'Card Data'!$E:$E)</f>
        <v>60</v>
      </c>
      <c r="H8" s="23">
        <f>SUMIFS('Card Data'!$E:$E,'Card Data'!$A:$A,$A8,'Card Data'!$K:$K,"&lt;&gt;",'Card Data'!$J:$J,"&lt;&gt;Investigator")-SUMIFS('Card Data'!$E:$E,'Card Data'!$A:$A,$A8,'Card Data'!$K:$K,"&lt;&gt;",'Card Data'!$J:$J,"Mini")</f>
        <v>29</v>
      </c>
      <c r="I8" s="23">
        <f>SUMIFS('Card Data'!$E:$E,'Card Data'!$A:$A,$A8,'Card Data'!$K:$K,"",'Card Data'!$J:$J,"&lt;&gt;Campaign")+SUMIFS('Card Data'!$E:$E,'Card Data'!$A:$A,$A8,'Card Data'!$K:$K,"Mythos")-J8</f>
        <v>28</v>
      </c>
      <c r="J8" s="23">
        <f>SUMIFS('Card Data'!$E:$E,'Card Data'!$J:$J,J$2,'Card Data'!$A:$A,$A8,'Card Data'!$AD:$AD,"&lt;&gt;*Side Quest.*")</f>
        <v>3</v>
      </c>
      <c r="K8" s="23">
        <f>COUNTIFS('Card Data'!$J:$J,K$2,'Card Data'!$A:$A,$A8,'Card Data'!$AD:$AD,"&lt;&gt;*Side Quest.*")</f>
        <v>4</v>
      </c>
      <c r="L8" s="23">
        <f>COUNTIFS('Card Data'!$J:$J,L$2,'Card Data'!$A:$A,$A8,'Card Data'!$AD:$AD,"&lt;&gt;*Side Quest.*")</f>
        <v>1</v>
      </c>
      <c r="M8" s="25"/>
      <c r="N8" s="23">
        <f>COUNTIFS('Card Data'!$J:$J,N$2,'Card Data'!$A:$A,$A8)</f>
        <v>0</v>
      </c>
      <c r="O8" s="23">
        <f>COUNTIFS('Card Data'!$J:$J,O$2,'Card Data'!$A:$A,$A8)</f>
        <v>10</v>
      </c>
      <c r="P8" s="23">
        <f>COUNTIFS('Card Data'!$J:$J,P$2,'Card Data'!$A:$A,$A8)</f>
        <v>6</v>
      </c>
      <c r="Q8" s="23">
        <f>COUNTIFS('Card Data'!$J:$J,Q$2,'Card Data'!$A:$A,$A8)</f>
        <v>0</v>
      </c>
      <c r="R8" s="23">
        <f>COUNTIFS('Card Data'!$J:$J,R$2,'Card Data'!$A:$A,$A8)</f>
        <v>1</v>
      </c>
      <c r="S8" s="23">
        <f>COUNTIFS('Card Data'!$J:$J,S$2,'Card Data'!$A:$A,$A8)</f>
        <v>12</v>
      </c>
      <c r="T8" s="23">
        <f>COUNTIFS('Card Data'!$J:$J,T$2,'Card Data'!$A:$A,$A8)</f>
        <v>5</v>
      </c>
      <c r="U8" s="25"/>
      <c r="V8" s="23">
        <f>COUNTIFS('Card Data'!$K:$K,V$2,'Card Data'!$A:$A,$A8)</f>
        <v>2</v>
      </c>
      <c r="W8" s="23">
        <f>COUNTIFS('Card Data'!$K:$K,W$2,'Card Data'!$A:$A,$A8)</f>
        <v>2</v>
      </c>
      <c r="X8" s="23">
        <f>COUNTIFS('Card Data'!$K:$K,X$2,'Card Data'!$A:$A,$A8)</f>
        <v>2</v>
      </c>
      <c r="Y8" s="23">
        <f>COUNTIFS('Card Data'!$K:$K,Y$2,'Card Data'!$A:$A,$A8)</f>
        <v>2</v>
      </c>
      <c r="Z8" s="23">
        <f>COUNTIFS('Card Data'!$K:$K,Z$2,'Card Data'!$A:$A,$A8)</f>
        <v>3</v>
      </c>
      <c r="AA8" s="23">
        <f>COUNTIFS('Card Data'!$K:$K,AA$2,'Card Data'!$A:$A,$A8)</f>
        <v>5</v>
      </c>
    </row>
    <row r="9" spans="1:27">
      <c r="A9" s="14" t="s">
        <v>5571</v>
      </c>
      <c r="B9" s="14" t="s">
        <v>5572</v>
      </c>
      <c r="C9" s="16" t="s">
        <v>2107</v>
      </c>
      <c r="E9" s="14" t="s">
        <v>5573</v>
      </c>
      <c r="G9" s="23">
        <f>SUMIF('Card Data'!$A:$A,$A9,'Card Data'!$E:$E)</f>
        <v>60</v>
      </c>
      <c r="H9" s="23">
        <f>SUMIFS('Card Data'!$E:$E,'Card Data'!$A:$A,$A9,'Card Data'!$K:$K,"&lt;&gt;",'Card Data'!$J:$J,"&lt;&gt;Investigator")-SUMIFS('Card Data'!$E:$E,'Card Data'!$A:$A,$A9,'Card Data'!$K:$K,"&lt;&gt;",'Card Data'!$J:$J,"Mini")</f>
        <v>31</v>
      </c>
      <c r="I9" s="23">
        <f>SUMIFS('Card Data'!$E:$E,'Card Data'!$A:$A,$A9,'Card Data'!$K:$K,"",'Card Data'!$J:$J,"&lt;&gt;Campaign")+SUMIFS('Card Data'!$E:$E,'Card Data'!$A:$A,$A9,'Card Data'!$K:$K,"Mythos")-J9</f>
        <v>24</v>
      </c>
      <c r="J9" s="23">
        <f>SUMIFS('Card Data'!$E:$E,'Card Data'!$J:$J,J$2,'Card Data'!$A:$A,$A9,'Card Data'!$AD:$AD,"&lt;&gt;*Side Quest.*")</f>
        <v>5</v>
      </c>
      <c r="K9" s="23">
        <f>COUNTIFS('Card Data'!$J:$J,K$2,'Card Data'!$A:$A,$A9,'Card Data'!$AD:$AD,"&lt;&gt;*Side Quest.*")</f>
        <v>2</v>
      </c>
      <c r="L9" s="23">
        <f>COUNTIFS('Card Data'!$J:$J,L$2,'Card Data'!$A:$A,$A9,'Card Data'!$AD:$AD,"&lt;&gt;*Side Quest.*")</f>
        <v>1</v>
      </c>
      <c r="M9" s="25"/>
      <c r="N9" s="23">
        <f>COUNTIFS('Card Data'!$J:$J,N$2,'Card Data'!$A:$A,$A9)</f>
        <v>0</v>
      </c>
      <c r="O9" s="23">
        <f>COUNTIFS('Card Data'!$J:$J,O$2,'Card Data'!$A:$A,$A9)</f>
        <v>8</v>
      </c>
      <c r="P9" s="23">
        <f>COUNTIFS('Card Data'!$J:$J,P$2,'Card Data'!$A:$A,$A9)</f>
        <v>4</v>
      </c>
      <c r="Q9" s="23">
        <f>COUNTIFS('Card Data'!$J:$J,Q$2,'Card Data'!$A:$A,$A9)</f>
        <v>1</v>
      </c>
      <c r="R9" s="23">
        <f>COUNTIFS('Card Data'!$J:$J,R$2,'Card Data'!$A:$A,$A9)</f>
        <v>2</v>
      </c>
      <c r="S9" s="23">
        <f>COUNTIFS('Card Data'!$J:$J,S$2,'Card Data'!$A:$A,$A9)</f>
        <v>11</v>
      </c>
      <c r="T9" s="23">
        <f>COUNTIFS('Card Data'!$J:$J,T$2,'Card Data'!$A:$A,$A9)</f>
        <v>3</v>
      </c>
      <c r="U9" s="25"/>
      <c r="V9" s="23">
        <f>COUNTIFS('Card Data'!$K:$K,V$2,'Card Data'!$A:$A,$A9)</f>
        <v>2</v>
      </c>
      <c r="W9" s="23">
        <f>COUNTIFS('Card Data'!$K:$K,W$2,'Card Data'!$A:$A,$A9)</f>
        <v>2</v>
      </c>
      <c r="X9" s="23">
        <f>COUNTIFS('Card Data'!$K:$K,X$2,'Card Data'!$A:$A,$A9)</f>
        <v>2</v>
      </c>
      <c r="Y9" s="23">
        <f>COUNTIFS('Card Data'!$K:$K,Y$2,'Card Data'!$A:$A,$A9)</f>
        <v>2</v>
      </c>
      <c r="Z9" s="23">
        <f>COUNTIFS('Card Data'!$K:$K,Z$2,'Card Data'!$A:$A,$A9)</f>
        <v>2</v>
      </c>
      <c r="AA9" s="23">
        <f>COUNTIFS('Card Data'!$K:$K,AA$2,'Card Data'!$A:$A,$A9)</f>
        <v>4</v>
      </c>
    </row>
    <row r="10" spans="1:27">
      <c r="A10" s="14" t="s">
        <v>5899</v>
      </c>
      <c r="B10" s="14" t="s">
        <v>5837</v>
      </c>
      <c r="C10" s="16" t="s">
        <v>2107</v>
      </c>
      <c r="E10" s="14" t="s">
        <v>5942</v>
      </c>
      <c r="G10" s="23">
        <f>SUMIF('Card Data'!$A:$A,$A10,'Card Data'!$E:$E)</f>
        <v>60</v>
      </c>
      <c r="H10" s="23">
        <f>SUMIFS('Card Data'!$E:$E,'Card Data'!$A:$A,$A10,'Card Data'!$K:$K,"&lt;&gt;",'Card Data'!$J:$J,"&lt;&gt;Investigator")-SUMIFS('Card Data'!$E:$E,'Card Data'!$A:$A,$A10,'Card Data'!$K:$K,"&lt;&gt;",'Card Data'!$J:$J,"Mini")</f>
        <v>22</v>
      </c>
      <c r="I10" s="23">
        <f>SUMIFS('Card Data'!$E:$E,'Card Data'!$A:$A,$A10,'Card Data'!$K:$K,"",'Card Data'!$J:$J,"&lt;&gt;Campaign")+SUMIFS('Card Data'!$E:$E,'Card Data'!$A:$A,$A10,'Card Data'!$K:$K,"Mythos")-J10</f>
        <v>35</v>
      </c>
      <c r="J10" s="23">
        <f>SUMIFS('Card Data'!$E:$E,'Card Data'!$J:$J,J$2,'Card Data'!$A:$A,$A10,'Card Data'!$AD:$AD,"&lt;&gt;*Side Quest.*")</f>
        <v>3</v>
      </c>
      <c r="K10" s="23">
        <f>COUNTIFS('Card Data'!$J:$J,K$2,'Card Data'!$A:$A,$A10,'Card Data'!$AD:$AD,"&lt;&gt;*Side Quest.*")</f>
        <v>2</v>
      </c>
      <c r="L10" s="23">
        <f>COUNTIFS('Card Data'!$J:$J,L$2,'Card Data'!$A:$A,$A10,'Card Data'!$AD:$AD,"&lt;&gt;*Side Quest.*")</f>
        <v>1</v>
      </c>
      <c r="M10" s="25"/>
      <c r="N10" s="23">
        <f>COUNTIFS('Card Data'!$J:$J,N$2,'Card Data'!$A:$A,$A10)</f>
        <v>0</v>
      </c>
      <c r="O10" s="23">
        <f>COUNTIFS('Card Data'!$J:$J,O$2,'Card Data'!$A:$A,$A10)</f>
        <v>10</v>
      </c>
      <c r="P10" s="23">
        <f>COUNTIFS('Card Data'!$J:$J,P$2,'Card Data'!$A:$A,$A10)</f>
        <v>3</v>
      </c>
      <c r="Q10" s="23">
        <f>COUNTIFS('Card Data'!$J:$J,Q$2,'Card Data'!$A:$A,$A10)</f>
        <v>2</v>
      </c>
      <c r="R10" s="23">
        <f>COUNTIFS('Card Data'!$J:$J,R$2,'Card Data'!$A:$A,$A10)</f>
        <v>2</v>
      </c>
      <c r="S10" s="23">
        <f>COUNTIFS('Card Data'!$J:$J,S$2,'Card Data'!$A:$A,$A10)</f>
        <v>14</v>
      </c>
      <c r="T10" s="23">
        <f>COUNTIFS('Card Data'!$J:$J,T$2,'Card Data'!$A:$A,$A10)</f>
        <v>4</v>
      </c>
      <c r="U10" s="25"/>
      <c r="V10" s="23">
        <f>COUNTIFS('Card Data'!$K:$K,V$2,'Card Data'!$A:$A,$A10)</f>
        <v>2</v>
      </c>
      <c r="W10" s="23">
        <f>COUNTIFS('Card Data'!$K:$K,W$2,'Card Data'!$A:$A,$A10)</f>
        <v>2</v>
      </c>
      <c r="X10" s="23">
        <f>COUNTIFS('Card Data'!$K:$K,X$2,'Card Data'!$A:$A,$A10)</f>
        <v>2</v>
      </c>
      <c r="Y10" s="23">
        <f>COUNTIFS('Card Data'!$K:$K,Y$2,'Card Data'!$A:$A,$A10)</f>
        <v>2</v>
      </c>
      <c r="Z10" s="23">
        <f>COUNTIFS('Card Data'!$K:$K,Z$2,'Card Data'!$A:$A,$A10)</f>
        <v>2</v>
      </c>
      <c r="AA10" s="23">
        <f>COUNTIFS('Card Data'!$K:$K,AA$2,'Card Data'!$A:$A,$A10)</f>
        <v>1</v>
      </c>
    </row>
    <row r="11" spans="1:27">
      <c r="A11" s="14" t="s">
        <v>5970</v>
      </c>
      <c r="B11" s="14" t="s">
        <v>5971</v>
      </c>
      <c r="C11" s="16" t="s">
        <v>2107</v>
      </c>
      <c r="E11" s="14" t="s">
        <v>5972</v>
      </c>
      <c r="G11" s="23">
        <f>SUMIF('Card Data'!$A:$A,$A11,'Card Data'!$E:$E)</f>
        <v>57</v>
      </c>
      <c r="H11" s="23">
        <f>SUMIFS('Card Data'!$E:$E,'Card Data'!$A:$A,$A11,'Card Data'!$K:$K,"&lt;&gt;",'Card Data'!$J:$J,"&lt;&gt;Investigator")-SUMIFS('Card Data'!$E:$E,'Card Data'!$A:$A,$A11,'Card Data'!$K:$K,"&lt;&gt;",'Card Data'!$J:$J,"Mini")</f>
        <v>23</v>
      </c>
      <c r="I11" s="23">
        <f>SUMIFS('Card Data'!$E:$E,'Card Data'!$A:$A,$A11,'Card Data'!$K:$K,"",'Card Data'!$J:$J,"&lt;&gt;Campaign")+SUMIFS('Card Data'!$E:$E,'Card Data'!$A:$A,$A11,'Card Data'!$K:$K,"Mythos")-J11</f>
        <v>31</v>
      </c>
      <c r="J11" s="23">
        <f>SUMIFS('Card Data'!$E:$E,'Card Data'!$J:$J,J$2,'Card Data'!$A:$A,$A11,'Card Data'!$AD:$AD,"&lt;&gt;*Side Quest.*")</f>
        <v>3</v>
      </c>
      <c r="K11" s="23">
        <f>COUNTIFS('Card Data'!$J:$J,K$2,'Card Data'!$A:$A,$A11,'Card Data'!$AD:$AD,"&lt;&gt;*Side Quest.*")</f>
        <v>2</v>
      </c>
      <c r="L11" s="23">
        <f>COUNTIFS('Card Data'!$J:$J,L$2,'Card Data'!$A:$A,$A11,'Card Data'!$AD:$AD,"&lt;&gt;*Side Quest.*")</f>
        <v>1</v>
      </c>
      <c r="M11" s="25"/>
      <c r="N11" s="23">
        <f>COUNTIFS('Card Data'!$J:$J,N$2,'Card Data'!$A:$A,$A11)</f>
        <v>0</v>
      </c>
      <c r="O11" s="23">
        <f>COUNTIFS('Card Data'!$J:$J,O$2,'Card Data'!$A:$A,$A11)</f>
        <v>6</v>
      </c>
      <c r="P11" s="23">
        <f>COUNTIFS('Card Data'!$J:$J,P$2,'Card Data'!$A:$A,$A11)</f>
        <v>2</v>
      </c>
      <c r="Q11" s="23">
        <f>COUNTIFS('Card Data'!$J:$J,Q$2,'Card Data'!$A:$A,$A11)</f>
        <v>4</v>
      </c>
      <c r="R11" s="23">
        <f>COUNTIFS('Card Data'!$J:$J,R$2,'Card Data'!$A:$A,$A11)</f>
        <v>1</v>
      </c>
      <c r="S11" s="23">
        <f>COUNTIFS('Card Data'!$J:$J,S$2,'Card Data'!$A:$A,$A11)</f>
        <v>12</v>
      </c>
      <c r="T11" s="23">
        <f>COUNTIFS('Card Data'!$J:$J,T$2,'Card Data'!$A:$A,$A11)</f>
        <v>4</v>
      </c>
      <c r="U11" s="25"/>
      <c r="V11" s="23">
        <f>COUNTIFS('Card Data'!$K:$K,V$2,'Card Data'!$A:$A,$A11)</f>
        <v>2</v>
      </c>
      <c r="W11" s="23">
        <f>COUNTIFS('Card Data'!$K:$K,W$2,'Card Data'!$A:$A,$A11)</f>
        <v>2</v>
      </c>
      <c r="X11" s="23">
        <f>COUNTIFS('Card Data'!$K:$K,X$2,'Card Data'!$A:$A,$A11)</f>
        <v>3</v>
      </c>
      <c r="Y11" s="23">
        <f>COUNTIFS('Card Data'!$K:$K,Y$2,'Card Data'!$A:$A,$A11)</f>
        <v>2</v>
      </c>
      <c r="Z11" s="23">
        <f>COUNTIFS('Card Data'!$K:$K,Z$2,'Card Data'!$A:$A,$A11)</f>
        <v>2</v>
      </c>
      <c r="AA11" s="23">
        <f>COUNTIFS('Card Data'!$K:$K,AA$2,'Card Data'!$A:$A,$A11)</f>
        <v>1</v>
      </c>
    </row>
    <row r="12" spans="1:27">
      <c r="A12" s="14" t="s">
        <v>6085</v>
      </c>
      <c r="B12" s="14" t="s">
        <v>6086</v>
      </c>
      <c r="C12" s="16" t="s">
        <v>2107</v>
      </c>
      <c r="E12" s="14" t="s">
        <v>6087</v>
      </c>
      <c r="G12" s="23">
        <f>SUMIF('Card Data'!$A:$A,$A12,'Card Data'!$E:$E)</f>
        <v>60</v>
      </c>
      <c r="H12" s="23">
        <f>SUMIFS('Card Data'!$E:$E,'Card Data'!$A:$A,$A12,'Card Data'!$K:$K,"&lt;&gt;",'Card Data'!$J:$J,"&lt;&gt;Investigator")-SUMIFS('Card Data'!$E:$E,'Card Data'!$A:$A,$A12,'Card Data'!$K:$K,"&lt;&gt;",'Card Data'!$J:$J,"Mini")</f>
        <v>28</v>
      </c>
      <c r="I12" s="23">
        <f>SUMIFS('Card Data'!$E:$E,'Card Data'!$A:$A,$A12,'Card Data'!$K:$K,"",'Card Data'!$J:$J,"&lt;&gt;Campaign")+SUMIFS('Card Data'!$E:$E,'Card Data'!$A:$A,$A12,'Card Data'!$K:$K,"Mythos")-J12</f>
        <v>30</v>
      </c>
      <c r="J12" s="23">
        <f>SUMIFS('Card Data'!$E:$E,'Card Data'!$J:$J,J$2,'Card Data'!$A:$A,$A12,'Card Data'!$AD:$AD,"&lt;&gt;*Side Quest.*")</f>
        <v>2</v>
      </c>
      <c r="K12" s="23">
        <f>COUNTIFS('Card Data'!$J:$J,K$2,'Card Data'!$A:$A,$A12,'Card Data'!$AD:$AD,"&lt;&gt;*Side Quest.*")</f>
        <v>5</v>
      </c>
      <c r="L12" s="23">
        <f>COUNTIFS('Card Data'!$J:$J,L$2,'Card Data'!$A:$A,$A12,'Card Data'!$AD:$AD,"&lt;&gt;*Side Quest.*")</f>
        <v>1</v>
      </c>
      <c r="M12" s="25"/>
      <c r="N12" s="23">
        <f>COUNTIFS('Card Data'!$J:$J,N$2,'Card Data'!$A:$A,$A12)</f>
        <v>0</v>
      </c>
      <c r="O12" s="23">
        <f>COUNTIFS('Card Data'!$J:$J,O$2,'Card Data'!$A:$A,$A12)</f>
        <v>6</v>
      </c>
      <c r="P12" s="23">
        <f>COUNTIFS('Card Data'!$J:$J,P$2,'Card Data'!$A:$A,$A12)</f>
        <v>5</v>
      </c>
      <c r="Q12" s="23">
        <f>COUNTIFS('Card Data'!$J:$J,Q$2,'Card Data'!$A:$A,$A12)</f>
        <v>3</v>
      </c>
      <c r="R12" s="23">
        <f>COUNTIFS('Card Data'!$J:$J,R$2,'Card Data'!$A:$A,$A12)</f>
        <v>3</v>
      </c>
      <c r="S12" s="23">
        <f>COUNTIFS('Card Data'!$J:$J,S$2,'Card Data'!$A:$A,$A12)</f>
        <v>11</v>
      </c>
      <c r="T12" s="23">
        <f>COUNTIFS('Card Data'!$J:$J,T$2,'Card Data'!$A:$A,$A12)</f>
        <v>3</v>
      </c>
      <c r="U12" s="25"/>
      <c r="V12" s="23">
        <f>COUNTIFS('Card Data'!$K:$K,V$2,'Card Data'!$A:$A,$A12)</f>
        <v>2</v>
      </c>
      <c r="W12" s="23">
        <f>COUNTIFS('Card Data'!$K:$K,W$2,'Card Data'!$A:$A,$A12)</f>
        <v>3</v>
      </c>
      <c r="X12" s="23">
        <f>COUNTIFS('Card Data'!$K:$K,X$2,'Card Data'!$A:$A,$A12)</f>
        <v>2</v>
      </c>
      <c r="Y12" s="23">
        <f>COUNTIFS('Card Data'!$K:$K,Y$2,'Card Data'!$A:$A,$A12)</f>
        <v>3</v>
      </c>
      <c r="Z12" s="23">
        <f>COUNTIFS('Card Data'!$K:$K,Z$2,'Card Data'!$A:$A,$A12)</f>
        <v>2</v>
      </c>
      <c r="AA12" s="23">
        <f>COUNTIFS('Card Data'!$K:$K,AA$2,'Card Data'!$A:$A,$A12)</f>
        <v>2</v>
      </c>
    </row>
    <row r="13" spans="1:27">
      <c r="A13" s="14" t="s">
        <v>6238</v>
      </c>
      <c r="B13" s="14" t="s">
        <v>6278</v>
      </c>
      <c r="C13" s="16" t="s">
        <v>2107</v>
      </c>
      <c r="E13" s="14" t="s">
        <v>6365</v>
      </c>
      <c r="G13" s="23">
        <f>SUMIF('Card Data'!$A:$A,$A13,'Card Data'!$E:$E)</f>
        <v>60</v>
      </c>
      <c r="H13" s="23">
        <f>SUMIFS('Card Data'!$E:$E,'Card Data'!$A:$A,$A13,'Card Data'!$K:$K,"&lt;&gt;",'Card Data'!$J:$J,"&lt;&gt;Investigator")-SUMIFS('Card Data'!$E:$E,'Card Data'!$A:$A,$A13,'Card Data'!$K:$K,"&lt;&gt;",'Card Data'!$J:$J,"Mini")</f>
        <v>24</v>
      </c>
      <c r="I13" s="23">
        <f>SUMIFS('Card Data'!$E:$E,'Card Data'!$A:$A,$A13,'Card Data'!$K:$K,"",'Card Data'!$J:$J,"&lt;&gt;Campaign")+SUMIFS('Card Data'!$E:$E,'Card Data'!$A:$A,$A13,'Card Data'!$K:$K,"Mythos")-J13</f>
        <v>32</v>
      </c>
      <c r="J13" s="23">
        <f>SUMIFS('Card Data'!$E:$E,'Card Data'!$J:$J,J$2,'Card Data'!$A:$A,$A13,'Card Data'!$AD:$AD,"&lt;&gt;*Side Quest.*")</f>
        <v>4</v>
      </c>
      <c r="K13" s="23">
        <f>COUNTIFS('Card Data'!$J:$J,K$2,'Card Data'!$A:$A,$A13,'Card Data'!$AD:$AD,"&lt;&gt;*Side Quest.*")</f>
        <v>4</v>
      </c>
      <c r="L13" s="23">
        <f>COUNTIFS('Card Data'!$J:$J,L$2,'Card Data'!$A:$A,$A13,'Card Data'!$AD:$AD,"&lt;&gt;*Side Quest.*")</f>
        <v>1</v>
      </c>
      <c r="M13" s="25"/>
      <c r="N13" s="23">
        <f>COUNTIFS('Card Data'!$J:$J,N$2,'Card Data'!$A:$A,$A13)</f>
        <v>0</v>
      </c>
      <c r="O13" s="23">
        <f>COUNTIFS('Card Data'!$J:$J,O$2,'Card Data'!$A:$A,$A13)</f>
        <v>8</v>
      </c>
      <c r="P13" s="23">
        <f>COUNTIFS('Card Data'!$J:$J,P$2,'Card Data'!$A:$A,$A13)</f>
        <v>3</v>
      </c>
      <c r="Q13" s="23">
        <f>COUNTIFS('Card Data'!$J:$J,Q$2,'Card Data'!$A:$A,$A13)</f>
        <v>1</v>
      </c>
      <c r="R13" s="23">
        <f>COUNTIFS('Card Data'!$J:$J,R$2,'Card Data'!$A:$A,$A13)</f>
        <v>3</v>
      </c>
      <c r="S13" s="23">
        <f>COUNTIFS('Card Data'!$J:$J,S$2,'Card Data'!$A:$A,$A13)</f>
        <v>8</v>
      </c>
      <c r="T13" s="23">
        <f>COUNTIFS('Card Data'!$J:$J,T$2,'Card Data'!$A:$A,$A13)</f>
        <v>3</v>
      </c>
      <c r="U13" s="25"/>
      <c r="V13" s="23">
        <f>COUNTIFS('Card Data'!$K:$K,V$2,'Card Data'!$A:$A,$A13)</f>
        <v>3</v>
      </c>
      <c r="W13" s="23">
        <f>COUNTIFS('Card Data'!$K:$K,W$2,'Card Data'!$A:$A,$A13)</f>
        <v>2</v>
      </c>
      <c r="X13" s="23">
        <f>COUNTIFS('Card Data'!$K:$K,X$2,'Card Data'!$A:$A,$A13)</f>
        <v>2</v>
      </c>
      <c r="Y13" s="23">
        <f>COUNTIFS('Card Data'!$K:$K,Y$2,'Card Data'!$A:$A,$A13)</f>
        <v>2</v>
      </c>
      <c r="Z13" s="23">
        <f>COUNTIFS('Card Data'!$K:$K,Z$2,'Card Data'!$A:$A,$A13)</f>
        <v>2</v>
      </c>
      <c r="AA13" s="23">
        <f>COUNTIFS('Card Data'!$K:$K,AA$2,'Card Data'!$A:$A,$A13)</f>
        <v>1</v>
      </c>
    </row>
    <row r="14" spans="1:27">
      <c r="A14" s="49" t="s">
        <v>6791</v>
      </c>
      <c r="B14" s="49" t="s">
        <v>6792</v>
      </c>
      <c r="C14" s="148" t="s">
        <v>2107</v>
      </c>
      <c r="D14" s="49"/>
      <c r="E14" s="49" t="s">
        <v>6793</v>
      </c>
      <c r="G14" s="23">
        <f>SUMIF('Card Data'!$A:$A,$A14,'Card Data'!$E:$E)</f>
        <v>162</v>
      </c>
      <c r="H14" s="23">
        <f>SUMIFS('Card Data'!$E:$E,'Card Data'!$A:$A,$A14,'Card Data'!$K:$K,"&lt;&gt;",'Card Data'!$J:$J,"&lt;&gt;Investigator")-SUMIFS('Card Data'!$E:$E,'Card Data'!$A:$A,$A14,'Card Data'!$K:$K,"&lt;&gt;",'Card Data'!$J:$J,"Mini")</f>
        <v>66</v>
      </c>
      <c r="I14" s="23">
        <f>SUMIFS('Card Data'!$E:$E,'Card Data'!$A:$A,$A14,'Card Data'!$K:$K,"",'Card Data'!$J:$J,"&lt;&gt;Campaign")+SUMIFS('Card Data'!$E:$E,'Card Data'!$A:$A,$A14,'Card Data'!$K:$K,"Mythos")-J14</f>
        <v>80</v>
      </c>
      <c r="J14" s="23">
        <f>SUMIFS('Card Data'!$E:$E,'Card Data'!$J:$J,J$2,'Card Data'!$A:$A,$A14,'Card Data'!$AD:$AD,"&lt;&gt;*Side Quest.*")</f>
        <v>4</v>
      </c>
      <c r="K14" s="23">
        <f>COUNTIFS('Card Data'!$J:$J,K$2,'Card Data'!$A:$A,$A14,'Card Data'!$AD:$AD,"&lt;&gt;*Side Quest.*")</f>
        <v>6</v>
      </c>
      <c r="L14" s="23">
        <f>COUNTIFS('Card Data'!$J:$J,L$2,'Card Data'!$A:$A,$A14,'Card Data'!$AD:$AD,"&lt;&gt;*Side Quest.*")</f>
        <v>2</v>
      </c>
      <c r="M14" s="25"/>
      <c r="N14" s="23">
        <f>COUNTIFS('Card Data'!$J:$J,N$2,'Card Data'!$A:$A,$A14)</f>
        <v>6</v>
      </c>
      <c r="O14" s="23">
        <f>COUNTIFS('Card Data'!$J:$J,O$2,'Card Data'!$A:$A,$A14)</f>
        <v>20</v>
      </c>
      <c r="P14" s="23">
        <f>COUNTIFS('Card Data'!$J:$J,P$2,'Card Data'!$A:$A,$A14)</f>
        <v>11</v>
      </c>
      <c r="Q14" s="23">
        <f>COUNTIFS('Card Data'!$J:$J,Q$2,'Card Data'!$A:$A,$A14)</f>
        <v>2</v>
      </c>
      <c r="R14" s="23">
        <f>COUNTIFS('Card Data'!$J:$J,R$2,'Card Data'!$A:$A,$A14)</f>
        <v>14</v>
      </c>
      <c r="S14" s="23">
        <f>COUNTIFS('Card Data'!$J:$J,S$2,'Card Data'!$A:$A,$A14)</f>
        <v>16</v>
      </c>
      <c r="T14" s="23">
        <f>COUNTIFS('Card Data'!$J:$J,T$2,'Card Data'!$A:$A,$A14)</f>
        <v>24</v>
      </c>
      <c r="U14" s="25"/>
      <c r="V14" s="23">
        <f>COUNTIFS('Card Data'!$K:$K,V$2,'Card Data'!$A:$A,$A14)</f>
        <v>6</v>
      </c>
      <c r="W14" s="23">
        <f>COUNTIFS('Card Data'!$K:$K,W$2,'Card Data'!$A:$A,$A14)</f>
        <v>6</v>
      </c>
      <c r="X14" s="23">
        <f>COUNTIFS('Card Data'!$K:$K,X$2,'Card Data'!$A:$A,$A14)</f>
        <v>6</v>
      </c>
      <c r="Y14" s="23">
        <f>COUNTIFS('Card Data'!$K:$K,Y$2,'Card Data'!$A:$A,$A14)</f>
        <v>6</v>
      </c>
      <c r="Z14" s="23">
        <f>COUNTIFS('Card Data'!$K:$K,Z$2,'Card Data'!$A:$A,$A14)</f>
        <v>6</v>
      </c>
      <c r="AA14" s="23">
        <f>COUNTIFS('Card Data'!$K:$K,AA$2,'Card Data'!$A:$A,$A14)</f>
        <v>23</v>
      </c>
    </row>
    <row r="15" spans="1:27">
      <c r="A15" s="14" t="s">
        <v>6794</v>
      </c>
      <c r="B15" s="14" t="s">
        <v>6795</v>
      </c>
      <c r="C15" s="16" t="s">
        <v>2107</v>
      </c>
      <c r="E15" s="14" t="s">
        <v>6796</v>
      </c>
      <c r="G15" s="23">
        <f>SUMIF('Card Data'!$A:$A,$A15,'Card Data'!$E:$E)</f>
        <v>60</v>
      </c>
      <c r="H15" s="23">
        <f>SUMIFS('Card Data'!$E:$E,'Card Data'!$A:$A,$A15,'Card Data'!$K:$K,"&lt;&gt;",'Card Data'!$J:$J,"&lt;&gt;Investigator")-SUMIFS('Card Data'!$E:$E,'Card Data'!$A:$A,$A15,'Card Data'!$K:$K,"&lt;&gt;",'Card Data'!$J:$J,"Mini")</f>
        <v>31</v>
      </c>
      <c r="I15" s="23">
        <f>SUMIFS('Card Data'!$E:$E,'Card Data'!$A:$A,$A15,'Card Data'!$K:$K,"",'Card Data'!$J:$J,"&lt;&gt;Campaign")+SUMIFS('Card Data'!$E:$E,'Card Data'!$A:$A,$A15,'Card Data'!$K:$K,"Mythos")-J15</f>
        <v>26</v>
      </c>
      <c r="J15" s="23">
        <f>SUMIFS('Card Data'!$E:$E,'Card Data'!$J:$J,J$2,'Card Data'!$A:$A,$A15,'Card Data'!$AD:$AD,"&lt;&gt;*Side Quest.*")</f>
        <v>3</v>
      </c>
      <c r="K15" s="23">
        <f>COUNTIFS('Card Data'!$J:$J,K$2,'Card Data'!$A:$A,$A15,'Card Data'!$AD:$AD,"&lt;&gt;*Side Quest.*")</f>
        <v>3</v>
      </c>
      <c r="L15" s="23">
        <f>COUNTIFS('Card Data'!$J:$J,L$2,'Card Data'!$A:$A,$A15,'Card Data'!$AD:$AD,"&lt;&gt;*Side Quest.*")</f>
        <v>1</v>
      </c>
      <c r="M15" s="25"/>
      <c r="N15" s="23">
        <f>COUNTIFS('Card Data'!$J:$J,N$2,'Card Data'!$A:$A,$A15)</f>
        <v>0</v>
      </c>
      <c r="O15" s="23">
        <f>COUNTIFS('Card Data'!$J:$J,O$2,'Card Data'!$A:$A,$A15)</f>
        <v>11</v>
      </c>
      <c r="P15" s="23">
        <f>COUNTIFS('Card Data'!$J:$J,P$2,'Card Data'!$A:$A,$A15)</f>
        <v>2</v>
      </c>
      <c r="Q15" s="23">
        <f>COUNTIFS('Card Data'!$J:$J,Q$2,'Card Data'!$A:$A,$A15)</f>
        <v>4</v>
      </c>
      <c r="R15" s="23">
        <f>COUNTIFS('Card Data'!$J:$J,R$2,'Card Data'!$A:$A,$A15)</f>
        <v>2</v>
      </c>
      <c r="S15" s="23">
        <f>COUNTIFS('Card Data'!$J:$J,S$2,'Card Data'!$A:$A,$A15)</f>
        <v>13</v>
      </c>
      <c r="T15" s="23">
        <f>COUNTIFS('Card Data'!$J:$J,T$2,'Card Data'!$A:$A,$A15)</f>
        <v>2</v>
      </c>
      <c r="U15" s="25"/>
      <c r="V15" s="23">
        <f>COUNTIFS('Card Data'!$K:$K,V$2,'Card Data'!$A:$A,$A15)</f>
        <v>2</v>
      </c>
      <c r="W15" s="23">
        <f>COUNTIFS('Card Data'!$K:$K,W$2,'Card Data'!$A:$A,$A15)</f>
        <v>2</v>
      </c>
      <c r="X15" s="23">
        <f>COUNTIFS('Card Data'!$K:$K,X$2,'Card Data'!$A:$A,$A15)</f>
        <v>2</v>
      </c>
      <c r="Y15" s="23">
        <f>COUNTIFS('Card Data'!$K:$K,Y$2,'Card Data'!$A:$A,$A15)</f>
        <v>2</v>
      </c>
      <c r="Z15" s="23">
        <f>COUNTIFS('Card Data'!$K:$K,Z$2,'Card Data'!$A:$A,$A15)</f>
        <v>2</v>
      </c>
      <c r="AA15" s="23">
        <f>COUNTIFS('Card Data'!$K:$K,AA$2,'Card Data'!$A:$A,$A15)</f>
        <v>7</v>
      </c>
    </row>
    <row r="16" spans="1:27">
      <c r="A16" s="14" t="s">
        <v>7051</v>
      </c>
      <c r="B16" s="14" t="s">
        <v>6969</v>
      </c>
      <c r="C16" s="16" t="s">
        <v>2107</v>
      </c>
      <c r="E16" s="14" t="s">
        <v>7094</v>
      </c>
      <c r="G16" s="23">
        <f>SUMIF('Card Data'!$A:$A,$A16,'Card Data'!$E:$E)</f>
        <v>60</v>
      </c>
      <c r="H16" s="23">
        <f>SUMIFS('Card Data'!$E:$E,'Card Data'!$A:$A,$A16,'Card Data'!$K:$K,"&lt;&gt;",'Card Data'!$J:$J,"&lt;&gt;Investigator")-SUMIFS('Card Data'!$E:$E,'Card Data'!$A:$A,$A16,'Card Data'!$K:$K,"&lt;&gt;",'Card Data'!$J:$J,"Mini")</f>
        <v>24</v>
      </c>
      <c r="I16" s="23">
        <f>SUMIFS('Card Data'!$E:$E,'Card Data'!$A:$A,$A16,'Card Data'!$K:$K,"",'Card Data'!$J:$J,"&lt;&gt;Campaign")+SUMIFS('Card Data'!$E:$E,'Card Data'!$A:$A,$A16,'Card Data'!$K:$K,"Mythos")-J16</f>
        <v>33</v>
      </c>
      <c r="J16" s="23">
        <f>SUMIFS('Card Data'!$E:$E,'Card Data'!$J:$J,J$2,'Card Data'!$A:$A,$A16,'Card Data'!$AD:$AD,"&lt;&gt;*Side Quest.*")</f>
        <v>3</v>
      </c>
      <c r="K16" s="23">
        <f>COUNTIFS('Card Data'!$J:$J,K$2,'Card Data'!$A:$A,$A16,'Card Data'!$AD:$AD,"&lt;&gt;*Side Quest.*")</f>
        <v>5</v>
      </c>
      <c r="L16" s="23">
        <f>COUNTIFS('Card Data'!$J:$J,L$2,'Card Data'!$A:$A,$A16,'Card Data'!$AD:$AD,"&lt;&gt;*Side Quest.*")</f>
        <v>1</v>
      </c>
      <c r="M16" s="25"/>
      <c r="N16" s="23">
        <f>COUNTIFS('Card Data'!$J:$J,N$2,'Card Data'!$A:$A,$A16)</f>
        <v>0</v>
      </c>
      <c r="O16" s="23">
        <f>COUNTIFS('Card Data'!$J:$J,O$2,'Card Data'!$A:$A,$A16)</f>
        <v>4</v>
      </c>
      <c r="P16" s="23">
        <f>COUNTIFS('Card Data'!$J:$J,P$2,'Card Data'!$A:$A,$A16)</f>
        <v>8</v>
      </c>
      <c r="Q16" s="23">
        <f>COUNTIFS('Card Data'!$J:$J,Q$2,'Card Data'!$A:$A,$A16)</f>
        <v>0</v>
      </c>
      <c r="R16" s="23">
        <f>COUNTIFS('Card Data'!$J:$J,R$2,'Card Data'!$A:$A,$A16)</f>
        <v>3</v>
      </c>
      <c r="S16" s="23">
        <f>COUNTIFS('Card Data'!$J:$J,S$2,'Card Data'!$A:$A,$A16)</f>
        <v>14</v>
      </c>
      <c r="T16" s="23">
        <f>COUNTIFS('Card Data'!$J:$J,T$2,'Card Data'!$A:$A,$A16)</f>
        <v>4</v>
      </c>
      <c r="U16" s="25"/>
      <c r="V16" s="23">
        <f>COUNTIFS('Card Data'!$K:$K,V$2,'Card Data'!$A:$A,$A16)</f>
        <v>2</v>
      </c>
      <c r="W16" s="23">
        <f>COUNTIFS('Card Data'!$K:$K,W$2,'Card Data'!$A:$A,$A16)</f>
        <v>2</v>
      </c>
      <c r="X16" s="23">
        <f>COUNTIFS('Card Data'!$K:$K,X$2,'Card Data'!$A:$A,$A16)</f>
        <v>2</v>
      </c>
      <c r="Y16" s="23">
        <f>COUNTIFS('Card Data'!$K:$K,Y$2,'Card Data'!$A:$A,$A16)</f>
        <v>2</v>
      </c>
      <c r="Z16" s="23">
        <f>COUNTIFS('Card Data'!$K:$K,Z$2,'Card Data'!$A:$A,$A16)</f>
        <v>3</v>
      </c>
      <c r="AA16" s="23">
        <f>COUNTIFS('Card Data'!$K:$K,AA$2,'Card Data'!$A:$A,$A16)</f>
        <v>1</v>
      </c>
    </row>
    <row r="17" spans="1:27">
      <c r="A17" s="14" t="s">
        <v>7190</v>
      </c>
      <c r="B17" s="14" t="s">
        <v>7117</v>
      </c>
      <c r="C17" s="16" t="s">
        <v>2107</v>
      </c>
      <c r="E17" s="14" t="s">
        <v>7187</v>
      </c>
      <c r="G17" s="23">
        <f>SUMIF('Card Data'!$A:$A,$A17,'Card Data'!$E:$E)</f>
        <v>60</v>
      </c>
      <c r="H17" s="23">
        <f>SUMIFS('Card Data'!$E:$E,'Card Data'!$A:$A,$A17,'Card Data'!$K:$K,"&lt;&gt;",'Card Data'!$J:$J,"&lt;&gt;Investigator")-SUMIFS('Card Data'!$E:$E,'Card Data'!$A:$A,$A17,'Card Data'!$K:$K,"&lt;&gt;",'Card Data'!$J:$J,"Mini")</f>
        <v>60</v>
      </c>
      <c r="I17" s="23">
        <f>SUMIFS('Card Data'!$E:$E,'Card Data'!$A:$A,$A17,'Card Data'!$K:$K,"",'Card Data'!$J:$J,"&lt;&gt;Campaign")+SUMIFS('Card Data'!$E:$E,'Card Data'!$A:$A,$A17,'Card Data'!$K:$K,"Mythos")-J17</f>
        <v>31</v>
      </c>
      <c r="J17" s="23">
        <f>SUMIFS('Card Data'!$E:$E,'Card Data'!$J:$J,J$2,'Card Data'!$A:$A,$A17,'Card Data'!$AD:$AD,"&lt;&gt;*Side Quest.*")</f>
        <v>3</v>
      </c>
      <c r="K17" s="23">
        <f>COUNTIFS('Card Data'!$J:$J,K$2,'Card Data'!$A:$A,$A17,'Card Data'!$AD:$AD,"&lt;&gt;*Side Quest.*")</f>
        <v>4</v>
      </c>
      <c r="L17" s="23">
        <f>COUNTIFS('Card Data'!$J:$J,L$2,'Card Data'!$A:$A,$A17,'Card Data'!$AD:$AD,"&lt;&gt;*Side Quest.*")</f>
        <v>1</v>
      </c>
      <c r="M17" s="25"/>
      <c r="N17" s="23">
        <f>COUNTIFS('Card Data'!$J:$J,N$2,'Card Data'!$A:$A,$A17)</f>
        <v>0</v>
      </c>
      <c r="O17" s="23">
        <f>COUNTIFS('Card Data'!$J:$J,O$2,'Card Data'!$A:$A,$A17)</f>
        <v>5</v>
      </c>
      <c r="P17" s="23">
        <f>COUNTIFS('Card Data'!$J:$J,P$2,'Card Data'!$A:$A,$A17)</f>
        <v>6</v>
      </c>
      <c r="Q17" s="23">
        <f>COUNTIFS('Card Data'!$J:$J,Q$2,'Card Data'!$A:$A,$A17)</f>
        <v>0</v>
      </c>
      <c r="R17" s="23">
        <f>COUNTIFS('Card Data'!$J:$J,R$2,'Card Data'!$A:$A,$A17)</f>
        <v>2</v>
      </c>
      <c r="S17" s="23">
        <f>COUNTIFS('Card Data'!$J:$J,S$2,'Card Data'!$A:$A,$A17)</f>
        <v>13</v>
      </c>
      <c r="T17" s="23">
        <f>COUNTIFS('Card Data'!$J:$J,T$2,'Card Data'!$A:$A,$A17)</f>
        <v>5</v>
      </c>
      <c r="U17" s="25"/>
      <c r="V17" s="23">
        <f>COUNTIFS('Card Data'!$K:$K,V$2,'Card Data'!$A:$A,$A17)</f>
        <v>2</v>
      </c>
      <c r="W17" s="23">
        <f>COUNTIFS('Card Data'!$K:$K,W$2,'Card Data'!$A:$A,$A17)</f>
        <v>3</v>
      </c>
      <c r="X17" s="23">
        <f>COUNTIFS('Card Data'!$K:$K,X$2,'Card Data'!$A:$A,$A17)</f>
        <v>2</v>
      </c>
      <c r="Y17" s="23">
        <f>COUNTIFS('Card Data'!$K:$K,Y$2,'Card Data'!$A:$A,$A17)</f>
        <v>2</v>
      </c>
      <c r="Z17" s="23">
        <f>COUNTIFS('Card Data'!$K:$K,Z$2,'Card Data'!$A:$A,$A17)</f>
        <v>2</v>
      </c>
      <c r="AA17" s="23">
        <f>COUNTIFS('Card Data'!$K:$K,AA$2,'Card Data'!$A:$A,$A17)</f>
        <v>1</v>
      </c>
    </row>
    <row r="18" spans="1:27">
      <c r="A18" s="14" t="s">
        <v>7230</v>
      </c>
      <c r="B18" s="14" t="s">
        <v>7267</v>
      </c>
      <c r="C18" s="16" t="s">
        <v>2107</v>
      </c>
      <c r="E18" s="14" t="s">
        <v>7349</v>
      </c>
      <c r="G18" s="23">
        <f>SUMIF('Card Data'!$A:$A,$A18,'Card Data'!$E:$E)</f>
        <v>60</v>
      </c>
      <c r="H18" s="23">
        <f>SUMIFS('Card Data'!$E:$E,'Card Data'!$A:$A,$A18,'Card Data'!$K:$K,"&lt;&gt;",'Card Data'!$J:$J,"&lt;&gt;Investigator")-SUMIFS('Card Data'!$E:$E,'Card Data'!$A:$A,$A18,'Card Data'!$K:$K,"&lt;&gt;",'Card Data'!$J:$J,"Mini")</f>
        <v>60</v>
      </c>
      <c r="I18" s="23">
        <f>SUMIFS('Card Data'!$E:$E,'Card Data'!$A:$A,$A18,'Card Data'!$K:$K,"",'Card Data'!$J:$J,"&lt;&gt;Campaign")+SUMIFS('Card Data'!$E:$E,'Card Data'!$A:$A,$A18,'Card Data'!$K:$K,"Mythos")-J18</f>
        <v>34</v>
      </c>
      <c r="J18" s="23">
        <f>SUMIFS('Card Data'!$E:$E,'Card Data'!$J:$J,J$2,'Card Data'!$A:$A,$A18,'Card Data'!$AD:$AD,"&lt;&gt;*Side Quest.*")</f>
        <v>2</v>
      </c>
      <c r="K18" s="23">
        <f>COUNTIFS('Card Data'!$J:$J,K$2,'Card Data'!$A:$A,$A18,'Card Data'!$AD:$AD,"&lt;&gt;*Side Quest.*")</f>
        <v>4</v>
      </c>
      <c r="L18" s="23">
        <f>COUNTIFS('Card Data'!$J:$J,L$2,'Card Data'!$A:$A,$A18,'Card Data'!$AD:$AD,"&lt;&gt;*Side Quest.*")</f>
        <v>1</v>
      </c>
      <c r="M18" s="25"/>
      <c r="N18" s="23">
        <f>COUNTIFS('Card Data'!$J:$J,N$2,'Card Data'!$A:$A,$A18)</f>
        <v>0</v>
      </c>
      <c r="O18" s="23">
        <f>COUNTIFS('Card Data'!$J:$J,O$2,'Card Data'!$A:$A,$A18)</f>
        <v>3</v>
      </c>
      <c r="P18" s="23">
        <f>COUNTIFS('Card Data'!$J:$J,P$2,'Card Data'!$A:$A,$A18)</f>
        <v>5</v>
      </c>
      <c r="Q18" s="23">
        <f>COUNTIFS('Card Data'!$J:$J,Q$2,'Card Data'!$A:$A,$A18)</f>
        <v>4</v>
      </c>
      <c r="R18" s="23">
        <f>COUNTIFS('Card Data'!$J:$J,R$2,'Card Data'!$A:$A,$A18)</f>
        <v>2</v>
      </c>
      <c r="S18" s="23">
        <f>COUNTIFS('Card Data'!$J:$J,S$2,'Card Data'!$A:$A,$A18)</f>
        <v>11</v>
      </c>
      <c r="T18" s="23">
        <f>COUNTIFS('Card Data'!$J:$J,T$2,'Card Data'!$A:$A,$A18)</f>
        <v>3</v>
      </c>
      <c r="U18" s="25"/>
      <c r="V18" s="23">
        <f>COUNTIFS('Card Data'!$K:$K,V$2,'Card Data'!$A:$A,$A18)</f>
        <v>3</v>
      </c>
      <c r="W18" s="23">
        <f>COUNTIFS('Card Data'!$K:$K,W$2,'Card Data'!$A:$A,$A18)</f>
        <v>2</v>
      </c>
      <c r="X18" s="23">
        <f>COUNTIFS('Card Data'!$K:$K,X$2,'Card Data'!$A:$A,$A18)</f>
        <v>2</v>
      </c>
      <c r="Y18" s="23">
        <f>COUNTIFS('Card Data'!$K:$K,Y$2,'Card Data'!$A:$A,$A18)</f>
        <v>2</v>
      </c>
      <c r="Z18" s="23">
        <f>COUNTIFS('Card Data'!$K:$K,Z$2,'Card Data'!$A:$A,$A18)</f>
        <v>2</v>
      </c>
      <c r="AA18" s="23">
        <f>COUNTIFS('Card Data'!$K:$K,AA$2,'Card Data'!$A:$A,$A18)</f>
        <v>1</v>
      </c>
    </row>
    <row r="19" spans="1:27">
      <c r="A19" s="14" t="s">
        <v>7351</v>
      </c>
      <c r="B19" s="14" t="s">
        <v>6641</v>
      </c>
      <c r="C19" s="16" t="s">
        <v>2107</v>
      </c>
      <c r="E19" s="14" t="s">
        <v>7488</v>
      </c>
      <c r="G19" s="23">
        <f>SUMIF('Card Data'!$A:$A,$A19,'Card Data'!$E:$E)</f>
        <v>60</v>
      </c>
      <c r="H19" s="23">
        <f>SUMIFS('Card Data'!$E:$E,'Card Data'!$A:$A,$A19,'Card Data'!$K:$K,"&lt;&gt;",'Card Data'!$J:$J,"&lt;&gt;Investigator")-SUMIFS('Card Data'!$E:$E,'Card Data'!$A:$A,$A19,'Card Data'!$K:$K,"&lt;&gt;",'Card Data'!$J:$J,"Mini")</f>
        <v>60</v>
      </c>
      <c r="I19" s="23">
        <f>SUMIFS('Card Data'!$E:$E,'Card Data'!$A:$A,$A19,'Card Data'!$K:$K,"",'Card Data'!$J:$J,"&lt;&gt;Campaign")+SUMIFS('Card Data'!$E:$E,'Card Data'!$A:$A,$A19,'Card Data'!$K:$K,"Mythos")-J19</f>
        <v>30</v>
      </c>
      <c r="J19" s="23">
        <f>SUMIFS('Card Data'!$E:$E,'Card Data'!$J:$J,J$2,'Card Data'!$A:$A,$A19,'Card Data'!$AD:$AD,"&lt;&gt;*Side Quest.*")</f>
        <v>8</v>
      </c>
      <c r="K19" s="23">
        <f>COUNTIFS('Card Data'!$J:$J,K$2,'Card Data'!$A:$A,$A19,'Card Data'!$AD:$AD,"&lt;&gt;*Side Quest.*")</f>
        <v>2</v>
      </c>
      <c r="L19" s="23">
        <f>COUNTIFS('Card Data'!$J:$J,L$2,'Card Data'!$A:$A,$A19,'Card Data'!$AD:$AD,"&lt;&gt;*Side Quest.*")</f>
        <v>1</v>
      </c>
      <c r="M19" s="25"/>
      <c r="N19" s="23">
        <f>COUNTIFS('Card Data'!$J:$J,N$2,'Card Data'!$A:$A,$A19)</f>
        <v>0</v>
      </c>
      <c r="O19" s="23">
        <f>COUNTIFS('Card Data'!$J:$J,O$2,'Card Data'!$A:$A,$A19)</f>
        <v>5</v>
      </c>
      <c r="P19" s="23">
        <f>COUNTIFS('Card Data'!$J:$J,P$2,'Card Data'!$A:$A,$A19)</f>
        <v>5</v>
      </c>
      <c r="Q19" s="23">
        <f>COUNTIFS('Card Data'!$J:$J,Q$2,'Card Data'!$A:$A,$A19)</f>
        <v>1</v>
      </c>
      <c r="R19" s="23">
        <f>COUNTIFS('Card Data'!$J:$J,R$2,'Card Data'!$A:$A,$A19)</f>
        <v>2</v>
      </c>
      <c r="S19" s="23">
        <f>COUNTIFS('Card Data'!$J:$J,S$2,'Card Data'!$A:$A,$A19)</f>
        <v>17</v>
      </c>
      <c r="T19" s="23">
        <f>COUNTIFS('Card Data'!$J:$J,T$2,'Card Data'!$A:$A,$A19)</f>
        <v>2</v>
      </c>
      <c r="U19" s="25"/>
      <c r="V19" s="23">
        <f>COUNTIFS('Card Data'!$K:$K,V$2,'Card Data'!$A:$A,$A19)</f>
        <v>2</v>
      </c>
      <c r="W19" s="23">
        <f>COUNTIFS('Card Data'!$K:$K,W$2,'Card Data'!$A:$A,$A19)</f>
        <v>2</v>
      </c>
      <c r="X19" s="23">
        <f>COUNTIFS('Card Data'!$K:$K,X$2,'Card Data'!$A:$A,$A19)</f>
        <v>2</v>
      </c>
      <c r="Y19" s="23">
        <f>COUNTIFS('Card Data'!$K:$K,Y$2,'Card Data'!$A:$A,$A19)</f>
        <v>3</v>
      </c>
      <c r="Z19" s="23">
        <f>COUNTIFS('Card Data'!$K:$K,Z$2,'Card Data'!$A:$A,$A19)</f>
        <v>2</v>
      </c>
      <c r="AA19" s="23">
        <f>COUNTIFS('Card Data'!$K:$K,AA$2,'Card Data'!$A:$A,$A19)</f>
        <v>0</v>
      </c>
    </row>
    <row r="20" spans="1:27">
      <c r="A20" s="156" t="s">
        <v>7489</v>
      </c>
      <c r="B20" s="14" t="s">
        <v>7538</v>
      </c>
      <c r="C20" s="16" t="s">
        <v>2107</v>
      </c>
      <c r="E20" s="14" t="s">
        <v>8273</v>
      </c>
      <c r="G20" s="23">
        <f>SUMIF('Card Data'!$A:$A,$A20,'Card Data'!$E:$E)</f>
        <v>60</v>
      </c>
      <c r="H20" s="23">
        <f>SUMIFS('Card Data'!$E:$E,'Card Data'!$A:$A,$A20,'Card Data'!$K:$K,"&lt;&gt;",'Card Data'!$J:$J,"&lt;&gt;Investigator")-SUMIFS('Card Data'!$E:$E,'Card Data'!$A:$A,$A20,'Card Data'!$K:$K,"&lt;&gt;",'Card Data'!$J:$J,"Mini")</f>
        <v>60</v>
      </c>
      <c r="I20" s="23">
        <f>SUMIFS('Card Data'!$E:$E,'Card Data'!$A:$A,$A20,'Card Data'!$K:$K,"",'Card Data'!$J:$J,"&lt;&gt;Campaign")+SUMIFS('Card Data'!$E:$E,'Card Data'!$A:$A,$A20,'Card Data'!$K:$K,"Mythos")-J20</f>
        <v>33</v>
      </c>
      <c r="J20" s="23">
        <f>SUMIFS('Card Data'!$E:$E,'Card Data'!$J:$J,J$2,'Card Data'!$A:$A,$A20,'Card Data'!$AD:$AD,"&lt;&gt;*Side Quest.*")</f>
        <v>3</v>
      </c>
      <c r="K20" s="23">
        <f>COUNTIFS('Card Data'!$J:$J,K$2,'Card Data'!$A:$A,$A20,'Card Data'!$AD:$AD,"&lt;&gt;*Side Quest.*")</f>
        <v>5</v>
      </c>
      <c r="L20" s="23">
        <f>COUNTIFS('Card Data'!$J:$J,L$2,'Card Data'!$A:$A,$A20,'Card Data'!$AD:$AD,"&lt;&gt;*Side Quest.*")</f>
        <v>1</v>
      </c>
      <c r="M20" s="25"/>
      <c r="N20" s="23">
        <f>COUNTIFS('Card Data'!$J:$J,N$2,'Card Data'!$A:$A,$A20)</f>
        <v>0</v>
      </c>
      <c r="O20" s="23">
        <f>COUNTIFS('Card Data'!$J:$J,O$2,'Card Data'!$A:$A,$A20)</f>
        <v>5</v>
      </c>
      <c r="P20" s="23">
        <f>COUNTIFS('Card Data'!$J:$J,P$2,'Card Data'!$A:$A,$A20)</f>
        <v>6</v>
      </c>
      <c r="Q20" s="23">
        <f>COUNTIFS('Card Data'!$J:$J,Q$2,'Card Data'!$A:$A,$A20)</f>
        <v>1</v>
      </c>
      <c r="R20" s="23">
        <f>COUNTIFS('Card Data'!$J:$J,R$2,'Card Data'!$A:$A,$A20)</f>
        <v>5</v>
      </c>
      <c r="S20" s="23">
        <f>COUNTIFS('Card Data'!$J:$J,S$2,'Card Data'!$A:$A,$A20)</f>
        <v>13</v>
      </c>
      <c r="T20" s="23">
        <f>COUNTIFS('Card Data'!$J:$J,T$2,'Card Data'!$A:$A,$A20)</f>
        <v>6</v>
      </c>
      <c r="U20" s="25"/>
      <c r="V20" s="23">
        <f>COUNTIFS('Card Data'!$K:$K,V$2,'Card Data'!$A:$A,$A20)</f>
        <v>2</v>
      </c>
      <c r="W20" s="23">
        <f>COUNTIFS('Card Data'!$K:$K,W$2,'Card Data'!$A:$A,$A20)</f>
        <v>2</v>
      </c>
      <c r="X20" s="23">
        <f>COUNTIFS('Card Data'!$K:$K,X$2,'Card Data'!$A:$A,$A20)</f>
        <v>3</v>
      </c>
      <c r="Y20" s="23">
        <f>COUNTIFS('Card Data'!$K:$K,Y$2,'Card Data'!$A:$A,$A20)</f>
        <v>2</v>
      </c>
      <c r="Z20" s="23">
        <f>COUNTIFS('Card Data'!$K:$K,Z$2,'Card Data'!$A:$A,$A20)</f>
        <v>2</v>
      </c>
      <c r="AA20" s="23">
        <f>COUNTIFS('Card Data'!$K:$K,AA$2,'Card Data'!$A:$A,$A20)</f>
        <v>1</v>
      </c>
    </row>
    <row r="21" spans="1:27">
      <c r="A21" s="160" t="s">
        <v>7674</v>
      </c>
      <c r="B21" s="49" t="s">
        <v>8076</v>
      </c>
      <c r="C21" s="148" t="s">
        <v>2107</v>
      </c>
      <c r="D21" s="49"/>
      <c r="E21" s="49" t="s">
        <v>8077</v>
      </c>
      <c r="G21" s="23">
        <f>SUMIF('Card Data'!$A:$A,$A21,'Card Data'!$E:$E)</f>
        <v>161</v>
      </c>
      <c r="H21" s="23">
        <f>SUMIFS('Card Data'!$E:$E,'Card Data'!$A:$A,$A21,'Card Data'!$K:$K,"&lt;&gt;",'Card Data'!$J:$J,"&lt;&gt;Investigator")-SUMIFS('Card Data'!$E:$E,'Card Data'!$A:$A,$A21,'Card Data'!$K:$K,"&lt;&gt;",'Card Data'!$J:$J,"Mini")</f>
        <v>151</v>
      </c>
      <c r="I21" s="23">
        <f>SUMIFS('Card Data'!$E:$E,'Card Data'!$A:$A,$A21,'Card Data'!$K:$K,"",'Card Data'!$J:$J,"&lt;&gt;Campaign")+SUMIFS('Card Data'!$E:$E,'Card Data'!$A:$A,$A21,'Card Data'!$K:$K,"Mythos")-J21</f>
        <v>83</v>
      </c>
      <c r="J21" s="23">
        <f>SUMIFS('Card Data'!$E:$E,'Card Data'!$J:$J,J$2,'Card Data'!$A:$A,$A21,'Card Data'!$AD:$AD,"&lt;&gt;*Side Quest.*")</f>
        <v>4</v>
      </c>
      <c r="K21" s="23">
        <f>COUNTIFS('Card Data'!$J:$J,K$2,'Card Data'!$A:$A,$A21,'Card Data'!$AD:$AD,"&lt;&gt;*Side Quest.*")</f>
        <v>7</v>
      </c>
      <c r="L21" s="23">
        <f>COUNTIFS('Card Data'!$J:$J,L$2,'Card Data'!$A:$A,$A21,'Card Data'!$AD:$AD,"&lt;&gt;*Side Quest.*")</f>
        <v>2</v>
      </c>
      <c r="M21" s="25"/>
      <c r="N21" s="23">
        <f>COUNTIFS('Card Data'!$J:$J,N$2,'Card Data'!$A:$A,$A21)</f>
        <v>5</v>
      </c>
      <c r="O21" s="23">
        <f>COUNTIFS('Card Data'!$J:$J,O$2,'Card Data'!$A:$A,$A21)</f>
        <v>19</v>
      </c>
      <c r="P21" s="23">
        <f>COUNTIFS('Card Data'!$J:$J,P$2,'Card Data'!$A:$A,$A21)</f>
        <v>10</v>
      </c>
      <c r="Q21" s="23">
        <f>COUNTIFS('Card Data'!$J:$J,Q$2,'Card Data'!$A:$A,$A21)</f>
        <v>1</v>
      </c>
      <c r="R21" s="23">
        <f>COUNTIFS('Card Data'!$J:$J,R$2,'Card Data'!$A:$A,$A21)</f>
        <v>10</v>
      </c>
      <c r="S21" s="23">
        <f>COUNTIFS('Card Data'!$J:$J,S$2,'Card Data'!$A:$A,$A21)</f>
        <v>16</v>
      </c>
      <c r="T21" s="23">
        <f>COUNTIFS('Card Data'!$J:$J,T$2,'Card Data'!$A:$A,$A21)</f>
        <v>28</v>
      </c>
      <c r="U21" s="25"/>
      <c r="V21" s="23">
        <f>COUNTIFS('Card Data'!$K:$K,V$2,'Card Data'!$A:$A,$A21)</f>
        <v>6</v>
      </c>
      <c r="W21" s="23">
        <f>COUNTIFS('Card Data'!$K:$K,W$2,'Card Data'!$A:$A,$A21)</f>
        <v>6</v>
      </c>
      <c r="X21" s="23">
        <f>COUNTIFS('Card Data'!$K:$K,X$2,'Card Data'!$A:$A,$A21)</f>
        <v>6</v>
      </c>
      <c r="Y21" s="23">
        <f>COUNTIFS('Card Data'!$K:$K,Y$2,'Card Data'!$A:$A,$A21)</f>
        <v>6</v>
      </c>
      <c r="Z21" s="23">
        <f>COUNTIFS('Card Data'!$K:$K,Z$2,'Card Data'!$A:$A,$A21)</f>
        <v>6</v>
      </c>
      <c r="AA21" s="23">
        <f>COUNTIFS('Card Data'!$K:$K,AA$2,'Card Data'!$A:$A,$A21)</f>
        <v>20</v>
      </c>
    </row>
    <row r="22" spans="1:27">
      <c r="A22" s="167" t="s">
        <v>8078</v>
      </c>
      <c r="B22" s="14" t="s">
        <v>8115</v>
      </c>
      <c r="C22" s="16" t="s">
        <v>2107</v>
      </c>
      <c r="E22" s="14" t="s">
        <v>8272</v>
      </c>
      <c r="G22" s="23">
        <f>SUMIF('Card Data'!$A:$A,$A22,'Card Data'!$E:$E)</f>
        <v>60</v>
      </c>
      <c r="H22" s="23">
        <f>SUMIFS('Card Data'!$E:$E,'Card Data'!$A:$A,$A22,'Card Data'!$K:$K,"&lt;&gt;",'Card Data'!$J:$J,"&lt;&gt;Investigator")-SUMIFS('Card Data'!$E:$E,'Card Data'!$A:$A,$A22,'Card Data'!$K:$K,"&lt;&gt;",'Card Data'!$J:$J,"Mini")</f>
        <v>60</v>
      </c>
      <c r="I22" s="23">
        <f>SUMIFS('Card Data'!$E:$E,'Card Data'!$A:$A,$A22,'Card Data'!$K:$K,"",'Card Data'!$J:$J,"&lt;&gt;Campaign")+SUMIFS('Card Data'!$E:$E,'Card Data'!$A:$A,$A22,'Card Data'!$K:$K,"Mythos")-J22</f>
        <v>35</v>
      </c>
      <c r="J22" s="23">
        <f>SUMIFS('Card Data'!$E:$E,'Card Data'!$J:$J,J$2,'Card Data'!$A:$A,$A22,'Card Data'!$AD:$AD,"&lt;&gt;*Side Quest.*")</f>
        <v>3</v>
      </c>
      <c r="K22" s="23">
        <f>COUNTIFS('Card Data'!$J:$J,K$2,'Card Data'!$A:$A,$A22,'Card Data'!$AD:$AD,"&lt;&gt;*Side Quest.*")</f>
        <v>24</v>
      </c>
      <c r="L22" s="23">
        <f>COUNTIFS('Card Data'!$J:$J,L$2,'Card Data'!$A:$A,$A22,'Card Data'!$AD:$AD,"&lt;&gt;*Side Quest.*")</f>
        <v>1</v>
      </c>
      <c r="M22" s="25"/>
      <c r="N22" s="23">
        <f>COUNTIFS('Card Data'!$J:$J,N$2,'Card Data'!$A:$A,$A22)</f>
        <v>0</v>
      </c>
      <c r="O22" s="23">
        <f>COUNTIFS('Card Data'!$J:$J,O$2,'Card Data'!$A:$A,$A22)</f>
        <v>6</v>
      </c>
      <c r="P22" s="23">
        <f>COUNTIFS('Card Data'!$J:$J,P$2,'Card Data'!$A:$A,$A22)</f>
        <v>5</v>
      </c>
      <c r="Q22" s="23">
        <f>COUNTIFS('Card Data'!$J:$J,Q$2,'Card Data'!$A:$A,$A22)</f>
        <v>1</v>
      </c>
      <c r="R22" s="23">
        <f>COUNTIFS('Card Data'!$J:$J,R$2,'Card Data'!$A:$A,$A22)</f>
        <v>0</v>
      </c>
      <c r="S22" s="23">
        <f>COUNTIFS('Card Data'!$J:$J,S$2,'Card Data'!$A:$A,$A22)</f>
        <v>3</v>
      </c>
      <c r="T22" s="23">
        <f>COUNTIFS('Card Data'!$J:$J,T$2,'Card Data'!$A:$A,$A22)</f>
        <v>3</v>
      </c>
      <c r="U22" s="25"/>
      <c r="V22" s="23">
        <f>COUNTIFS('Card Data'!$K:$K,V$2,'Card Data'!$A:$A,$A22)</f>
        <v>2</v>
      </c>
      <c r="W22" s="23">
        <f>COUNTIFS('Card Data'!$K:$K,W$2,'Card Data'!$A:$A,$A22)</f>
        <v>2</v>
      </c>
      <c r="X22" s="23">
        <f>COUNTIFS('Card Data'!$K:$K,X$2,'Card Data'!$A:$A,$A22)</f>
        <v>2</v>
      </c>
      <c r="Y22" s="23">
        <f>COUNTIFS('Card Data'!$K:$K,Y$2,'Card Data'!$A:$A,$A22)</f>
        <v>2</v>
      </c>
      <c r="Z22" s="23">
        <f>COUNTIFS('Card Data'!$K:$K,Z$2,'Card Data'!$A:$A,$A22)</f>
        <v>2</v>
      </c>
      <c r="AA22" s="23">
        <f>COUNTIFS('Card Data'!$K:$K,AA$2,'Card Data'!$A:$A,$A22)</f>
        <v>2</v>
      </c>
    </row>
    <row r="23" spans="1:27">
      <c r="A23" s="14" t="s">
        <v>8274</v>
      </c>
      <c r="B23" s="14" t="s">
        <v>8419</v>
      </c>
      <c r="C23" s="16" t="s">
        <v>2107</v>
      </c>
      <c r="E23" s="14" t="s">
        <v>8418</v>
      </c>
      <c r="G23" s="23">
        <f>SUMIF('Card Data'!$A:$A,$A23,'Card Data'!$E:$E)</f>
        <v>66</v>
      </c>
      <c r="H23" s="23">
        <f>SUMIFS('Card Data'!$E:$E,'Card Data'!$A:$A,$A23,'Card Data'!$K:$K,"&lt;&gt;",'Card Data'!$J:$J,"&lt;&gt;Investigator")-SUMIFS('Card Data'!$E:$E,'Card Data'!$A:$A,$A23,'Card Data'!$K:$K,"&lt;&gt;",'Card Data'!$J:$J,"Mini")</f>
        <v>66</v>
      </c>
      <c r="I23" s="23">
        <f>SUMIFS('Card Data'!$E:$E,'Card Data'!$A:$A,$A23,'Card Data'!$K:$K,"",'Card Data'!$J:$J,"&lt;&gt;Campaign")+SUMIFS('Card Data'!$E:$E,'Card Data'!$A:$A,$A23,'Card Data'!$K:$K,"Mythos")-J23</f>
        <v>45</v>
      </c>
      <c r="J23" s="23">
        <f>SUMIFS('Card Data'!$E:$E,'Card Data'!$J:$J,J$2,'Card Data'!$A:$A,$A23,'Card Data'!$AD:$AD,"&lt;&gt;*Side Quest.*")</f>
        <v>1</v>
      </c>
      <c r="K23" s="23">
        <f>COUNTIFS('Card Data'!$J:$J,K$2,'Card Data'!$A:$A,$A23,'Card Data'!$AD:$AD,"&lt;&gt;*Side Quest.*")</f>
        <v>1</v>
      </c>
      <c r="L23" s="23">
        <f>COUNTIFS('Card Data'!$J:$J,L$2,'Card Data'!$A:$A,$A23,'Card Data'!$AD:$AD,"&lt;&gt;*Side Quest.*")</f>
        <v>3</v>
      </c>
      <c r="M23" s="25"/>
      <c r="N23" s="23">
        <f>COUNTIFS('Card Data'!$J:$J,N$2,'Card Data'!$A:$A,$A23)</f>
        <v>0</v>
      </c>
      <c r="O23" s="23">
        <f>COUNTIFS('Card Data'!$J:$J,O$2,'Card Data'!$A:$A,$A23)</f>
        <v>6</v>
      </c>
      <c r="P23" s="23">
        <f>COUNTIFS('Card Data'!$J:$J,P$2,'Card Data'!$A:$A,$A23)</f>
        <v>4</v>
      </c>
      <c r="Q23" s="23">
        <f>COUNTIFS('Card Data'!$J:$J,Q$2,'Card Data'!$A:$A,$A23)</f>
        <v>0</v>
      </c>
      <c r="R23" s="23">
        <f>COUNTIFS('Card Data'!$J:$J,R$2,'Card Data'!$A:$A,$A23)</f>
        <v>9</v>
      </c>
      <c r="S23" s="23">
        <f>COUNTIFS('Card Data'!$J:$J,S$2,'Card Data'!$A:$A,$A23)</f>
        <v>17</v>
      </c>
      <c r="T23" s="23">
        <f>COUNTIFS('Card Data'!$J:$J,T$2,'Card Data'!$A:$A,$A23)</f>
        <v>5</v>
      </c>
      <c r="U23" s="25"/>
      <c r="V23" s="23">
        <f>COUNTIFS('Card Data'!$K:$K,V$2,'Card Data'!$A:$A,$A23)</f>
        <v>2</v>
      </c>
      <c r="W23" s="23">
        <f>COUNTIFS('Card Data'!$K:$K,W$2,'Card Data'!$A:$A,$A23)</f>
        <v>2</v>
      </c>
      <c r="X23" s="23">
        <f>COUNTIFS('Card Data'!$K:$K,X$2,'Card Data'!$A:$A,$A23)</f>
        <v>2</v>
      </c>
      <c r="Y23" s="23">
        <f>COUNTIFS('Card Data'!$K:$K,Y$2,'Card Data'!$A:$A,$A23)</f>
        <v>2</v>
      </c>
      <c r="Z23" s="23">
        <f>COUNTIFS('Card Data'!$K:$K,Z$2,'Card Data'!$A:$A,$A23)</f>
        <v>2</v>
      </c>
      <c r="AA23" s="23">
        <f>COUNTIFS('Card Data'!$K:$K,AA$2,'Card Data'!$A:$A,$A23)</f>
        <v>0</v>
      </c>
    </row>
  </sheetData>
  <mergeCells count="3">
    <mergeCell ref="G1:J1"/>
    <mergeCell ref="N1:T1"/>
    <mergeCell ref="V1:AA1"/>
  </mergeCells>
  <conditionalFormatting sqref="V2">
    <cfRule type="cellIs" dxfId="839" priority="29" operator="equal">
      <formula>"Fellowship"</formula>
    </cfRule>
    <cfRule type="cellIs" dxfId="838" priority="30" operator="equal">
      <formula>"Neutral"</formula>
    </cfRule>
    <cfRule type="cellIs" dxfId="837" priority="31" operator="equal">
      <formula>"Baggins"</formula>
    </cfRule>
    <cfRule type="cellIs" dxfId="836" priority="32" operator="equal">
      <formula>"Lore"</formula>
    </cfRule>
    <cfRule type="cellIs" dxfId="835" priority="33" operator="equal">
      <formula>"Spirit"</formula>
    </cfRule>
    <cfRule type="cellIs" dxfId="834" priority="34" operator="equal">
      <formula>"Tactics"</formula>
    </cfRule>
    <cfRule type="cellIs" dxfId="833" priority="35" operator="equal">
      <formula>"Leadership"</formula>
    </cfRule>
  </conditionalFormatting>
  <conditionalFormatting sqref="W2">
    <cfRule type="cellIs" dxfId="832" priority="22" operator="equal">
      <formula>"Fellowship"</formula>
    </cfRule>
    <cfRule type="cellIs" dxfId="831" priority="23" operator="equal">
      <formula>"Neutral"</formula>
    </cfRule>
    <cfRule type="cellIs" dxfId="830" priority="24" operator="equal">
      <formula>"Baggins"</formula>
    </cfRule>
    <cfRule type="cellIs" dxfId="829" priority="25" operator="equal">
      <formula>"Lore"</formula>
    </cfRule>
    <cfRule type="cellIs" dxfId="828" priority="26" operator="equal">
      <formula>"Spirit"</formula>
    </cfRule>
    <cfRule type="cellIs" dxfId="827" priority="27" operator="equal">
      <formula>"Tactics"</formula>
    </cfRule>
    <cfRule type="cellIs" dxfId="826" priority="28" operator="equal">
      <formula>"Leadership"</formula>
    </cfRule>
  </conditionalFormatting>
  <conditionalFormatting sqref="X2">
    <cfRule type="cellIs" dxfId="825" priority="15" operator="equal">
      <formula>"Fellowship"</formula>
    </cfRule>
    <cfRule type="cellIs" dxfId="824" priority="16" operator="equal">
      <formula>"Neutral"</formula>
    </cfRule>
    <cfRule type="cellIs" dxfId="823" priority="17" operator="equal">
      <formula>"Baggins"</formula>
    </cfRule>
    <cfRule type="cellIs" dxfId="822" priority="18" operator="equal">
      <formula>"Lore"</formula>
    </cfRule>
    <cfRule type="cellIs" dxfId="821" priority="19" operator="equal">
      <formula>"Spirit"</formula>
    </cfRule>
    <cfRule type="cellIs" dxfId="820" priority="20" operator="equal">
      <formula>"Tactics"</formula>
    </cfRule>
    <cfRule type="cellIs" dxfId="819" priority="21" operator="equal">
      <formula>"Leadership"</formula>
    </cfRule>
  </conditionalFormatting>
  <conditionalFormatting sqref="Y2:Z2">
    <cfRule type="cellIs" dxfId="818" priority="8" operator="equal">
      <formula>"Fellowship"</formula>
    </cfRule>
    <cfRule type="cellIs" dxfId="817" priority="9" operator="equal">
      <formula>"Neutral"</formula>
    </cfRule>
    <cfRule type="cellIs" dxfId="816" priority="10" operator="equal">
      <formula>"Baggins"</formula>
    </cfRule>
    <cfRule type="cellIs" dxfId="815" priority="11" operator="equal">
      <formula>"Lore"</formula>
    </cfRule>
    <cfRule type="cellIs" dxfId="814" priority="12" operator="equal">
      <formula>"Spirit"</formula>
    </cfRule>
    <cfRule type="cellIs" dxfId="813" priority="13" operator="equal">
      <formula>"Tactics"</formula>
    </cfRule>
    <cfRule type="cellIs" dxfId="812" priority="14" operator="equal">
      <formula>"Leadership"</formula>
    </cfRule>
  </conditionalFormatting>
  <conditionalFormatting sqref="AA2">
    <cfRule type="cellIs" dxfId="811" priority="1" operator="equal">
      <formula>"Fellowship"</formula>
    </cfRule>
    <cfRule type="cellIs" dxfId="810" priority="2" operator="equal">
      <formula>"Neutral"</formula>
    </cfRule>
    <cfRule type="cellIs" dxfId="809" priority="3" operator="equal">
      <formula>"Baggins"</formula>
    </cfRule>
    <cfRule type="cellIs" dxfId="808" priority="4" operator="equal">
      <formula>"Lore"</formula>
    </cfRule>
    <cfRule type="cellIs" dxfId="807" priority="5" operator="equal">
      <formula>"Spirit"</formula>
    </cfRule>
    <cfRule type="cellIs" dxfId="806" priority="6" operator="equal">
      <formula>"Tactics"</formula>
    </cfRule>
    <cfRule type="cellIs" dxfId="80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176"/>
  <sheetViews>
    <sheetView zoomScale="85" zoomScaleNormal="85" workbookViewId="0">
      <pane xSplit="7" ySplit="1" topLeftCell="H1107" activePane="bottomRight" state="frozen"/>
      <selection activeCell="E1" sqref="E1"/>
      <selection pane="topRight" activeCell="F1" sqref="F1"/>
      <selection pane="bottomLeft" activeCell="E2" sqref="E2"/>
      <selection pane="bottomRight" activeCell="A1142" sqref="A1142"/>
    </sheetView>
  </sheetViews>
  <sheetFormatPr defaultColWidth="9.140625" defaultRowHeight="15" customHeight="1" outlineLevelCol="1"/>
  <cols>
    <col min="1" max="1" width="38" style="33" customWidth="1" outlineLevel="1"/>
    <col min="2" max="2" width="42.85546875" style="33" customWidth="1" outlineLevel="1"/>
    <col min="3" max="3" width="4.5703125" style="33" customWidth="1" outlineLevel="1"/>
    <col min="4" max="4" width="4" style="34" bestFit="1" customWidth="1"/>
    <col min="5" max="5" width="3.28515625" style="33" bestFit="1" customWidth="1"/>
    <col min="6" max="6" width="37.28515625" style="33" customWidth="1"/>
    <col min="7" max="7" width="30.140625" style="33" bestFit="1" customWidth="1"/>
    <col min="8" max="8" width="17" style="33" customWidth="1"/>
    <col min="9" max="9" width="3.140625" style="33" customWidth="1"/>
    <col min="10" max="10" width="10.42578125" style="33" bestFit="1" customWidth="1"/>
    <col min="11" max="11" width="9.5703125" style="33" customWidth="1"/>
    <col min="12" max="12" width="6.5703125" style="33" customWidth="1"/>
    <col min="13" max="13" width="13.85546875" style="33" customWidth="1"/>
    <col min="14" max="14" width="3.140625" style="72" customWidth="1"/>
    <col min="15" max="15" width="3.140625" style="73" customWidth="1"/>
    <col min="16" max="16" width="3.140625" style="74" customWidth="1"/>
    <col min="17" max="17" width="3.140625" style="75" customWidth="1"/>
    <col min="18" max="18" width="3.140625" style="76" customWidth="1"/>
    <col min="19" max="19" width="3.140625" style="123" customWidth="1"/>
    <col min="20" max="20" width="3.140625" style="78" customWidth="1"/>
    <col min="21" max="21" width="3.140625" style="73" customWidth="1"/>
    <col min="22" max="22" width="3.140625" style="79" customWidth="1"/>
    <col min="23" max="23" width="3.140625" style="80" customWidth="1"/>
    <col min="24" max="24" width="3.140625" style="81" customWidth="1"/>
    <col min="25" max="25" width="3.140625" style="76" customWidth="1"/>
    <col min="26" max="26" width="3.140625" style="78" customWidth="1"/>
    <col min="27" max="27" width="3.140625" style="82" customWidth="1"/>
    <col min="28" max="28" width="9.42578125" style="33" customWidth="1"/>
    <col min="29" max="29" width="8.7109375" style="33" customWidth="1"/>
    <col min="30" max="30" width="16.140625" style="33" customWidth="1"/>
    <col min="31" max="31" width="21.140625" style="34" customWidth="1"/>
    <col min="32" max="32" width="49.5703125" style="33" customWidth="1"/>
    <col min="33" max="33" width="6.42578125" style="33" customWidth="1"/>
    <col min="34" max="34" width="4.5703125" style="33" customWidth="1"/>
    <col min="35" max="35" width="30.140625" style="33" customWidth="1"/>
    <col min="36" max="36" width="17.7109375" style="33" customWidth="1"/>
    <col min="37" max="37" width="3.140625" style="33" customWidth="1"/>
    <col min="38" max="38" width="10.42578125" style="33" customWidth="1"/>
    <col min="39" max="39" width="9.5703125" style="33" customWidth="1"/>
    <col min="40" max="40" width="5.5703125" style="33" customWidth="1"/>
    <col min="41" max="41" width="8.140625" style="33" customWidth="1"/>
    <col min="42" max="42" width="3.140625" style="72" customWidth="1"/>
    <col min="43" max="43" width="3.140625" style="73" customWidth="1"/>
    <col min="44" max="44" width="3.140625" style="74" customWidth="1"/>
    <col min="45" max="45" width="3.140625" style="75" customWidth="1"/>
    <col min="46" max="46" width="3.140625" style="76" customWidth="1"/>
    <col min="47" max="47" width="3.140625" style="78" customWidth="1"/>
    <col min="48" max="48" width="3.140625" style="73" customWidth="1"/>
    <col min="49" max="49" width="3.140625" style="79" customWidth="1"/>
    <col min="50" max="50" width="3.140625" style="80" customWidth="1"/>
    <col min="51" max="51" width="3.140625" style="81" customWidth="1"/>
    <col min="52" max="52" width="3.140625" style="76" customWidth="1"/>
    <col min="53" max="53" width="3.140625" style="78" customWidth="1"/>
    <col min="54" max="54" width="3.140625" style="82" customWidth="1"/>
    <col min="55" max="55" width="12.7109375" style="33" customWidth="1"/>
    <col min="56" max="56" width="10" style="33" customWidth="1"/>
    <col min="57" max="57" width="11.42578125" style="33" customWidth="1"/>
    <col min="58" max="58" width="22.85546875" style="34" customWidth="1"/>
    <col min="59" max="59" width="49.5703125" style="33" customWidth="1"/>
    <col min="60" max="60" width="8.5703125" style="33" customWidth="1"/>
    <col min="61" max="61" width="7.5703125" style="33" customWidth="1"/>
    <col min="62" max="62" width="13.28515625" style="33" bestFit="1" customWidth="1"/>
    <col min="63" max="16384" width="9.140625" style="33"/>
  </cols>
  <sheetData>
    <row r="1" spans="1:62" s="54" customFormat="1" ht="15" customHeight="1">
      <c r="A1" s="56" t="s">
        <v>0</v>
      </c>
      <c r="B1" s="56" t="s">
        <v>1</v>
      </c>
      <c r="C1" s="54" t="s">
        <v>55</v>
      </c>
      <c r="D1" s="55" t="s">
        <v>56</v>
      </c>
      <c r="E1" s="54" t="s">
        <v>19</v>
      </c>
      <c r="F1" s="56" t="s">
        <v>18</v>
      </c>
      <c r="G1" s="56" t="s">
        <v>2</v>
      </c>
      <c r="H1" s="56" t="s">
        <v>4080</v>
      </c>
      <c r="I1" s="54" t="s">
        <v>3</v>
      </c>
      <c r="J1" s="56" t="s">
        <v>4</v>
      </c>
      <c r="K1" s="56" t="s">
        <v>4079</v>
      </c>
      <c r="L1" s="56" t="s">
        <v>4083</v>
      </c>
      <c r="M1" s="56" t="s">
        <v>4087</v>
      </c>
      <c r="N1" s="66" t="s">
        <v>8</v>
      </c>
      <c r="O1" s="67" t="s">
        <v>11</v>
      </c>
      <c r="P1" s="67" t="s">
        <v>4085</v>
      </c>
      <c r="Q1" s="67" t="s">
        <v>3307</v>
      </c>
      <c r="R1" s="68" t="s">
        <v>4086</v>
      </c>
      <c r="S1" s="68" t="s">
        <v>4967</v>
      </c>
      <c r="T1" s="68" t="s">
        <v>14</v>
      </c>
      <c r="U1" s="67" t="s">
        <v>4088</v>
      </c>
      <c r="V1" s="67" t="s">
        <v>170</v>
      </c>
      <c r="W1" s="67" t="s">
        <v>4089</v>
      </c>
      <c r="X1" s="67" t="s">
        <v>4090</v>
      </c>
      <c r="Y1" s="68" t="s">
        <v>4497</v>
      </c>
      <c r="Z1" s="68" t="s">
        <v>4091</v>
      </c>
      <c r="AA1" s="67" t="s">
        <v>20</v>
      </c>
      <c r="AB1" s="56" t="s">
        <v>4084</v>
      </c>
      <c r="AC1" s="56" t="s">
        <v>4496</v>
      </c>
      <c r="AD1" s="56" t="s">
        <v>6</v>
      </c>
      <c r="AE1" s="57" t="s">
        <v>7</v>
      </c>
      <c r="AF1" s="56" t="s">
        <v>15</v>
      </c>
      <c r="AG1" s="56" t="s">
        <v>4092</v>
      </c>
      <c r="AH1" s="56" t="s">
        <v>21</v>
      </c>
      <c r="AI1" s="58" t="s">
        <v>22</v>
      </c>
      <c r="AJ1" s="58" t="s">
        <v>4080</v>
      </c>
      <c r="AK1" s="59" t="s">
        <v>3</v>
      </c>
      <c r="AL1" s="58" t="s">
        <v>4</v>
      </c>
      <c r="AM1" s="58" t="s">
        <v>4079</v>
      </c>
      <c r="AN1" s="58" t="s">
        <v>4083</v>
      </c>
      <c r="AO1" s="58" t="s">
        <v>4087</v>
      </c>
      <c r="AP1" s="69" t="s">
        <v>8</v>
      </c>
      <c r="AQ1" s="70" t="s">
        <v>11</v>
      </c>
      <c r="AR1" s="70" t="s">
        <v>4085</v>
      </c>
      <c r="AS1" s="70" t="s">
        <v>3307</v>
      </c>
      <c r="AT1" s="71" t="s">
        <v>4086</v>
      </c>
      <c r="AU1" s="71" t="s">
        <v>14</v>
      </c>
      <c r="AV1" s="70" t="s">
        <v>4088</v>
      </c>
      <c r="AW1" s="70" t="s">
        <v>170</v>
      </c>
      <c r="AX1" s="70" t="s">
        <v>4089</v>
      </c>
      <c r="AY1" s="70" t="s">
        <v>4090</v>
      </c>
      <c r="AZ1" s="71" t="s">
        <v>4497</v>
      </c>
      <c r="BA1" s="71" t="s">
        <v>4091</v>
      </c>
      <c r="BB1" s="70" t="s">
        <v>20</v>
      </c>
      <c r="BC1" s="58" t="s">
        <v>4084</v>
      </c>
      <c r="BD1" s="58" t="s">
        <v>4496</v>
      </c>
      <c r="BE1" s="58" t="s">
        <v>6</v>
      </c>
      <c r="BF1" s="60" t="s">
        <v>7</v>
      </c>
      <c r="BG1" s="58" t="s">
        <v>15</v>
      </c>
      <c r="BH1" s="58" t="s">
        <v>4092</v>
      </c>
      <c r="BI1" s="58" t="s">
        <v>21</v>
      </c>
      <c r="BJ1" s="61" t="s">
        <v>4498</v>
      </c>
    </row>
    <row r="2" spans="1:62" ht="15" customHeight="1">
      <c r="A2" s="36" t="s">
        <v>4037</v>
      </c>
      <c r="B2" s="36" t="s">
        <v>4348</v>
      </c>
      <c r="C2" s="36" t="s">
        <v>57</v>
      </c>
      <c r="D2" s="37">
        <v>1</v>
      </c>
      <c r="E2" s="36">
        <v>1</v>
      </c>
      <c r="F2" s="36"/>
      <c r="G2" s="36" t="s">
        <v>4038</v>
      </c>
      <c r="H2" s="38" t="s">
        <v>4081</v>
      </c>
      <c r="I2" s="33" t="s">
        <v>4077</v>
      </c>
      <c r="J2" s="33" t="s">
        <v>4057</v>
      </c>
      <c r="K2" s="33" t="s">
        <v>4052</v>
      </c>
      <c r="O2" s="73">
        <v>3</v>
      </c>
      <c r="P2" s="74">
        <v>3</v>
      </c>
      <c r="Q2" s="75">
        <v>4</v>
      </c>
      <c r="R2" s="76">
        <v>2</v>
      </c>
      <c r="T2" s="78">
        <v>9</v>
      </c>
      <c r="U2" s="73">
        <v>5</v>
      </c>
      <c r="AB2" s="52"/>
      <c r="AD2" s="33" t="s">
        <v>4082</v>
      </c>
      <c r="AF2" s="33" t="s">
        <v>4093</v>
      </c>
      <c r="AI2" s="38" t="s">
        <v>4038</v>
      </c>
      <c r="AJ2" s="38" t="s">
        <v>4081</v>
      </c>
      <c r="AK2" s="33" t="s">
        <v>4077</v>
      </c>
      <c r="AL2" s="33" t="s">
        <v>4057</v>
      </c>
      <c r="AM2" s="33" t="s">
        <v>4052</v>
      </c>
      <c r="AO2" s="34"/>
      <c r="BE2" s="34"/>
      <c r="BF2" s="33"/>
    </row>
    <row r="3" spans="1:62" ht="15" customHeight="1">
      <c r="A3" s="33" t="s">
        <v>4037</v>
      </c>
      <c r="B3" s="33" t="s">
        <v>4349</v>
      </c>
      <c r="C3" s="33" t="s">
        <v>57</v>
      </c>
      <c r="D3" s="34">
        <v>2</v>
      </c>
      <c r="E3" s="33">
        <v>1</v>
      </c>
      <c r="G3" s="33" t="s">
        <v>4094</v>
      </c>
      <c r="H3" s="33" t="s">
        <v>4095</v>
      </c>
      <c r="I3" s="33" t="s">
        <v>4077</v>
      </c>
      <c r="J3" s="33" t="s">
        <v>4057</v>
      </c>
      <c r="K3" s="33" t="s">
        <v>4053</v>
      </c>
      <c r="O3" s="73">
        <v>3</v>
      </c>
      <c r="P3" s="74">
        <v>5</v>
      </c>
      <c r="Q3" s="75">
        <v>2</v>
      </c>
      <c r="R3" s="76">
        <v>2</v>
      </c>
      <c r="T3" s="78">
        <v>5</v>
      </c>
      <c r="U3" s="73">
        <v>9</v>
      </c>
      <c r="AB3" s="52"/>
      <c r="AD3" s="33" t="s">
        <v>4096</v>
      </c>
      <c r="AF3" s="33" t="s">
        <v>4097</v>
      </c>
      <c r="AI3" s="33" t="s">
        <v>4094</v>
      </c>
      <c r="AJ3" s="33" t="s">
        <v>4095</v>
      </c>
      <c r="AK3" s="33" t="s">
        <v>4077</v>
      </c>
      <c r="AL3" s="33" t="s">
        <v>4057</v>
      </c>
      <c r="AM3" s="33" t="s">
        <v>4053</v>
      </c>
      <c r="AO3" s="34"/>
      <c r="BE3" s="34"/>
      <c r="BF3" s="33"/>
    </row>
    <row r="4" spans="1:62" ht="15" customHeight="1">
      <c r="A4" s="33" t="s">
        <v>4037</v>
      </c>
      <c r="B4" s="33" t="s">
        <v>4350</v>
      </c>
      <c r="C4" s="33" t="s">
        <v>57</v>
      </c>
      <c r="D4" s="34">
        <v>3</v>
      </c>
      <c r="E4" s="33">
        <v>1</v>
      </c>
      <c r="G4" s="33" t="s">
        <v>4098</v>
      </c>
      <c r="H4" s="33" t="s">
        <v>4099</v>
      </c>
      <c r="I4" s="33" t="s">
        <v>4077</v>
      </c>
      <c r="J4" s="33" t="s">
        <v>4057</v>
      </c>
      <c r="K4" s="33" t="s">
        <v>4055</v>
      </c>
      <c r="O4" s="73">
        <v>2</v>
      </c>
      <c r="P4" s="74">
        <v>3</v>
      </c>
      <c r="Q4" s="75">
        <v>3</v>
      </c>
      <c r="R4" s="76">
        <v>4</v>
      </c>
      <c r="T4" s="78">
        <v>8</v>
      </c>
      <c r="U4" s="73">
        <v>6</v>
      </c>
      <c r="AB4" s="52"/>
      <c r="AD4" s="33" t="s">
        <v>4100</v>
      </c>
      <c r="AF4" s="33" t="s">
        <v>4101</v>
      </c>
      <c r="AI4" s="33" t="s">
        <v>4098</v>
      </c>
      <c r="AJ4" s="33" t="s">
        <v>4099</v>
      </c>
      <c r="AK4" s="33" t="s">
        <v>4077</v>
      </c>
      <c r="AL4" s="33" t="s">
        <v>4057</v>
      </c>
      <c r="AM4" s="33" t="s">
        <v>4055</v>
      </c>
      <c r="AO4" s="34"/>
      <c r="BE4" s="34"/>
      <c r="BF4" s="33"/>
    </row>
    <row r="5" spans="1:62" ht="15" customHeight="1">
      <c r="A5" s="33" t="s">
        <v>4037</v>
      </c>
      <c r="B5" s="33" t="s">
        <v>4351</v>
      </c>
      <c r="C5" s="33" t="s">
        <v>57</v>
      </c>
      <c r="D5" s="34">
        <v>4</v>
      </c>
      <c r="E5" s="33">
        <v>1</v>
      </c>
      <c r="G5" s="33" t="s">
        <v>4102</v>
      </c>
      <c r="H5" s="33" t="s">
        <v>4103</v>
      </c>
      <c r="I5" s="33" t="s">
        <v>4077</v>
      </c>
      <c r="J5" s="33" t="s">
        <v>4057</v>
      </c>
      <c r="K5" s="33" t="s">
        <v>4054</v>
      </c>
      <c r="O5" s="73">
        <v>5</v>
      </c>
      <c r="P5" s="74">
        <v>2</v>
      </c>
      <c r="Q5" s="75">
        <v>2</v>
      </c>
      <c r="R5" s="76">
        <v>3</v>
      </c>
      <c r="T5" s="78">
        <v>6</v>
      </c>
      <c r="U5" s="73">
        <v>8</v>
      </c>
      <c r="AB5" s="52"/>
      <c r="AD5" s="33" t="s">
        <v>4104</v>
      </c>
      <c r="AF5" s="33" t="s">
        <v>4105</v>
      </c>
      <c r="AI5" s="33" t="s">
        <v>4102</v>
      </c>
      <c r="AJ5" s="33" t="s">
        <v>4103</v>
      </c>
      <c r="AK5" s="33" t="s">
        <v>4077</v>
      </c>
      <c r="AL5" s="33" t="s">
        <v>4057</v>
      </c>
      <c r="AM5" s="33" t="s">
        <v>4054</v>
      </c>
      <c r="AO5" s="34"/>
      <c r="BE5" s="34"/>
      <c r="BF5" s="33"/>
    </row>
    <row r="6" spans="1:62" ht="15" customHeight="1">
      <c r="A6" s="33" t="s">
        <v>4037</v>
      </c>
      <c r="B6" s="33" t="s">
        <v>4352</v>
      </c>
      <c r="C6" s="33" t="s">
        <v>57</v>
      </c>
      <c r="D6" s="33">
        <v>5</v>
      </c>
      <c r="E6" s="33">
        <v>1</v>
      </c>
      <c r="G6" s="33" t="s">
        <v>4106</v>
      </c>
      <c r="H6" s="33" t="s">
        <v>4107</v>
      </c>
      <c r="I6" s="33" t="s">
        <v>4077</v>
      </c>
      <c r="J6" s="33" t="s">
        <v>4057</v>
      </c>
      <c r="K6" s="33" t="s">
        <v>4056</v>
      </c>
      <c r="N6" s="83"/>
      <c r="O6" s="73">
        <v>4</v>
      </c>
      <c r="P6" s="74">
        <v>3</v>
      </c>
      <c r="Q6" s="75">
        <v>1</v>
      </c>
      <c r="R6" s="76">
        <v>4</v>
      </c>
      <c r="T6" s="78">
        <v>7</v>
      </c>
      <c r="U6" s="73">
        <v>7</v>
      </c>
      <c r="AB6" s="52"/>
      <c r="AD6" s="33" t="s">
        <v>4108</v>
      </c>
      <c r="AE6" s="33"/>
      <c r="AF6" s="33" t="s">
        <v>4109</v>
      </c>
      <c r="AI6" s="33" t="s">
        <v>4106</v>
      </c>
      <c r="AJ6" s="33" t="s">
        <v>4107</v>
      </c>
      <c r="AK6" s="33" t="s">
        <v>4077</v>
      </c>
      <c r="AL6" s="33" t="s">
        <v>4057</v>
      </c>
      <c r="AM6" s="33" t="s">
        <v>4056</v>
      </c>
      <c r="AO6" s="34"/>
      <c r="AP6" s="83"/>
      <c r="BE6" s="34"/>
      <c r="BF6" s="33"/>
    </row>
    <row r="7" spans="1:62" ht="15" customHeight="1">
      <c r="A7" s="33" t="s">
        <v>4037</v>
      </c>
      <c r="B7" s="33" t="s">
        <v>4353</v>
      </c>
      <c r="C7" s="33" t="s">
        <v>57</v>
      </c>
      <c r="D7" s="33">
        <v>6</v>
      </c>
      <c r="E7" s="33">
        <v>1</v>
      </c>
      <c r="G7" s="33" t="s">
        <v>4110</v>
      </c>
      <c r="I7" s="33" t="s">
        <v>4077</v>
      </c>
      <c r="J7" s="33" t="s">
        <v>4111</v>
      </c>
      <c r="K7" s="33" t="s">
        <v>26</v>
      </c>
      <c r="N7" s="83">
        <v>3</v>
      </c>
      <c r="Q7" s="75">
        <v>1</v>
      </c>
      <c r="R7" s="76">
        <v>1</v>
      </c>
      <c r="S7" s="123">
        <v>1</v>
      </c>
      <c r="AB7" s="62" t="s">
        <v>4932</v>
      </c>
      <c r="AC7" s="33" t="s">
        <v>4112</v>
      </c>
      <c r="AD7" s="33" t="s">
        <v>4113</v>
      </c>
      <c r="AE7" s="33"/>
      <c r="AF7" s="33" t="s">
        <v>4114</v>
      </c>
      <c r="AO7" s="34"/>
      <c r="AP7" s="83"/>
      <c r="BE7" s="34"/>
      <c r="BF7" s="33"/>
    </row>
    <row r="8" spans="1:62" ht="15" customHeight="1">
      <c r="A8" s="33" t="s">
        <v>4037</v>
      </c>
      <c r="B8" s="33" t="s">
        <v>4354</v>
      </c>
      <c r="C8" s="33" t="s">
        <v>57</v>
      </c>
      <c r="D8" s="33">
        <v>7</v>
      </c>
      <c r="E8" s="33">
        <v>1</v>
      </c>
      <c r="G8" s="33" t="s">
        <v>4115</v>
      </c>
      <c r="J8" s="33" t="s">
        <v>28</v>
      </c>
      <c r="K8" s="33" t="s">
        <v>26</v>
      </c>
      <c r="M8" s="33" t="s">
        <v>4502</v>
      </c>
      <c r="N8" s="83"/>
      <c r="AB8" s="52"/>
      <c r="AD8" s="33" t="s">
        <v>4116</v>
      </c>
      <c r="AE8" s="33"/>
      <c r="AF8" s="33" t="s">
        <v>4117</v>
      </c>
      <c r="AO8" s="34"/>
      <c r="AP8" s="83"/>
      <c r="BE8" s="34"/>
      <c r="BF8" s="33"/>
    </row>
    <row r="9" spans="1:62" ht="15" customHeight="1">
      <c r="A9" s="33" t="s">
        <v>4037</v>
      </c>
      <c r="B9" s="33" t="s">
        <v>4355</v>
      </c>
      <c r="C9" s="33" t="s">
        <v>57</v>
      </c>
      <c r="D9" s="33">
        <v>8</v>
      </c>
      <c r="E9" s="33">
        <v>1</v>
      </c>
      <c r="G9" s="33" t="s">
        <v>4118</v>
      </c>
      <c r="I9" s="33" t="s">
        <v>4077</v>
      </c>
      <c r="J9" s="33" t="s">
        <v>4111</v>
      </c>
      <c r="K9" s="33" t="s">
        <v>26</v>
      </c>
      <c r="N9" s="83">
        <v>2</v>
      </c>
      <c r="O9" s="73">
        <v>1</v>
      </c>
      <c r="P9" s="74">
        <v>1</v>
      </c>
      <c r="S9" s="123">
        <v>1</v>
      </c>
      <c r="AB9" s="62" t="s">
        <v>4933</v>
      </c>
      <c r="AD9" s="33" t="s">
        <v>4119</v>
      </c>
      <c r="AE9" s="33"/>
      <c r="AF9" s="33" t="s">
        <v>4120</v>
      </c>
      <c r="AO9" s="34"/>
      <c r="AP9" s="83"/>
      <c r="BE9" s="34"/>
      <c r="BF9" s="33"/>
    </row>
    <row r="10" spans="1:62" ht="15" customHeight="1">
      <c r="A10" s="33" t="s">
        <v>4037</v>
      </c>
      <c r="B10" s="33" t="s">
        <v>4356</v>
      </c>
      <c r="C10" s="33" t="s">
        <v>57</v>
      </c>
      <c r="D10" s="33">
        <v>9</v>
      </c>
      <c r="E10" s="33">
        <v>1</v>
      </c>
      <c r="G10" s="33" t="s">
        <v>4121</v>
      </c>
      <c r="H10" s="33" t="s">
        <v>4122</v>
      </c>
      <c r="J10" s="33" t="s">
        <v>4111</v>
      </c>
      <c r="K10" s="33" t="s">
        <v>26</v>
      </c>
      <c r="M10" s="33" t="s">
        <v>4502</v>
      </c>
      <c r="N10" s="84" t="s">
        <v>38</v>
      </c>
      <c r="AB10" s="52"/>
      <c r="AC10" s="33" t="s">
        <v>4112</v>
      </c>
      <c r="AD10" s="33" t="s">
        <v>4123</v>
      </c>
      <c r="AE10" s="33"/>
      <c r="AF10" s="33" t="s">
        <v>4124</v>
      </c>
      <c r="AO10" s="34"/>
      <c r="AP10" s="83"/>
      <c r="BE10" s="34"/>
      <c r="BF10" s="33"/>
    </row>
    <row r="11" spans="1:62" ht="15" customHeight="1">
      <c r="A11" s="33" t="s">
        <v>4037</v>
      </c>
      <c r="B11" s="33" t="s">
        <v>4503</v>
      </c>
      <c r="C11" s="33" t="s">
        <v>57</v>
      </c>
      <c r="D11" s="33">
        <v>10</v>
      </c>
      <c r="E11" s="33">
        <v>1</v>
      </c>
      <c r="G11" s="33" t="s">
        <v>4499</v>
      </c>
      <c r="J11" s="33" t="s">
        <v>27</v>
      </c>
      <c r="K11" s="33" t="s">
        <v>26</v>
      </c>
      <c r="N11" s="83">
        <v>1</v>
      </c>
      <c r="S11" s="123">
        <v>2</v>
      </c>
      <c r="AB11" s="62" t="s">
        <v>4934</v>
      </c>
      <c r="AD11" s="33" t="s">
        <v>4161</v>
      </c>
      <c r="AE11" s="33" t="s">
        <v>4500</v>
      </c>
      <c r="AF11" s="33" t="s">
        <v>4501</v>
      </c>
      <c r="AO11" s="34"/>
      <c r="AP11" s="83"/>
      <c r="BE11" s="34"/>
      <c r="BF11" s="33"/>
    </row>
    <row r="12" spans="1:62" ht="15" customHeight="1">
      <c r="A12" s="33" t="s">
        <v>4037</v>
      </c>
      <c r="B12" s="33" t="s">
        <v>4357</v>
      </c>
      <c r="C12" s="33" t="s">
        <v>57</v>
      </c>
      <c r="D12" s="33">
        <v>11</v>
      </c>
      <c r="E12" s="33">
        <v>1</v>
      </c>
      <c r="G12" s="33" t="s">
        <v>4125</v>
      </c>
      <c r="J12" s="33" t="s">
        <v>28</v>
      </c>
      <c r="K12" s="33" t="s">
        <v>26</v>
      </c>
      <c r="M12" s="33" t="s">
        <v>4502</v>
      </c>
      <c r="N12" s="83"/>
      <c r="AB12" s="52"/>
      <c r="AD12" s="33" t="s">
        <v>4116</v>
      </c>
      <c r="AE12" s="33"/>
      <c r="AF12" s="33" t="s">
        <v>4126</v>
      </c>
      <c r="AO12" s="34"/>
      <c r="AP12" s="83"/>
      <c r="BE12" s="34"/>
      <c r="BF12" s="33"/>
    </row>
    <row r="13" spans="1:62" ht="15" customHeight="1">
      <c r="A13" s="33" t="s">
        <v>4037</v>
      </c>
      <c r="B13" s="33" t="s">
        <v>4358</v>
      </c>
      <c r="C13" s="33" t="s">
        <v>57</v>
      </c>
      <c r="D13" s="33">
        <v>12</v>
      </c>
      <c r="E13" s="33">
        <v>1</v>
      </c>
      <c r="G13" s="33" t="s">
        <v>4127</v>
      </c>
      <c r="H13" s="33" t="s">
        <v>4128</v>
      </c>
      <c r="I13" s="33" t="s">
        <v>4077</v>
      </c>
      <c r="J13" s="33" t="s">
        <v>4111</v>
      </c>
      <c r="K13" s="33" t="s">
        <v>26</v>
      </c>
      <c r="N13" s="83">
        <v>3</v>
      </c>
      <c r="O13" s="73">
        <v>1</v>
      </c>
      <c r="Q13" s="75">
        <v>1</v>
      </c>
      <c r="S13" s="123">
        <v>1</v>
      </c>
      <c r="AB13" s="62" t="s">
        <v>4935</v>
      </c>
      <c r="AC13" s="33" t="s">
        <v>4129</v>
      </c>
      <c r="AD13" s="33" t="s">
        <v>4130</v>
      </c>
      <c r="AE13" s="33"/>
      <c r="AF13" s="33" t="s">
        <v>4131</v>
      </c>
      <c r="AO13" s="34"/>
      <c r="AP13" s="83"/>
      <c r="BE13" s="34"/>
      <c r="BF13" s="33"/>
    </row>
    <row r="14" spans="1:62" ht="15" customHeight="1">
      <c r="A14" s="33" t="s">
        <v>4037</v>
      </c>
      <c r="B14" s="33" t="s">
        <v>4359</v>
      </c>
      <c r="C14" s="33" t="s">
        <v>57</v>
      </c>
      <c r="D14" s="33">
        <v>13</v>
      </c>
      <c r="E14" s="33">
        <v>1</v>
      </c>
      <c r="G14" s="33" t="s">
        <v>4132</v>
      </c>
      <c r="J14" s="33" t="s">
        <v>27</v>
      </c>
      <c r="K14" s="33" t="s">
        <v>26</v>
      </c>
      <c r="M14" s="33" t="s">
        <v>4502</v>
      </c>
      <c r="N14" s="83">
        <v>2</v>
      </c>
      <c r="AB14" s="52"/>
      <c r="AD14" s="33" t="s">
        <v>4133</v>
      </c>
      <c r="AE14" s="33"/>
      <c r="AF14" s="33" t="s">
        <v>4134</v>
      </c>
      <c r="AO14" s="34"/>
      <c r="AP14" s="83"/>
      <c r="BE14" s="34"/>
      <c r="BF14" s="33"/>
    </row>
    <row r="15" spans="1:62" ht="15" customHeight="1">
      <c r="A15" s="33" t="s">
        <v>4037</v>
      </c>
      <c r="B15" s="33" t="s">
        <v>4360</v>
      </c>
      <c r="C15" s="33" t="s">
        <v>57</v>
      </c>
      <c r="D15" s="33">
        <v>14</v>
      </c>
      <c r="E15" s="33">
        <v>1</v>
      </c>
      <c r="G15" s="33" t="s">
        <v>4135</v>
      </c>
      <c r="I15" s="33" t="s">
        <v>4077</v>
      </c>
      <c r="J15" s="33" t="s">
        <v>4111</v>
      </c>
      <c r="K15" s="33" t="s">
        <v>26</v>
      </c>
      <c r="N15" s="83">
        <v>2</v>
      </c>
      <c r="S15" s="123">
        <v>2</v>
      </c>
      <c r="AB15" s="62" t="s">
        <v>4936</v>
      </c>
      <c r="AC15" s="33" t="s">
        <v>4129</v>
      </c>
      <c r="AD15" s="33" t="s">
        <v>4130</v>
      </c>
      <c r="AE15" s="33"/>
      <c r="AF15" s="33" t="s">
        <v>4136</v>
      </c>
      <c r="AO15" s="34"/>
      <c r="AP15" s="83"/>
      <c r="BE15" s="34"/>
      <c r="BF15" s="33"/>
    </row>
    <row r="16" spans="1:62" ht="15" customHeight="1">
      <c r="A16" s="33" t="s">
        <v>4037</v>
      </c>
      <c r="B16" s="33" t="s">
        <v>4361</v>
      </c>
      <c r="C16" s="33" t="s">
        <v>57</v>
      </c>
      <c r="D16" s="33">
        <v>15</v>
      </c>
      <c r="E16" s="33">
        <v>1</v>
      </c>
      <c r="G16" s="33" t="s">
        <v>4137</v>
      </c>
      <c r="J16" s="33" t="s">
        <v>28</v>
      </c>
      <c r="K16" s="33" t="s">
        <v>26</v>
      </c>
      <c r="M16" s="33" t="s">
        <v>4502</v>
      </c>
      <c r="N16" s="83"/>
      <c r="AB16" s="52"/>
      <c r="AD16" s="33" t="s">
        <v>4138</v>
      </c>
      <c r="AE16" s="33"/>
      <c r="AF16" s="33" t="s">
        <v>4139</v>
      </c>
      <c r="AO16" s="34"/>
      <c r="AP16" s="83"/>
      <c r="BE16" s="34"/>
      <c r="BF16" s="33"/>
    </row>
    <row r="17" spans="1:58" ht="15" customHeight="1">
      <c r="A17" s="33" t="s">
        <v>4037</v>
      </c>
      <c r="B17" s="33" t="s">
        <v>4362</v>
      </c>
      <c r="C17" s="33" t="s">
        <v>57</v>
      </c>
      <c r="D17" s="33">
        <v>16</v>
      </c>
      <c r="E17" s="33">
        <v>1</v>
      </c>
      <c r="G17" s="33" t="s">
        <v>4140</v>
      </c>
      <c r="J17" s="33" t="s">
        <v>4111</v>
      </c>
      <c r="K17" s="33" t="s">
        <v>4052</v>
      </c>
      <c r="N17" s="83">
        <v>4</v>
      </c>
      <c r="R17" s="76">
        <v>1</v>
      </c>
      <c r="AB17" s="62" t="s">
        <v>4061</v>
      </c>
      <c r="AC17" s="33" t="s">
        <v>4112</v>
      </c>
      <c r="AD17" s="33" t="s">
        <v>4113</v>
      </c>
      <c r="AE17" s="33"/>
      <c r="AF17" s="33" t="s">
        <v>4141</v>
      </c>
      <c r="AO17" s="34"/>
      <c r="AP17" s="83"/>
      <c r="BE17" s="34"/>
      <c r="BF17" s="33"/>
    </row>
    <row r="18" spans="1:58" ht="15" customHeight="1">
      <c r="A18" s="33" t="s">
        <v>4037</v>
      </c>
      <c r="B18" s="33" t="s">
        <v>4363</v>
      </c>
      <c r="C18" s="33" t="s">
        <v>57</v>
      </c>
      <c r="D18" s="33">
        <v>17</v>
      </c>
      <c r="E18" s="33">
        <v>1</v>
      </c>
      <c r="G18" s="33" t="s">
        <v>4142</v>
      </c>
      <c r="J18" s="33" t="s">
        <v>4111</v>
      </c>
      <c r="K18" s="33" t="s">
        <v>4052</v>
      </c>
      <c r="N18" s="83">
        <v>2</v>
      </c>
      <c r="O18" s="73">
        <v>1</v>
      </c>
      <c r="Q18" s="75">
        <v>1</v>
      </c>
      <c r="AB18" s="62" t="s">
        <v>4937</v>
      </c>
      <c r="AD18" s="33" t="s">
        <v>4143</v>
      </c>
      <c r="AE18" s="33"/>
      <c r="AF18" s="33" t="s">
        <v>4144</v>
      </c>
      <c r="AO18" s="34"/>
      <c r="AP18" s="83"/>
      <c r="BE18" s="34"/>
      <c r="BF18" s="33"/>
    </row>
    <row r="19" spans="1:58" ht="15" customHeight="1">
      <c r="A19" s="33" t="s">
        <v>4037</v>
      </c>
      <c r="B19" s="33" t="s">
        <v>4364</v>
      </c>
      <c r="C19" s="33" t="s">
        <v>57</v>
      </c>
      <c r="D19" s="33">
        <v>18</v>
      </c>
      <c r="E19" s="33">
        <v>1</v>
      </c>
      <c r="G19" s="33" t="s">
        <v>4145</v>
      </c>
      <c r="J19" s="33" t="s">
        <v>4111</v>
      </c>
      <c r="K19" s="33" t="s">
        <v>4052</v>
      </c>
      <c r="N19" s="83">
        <v>4</v>
      </c>
      <c r="Q19" s="75">
        <v>1</v>
      </c>
      <c r="T19" s="78">
        <v>2</v>
      </c>
      <c r="U19" s="73">
        <v>2</v>
      </c>
      <c r="AB19" s="62" t="s">
        <v>4060</v>
      </c>
      <c r="AC19" s="33" t="s">
        <v>25</v>
      </c>
      <c r="AD19" s="33" t="s">
        <v>4146</v>
      </c>
      <c r="AE19" s="33"/>
      <c r="AF19" s="33" t="s">
        <v>4147</v>
      </c>
      <c r="AO19" s="34"/>
      <c r="AP19" s="83"/>
      <c r="BE19" s="34"/>
      <c r="BF19" s="33"/>
    </row>
    <row r="20" spans="1:58" ht="15" customHeight="1">
      <c r="A20" s="33" t="s">
        <v>4037</v>
      </c>
      <c r="B20" s="33" t="s">
        <v>4365</v>
      </c>
      <c r="C20" s="33" t="s">
        <v>57</v>
      </c>
      <c r="D20" s="33">
        <v>19</v>
      </c>
      <c r="E20" s="33">
        <v>1</v>
      </c>
      <c r="G20" s="33" t="s">
        <v>4148</v>
      </c>
      <c r="J20" s="33" t="s">
        <v>4111</v>
      </c>
      <c r="K20" s="33" t="s">
        <v>4052</v>
      </c>
      <c r="N20" s="83">
        <v>2</v>
      </c>
      <c r="O20" s="73">
        <v>1</v>
      </c>
      <c r="AB20" s="62" t="s">
        <v>4058</v>
      </c>
      <c r="AD20" s="33" t="s">
        <v>4149</v>
      </c>
      <c r="AE20" s="33"/>
      <c r="AF20" s="33" t="s">
        <v>4150</v>
      </c>
      <c r="AO20" s="34"/>
      <c r="AP20" s="83"/>
      <c r="BE20" s="34"/>
      <c r="BF20" s="33"/>
    </row>
    <row r="21" spans="1:58" ht="15" customHeight="1">
      <c r="A21" s="33" t="s">
        <v>4037</v>
      </c>
      <c r="B21" s="33" t="s">
        <v>4366</v>
      </c>
      <c r="C21" s="33" t="s">
        <v>57</v>
      </c>
      <c r="D21" s="33">
        <v>20</v>
      </c>
      <c r="E21" s="33">
        <v>1</v>
      </c>
      <c r="G21" s="33" t="s">
        <v>4151</v>
      </c>
      <c r="J21" s="33" t="s">
        <v>4111</v>
      </c>
      <c r="K21" s="33" t="s">
        <v>4052</v>
      </c>
      <c r="N21" s="83">
        <v>3</v>
      </c>
      <c r="Q21" s="75">
        <v>1</v>
      </c>
      <c r="AB21" s="62" t="s">
        <v>4060</v>
      </c>
      <c r="AC21" s="33" t="s">
        <v>4112</v>
      </c>
      <c r="AD21" s="33" t="s">
        <v>4152</v>
      </c>
      <c r="AE21" s="33"/>
      <c r="AF21" s="33" t="s">
        <v>4153</v>
      </c>
      <c r="AO21" s="34"/>
      <c r="AP21" s="83"/>
      <c r="BE21" s="34"/>
      <c r="BF21" s="33"/>
    </row>
    <row r="22" spans="1:58" ht="15" customHeight="1">
      <c r="A22" s="33" t="s">
        <v>4037</v>
      </c>
      <c r="B22" s="33" t="s">
        <v>4367</v>
      </c>
      <c r="C22" s="33" t="s">
        <v>57</v>
      </c>
      <c r="D22" s="33">
        <v>21</v>
      </c>
      <c r="E22" s="33">
        <v>1</v>
      </c>
      <c r="G22" s="33" t="s">
        <v>4154</v>
      </c>
      <c r="J22" s="33" t="s">
        <v>4111</v>
      </c>
      <c r="K22" s="33" t="s">
        <v>4052</v>
      </c>
      <c r="N22" s="83">
        <v>3</v>
      </c>
      <c r="Q22" s="75">
        <v>1</v>
      </c>
      <c r="T22" s="78">
        <v>3</v>
      </c>
      <c r="U22" s="73">
        <v>1</v>
      </c>
      <c r="AB22" s="62" t="s">
        <v>4060</v>
      </c>
      <c r="AC22" s="33" t="s">
        <v>25</v>
      </c>
      <c r="AD22" s="33" t="s">
        <v>4155</v>
      </c>
      <c r="AE22" s="33"/>
      <c r="AF22" s="33" t="s">
        <v>4156</v>
      </c>
      <c r="AO22" s="34"/>
      <c r="AP22" s="83"/>
      <c r="BE22" s="34"/>
      <c r="BF22" s="33"/>
    </row>
    <row r="23" spans="1:58" ht="15" customHeight="1">
      <c r="A23" s="33" t="s">
        <v>4037</v>
      </c>
      <c r="B23" s="33" t="s">
        <v>4368</v>
      </c>
      <c r="C23" s="33" t="s">
        <v>57</v>
      </c>
      <c r="D23" s="33">
        <v>22</v>
      </c>
      <c r="E23" s="33">
        <v>1</v>
      </c>
      <c r="G23" s="33" t="s">
        <v>4157</v>
      </c>
      <c r="J23" s="33" t="s">
        <v>27</v>
      </c>
      <c r="K23" s="33" t="s">
        <v>4052</v>
      </c>
      <c r="N23" s="83">
        <v>1</v>
      </c>
      <c r="P23" s="74">
        <v>2</v>
      </c>
      <c r="AB23" s="62" t="s">
        <v>4938</v>
      </c>
      <c r="AD23" s="33" t="s">
        <v>4158</v>
      </c>
      <c r="AE23" s="33"/>
      <c r="AF23" s="33" t="s">
        <v>4159</v>
      </c>
      <c r="AO23" s="34"/>
      <c r="AP23" s="83"/>
      <c r="BE23" s="34"/>
      <c r="BF23" s="33"/>
    </row>
    <row r="24" spans="1:58" ht="15" customHeight="1">
      <c r="A24" s="33" t="s">
        <v>4037</v>
      </c>
      <c r="B24" s="33" t="s">
        <v>4369</v>
      </c>
      <c r="C24" s="33" t="s">
        <v>57</v>
      </c>
      <c r="D24" s="33">
        <v>23</v>
      </c>
      <c r="E24" s="33">
        <v>1</v>
      </c>
      <c r="G24" s="33" t="s">
        <v>4160</v>
      </c>
      <c r="J24" s="33" t="s">
        <v>27</v>
      </c>
      <c r="K24" s="33" t="s">
        <v>4052</v>
      </c>
      <c r="N24" s="83">
        <v>1</v>
      </c>
      <c r="O24" s="73">
        <v>1</v>
      </c>
      <c r="R24" s="76">
        <v>1</v>
      </c>
      <c r="AB24" s="62" t="s">
        <v>4939</v>
      </c>
      <c r="AD24" s="33" t="s">
        <v>4161</v>
      </c>
      <c r="AE24" s="33"/>
      <c r="AF24" s="33" t="s">
        <v>4162</v>
      </c>
      <c r="AO24" s="34"/>
      <c r="AP24" s="83"/>
      <c r="BE24" s="34"/>
      <c r="BF24" s="33"/>
    </row>
    <row r="25" spans="1:58" ht="15" customHeight="1">
      <c r="A25" s="33" t="s">
        <v>4037</v>
      </c>
      <c r="B25" s="33" t="s">
        <v>4370</v>
      </c>
      <c r="C25" s="33" t="s">
        <v>57</v>
      </c>
      <c r="D25" s="33">
        <v>24</v>
      </c>
      <c r="E25" s="33">
        <v>1</v>
      </c>
      <c r="G25" s="33" t="s">
        <v>4163</v>
      </c>
      <c r="J25" s="33" t="s">
        <v>27</v>
      </c>
      <c r="K25" s="33" t="s">
        <v>4052</v>
      </c>
      <c r="N25" s="83">
        <v>5</v>
      </c>
      <c r="O25" s="73">
        <v>1</v>
      </c>
      <c r="AB25" s="62" t="s">
        <v>4058</v>
      </c>
      <c r="AD25" s="33" t="s">
        <v>4161</v>
      </c>
      <c r="AE25" s="33"/>
      <c r="AF25" s="33" t="s">
        <v>4164</v>
      </c>
      <c r="AO25" s="34"/>
      <c r="AP25" s="83"/>
      <c r="BE25" s="34"/>
      <c r="BF25" s="33"/>
    </row>
    <row r="26" spans="1:58" ht="15" customHeight="1">
      <c r="A26" s="33" t="s">
        <v>4037</v>
      </c>
      <c r="B26" s="33" t="s">
        <v>4371</v>
      </c>
      <c r="C26" s="33" t="s">
        <v>57</v>
      </c>
      <c r="D26" s="33">
        <v>25</v>
      </c>
      <c r="E26" s="33">
        <v>1</v>
      </c>
      <c r="G26" s="33" t="s">
        <v>4165</v>
      </c>
      <c r="J26" s="33" t="s">
        <v>4166</v>
      </c>
      <c r="K26" s="33" t="s">
        <v>4052</v>
      </c>
      <c r="N26" s="83"/>
      <c r="Q26" s="75">
        <v>1</v>
      </c>
      <c r="AB26" s="62" t="s">
        <v>4060</v>
      </c>
      <c r="AD26" s="33" t="s">
        <v>4167</v>
      </c>
      <c r="AE26" s="33"/>
      <c r="AF26" s="33" t="s">
        <v>4168</v>
      </c>
      <c r="AO26" s="34"/>
      <c r="AP26" s="83"/>
      <c r="BE26" s="34"/>
      <c r="BF26" s="33"/>
    </row>
    <row r="27" spans="1:58" ht="15" customHeight="1">
      <c r="A27" s="33" t="s">
        <v>4037</v>
      </c>
      <c r="B27" s="33" t="s">
        <v>4372</v>
      </c>
      <c r="C27" s="33" t="s">
        <v>57</v>
      </c>
      <c r="D27" s="33">
        <v>26</v>
      </c>
      <c r="E27" s="33">
        <v>1</v>
      </c>
      <c r="G27" s="33" t="s">
        <v>4169</v>
      </c>
      <c r="J27" s="33" t="s">
        <v>27</v>
      </c>
      <c r="K27" s="33" t="s">
        <v>4052</v>
      </c>
      <c r="L27" s="33">
        <v>1</v>
      </c>
      <c r="N27" s="83">
        <v>2</v>
      </c>
      <c r="P27" s="74">
        <v>1</v>
      </c>
      <c r="AB27" s="62" t="s">
        <v>4059</v>
      </c>
      <c r="AD27" s="33" t="s">
        <v>4170</v>
      </c>
      <c r="AE27" s="33"/>
      <c r="AF27" s="33" t="s">
        <v>4171</v>
      </c>
      <c r="AO27" s="34"/>
      <c r="AP27" s="83"/>
      <c r="BE27" s="34"/>
      <c r="BF27" s="33"/>
    </row>
    <row r="28" spans="1:58" ht="15" customHeight="1">
      <c r="A28" s="33" t="s">
        <v>4037</v>
      </c>
      <c r="B28" s="33" t="s">
        <v>4373</v>
      </c>
      <c r="C28" s="33" t="s">
        <v>57</v>
      </c>
      <c r="D28" s="33">
        <v>27</v>
      </c>
      <c r="E28" s="33">
        <v>1</v>
      </c>
      <c r="G28" s="33" t="s">
        <v>4172</v>
      </c>
      <c r="J28" s="33" t="s">
        <v>4111</v>
      </c>
      <c r="K28" s="33" t="s">
        <v>4052</v>
      </c>
      <c r="L28" s="33">
        <v>2</v>
      </c>
      <c r="N28" s="83">
        <v>3</v>
      </c>
      <c r="O28" s="73">
        <v>1</v>
      </c>
      <c r="S28" s="123">
        <v>1</v>
      </c>
      <c r="AB28" s="62" t="s">
        <v>4940</v>
      </c>
      <c r="AC28" s="33" t="s">
        <v>4129</v>
      </c>
      <c r="AD28" s="33" t="s">
        <v>4119</v>
      </c>
      <c r="AE28" s="33"/>
      <c r="AF28" s="33" t="s">
        <v>4173</v>
      </c>
      <c r="AO28" s="34"/>
      <c r="AP28" s="83"/>
      <c r="BE28" s="34"/>
      <c r="BF28" s="33"/>
    </row>
    <row r="29" spans="1:58" ht="15" customHeight="1">
      <c r="A29" s="33" t="s">
        <v>4037</v>
      </c>
      <c r="B29" s="33" t="s">
        <v>4374</v>
      </c>
      <c r="C29" s="33" t="s">
        <v>57</v>
      </c>
      <c r="D29" s="33">
        <v>28</v>
      </c>
      <c r="E29" s="33">
        <v>1</v>
      </c>
      <c r="G29" s="33" t="s">
        <v>4145</v>
      </c>
      <c r="J29" s="33" t="s">
        <v>4111</v>
      </c>
      <c r="K29" s="33" t="s">
        <v>4052</v>
      </c>
      <c r="L29" s="33">
        <v>2</v>
      </c>
      <c r="N29" s="83">
        <v>4</v>
      </c>
      <c r="Q29" s="75">
        <v>1</v>
      </c>
      <c r="R29" s="76">
        <v>1</v>
      </c>
      <c r="T29" s="78">
        <v>3</v>
      </c>
      <c r="U29" s="73">
        <v>2</v>
      </c>
      <c r="AB29" s="62" t="s">
        <v>4941</v>
      </c>
      <c r="AC29" s="33" t="s">
        <v>25</v>
      </c>
      <c r="AD29" s="33" t="s">
        <v>4146</v>
      </c>
      <c r="AE29" s="33"/>
      <c r="AF29" s="33" t="s">
        <v>4174</v>
      </c>
      <c r="AO29" s="34"/>
      <c r="AP29" s="83"/>
      <c r="BE29" s="34"/>
      <c r="BF29" s="33"/>
    </row>
    <row r="30" spans="1:58" ht="15" customHeight="1">
      <c r="A30" s="33" t="s">
        <v>4037</v>
      </c>
      <c r="B30" s="33" t="s">
        <v>4375</v>
      </c>
      <c r="C30" s="33" t="s">
        <v>57</v>
      </c>
      <c r="D30" s="33">
        <v>29</v>
      </c>
      <c r="E30" s="33">
        <v>1</v>
      </c>
      <c r="G30" s="33" t="s">
        <v>4175</v>
      </c>
      <c r="J30" s="33" t="s">
        <v>4111</v>
      </c>
      <c r="K30" s="33" t="s">
        <v>4052</v>
      </c>
      <c r="L30" s="33">
        <v>4</v>
      </c>
      <c r="N30" s="83">
        <v>5</v>
      </c>
      <c r="Q30" s="75">
        <v>2</v>
      </c>
      <c r="AB30" s="62" t="s">
        <v>4942</v>
      </c>
      <c r="AC30" s="33" t="s">
        <v>4176</v>
      </c>
      <c r="AD30" s="33" t="s">
        <v>4113</v>
      </c>
      <c r="AE30" s="33"/>
      <c r="AF30" s="33" t="s">
        <v>4177</v>
      </c>
      <c r="AO30" s="34"/>
      <c r="AP30" s="83"/>
      <c r="BE30" s="34"/>
      <c r="BF30" s="33"/>
    </row>
    <row r="31" spans="1:58" ht="15" customHeight="1">
      <c r="A31" s="33" t="s">
        <v>4037</v>
      </c>
      <c r="B31" s="33" t="s">
        <v>4376</v>
      </c>
      <c r="C31" s="33" t="s">
        <v>57</v>
      </c>
      <c r="D31" s="33">
        <v>30</v>
      </c>
      <c r="E31" s="33">
        <v>1</v>
      </c>
      <c r="G31" s="33" t="s">
        <v>4178</v>
      </c>
      <c r="J31" s="33" t="s">
        <v>4111</v>
      </c>
      <c r="K31" s="33" t="s">
        <v>4053</v>
      </c>
      <c r="N31" s="83">
        <v>1</v>
      </c>
      <c r="P31" s="74">
        <v>1</v>
      </c>
      <c r="AB31" s="62" t="s">
        <v>4059</v>
      </c>
      <c r="AC31" s="33" t="s">
        <v>4112</v>
      </c>
      <c r="AD31" s="33" t="s">
        <v>4179</v>
      </c>
      <c r="AE31" s="33"/>
      <c r="AF31" s="33" t="s">
        <v>4180</v>
      </c>
      <c r="AO31" s="34"/>
      <c r="AP31" s="83"/>
      <c r="BE31" s="34"/>
      <c r="BF31" s="33"/>
    </row>
    <row r="32" spans="1:58" ht="15" customHeight="1">
      <c r="A32" s="33" t="s">
        <v>4037</v>
      </c>
      <c r="B32" s="33" t="s">
        <v>4377</v>
      </c>
      <c r="C32" s="33" t="s">
        <v>57</v>
      </c>
      <c r="D32" s="33">
        <v>31</v>
      </c>
      <c r="E32" s="33">
        <v>1</v>
      </c>
      <c r="G32" s="33" t="s">
        <v>4181</v>
      </c>
      <c r="J32" s="33" t="s">
        <v>4111</v>
      </c>
      <c r="K32" s="33" t="s">
        <v>4053</v>
      </c>
      <c r="N32" s="83">
        <v>3</v>
      </c>
      <c r="O32" s="73">
        <v>1</v>
      </c>
      <c r="AB32" s="62" t="s">
        <v>4058</v>
      </c>
      <c r="AC32" s="33" t="s">
        <v>4112</v>
      </c>
      <c r="AD32" s="33" t="s">
        <v>4123</v>
      </c>
      <c r="AE32" s="33"/>
      <c r="AF32" s="33" t="s">
        <v>4182</v>
      </c>
      <c r="AO32" s="34"/>
      <c r="AP32" s="83"/>
      <c r="BE32" s="34"/>
      <c r="BF32" s="33"/>
    </row>
    <row r="33" spans="1:58" ht="15" customHeight="1">
      <c r="A33" s="33" t="s">
        <v>4037</v>
      </c>
      <c r="B33" s="33" t="s">
        <v>4378</v>
      </c>
      <c r="C33" s="33" t="s">
        <v>57</v>
      </c>
      <c r="D33" s="33">
        <v>32</v>
      </c>
      <c r="E33" s="33">
        <v>1</v>
      </c>
      <c r="G33" s="33" t="s">
        <v>4183</v>
      </c>
      <c r="J33" s="33" t="s">
        <v>4111</v>
      </c>
      <c r="K33" s="33" t="s">
        <v>4053</v>
      </c>
      <c r="N33" s="83">
        <v>2</v>
      </c>
      <c r="R33" s="76">
        <v>1</v>
      </c>
      <c r="T33" s="78">
        <v>1</v>
      </c>
      <c r="U33" s="73">
        <v>1</v>
      </c>
      <c r="AB33" s="62" t="s">
        <v>4061</v>
      </c>
      <c r="AC33" s="33" t="s">
        <v>25</v>
      </c>
      <c r="AD33" s="33" t="s">
        <v>4184</v>
      </c>
      <c r="AE33" s="33"/>
      <c r="AF33" s="33" t="s">
        <v>4185</v>
      </c>
      <c r="AO33" s="34"/>
      <c r="AP33" s="83"/>
      <c r="BE33" s="34"/>
      <c r="BF33" s="33"/>
    </row>
    <row r="34" spans="1:58" ht="15" customHeight="1">
      <c r="A34" s="33" t="s">
        <v>4037</v>
      </c>
      <c r="B34" s="33" t="s">
        <v>4379</v>
      </c>
      <c r="C34" s="33" t="s">
        <v>57</v>
      </c>
      <c r="D34" s="33">
        <v>33</v>
      </c>
      <c r="E34" s="33">
        <v>1</v>
      </c>
      <c r="G34" s="33" t="s">
        <v>4186</v>
      </c>
      <c r="H34" s="33" t="s">
        <v>4187</v>
      </c>
      <c r="I34" s="33" t="s">
        <v>4077</v>
      </c>
      <c r="J34" s="33" t="s">
        <v>4111</v>
      </c>
      <c r="K34" s="33" t="s">
        <v>4053</v>
      </c>
      <c r="N34" s="83">
        <v>4</v>
      </c>
      <c r="P34" s="74">
        <v>1</v>
      </c>
      <c r="T34" s="78">
        <v>1</v>
      </c>
      <c r="U34" s="73">
        <v>2</v>
      </c>
      <c r="AB34" s="62" t="s">
        <v>4059</v>
      </c>
      <c r="AC34" s="33" t="s">
        <v>25</v>
      </c>
      <c r="AD34" s="33" t="s">
        <v>4184</v>
      </c>
      <c r="AE34" s="33"/>
      <c r="AF34" s="33" t="s">
        <v>4188</v>
      </c>
      <c r="AO34" s="34"/>
      <c r="AP34" s="83"/>
      <c r="BE34" s="34"/>
      <c r="BF34" s="33"/>
    </row>
    <row r="35" spans="1:58" ht="15" customHeight="1">
      <c r="A35" s="33" t="s">
        <v>4037</v>
      </c>
      <c r="B35" s="33" t="s">
        <v>4380</v>
      </c>
      <c r="C35" s="33" t="s">
        <v>57</v>
      </c>
      <c r="D35" s="33">
        <v>34</v>
      </c>
      <c r="E35" s="33">
        <v>1</v>
      </c>
      <c r="G35" s="33" t="s">
        <v>4189</v>
      </c>
      <c r="J35" s="33" t="s">
        <v>4111</v>
      </c>
      <c r="K35" s="33" t="s">
        <v>4053</v>
      </c>
      <c r="N35" s="83">
        <v>2</v>
      </c>
      <c r="P35" s="74">
        <v>1</v>
      </c>
      <c r="R35" s="76">
        <v>1</v>
      </c>
      <c r="AB35" s="62" t="s">
        <v>4943</v>
      </c>
      <c r="AD35" s="33" t="s">
        <v>4143</v>
      </c>
      <c r="AE35" s="33"/>
      <c r="AF35" s="33" t="s">
        <v>4190</v>
      </c>
      <c r="AO35" s="34"/>
      <c r="AP35" s="83"/>
      <c r="BE35" s="34"/>
      <c r="BF35" s="33"/>
    </row>
    <row r="36" spans="1:58" ht="15" customHeight="1">
      <c r="A36" s="33" t="s">
        <v>4037</v>
      </c>
      <c r="B36" s="33" t="s">
        <v>4381</v>
      </c>
      <c r="C36" s="33" t="s">
        <v>57</v>
      </c>
      <c r="D36" s="33">
        <v>35</v>
      </c>
      <c r="E36" s="33">
        <v>1</v>
      </c>
      <c r="G36" s="33" t="s">
        <v>4191</v>
      </c>
      <c r="J36" s="33" t="s">
        <v>4111</v>
      </c>
      <c r="K36" s="33" t="s">
        <v>4053</v>
      </c>
      <c r="N36" s="83">
        <v>2</v>
      </c>
      <c r="Q36" s="75">
        <v>1</v>
      </c>
      <c r="AB36" s="62" t="s">
        <v>4060</v>
      </c>
      <c r="AC36" s="33" t="s">
        <v>4112</v>
      </c>
      <c r="AD36" s="33" t="s">
        <v>4123</v>
      </c>
      <c r="AE36" s="33"/>
      <c r="AF36" s="33" t="s">
        <v>4192</v>
      </c>
      <c r="AO36" s="34"/>
      <c r="AP36" s="83"/>
      <c r="BE36" s="34"/>
      <c r="BF36" s="33"/>
    </row>
    <row r="37" spans="1:58" ht="15" customHeight="1">
      <c r="A37" s="33" t="s">
        <v>4037</v>
      </c>
      <c r="B37" s="40" t="s">
        <v>4382</v>
      </c>
      <c r="C37" s="33" t="s">
        <v>57</v>
      </c>
      <c r="D37" s="33">
        <v>36</v>
      </c>
      <c r="E37" s="33">
        <v>1</v>
      </c>
      <c r="G37" s="33" t="s">
        <v>4193</v>
      </c>
      <c r="J37" s="33" t="s">
        <v>27</v>
      </c>
      <c r="K37" s="33" t="s">
        <v>4053</v>
      </c>
      <c r="N37" s="83">
        <v>1</v>
      </c>
      <c r="Q37" s="75">
        <v>1</v>
      </c>
      <c r="R37" s="76">
        <v>1</v>
      </c>
      <c r="AB37" s="62" t="s">
        <v>4941</v>
      </c>
      <c r="AD37" s="33" t="s">
        <v>4194</v>
      </c>
      <c r="AE37" s="33"/>
      <c r="AF37" s="33" t="s">
        <v>4195</v>
      </c>
      <c r="AO37" s="34"/>
      <c r="AP37" s="83"/>
      <c r="BE37" s="34"/>
      <c r="BF37" s="33"/>
    </row>
    <row r="38" spans="1:58" ht="15" customHeight="1">
      <c r="A38" s="33" t="s">
        <v>4037</v>
      </c>
      <c r="B38" s="33" t="s">
        <v>4383</v>
      </c>
      <c r="C38" s="33" t="s">
        <v>57</v>
      </c>
      <c r="D38" s="33">
        <v>37</v>
      </c>
      <c r="E38" s="33">
        <v>1</v>
      </c>
      <c r="G38" s="33" t="s">
        <v>4196</v>
      </c>
      <c r="J38" s="33" t="s">
        <v>27</v>
      </c>
      <c r="K38" s="33" t="s">
        <v>4053</v>
      </c>
      <c r="N38" s="83">
        <v>2</v>
      </c>
      <c r="O38" s="85"/>
      <c r="P38" s="86"/>
      <c r="Q38" s="87"/>
      <c r="U38" s="85"/>
      <c r="V38" s="88"/>
      <c r="W38" s="89"/>
      <c r="X38" s="90"/>
      <c r="AA38" s="91"/>
      <c r="AB38" s="62" t="s">
        <v>4938</v>
      </c>
      <c r="AD38" s="33" t="s">
        <v>4194</v>
      </c>
      <c r="AE38" s="33" t="s">
        <v>4511</v>
      </c>
      <c r="AF38" s="33" t="s">
        <v>4776</v>
      </c>
      <c r="AO38" s="34"/>
      <c r="AP38" s="83"/>
      <c r="AQ38" s="85"/>
      <c r="AR38" s="86"/>
      <c r="AS38" s="87"/>
      <c r="AV38" s="85"/>
      <c r="AW38" s="93"/>
      <c r="AX38" s="94"/>
      <c r="AY38" s="90"/>
      <c r="BB38" s="91"/>
      <c r="BE38" s="34"/>
      <c r="BF38" s="33"/>
    </row>
    <row r="39" spans="1:58" ht="15" customHeight="1">
      <c r="A39" s="33" t="s">
        <v>4037</v>
      </c>
      <c r="B39" s="33" t="s">
        <v>4384</v>
      </c>
      <c r="C39" s="33" t="s">
        <v>57</v>
      </c>
      <c r="D39" s="33">
        <v>38</v>
      </c>
      <c r="E39" s="33">
        <v>1</v>
      </c>
      <c r="G39" s="33" t="s">
        <v>4197</v>
      </c>
      <c r="J39" s="33" t="s">
        <v>27</v>
      </c>
      <c r="K39" s="33" t="s">
        <v>4053</v>
      </c>
      <c r="N39" s="83">
        <v>0</v>
      </c>
      <c r="O39" s="85">
        <v>1</v>
      </c>
      <c r="P39" s="86">
        <v>1</v>
      </c>
      <c r="Q39" s="87"/>
      <c r="R39" s="76">
        <v>1</v>
      </c>
      <c r="U39" s="85"/>
      <c r="V39" s="88"/>
      <c r="W39" s="89"/>
      <c r="X39" s="90"/>
      <c r="AA39" s="91"/>
      <c r="AB39" s="62" t="s">
        <v>4944</v>
      </c>
      <c r="AD39" s="33" t="s">
        <v>4198</v>
      </c>
      <c r="AE39" s="33"/>
      <c r="AF39" s="33" t="s">
        <v>4199</v>
      </c>
      <c r="AO39" s="34"/>
      <c r="AP39" s="83"/>
      <c r="AQ39" s="85"/>
      <c r="AR39" s="86"/>
      <c r="AS39" s="87"/>
      <c r="AV39" s="85"/>
      <c r="AW39" s="93"/>
      <c r="AX39" s="94"/>
      <c r="AY39" s="90"/>
      <c r="BB39" s="91"/>
      <c r="BE39" s="34"/>
      <c r="BF39" s="33"/>
    </row>
    <row r="40" spans="1:58" ht="15" customHeight="1">
      <c r="A40" s="33" t="s">
        <v>4037</v>
      </c>
      <c r="B40" s="33" t="s">
        <v>4385</v>
      </c>
      <c r="C40" s="33" t="s">
        <v>57</v>
      </c>
      <c r="D40" s="33">
        <v>39</v>
      </c>
      <c r="E40" s="33">
        <v>1</v>
      </c>
      <c r="G40" s="33" t="s">
        <v>4200</v>
      </c>
      <c r="J40" s="33" t="s">
        <v>4166</v>
      </c>
      <c r="K40" s="33" t="s">
        <v>4053</v>
      </c>
      <c r="N40" s="83"/>
      <c r="O40" s="85"/>
      <c r="P40" s="86">
        <v>1</v>
      </c>
      <c r="Q40" s="87"/>
      <c r="U40" s="85"/>
      <c r="V40" s="88"/>
      <c r="W40" s="89"/>
      <c r="X40" s="90"/>
      <c r="AA40" s="91"/>
      <c r="AB40" s="62" t="s">
        <v>4059</v>
      </c>
      <c r="AD40" s="33" t="s">
        <v>4167</v>
      </c>
      <c r="AE40" s="33"/>
      <c r="AF40" s="33" t="s">
        <v>4201</v>
      </c>
      <c r="AO40" s="34"/>
      <c r="AP40" s="83"/>
      <c r="AQ40" s="85"/>
      <c r="AR40" s="86"/>
      <c r="AS40" s="87"/>
      <c r="AV40" s="85"/>
      <c r="AW40" s="93"/>
      <c r="AX40" s="94"/>
      <c r="AY40" s="90"/>
      <c r="BB40" s="91"/>
      <c r="BE40" s="34"/>
      <c r="BF40" s="33"/>
    </row>
    <row r="41" spans="1:58" ht="15" customHeight="1">
      <c r="A41" s="33" t="s">
        <v>4037</v>
      </c>
      <c r="B41" s="33" t="s">
        <v>4386</v>
      </c>
      <c r="C41" s="33" t="s">
        <v>57</v>
      </c>
      <c r="D41" s="33">
        <v>40</v>
      </c>
      <c r="E41" s="33">
        <v>1</v>
      </c>
      <c r="G41" s="33" t="s">
        <v>4178</v>
      </c>
      <c r="J41" s="33" t="s">
        <v>4111</v>
      </c>
      <c r="K41" s="33" t="s">
        <v>4053</v>
      </c>
      <c r="L41" s="33">
        <v>1</v>
      </c>
      <c r="N41" s="83">
        <v>0</v>
      </c>
      <c r="O41" s="85"/>
      <c r="P41" s="86">
        <v>1</v>
      </c>
      <c r="Q41" s="87"/>
      <c r="U41" s="85"/>
      <c r="V41" s="88"/>
      <c r="W41" s="89"/>
      <c r="X41" s="90"/>
      <c r="AA41" s="91"/>
      <c r="AB41" s="62" t="s">
        <v>4059</v>
      </c>
      <c r="AC41" s="33" t="s">
        <v>4112</v>
      </c>
      <c r="AD41" s="33" t="s">
        <v>4179</v>
      </c>
      <c r="AE41" s="33"/>
      <c r="AF41" s="33" t="s">
        <v>4202</v>
      </c>
      <c r="AO41" s="34"/>
      <c r="AP41" s="83"/>
      <c r="AQ41" s="85"/>
      <c r="AR41" s="86"/>
      <c r="AS41" s="87"/>
      <c r="AV41" s="85"/>
      <c r="AW41" s="93"/>
      <c r="AX41" s="94"/>
      <c r="AY41" s="90"/>
      <c r="BB41" s="91"/>
      <c r="BE41" s="34"/>
      <c r="BF41" s="33"/>
    </row>
    <row r="42" spans="1:58" ht="15" customHeight="1">
      <c r="A42" s="33" t="s">
        <v>4037</v>
      </c>
      <c r="B42" s="33" t="s">
        <v>4504</v>
      </c>
      <c r="C42" s="33" t="s">
        <v>57</v>
      </c>
      <c r="D42" s="33">
        <v>41</v>
      </c>
      <c r="E42" s="33">
        <v>1</v>
      </c>
      <c r="G42" s="33" t="s">
        <v>4505</v>
      </c>
      <c r="H42" s="33" t="s">
        <v>4506</v>
      </c>
      <c r="I42" s="33" t="s">
        <v>4077</v>
      </c>
      <c r="J42" s="33" t="s">
        <v>4111</v>
      </c>
      <c r="K42" s="33" t="s">
        <v>4053</v>
      </c>
      <c r="L42" s="33">
        <v>2</v>
      </c>
      <c r="N42" s="83">
        <v>3</v>
      </c>
      <c r="O42" s="85">
        <v>1</v>
      </c>
      <c r="P42" s="86">
        <v>1</v>
      </c>
      <c r="Q42" s="87">
        <v>1</v>
      </c>
      <c r="S42" s="123">
        <v>1</v>
      </c>
      <c r="U42" s="85"/>
      <c r="V42" s="88"/>
      <c r="W42" s="89"/>
      <c r="X42" s="90"/>
      <c r="AA42" s="91"/>
      <c r="AB42" s="62" t="s">
        <v>4933</v>
      </c>
      <c r="AC42" s="33" t="s">
        <v>4507</v>
      </c>
      <c r="AD42" s="33" t="s">
        <v>4130</v>
      </c>
      <c r="AE42" s="33"/>
      <c r="AF42" s="33" t="s">
        <v>4508</v>
      </c>
      <c r="AO42" s="34"/>
      <c r="AP42" s="83"/>
      <c r="AQ42" s="85"/>
      <c r="AR42" s="86"/>
      <c r="AS42" s="87"/>
      <c r="AV42" s="85"/>
      <c r="AW42" s="93"/>
      <c r="AX42" s="94"/>
      <c r="AY42" s="90"/>
      <c r="BB42" s="91"/>
      <c r="BE42" s="34"/>
      <c r="BF42" s="33"/>
    </row>
    <row r="43" spans="1:58" ht="15" customHeight="1">
      <c r="A43" s="33" t="s">
        <v>4037</v>
      </c>
      <c r="B43" s="33" t="s">
        <v>4387</v>
      </c>
      <c r="C43" s="33" t="s">
        <v>57</v>
      </c>
      <c r="D43" s="33">
        <v>42</v>
      </c>
      <c r="E43" s="33">
        <v>1</v>
      </c>
      <c r="G43" s="33" t="s">
        <v>4203</v>
      </c>
      <c r="J43" s="33" t="s">
        <v>4111</v>
      </c>
      <c r="K43" s="33" t="s">
        <v>4053</v>
      </c>
      <c r="L43" s="33">
        <v>2</v>
      </c>
      <c r="N43" s="83">
        <v>2</v>
      </c>
      <c r="O43" s="85"/>
      <c r="P43" s="86"/>
      <c r="Q43" s="87"/>
      <c r="S43" s="123">
        <v>1</v>
      </c>
      <c r="U43" s="85"/>
      <c r="V43" s="88"/>
      <c r="W43" s="89"/>
      <c r="X43" s="90"/>
      <c r="AA43" s="91"/>
      <c r="AB43" s="62" t="s">
        <v>4062</v>
      </c>
      <c r="AC43" s="33" t="s">
        <v>4112</v>
      </c>
      <c r="AD43" s="33" t="s">
        <v>4123</v>
      </c>
      <c r="AE43" s="33"/>
      <c r="AF43" s="33" t="s">
        <v>4204</v>
      </c>
      <c r="AO43" s="34"/>
      <c r="AP43" s="83"/>
      <c r="AQ43" s="85"/>
      <c r="AR43" s="86"/>
      <c r="AS43" s="87"/>
      <c r="AV43" s="85"/>
      <c r="AW43" s="93"/>
      <c r="AX43" s="94"/>
      <c r="AY43" s="90"/>
      <c r="BB43" s="91"/>
      <c r="BE43" s="34"/>
      <c r="BF43" s="33"/>
    </row>
    <row r="44" spans="1:58" ht="15" customHeight="1">
      <c r="A44" s="33" t="s">
        <v>4037</v>
      </c>
      <c r="B44" s="33" t="s">
        <v>4509</v>
      </c>
      <c r="C44" s="33" t="s">
        <v>57</v>
      </c>
      <c r="D44" s="33">
        <v>43</v>
      </c>
      <c r="E44" s="33">
        <v>1</v>
      </c>
      <c r="G44" s="33" t="s">
        <v>4510</v>
      </c>
      <c r="J44" s="33" t="s">
        <v>27</v>
      </c>
      <c r="K44" s="33" t="s">
        <v>4053</v>
      </c>
      <c r="L44" s="33">
        <v>4</v>
      </c>
      <c r="N44" s="83">
        <v>0</v>
      </c>
      <c r="O44" s="85"/>
      <c r="P44" s="86"/>
      <c r="Q44" s="87"/>
      <c r="U44" s="85"/>
      <c r="V44" s="88"/>
      <c r="W44" s="89"/>
      <c r="X44" s="90"/>
      <c r="AA44" s="91"/>
      <c r="AB44" s="52"/>
      <c r="AD44" s="33" t="s">
        <v>4194</v>
      </c>
      <c r="AE44" s="33" t="s">
        <v>4511</v>
      </c>
      <c r="AF44" s="33" t="s">
        <v>4512</v>
      </c>
      <c r="AO44" s="34"/>
      <c r="AP44" s="83"/>
      <c r="AQ44" s="85"/>
      <c r="AR44" s="86"/>
      <c r="AS44" s="87"/>
      <c r="AV44" s="85"/>
      <c r="AW44" s="93"/>
      <c r="AX44" s="94"/>
      <c r="AY44" s="90"/>
      <c r="BB44" s="91"/>
      <c r="BE44" s="34"/>
      <c r="BF44" s="33"/>
    </row>
    <row r="45" spans="1:58" ht="15" customHeight="1">
      <c r="A45" s="33" t="s">
        <v>4037</v>
      </c>
      <c r="B45" s="33" t="s">
        <v>4388</v>
      </c>
      <c r="C45" s="33" t="s">
        <v>57</v>
      </c>
      <c r="D45" s="33">
        <v>44</v>
      </c>
      <c r="E45" s="33">
        <v>1</v>
      </c>
      <c r="G45" s="33" t="s">
        <v>4205</v>
      </c>
      <c r="J45" s="33" t="s">
        <v>4111</v>
      </c>
      <c r="K45" s="33" t="s">
        <v>4055</v>
      </c>
      <c r="N45" s="83">
        <v>1</v>
      </c>
      <c r="O45" s="85"/>
      <c r="P45" s="86"/>
      <c r="Q45" s="87"/>
      <c r="R45" s="76">
        <v>1</v>
      </c>
      <c r="U45" s="85"/>
      <c r="V45" s="88"/>
      <c r="W45" s="89"/>
      <c r="X45" s="90"/>
      <c r="AA45" s="91"/>
      <c r="AB45" s="62" t="s">
        <v>4061</v>
      </c>
      <c r="AC45" s="33" t="s">
        <v>4112</v>
      </c>
      <c r="AD45" s="33" t="s">
        <v>4206</v>
      </c>
      <c r="AE45" s="33"/>
      <c r="AF45" s="33" t="s">
        <v>4207</v>
      </c>
      <c r="AO45" s="34"/>
      <c r="AP45" s="83"/>
      <c r="AQ45" s="85"/>
      <c r="AR45" s="86"/>
      <c r="AS45" s="87"/>
      <c r="AV45" s="85"/>
      <c r="AW45" s="93"/>
      <c r="AX45" s="94"/>
      <c r="AY45" s="90"/>
      <c r="BB45" s="91"/>
      <c r="BE45" s="34"/>
      <c r="BF45" s="33"/>
    </row>
    <row r="46" spans="1:58" ht="15" customHeight="1">
      <c r="A46" s="33" t="s">
        <v>4037</v>
      </c>
      <c r="B46" s="33" t="s">
        <v>4389</v>
      </c>
      <c r="C46" s="33" t="s">
        <v>57</v>
      </c>
      <c r="D46" s="33">
        <v>45</v>
      </c>
      <c r="E46" s="33">
        <v>1</v>
      </c>
      <c r="G46" s="33" t="s">
        <v>4208</v>
      </c>
      <c r="J46" s="33" t="s">
        <v>4111</v>
      </c>
      <c r="K46" s="33" t="s">
        <v>4055</v>
      </c>
      <c r="N46" s="83">
        <v>1</v>
      </c>
      <c r="O46" s="85"/>
      <c r="P46" s="86">
        <v>1</v>
      </c>
      <c r="Q46" s="87"/>
      <c r="U46" s="85"/>
      <c r="V46" s="88"/>
      <c r="W46" s="89"/>
      <c r="X46" s="90"/>
      <c r="AA46" s="91"/>
      <c r="AB46" s="62" t="s">
        <v>4059</v>
      </c>
      <c r="AD46" s="33" t="s">
        <v>4209</v>
      </c>
      <c r="AE46" s="33"/>
      <c r="AF46" s="33" t="s">
        <v>4210</v>
      </c>
      <c r="AO46" s="34"/>
      <c r="AP46" s="83"/>
      <c r="AQ46" s="85"/>
      <c r="AR46" s="86"/>
      <c r="AS46" s="87"/>
      <c r="AV46" s="85"/>
      <c r="AW46" s="93"/>
      <c r="AX46" s="94"/>
      <c r="AY46" s="90"/>
      <c r="BB46" s="91"/>
      <c r="BE46" s="34"/>
      <c r="BF46" s="33"/>
    </row>
    <row r="47" spans="1:58" ht="15" customHeight="1">
      <c r="A47" s="33" t="s">
        <v>4037</v>
      </c>
      <c r="B47" s="33" t="s">
        <v>4390</v>
      </c>
      <c r="C47" s="33" t="s">
        <v>57</v>
      </c>
      <c r="D47" s="33">
        <v>46</v>
      </c>
      <c r="E47" s="33">
        <v>1</v>
      </c>
      <c r="G47" s="33" t="s">
        <v>4211</v>
      </c>
      <c r="J47" s="33" t="s">
        <v>4111</v>
      </c>
      <c r="K47" s="33" t="s">
        <v>4055</v>
      </c>
      <c r="N47" s="83">
        <v>2</v>
      </c>
      <c r="O47" s="85"/>
      <c r="P47" s="86"/>
      <c r="Q47" s="87"/>
      <c r="R47" s="76">
        <v>1</v>
      </c>
      <c r="U47" s="85"/>
      <c r="V47" s="88"/>
      <c r="W47" s="89"/>
      <c r="X47" s="90"/>
      <c r="AA47" s="91"/>
      <c r="AB47" s="62" t="s">
        <v>4061</v>
      </c>
      <c r="AD47" s="33" t="s">
        <v>4209</v>
      </c>
      <c r="AE47" s="33"/>
      <c r="AF47" s="33" t="s">
        <v>4212</v>
      </c>
      <c r="AO47" s="34"/>
      <c r="AP47" s="83"/>
      <c r="AQ47" s="85"/>
      <c r="AR47" s="86"/>
      <c r="AS47" s="87"/>
      <c r="AV47" s="85"/>
      <c r="AW47" s="93"/>
      <c r="AX47" s="94"/>
      <c r="AY47" s="90"/>
      <c r="BB47" s="91"/>
      <c r="BE47" s="34"/>
      <c r="BF47" s="33"/>
    </row>
    <row r="48" spans="1:58" ht="15" customHeight="1">
      <c r="A48" s="33" t="s">
        <v>4037</v>
      </c>
      <c r="B48" s="33" t="s">
        <v>4391</v>
      </c>
      <c r="C48" s="33" t="s">
        <v>57</v>
      </c>
      <c r="D48" s="33">
        <v>47</v>
      </c>
      <c r="E48" s="33">
        <v>1</v>
      </c>
      <c r="G48" s="33" t="s">
        <v>4213</v>
      </c>
      <c r="J48" s="33" t="s">
        <v>4111</v>
      </c>
      <c r="K48" s="33" t="s">
        <v>4055</v>
      </c>
      <c r="N48" s="83">
        <v>3</v>
      </c>
      <c r="O48" s="85"/>
      <c r="P48" s="86"/>
      <c r="Q48" s="87"/>
      <c r="U48" s="85"/>
      <c r="V48" s="88"/>
      <c r="W48" s="89"/>
      <c r="X48" s="90"/>
      <c r="AA48" s="91"/>
      <c r="AB48" s="62" t="s">
        <v>4060</v>
      </c>
      <c r="AC48" s="33" t="s">
        <v>4112</v>
      </c>
      <c r="AD48" s="33" t="s">
        <v>4777</v>
      </c>
      <c r="AE48" s="33" t="s">
        <v>4778</v>
      </c>
      <c r="AF48" s="33" t="s">
        <v>4779</v>
      </c>
      <c r="AO48" s="34"/>
      <c r="AP48" s="83"/>
      <c r="AQ48" s="85"/>
      <c r="AR48" s="86"/>
      <c r="AS48" s="87"/>
      <c r="AV48" s="85"/>
      <c r="AW48" s="93"/>
      <c r="AX48" s="94"/>
      <c r="AY48" s="90"/>
      <c r="BB48" s="91"/>
      <c r="BE48" s="34"/>
      <c r="BF48" s="33"/>
    </row>
    <row r="49" spans="1:58" ht="15" customHeight="1">
      <c r="A49" s="33" t="s">
        <v>4037</v>
      </c>
      <c r="B49" s="33" t="s">
        <v>4392</v>
      </c>
      <c r="C49" s="33" t="s">
        <v>57</v>
      </c>
      <c r="D49" s="33">
        <v>48</v>
      </c>
      <c r="E49" s="33">
        <v>1</v>
      </c>
      <c r="G49" s="33" t="s">
        <v>4214</v>
      </c>
      <c r="H49" s="33" t="s">
        <v>4215</v>
      </c>
      <c r="I49" s="33" t="s">
        <v>4077</v>
      </c>
      <c r="J49" s="33" t="s">
        <v>4111</v>
      </c>
      <c r="K49" s="33" t="s">
        <v>4055</v>
      </c>
      <c r="N49" s="83">
        <v>6</v>
      </c>
      <c r="O49" s="85"/>
      <c r="P49" s="86">
        <v>1</v>
      </c>
      <c r="Q49" s="87"/>
      <c r="T49" s="78">
        <v>2</v>
      </c>
      <c r="U49" s="85">
        <v>2</v>
      </c>
      <c r="V49" s="88"/>
      <c r="W49" s="89"/>
      <c r="X49" s="90"/>
      <c r="AA49" s="91"/>
      <c r="AB49" s="62" t="s">
        <v>4059</v>
      </c>
      <c r="AC49" s="33" t="s">
        <v>25</v>
      </c>
      <c r="AD49" s="33" t="s">
        <v>4216</v>
      </c>
      <c r="AE49" s="33"/>
      <c r="AF49" s="33" t="s">
        <v>4217</v>
      </c>
      <c r="AO49" s="34"/>
      <c r="AP49" s="83"/>
      <c r="AQ49" s="85"/>
      <c r="AR49" s="86"/>
      <c r="AS49" s="87"/>
      <c r="AV49" s="85"/>
      <c r="AW49" s="93"/>
      <c r="AX49" s="94"/>
      <c r="AY49" s="90"/>
      <c r="BB49" s="91"/>
      <c r="BE49" s="34"/>
      <c r="BF49" s="33"/>
    </row>
    <row r="50" spans="1:58" ht="15" customHeight="1">
      <c r="A50" s="33" t="s">
        <v>4037</v>
      </c>
      <c r="B50" s="33" t="s">
        <v>4393</v>
      </c>
      <c r="C50" s="33" t="s">
        <v>57</v>
      </c>
      <c r="D50" s="33">
        <v>49</v>
      </c>
      <c r="E50" s="33">
        <v>1</v>
      </c>
      <c r="G50" s="33" t="s">
        <v>4218</v>
      </c>
      <c r="J50" s="33" t="s">
        <v>4111</v>
      </c>
      <c r="K50" s="33" t="s">
        <v>4055</v>
      </c>
      <c r="N50" s="83">
        <v>2</v>
      </c>
      <c r="O50" s="85"/>
      <c r="P50" s="86"/>
      <c r="Q50" s="87">
        <v>1</v>
      </c>
      <c r="R50" s="76">
        <v>1</v>
      </c>
      <c r="U50" s="85"/>
      <c r="V50" s="88"/>
      <c r="W50" s="89"/>
      <c r="X50" s="90"/>
      <c r="AA50" s="91"/>
      <c r="AB50" s="62" t="s">
        <v>4941</v>
      </c>
      <c r="AD50" s="33" t="s">
        <v>4143</v>
      </c>
      <c r="AE50" s="33"/>
      <c r="AF50" s="33" t="s">
        <v>4219</v>
      </c>
      <c r="AO50" s="34"/>
      <c r="AP50" s="83"/>
      <c r="AQ50" s="85"/>
      <c r="AR50" s="86"/>
      <c r="AS50" s="87"/>
      <c r="AV50" s="85"/>
      <c r="AW50" s="93"/>
      <c r="AX50" s="94"/>
      <c r="AY50" s="90"/>
      <c r="BB50" s="91"/>
      <c r="BE50" s="34"/>
      <c r="BF50" s="33"/>
    </row>
    <row r="51" spans="1:58" ht="15" customHeight="1">
      <c r="A51" s="33" t="s">
        <v>4037</v>
      </c>
      <c r="B51" s="33" t="s">
        <v>4394</v>
      </c>
      <c r="C51" s="33" t="s">
        <v>57</v>
      </c>
      <c r="D51" s="33">
        <v>50</v>
      </c>
      <c r="E51" s="33">
        <v>1</v>
      </c>
      <c r="G51" s="33" t="s">
        <v>4220</v>
      </c>
      <c r="J51" s="33" t="s">
        <v>27</v>
      </c>
      <c r="K51" s="33" t="s">
        <v>4055</v>
      </c>
      <c r="N51" s="83">
        <v>2</v>
      </c>
      <c r="O51" s="85"/>
      <c r="P51" s="86"/>
      <c r="Q51" s="87"/>
      <c r="U51" s="85"/>
      <c r="V51" s="88"/>
      <c r="W51" s="89"/>
      <c r="X51" s="90"/>
      <c r="AA51" s="91"/>
      <c r="AB51" s="62" t="s">
        <v>4943</v>
      </c>
      <c r="AD51" s="33" t="s">
        <v>4161</v>
      </c>
      <c r="AE51" s="33" t="s">
        <v>4511</v>
      </c>
      <c r="AF51" s="33" t="s">
        <v>4780</v>
      </c>
      <c r="AO51" s="34"/>
      <c r="AP51" s="83"/>
      <c r="AQ51" s="85"/>
      <c r="AR51" s="86"/>
      <c r="AS51" s="87"/>
      <c r="AV51" s="85"/>
      <c r="AW51" s="93"/>
      <c r="AX51" s="94"/>
      <c r="AY51" s="90"/>
      <c r="BB51" s="91"/>
      <c r="BE51" s="34"/>
      <c r="BF51" s="33"/>
    </row>
    <row r="52" spans="1:58" ht="15" customHeight="1">
      <c r="A52" s="33" t="s">
        <v>4037</v>
      </c>
      <c r="B52" s="33" t="s">
        <v>4395</v>
      </c>
      <c r="C52" s="33" t="s">
        <v>57</v>
      </c>
      <c r="D52" s="33">
        <v>51</v>
      </c>
      <c r="E52" s="33">
        <v>1</v>
      </c>
      <c r="G52" s="33" t="s">
        <v>4221</v>
      </c>
      <c r="J52" s="33" t="s">
        <v>27</v>
      </c>
      <c r="K52" s="33" t="s">
        <v>4055</v>
      </c>
      <c r="N52" s="83">
        <v>3</v>
      </c>
      <c r="O52" s="85"/>
      <c r="P52" s="86"/>
      <c r="Q52" s="87">
        <v>1</v>
      </c>
      <c r="R52" s="76">
        <v>1</v>
      </c>
      <c r="U52" s="85"/>
      <c r="V52" s="88"/>
      <c r="W52" s="89"/>
      <c r="X52" s="90"/>
      <c r="AA52" s="91"/>
      <c r="AB52" s="62" t="s">
        <v>4941</v>
      </c>
      <c r="AD52" s="33" t="s">
        <v>4161</v>
      </c>
      <c r="AE52" s="33"/>
      <c r="AF52" s="33" t="s">
        <v>4222</v>
      </c>
      <c r="AO52" s="34"/>
      <c r="AP52" s="83"/>
      <c r="AQ52" s="85"/>
      <c r="AR52" s="86"/>
      <c r="AS52" s="87"/>
      <c r="AV52" s="85"/>
      <c r="AW52" s="93"/>
      <c r="AX52" s="94"/>
      <c r="AY52" s="90"/>
      <c r="BB52" s="91"/>
      <c r="BE52" s="34"/>
      <c r="BF52" s="33"/>
    </row>
    <row r="53" spans="1:58" ht="15" customHeight="1">
      <c r="A53" s="33" t="s">
        <v>4037</v>
      </c>
      <c r="B53" s="33" t="s">
        <v>4396</v>
      </c>
      <c r="C53" s="33" t="s">
        <v>57</v>
      </c>
      <c r="D53" s="33">
        <v>52</v>
      </c>
      <c r="E53" s="33">
        <v>1</v>
      </c>
      <c r="G53" s="33" t="s">
        <v>4223</v>
      </c>
      <c r="J53" s="33" t="s">
        <v>27</v>
      </c>
      <c r="K53" s="33" t="s">
        <v>4055</v>
      </c>
      <c r="N53" s="83">
        <v>2</v>
      </c>
      <c r="O53" s="85"/>
      <c r="P53" s="86"/>
      <c r="Q53" s="87"/>
      <c r="U53" s="85"/>
      <c r="V53" s="88"/>
      <c r="W53" s="89"/>
      <c r="X53" s="90"/>
      <c r="AA53" s="91"/>
      <c r="AB53" s="62" t="s">
        <v>4945</v>
      </c>
      <c r="AD53" s="33" t="s">
        <v>4161</v>
      </c>
      <c r="AE53" s="33"/>
      <c r="AF53" s="33" t="s">
        <v>4781</v>
      </c>
      <c r="AO53" s="34"/>
      <c r="AP53" s="83"/>
      <c r="AQ53" s="85"/>
      <c r="AR53" s="86"/>
      <c r="AS53" s="87"/>
      <c r="AV53" s="85"/>
      <c r="AW53" s="93"/>
      <c r="AX53" s="94"/>
      <c r="AY53" s="90"/>
      <c r="BB53" s="91"/>
      <c r="BE53" s="34"/>
      <c r="BF53" s="33"/>
    </row>
    <row r="54" spans="1:58" ht="15" customHeight="1">
      <c r="A54" s="33" t="s">
        <v>4037</v>
      </c>
      <c r="B54" s="33" t="s">
        <v>4397</v>
      </c>
      <c r="C54" s="33" t="s">
        <v>57</v>
      </c>
      <c r="D54" s="33">
        <v>53</v>
      </c>
      <c r="E54" s="33">
        <v>1</v>
      </c>
      <c r="G54" s="33" t="s">
        <v>4224</v>
      </c>
      <c r="J54" s="33" t="s">
        <v>4166</v>
      </c>
      <c r="K54" s="33" t="s">
        <v>4055</v>
      </c>
      <c r="N54" s="83"/>
      <c r="O54" s="85"/>
      <c r="P54" s="86"/>
      <c r="Q54" s="87"/>
      <c r="S54" s="123">
        <v>1</v>
      </c>
      <c r="U54" s="85"/>
      <c r="V54" s="88"/>
      <c r="W54" s="89"/>
      <c r="X54" s="90"/>
      <c r="AA54" s="91"/>
      <c r="AB54" s="62" t="s">
        <v>4062</v>
      </c>
      <c r="AD54" s="33" t="s">
        <v>4266</v>
      </c>
      <c r="AE54" s="33" t="s">
        <v>4782</v>
      </c>
      <c r="AF54" s="33" t="s">
        <v>4783</v>
      </c>
      <c r="AO54" s="34"/>
      <c r="AP54" s="83"/>
      <c r="AQ54" s="85"/>
      <c r="AR54" s="86"/>
      <c r="AS54" s="87"/>
      <c r="AV54" s="85"/>
      <c r="AW54" s="93"/>
      <c r="AX54" s="94"/>
      <c r="AY54" s="90"/>
      <c r="BB54" s="91"/>
      <c r="BE54" s="34"/>
      <c r="BF54" s="33"/>
    </row>
    <row r="55" spans="1:58" ht="15" customHeight="1">
      <c r="A55" s="33" t="s">
        <v>4037</v>
      </c>
      <c r="B55" s="33" t="s">
        <v>4398</v>
      </c>
      <c r="C55" s="33" t="s">
        <v>57</v>
      </c>
      <c r="D55" s="33">
        <v>54</v>
      </c>
      <c r="E55" s="33">
        <v>1</v>
      </c>
      <c r="G55" s="33" t="s">
        <v>4214</v>
      </c>
      <c r="H55" s="33" t="s">
        <v>4215</v>
      </c>
      <c r="I55" s="33" t="s">
        <v>4077</v>
      </c>
      <c r="J55" s="33" t="s">
        <v>4111</v>
      </c>
      <c r="K55" s="33" t="s">
        <v>4055</v>
      </c>
      <c r="L55" s="33">
        <v>1</v>
      </c>
      <c r="N55" s="83">
        <v>5</v>
      </c>
      <c r="O55" s="85"/>
      <c r="P55" s="86">
        <v>1</v>
      </c>
      <c r="Q55" s="87"/>
      <c r="T55" s="78">
        <v>2</v>
      </c>
      <c r="U55" s="85">
        <v>2</v>
      </c>
      <c r="V55" s="88"/>
      <c r="W55" s="89"/>
      <c r="X55" s="90"/>
      <c r="AA55" s="91"/>
      <c r="AB55" s="62" t="s">
        <v>4059</v>
      </c>
      <c r="AC55" s="33" t="s">
        <v>25</v>
      </c>
      <c r="AD55" s="33" t="s">
        <v>4216</v>
      </c>
      <c r="AE55" s="33"/>
      <c r="AF55" s="33" t="s">
        <v>4217</v>
      </c>
      <c r="AO55" s="34"/>
      <c r="AP55" s="83"/>
      <c r="AQ55" s="85"/>
      <c r="AR55" s="86"/>
      <c r="AS55" s="87"/>
      <c r="AV55" s="85"/>
      <c r="AW55" s="93"/>
      <c r="AX55" s="94"/>
      <c r="AY55" s="90"/>
      <c r="BB55" s="91"/>
      <c r="BE55" s="34"/>
      <c r="BF55" s="33"/>
    </row>
    <row r="56" spans="1:58" ht="15" customHeight="1">
      <c r="A56" s="33" t="s">
        <v>4037</v>
      </c>
      <c r="B56" s="33" t="s">
        <v>4513</v>
      </c>
      <c r="C56" s="33" t="s">
        <v>57</v>
      </c>
      <c r="D56" s="33">
        <v>55</v>
      </c>
      <c r="E56" s="33">
        <v>1</v>
      </c>
      <c r="G56" s="33" t="s">
        <v>4951</v>
      </c>
      <c r="J56" s="33" t="s">
        <v>4111</v>
      </c>
      <c r="K56" s="33" t="s">
        <v>4055</v>
      </c>
      <c r="L56" s="33">
        <v>1</v>
      </c>
      <c r="N56" s="83">
        <v>4</v>
      </c>
      <c r="O56" s="85">
        <v>1</v>
      </c>
      <c r="P56" s="86"/>
      <c r="Q56" s="87"/>
      <c r="R56" s="76">
        <v>1</v>
      </c>
      <c r="T56" s="78">
        <v>2</v>
      </c>
      <c r="U56" s="85">
        <v>2</v>
      </c>
      <c r="V56" s="88"/>
      <c r="W56" s="89"/>
      <c r="X56" s="90"/>
      <c r="AA56" s="91"/>
      <c r="AB56" s="62" t="s">
        <v>4939</v>
      </c>
      <c r="AC56" s="33" t="s">
        <v>25</v>
      </c>
      <c r="AD56" s="33" t="s">
        <v>4216</v>
      </c>
      <c r="AE56" s="33" t="s">
        <v>4515</v>
      </c>
      <c r="AF56" s="33" t="s">
        <v>4516</v>
      </c>
      <c r="AO56" s="34"/>
      <c r="AP56" s="83"/>
      <c r="AQ56" s="85"/>
      <c r="AR56" s="86"/>
      <c r="AS56" s="87"/>
      <c r="AV56" s="85"/>
      <c r="AW56" s="93"/>
      <c r="AX56" s="94"/>
      <c r="AY56" s="90"/>
      <c r="BB56" s="91"/>
      <c r="BE56" s="34"/>
      <c r="BF56" s="33"/>
    </row>
    <row r="57" spans="1:58" ht="15" customHeight="1">
      <c r="A57" s="33" t="s">
        <v>4037</v>
      </c>
      <c r="B57" s="33" t="s">
        <v>4514</v>
      </c>
      <c r="C57" s="33" t="s">
        <v>57</v>
      </c>
      <c r="D57" s="33">
        <v>56</v>
      </c>
      <c r="E57" s="33">
        <v>1</v>
      </c>
      <c r="G57" s="33" t="s">
        <v>4517</v>
      </c>
      <c r="J57" s="33" t="s">
        <v>27</v>
      </c>
      <c r="K57" s="33" t="s">
        <v>4055</v>
      </c>
      <c r="L57" s="33">
        <v>3</v>
      </c>
      <c r="N57" s="83">
        <v>2</v>
      </c>
      <c r="O57" s="85"/>
      <c r="P57" s="86"/>
      <c r="Q57" s="87"/>
      <c r="U57" s="85"/>
      <c r="V57" s="88"/>
      <c r="W57" s="89"/>
      <c r="X57" s="90"/>
      <c r="AA57" s="91"/>
      <c r="AB57" s="52"/>
      <c r="AD57" s="33" t="s">
        <v>4518</v>
      </c>
      <c r="AE57" s="33"/>
      <c r="AF57" s="33" t="s">
        <v>4519</v>
      </c>
      <c r="AO57" s="34"/>
      <c r="AP57" s="83"/>
      <c r="AQ57" s="85"/>
      <c r="AR57" s="86"/>
      <c r="AS57" s="87"/>
      <c r="AV57" s="85"/>
      <c r="AW57" s="93"/>
      <c r="AX57" s="94"/>
      <c r="AY57" s="90"/>
      <c r="BB57" s="91"/>
      <c r="BE57" s="34"/>
      <c r="BF57" s="33"/>
    </row>
    <row r="58" spans="1:58" ht="15" customHeight="1">
      <c r="A58" s="33" t="s">
        <v>4037</v>
      </c>
      <c r="B58" s="33" t="s">
        <v>4399</v>
      </c>
      <c r="C58" s="33" t="s">
        <v>57</v>
      </c>
      <c r="D58" s="33">
        <v>57</v>
      </c>
      <c r="E58" s="33">
        <v>1</v>
      </c>
      <c r="G58" s="33" t="s">
        <v>4225</v>
      </c>
      <c r="J58" s="33" t="s">
        <v>27</v>
      </c>
      <c r="K58" s="33" t="s">
        <v>4055</v>
      </c>
      <c r="L58" s="33">
        <v>4</v>
      </c>
      <c r="N58" s="83">
        <v>3</v>
      </c>
      <c r="O58" s="85"/>
      <c r="P58" s="86"/>
      <c r="Q58" s="87"/>
      <c r="S58" s="123">
        <v>1</v>
      </c>
      <c r="U58" s="85"/>
      <c r="V58" s="88"/>
      <c r="W58" s="89"/>
      <c r="X58" s="90"/>
      <c r="AA58" s="91"/>
      <c r="AB58" s="62" t="s">
        <v>4062</v>
      </c>
      <c r="AD58" s="33" t="s">
        <v>4226</v>
      </c>
      <c r="AE58" s="33"/>
      <c r="AF58" s="33" t="s">
        <v>4227</v>
      </c>
      <c r="AO58" s="34"/>
      <c r="AP58" s="83"/>
      <c r="AQ58" s="85"/>
      <c r="AR58" s="86"/>
      <c r="AS58" s="87"/>
      <c r="AV58" s="85"/>
      <c r="AW58" s="93"/>
      <c r="AX58" s="94"/>
      <c r="AY58" s="90"/>
      <c r="BB58" s="91"/>
      <c r="BE58" s="34"/>
      <c r="BF58" s="33"/>
    </row>
    <row r="59" spans="1:58" ht="15" customHeight="1">
      <c r="A59" s="33" t="s">
        <v>4037</v>
      </c>
      <c r="B59" s="33" t="s">
        <v>4400</v>
      </c>
      <c r="C59" s="33" t="s">
        <v>57</v>
      </c>
      <c r="D59" s="33">
        <v>58</v>
      </c>
      <c r="E59" s="33">
        <v>1</v>
      </c>
      <c r="G59" s="33" t="s">
        <v>4520</v>
      </c>
      <c r="J59" s="33" t="s">
        <v>4111</v>
      </c>
      <c r="K59" s="33" t="s">
        <v>4054</v>
      </c>
      <c r="N59" s="83">
        <v>0</v>
      </c>
      <c r="O59" s="85"/>
      <c r="P59" s="86">
        <v>1</v>
      </c>
      <c r="Q59" s="87"/>
      <c r="U59" s="85"/>
      <c r="V59" s="88"/>
      <c r="W59" s="89"/>
      <c r="X59" s="90"/>
      <c r="AA59" s="91"/>
      <c r="AB59" s="62" t="s">
        <v>4059</v>
      </c>
      <c r="AD59" s="33" t="s">
        <v>4143</v>
      </c>
      <c r="AE59" s="33"/>
      <c r="AF59" s="33" t="s">
        <v>4521</v>
      </c>
      <c r="AO59" s="34"/>
      <c r="AP59" s="83"/>
      <c r="AQ59" s="85"/>
      <c r="AR59" s="86"/>
      <c r="AS59" s="87"/>
      <c r="AV59" s="85"/>
      <c r="AW59" s="93"/>
      <c r="AX59" s="94"/>
      <c r="AY59" s="90"/>
      <c r="BB59" s="91"/>
      <c r="BE59" s="34"/>
      <c r="BF59" s="33"/>
    </row>
    <row r="60" spans="1:58" ht="15" customHeight="1">
      <c r="A60" s="33" t="s">
        <v>4037</v>
      </c>
      <c r="B60" s="33" t="s">
        <v>4401</v>
      </c>
      <c r="C60" s="33" t="s">
        <v>57</v>
      </c>
      <c r="D60" s="33">
        <v>59</v>
      </c>
      <c r="E60" s="33">
        <v>1</v>
      </c>
      <c r="G60" s="33" t="s">
        <v>4228</v>
      </c>
      <c r="J60" s="33" t="s">
        <v>4111</v>
      </c>
      <c r="K60" s="33" t="s">
        <v>4054</v>
      </c>
      <c r="N60" s="83">
        <v>2</v>
      </c>
      <c r="O60" s="85">
        <v>1</v>
      </c>
      <c r="P60" s="86"/>
      <c r="Q60" s="87"/>
      <c r="T60" s="78" t="s">
        <v>38</v>
      </c>
      <c r="U60" s="85">
        <v>2</v>
      </c>
      <c r="V60" s="88"/>
      <c r="W60" s="89"/>
      <c r="X60" s="90"/>
      <c r="AA60" s="91"/>
      <c r="AB60" s="62" t="s">
        <v>4058</v>
      </c>
      <c r="AC60" s="33" t="s">
        <v>4129</v>
      </c>
      <c r="AD60" s="33" t="s">
        <v>4229</v>
      </c>
      <c r="AE60" s="33"/>
      <c r="AF60" s="33" t="s">
        <v>4230</v>
      </c>
      <c r="AO60" s="34"/>
      <c r="AP60" s="83"/>
      <c r="AQ60" s="85"/>
      <c r="AR60" s="86"/>
      <c r="AS60" s="87"/>
      <c r="AV60" s="85"/>
      <c r="AW60" s="93"/>
      <c r="AX60" s="94"/>
      <c r="AY60" s="90"/>
      <c r="BB60" s="91"/>
      <c r="BE60" s="34"/>
      <c r="BF60" s="33"/>
    </row>
    <row r="61" spans="1:58" ht="15" customHeight="1">
      <c r="A61" s="33" t="s">
        <v>4037</v>
      </c>
      <c r="B61" s="33" t="s">
        <v>4402</v>
      </c>
      <c r="C61" s="33" t="s">
        <v>57</v>
      </c>
      <c r="D61" s="33">
        <v>60</v>
      </c>
      <c r="E61" s="33">
        <v>1</v>
      </c>
      <c r="G61" s="33" t="s">
        <v>4231</v>
      </c>
      <c r="J61" s="33" t="s">
        <v>4111</v>
      </c>
      <c r="K61" s="33" t="s">
        <v>4054</v>
      </c>
      <c r="N61" s="83">
        <v>3</v>
      </c>
      <c r="O61" s="85"/>
      <c r="P61" s="86"/>
      <c r="Q61" s="87">
        <v>1</v>
      </c>
      <c r="U61" s="85"/>
      <c r="V61" s="88"/>
      <c r="W61" s="89"/>
      <c r="X61" s="90"/>
      <c r="AA61" s="91"/>
      <c r="AB61" s="62" t="s">
        <v>4060</v>
      </c>
      <c r="AC61" s="33" t="s">
        <v>4232</v>
      </c>
      <c r="AD61" s="33" t="s">
        <v>4133</v>
      </c>
      <c r="AE61" s="33"/>
      <c r="AF61" s="33" t="s">
        <v>4233</v>
      </c>
      <c r="AO61" s="34"/>
      <c r="AP61" s="83"/>
      <c r="AQ61" s="85"/>
      <c r="AR61" s="86"/>
      <c r="AS61" s="87"/>
      <c r="AV61" s="85"/>
      <c r="AW61" s="93"/>
      <c r="AX61" s="94"/>
      <c r="AY61" s="90"/>
      <c r="BB61" s="91"/>
      <c r="BE61" s="34"/>
      <c r="BF61" s="33"/>
    </row>
    <row r="62" spans="1:58" ht="15" customHeight="1">
      <c r="A62" s="33" t="s">
        <v>4037</v>
      </c>
      <c r="B62" s="33" t="s">
        <v>4403</v>
      </c>
      <c r="C62" s="33" t="s">
        <v>57</v>
      </c>
      <c r="D62" s="33">
        <v>61</v>
      </c>
      <c r="E62" s="33">
        <v>1</v>
      </c>
      <c r="G62" s="33" t="s">
        <v>4234</v>
      </c>
      <c r="J62" s="33" t="s">
        <v>4111</v>
      </c>
      <c r="K62" s="33" t="s">
        <v>4054</v>
      </c>
      <c r="N62" s="83">
        <v>1</v>
      </c>
      <c r="O62" s="85"/>
      <c r="P62" s="86">
        <v>1</v>
      </c>
      <c r="Q62" s="87"/>
      <c r="U62" s="85"/>
      <c r="V62" s="88"/>
      <c r="W62" s="89"/>
      <c r="X62" s="90"/>
      <c r="AA62" s="91"/>
      <c r="AB62" s="62" t="s">
        <v>4059</v>
      </c>
      <c r="AC62" s="33" t="s">
        <v>4232</v>
      </c>
      <c r="AD62" s="33" t="s">
        <v>4133</v>
      </c>
      <c r="AE62" s="33"/>
      <c r="AF62" s="33" t="s">
        <v>4235</v>
      </c>
      <c r="AO62" s="34"/>
      <c r="AP62" s="83"/>
      <c r="AQ62" s="85"/>
      <c r="AR62" s="86"/>
      <c r="AS62" s="87"/>
      <c r="AV62" s="85"/>
      <c r="AW62" s="93"/>
      <c r="AX62" s="94"/>
      <c r="AY62" s="90"/>
      <c r="BB62" s="91"/>
      <c r="BE62" s="34"/>
      <c r="BF62" s="33"/>
    </row>
    <row r="63" spans="1:58" ht="15" customHeight="1">
      <c r="A63" s="33" t="s">
        <v>4037</v>
      </c>
      <c r="B63" s="33" t="s">
        <v>4404</v>
      </c>
      <c r="C63" s="33" t="s">
        <v>57</v>
      </c>
      <c r="D63" s="33">
        <v>62</v>
      </c>
      <c r="E63" s="33">
        <v>1</v>
      </c>
      <c r="G63" s="33" t="s">
        <v>4236</v>
      </c>
      <c r="J63" s="33" t="s">
        <v>4111</v>
      </c>
      <c r="K63" s="33" t="s">
        <v>4054</v>
      </c>
      <c r="N63" s="83">
        <v>2</v>
      </c>
      <c r="O63" s="85">
        <v>1</v>
      </c>
      <c r="P63" s="86">
        <v>1</v>
      </c>
      <c r="Q63" s="87"/>
      <c r="U63" s="85"/>
      <c r="V63" s="88"/>
      <c r="W63" s="89"/>
      <c r="X63" s="90"/>
      <c r="AA63" s="91"/>
      <c r="AB63" s="62" t="s">
        <v>4946</v>
      </c>
      <c r="AD63" s="33" t="s">
        <v>4143</v>
      </c>
      <c r="AE63" s="33"/>
      <c r="AF63" s="33" t="s">
        <v>4237</v>
      </c>
      <c r="AO63" s="34"/>
      <c r="AP63" s="83"/>
      <c r="AQ63" s="85"/>
      <c r="AR63" s="86"/>
      <c r="AS63" s="87"/>
      <c r="AV63" s="85"/>
      <c r="AW63" s="93"/>
      <c r="AX63" s="94"/>
      <c r="AY63" s="90"/>
      <c r="BB63" s="91"/>
      <c r="BE63" s="34"/>
      <c r="BF63" s="33"/>
    </row>
    <row r="64" spans="1:58" ht="15" customHeight="1">
      <c r="A64" s="33" t="s">
        <v>4037</v>
      </c>
      <c r="B64" s="33" t="s">
        <v>4522</v>
      </c>
      <c r="C64" s="33" t="s">
        <v>57</v>
      </c>
      <c r="D64" s="33">
        <v>63</v>
      </c>
      <c r="E64" s="33">
        <v>1</v>
      </c>
      <c r="G64" s="33" t="s">
        <v>4523</v>
      </c>
      <c r="J64" s="33" t="s">
        <v>4111</v>
      </c>
      <c r="K64" s="33" t="s">
        <v>4054</v>
      </c>
      <c r="N64" s="83">
        <v>1</v>
      </c>
      <c r="O64" s="85">
        <v>1</v>
      </c>
      <c r="P64" s="86"/>
      <c r="Q64" s="87"/>
      <c r="T64" s="78">
        <v>1</v>
      </c>
      <c r="U64" s="85">
        <v>2</v>
      </c>
      <c r="V64" s="88"/>
      <c r="W64" s="89"/>
      <c r="X64" s="90"/>
      <c r="AA64" s="91"/>
      <c r="AB64" s="62" t="s">
        <v>4058</v>
      </c>
      <c r="AC64" s="33" t="s">
        <v>25</v>
      </c>
      <c r="AD64" s="33" t="s">
        <v>4524</v>
      </c>
      <c r="AE64" s="33"/>
      <c r="AF64" s="33" t="s">
        <v>4525</v>
      </c>
      <c r="AO64" s="34"/>
      <c r="AP64" s="83"/>
      <c r="AQ64" s="85"/>
      <c r="AR64" s="86"/>
      <c r="AS64" s="87"/>
      <c r="AV64" s="85"/>
      <c r="AW64" s="93"/>
      <c r="AX64" s="94"/>
      <c r="AY64" s="90"/>
      <c r="BB64" s="91"/>
      <c r="BE64" s="34"/>
      <c r="BF64" s="33"/>
    </row>
    <row r="65" spans="1:58" ht="15" customHeight="1">
      <c r="A65" s="33" t="s">
        <v>4037</v>
      </c>
      <c r="B65" s="33" t="s">
        <v>4405</v>
      </c>
      <c r="C65" s="33" t="s">
        <v>57</v>
      </c>
      <c r="D65" s="33">
        <v>64</v>
      </c>
      <c r="E65" s="33">
        <v>1</v>
      </c>
      <c r="G65" s="33" t="s">
        <v>4238</v>
      </c>
      <c r="J65" s="33" t="s">
        <v>27</v>
      </c>
      <c r="K65" s="33" t="s">
        <v>4054</v>
      </c>
      <c r="N65" s="83">
        <v>0</v>
      </c>
      <c r="O65" s="85">
        <v>1</v>
      </c>
      <c r="P65" s="86">
        <v>1</v>
      </c>
      <c r="Q65" s="87"/>
      <c r="U65" s="85"/>
      <c r="V65" s="88"/>
      <c r="W65" s="89"/>
      <c r="X65" s="90"/>
      <c r="AA65" s="91"/>
      <c r="AB65" s="62" t="s">
        <v>4946</v>
      </c>
      <c r="AD65" s="33" t="s">
        <v>4158</v>
      </c>
      <c r="AE65" s="33"/>
      <c r="AF65" s="33" t="s">
        <v>4239</v>
      </c>
      <c r="AO65" s="34"/>
      <c r="AP65" s="83"/>
      <c r="AQ65" s="85"/>
      <c r="AR65" s="86"/>
      <c r="AS65" s="87"/>
      <c r="AV65" s="85"/>
      <c r="AW65" s="93"/>
      <c r="AX65" s="94"/>
      <c r="AY65" s="90"/>
      <c r="BB65" s="91"/>
      <c r="BE65" s="34"/>
      <c r="BF65" s="33"/>
    </row>
    <row r="66" spans="1:58" ht="15" customHeight="1">
      <c r="A66" s="33" t="s">
        <v>4037</v>
      </c>
      <c r="B66" s="33" t="s">
        <v>4526</v>
      </c>
      <c r="C66" s="33" t="s">
        <v>57</v>
      </c>
      <c r="D66" s="33">
        <v>65</v>
      </c>
      <c r="E66" s="33">
        <v>1</v>
      </c>
      <c r="G66" s="33" t="s">
        <v>4527</v>
      </c>
      <c r="J66" s="33" t="s">
        <v>27</v>
      </c>
      <c r="K66" s="33" t="s">
        <v>4054</v>
      </c>
      <c r="N66" s="83">
        <v>1</v>
      </c>
      <c r="O66" s="85"/>
      <c r="P66" s="86"/>
      <c r="Q66" s="87"/>
      <c r="S66" s="123">
        <v>1</v>
      </c>
      <c r="U66" s="85"/>
      <c r="V66" s="88"/>
      <c r="W66" s="89"/>
      <c r="X66" s="90"/>
      <c r="AA66" s="91"/>
      <c r="AB66" s="62" t="s">
        <v>4062</v>
      </c>
      <c r="AD66" s="33" t="s">
        <v>4528</v>
      </c>
      <c r="AE66" s="33"/>
      <c r="AF66" s="33" t="s">
        <v>4529</v>
      </c>
      <c r="AO66" s="34"/>
      <c r="AP66" s="83"/>
      <c r="AQ66" s="85"/>
      <c r="AR66" s="86"/>
      <c r="AS66" s="87"/>
      <c r="AV66" s="85"/>
      <c r="AW66" s="93"/>
      <c r="AX66" s="94"/>
      <c r="AY66" s="90"/>
      <c r="BB66" s="91"/>
      <c r="BE66" s="34"/>
      <c r="BF66" s="33"/>
    </row>
    <row r="67" spans="1:58" ht="15" customHeight="1">
      <c r="A67" s="33" t="s">
        <v>4037</v>
      </c>
      <c r="B67" s="33" t="s">
        <v>4406</v>
      </c>
      <c r="C67" s="33" t="s">
        <v>57</v>
      </c>
      <c r="D67" s="33">
        <v>66</v>
      </c>
      <c r="E67" s="33">
        <v>1</v>
      </c>
      <c r="G67" s="33" t="s">
        <v>4240</v>
      </c>
      <c r="J67" s="33" t="s">
        <v>27</v>
      </c>
      <c r="K67" s="33" t="s">
        <v>4054</v>
      </c>
      <c r="N67" s="83">
        <v>2</v>
      </c>
      <c r="O67" s="85">
        <v>1</v>
      </c>
      <c r="P67" s="86"/>
      <c r="Q67" s="87"/>
      <c r="R67" s="76">
        <v>1</v>
      </c>
      <c r="U67" s="85"/>
      <c r="V67" s="88"/>
      <c r="W67" s="89"/>
      <c r="X67" s="90"/>
      <c r="AA67" s="91"/>
      <c r="AB67" s="62" t="s">
        <v>4939</v>
      </c>
      <c r="AD67" s="33" t="s">
        <v>4241</v>
      </c>
      <c r="AE67" s="33"/>
      <c r="AF67" s="33" t="s">
        <v>4242</v>
      </c>
      <c r="AO67" s="34"/>
      <c r="AP67" s="83"/>
      <c r="AQ67" s="85"/>
      <c r="AR67" s="86"/>
      <c r="AS67" s="87"/>
      <c r="AV67" s="85"/>
      <c r="AW67" s="93"/>
      <c r="AX67" s="94"/>
      <c r="AY67" s="90"/>
      <c r="BB67" s="91"/>
      <c r="BE67" s="34"/>
      <c r="BF67" s="33"/>
    </row>
    <row r="68" spans="1:58" ht="15" customHeight="1">
      <c r="A68" s="33" t="s">
        <v>4037</v>
      </c>
      <c r="B68" s="33" t="s">
        <v>4530</v>
      </c>
      <c r="C68" s="33" t="s">
        <v>57</v>
      </c>
      <c r="D68" s="33">
        <v>67</v>
      </c>
      <c r="E68" s="33">
        <v>1</v>
      </c>
      <c r="G68" s="33" t="s">
        <v>4532</v>
      </c>
      <c r="J68" s="33" t="s">
        <v>4166</v>
      </c>
      <c r="K68" s="33" t="s">
        <v>4054</v>
      </c>
      <c r="N68" s="83"/>
      <c r="O68" s="85">
        <v>1</v>
      </c>
      <c r="P68" s="86"/>
      <c r="Q68" s="87"/>
      <c r="U68" s="85"/>
      <c r="V68" s="88"/>
      <c r="W68" s="89"/>
      <c r="X68" s="90"/>
      <c r="AA68" s="91"/>
      <c r="AB68" s="62" t="s">
        <v>4058</v>
      </c>
      <c r="AD68" s="33" t="s">
        <v>4266</v>
      </c>
      <c r="AE68" s="33"/>
      <c r="AF68" s="33" t="s">
        <v>4533</v>
      </c>
      <c r="AO68" s="34"/>
      <c r="AP68" s="83"/>
      <c r="AQ68" s="85"/>
      <c r="AR68" s="86"/>
      <c r="AS68" s="87"/>
      <c r="AV68" s="85"/>
      <c r="AW68" s="93"/>
      <c r="AX68" s="94"/>
      <c r="AY68" s="90"/>
      <c r="BB68" s="91"/>
      <c r="BE68" s="34"/>
      <c r="BF68" s="33"/>
    </row>
    <row r="69" spans="1:58" ht="15" customHeight="1">
      <c r="A69" s="33" t="s">
        <v>4037</v>
      </c>
      <c r="B69" s="33" t="s">
        <v>4531</v>
      </c>
      <c r="C69" s="33" t="s">
        <v>57</v>
      </c>
      <c r="D69" s="33">
        <v>68</v>
      </c>
      <c r="E69" s="33">
        <v>1</v>
      </c>
      <c r="G69" s="33" t="s">
        <v>4534</v>
      </c>
      <c r="J69" s="33" t="s">
        <v>27</v>
      </c>
      <c r="K69" s="33" t="s">
        <v>4054</v>
      </c>
      <c r="L69" s="33">
        <v>1</v>
      </c>
      <c r="N69" s="83">
        <v>1</v>
      </c>
      <c r="O69" s="85">
        <v>1</v>
      </c>
      <c r="P69" s="86"/>
      <c r="Q69" s="87">
        <v>1</v>
      </c>
      <c r="U69" s="85"/>
      <c r="V69" s="88"/>
      <c r="W69" s="89"/>
      <c r="X69" s="90"/>
      <c r="AA69" s="91"/>
      <c r="AB69" s="62" t="s">
        <v>4937</v>
      </c>
      <c r="AD69" s="33" t="s">
        <v>4133</v>
      </c>
      <c r="AE69" s="33" t="s">
        <v>4535</v>
      </c>
      <c r="AF69" s="33" t="s">
        <v>4536</v>
      </c>
      <c r="AO69" s="34"/>
      <c r="AP69" s="83"/>
      <c r="AQ69" s="85"/>
      <c r="AR69" s="86"/>
      <c r="AS69" s="87"/>
      <c r="AV69" s="85"/>
      <c r="AW69" s="93"/>
      <c r="AX69" s="94"/>
      <c r="AY69" s="90"/>
      <c r="BB69" s="91"/>
      <c r="BE69" s="34"/>
      <c r="BF69" s="33"/>
    </row>
    <row r="70" spans="1:58" ht="15" customHeight="1">
      <c r="A70" s="33" t="s">
        <v>4037</v>
      </c>
      <c r="B70" s="33" t="s">
        <v>4407</v>
      </c>
      <c r="C70" s="33" t="s">
        <v>57</v>
      </c>
      <c r="D70" s="33">
        <v>69</v>
      </c>
      <c r="E70" s="33">
        <v>1</v>
      </c>
      <c r="G70" s="33" t="s">
        <v>4240</v>
      </c>
      <c r="J70" s="33" t="s">
        <v>27</v>
      </c>
      <c r="K70" s="33" t="s">
        <v>4054</v>
      </c>
      <c r="L70" s="33">
        <v>2</v>
      </c>
      <c r="N70" s="83">
        <v>1</v>
      </c>
      <c r="O70" s="85">
        <v>1</v>
      </c>
      <c r="P70" s="86"/>
      <c r="Q70" s="87"/>
      <c r="R70" s="76">
        <v>1</v>
      </c>
      <c r="U70" s="85"/>
      <c r="V70" s="88"/>
      <c r="W70" s="89"/>
      <c r="X70" s="90"/>
      <c r="AA70" s="91"/>
      <c r="AB70" s="62" t="s">
        <v>4939</v>
      </c>
      <c r="AD70" s="33" t="s">
        <v>4241</v>
      </c>
      <c r="AE70" s="33"/>
      <c r="AF70" s="33" t="s">
        <v>4243</v>
      </c>
      <c r="AO70" s="34"/>
      <c r="AP70" s="83"/>
      <c r="AQ70" s="85"/>
      <c r="AR70" s="86"/>
      <c r="AS70" s="87"/>
      <c r="AV70" s="85"/>
      <c r="AW70" s="93"/>
      <c r="AX70" s="94"/>
      <c r="AY70" s="90"/>
      <c r="BB70" s="91"/>
      <c r="BE70" s="34"/>
      <c r="BF70" s="33"/>
    </row>
    <row r="71" spans="1:58" ht="15" customHeight="1">
      <c r="A71" s="33" t="s">
        <v>4037</v>
      </c>
      <c r="B71" s="33" t="s">
        <v>4537</v>
      </c>
      <c r="C71" s="33" t="s">
        <v>57</v>
      </c>
      <c r="D71" s="33">
        <v>70</v>
      </c>
      <c r="E71" s="33">
        <v>1</v>
      </c>
      <c r="G71" s="33" t="s">
        <v>4538</v>
      </c>
      <c r="J71" s="33" t="s">
        <v>4111</v>
      </c>
      <c r="K71" s="33" t="s">
        <v>4054</v>
      </c>
      <c r="L71" s="33">
        <v>3</v>
      </c>
      <c r="N71" s="83">
        <v>4</v>
      </c>
      <c r="O71" s="85">
        <v>1</v>
      </c>
      <c r="P71" s="86">
        <v>1</v>
      </c>
      <c r="Q71" s="87"/>
      <c r="U71" s="85"/>
      <c r="V71" s="88"/>
      <c r="W71" s="89"/>
      <c r="X71" s="90"/>
      <c r="AA71" s="91"/>
      <c r="AB71" s="62" t="s">
        <v>4946</v>
      </c>
      <c r="AC71" s="33" t="s">
        <v>4112</v>
      </c>
      <c r="AD71" s="33" t="s">
        <v>4123</v>
      </c>
      <c r="AE71" s="33" t="s">
        <v>4539</v>
      </c>
      <c r="AF71" s="33" t="s">
        <v>4540</v>
      </c>
      <c r="AO71" s="34"/>
      <c r="AP71" s="83"/>
      <c r="AQ71" s="85"/>
      <c r="AR71" s="86"/>
      <c r="AS71" s="87"/>
      <c r="AV71" s="85"/>
      <c r="AW71" s="93"/>
      <c r="AX71" s="94"/>
      <c r="AY71" s="90"/>
      <c r="BB71" s="91"/>
      <c r="BE71" s="34"/>
      <c r="BF71" s="33"/>
    </row>
    <row r="72" spans="1:58" ht="15" customHeight="1">
      <c r="A72" s="33" t="s">
        <v>4037</v>
      </c>
      <c r="B72" s="33" t="s">
        <v>4408</v>
      </c>
      <c r="C72" s="33" t="s">
        <v>57</v>
      </c>
      <c r="D72" s="33">
        <v>71</v>
      </c>
      <c r="E72" s="33">
        <v>1</v>
      </c>
      <c r="G72" s="33" t="s">
        <v>4244</v>
      </c>
      <c r="J72" s="33" t="s">
        <v>4111</v>
      </c>
      <c r="K72" s="33" t="s">
        <v>4054</v>
      </c>
      <c r="L72" s="33">
        <v>4</v>
      </c>
      <c r="N72" s="83">
        <v>2</v>
      </c>
      <c r="O72" s="85"/>
      <c r="P72" s="86"/>
      <c r="Q72" s="87"/>
      <c r="S72" s="123">
        <v>1</v>
      </c>
      <c r="U72" s="85"/>
      <c r="V72" s="88"/>
      <c r="W72" s="89"/>
      <c r="X72" s="90"/>
      <c r="AA72" s="91"/>
      <c r="AB72" s="62" t="s">
        <v>4062</v>
      </c>
      <c r="AC72" s="33" t="s">
        <v>4112</v>
      </c>
      <c r="AD72" s="33" t="s">
        <v>4130</v>
      </c>
      <c r="AE72" s="33"/>
      <c r="AF72" s="33" t="s">
        <v>4245</v>
      </c>
      <c r="AO72" s="34"/>
      <c r="AP72" s="83"/>
      <c r="AQ72" s="85"/>
      <c r="AR72" s="86"/>
      <c r="AS72" s="87"/>
      <c r="AV72" s="85"/>
      <c r="AW72" s="93"/>
      <c r="AX72" s="94"/>
      <c r="AY72" s="90"/>
      <c r="BB72" s="91"/>
      <c r="BE72" s="34"/>
      <c r="BF72" s="33"/>
    </row>
    <row r="73" spans="1:58" ht="15" customHeight="1">
      <c r="A73" s="33" t="s">
        <v>4037</v>
      </c>
      <c r="B73" s="33" t="s">
        <v>4409</v>
      </c>
      <c r="C73" s="33" t="s">
        <v>57</v>
      </c>
      <c r="D73" s="33">
        <v>72</v>
      </c>
      <c r="E73" s="33">
        <v>1</v>
      </c>
      <c r="G73" s="33" t="s">
        <v>4246</v>
      </c>
      <c r="J73" s="33" t="s">
        <v>4111</v>
      </c>
      <c r="K73" s="33" t="s">
        <v>4056</v>
      </c>
      <c r="N73" s="83">
        <v>0</v>
      </c>
      <c r="O73" s="85"/>
      <c r="P73" s="86"/>
      <c r="Q73" s="87">
        <v>1</v>
      </c>
      <c r="T73" s="78">
        <v>2</v>
      </c>
      <c r="U73" s="85" t="s">
        <v>38</v>
      </c>
      <c r="V73" s="88"/>
      <c r="W73" s="89"/>
      <c r="X73" s="90"/>
      <c r="AA73" s="91"/>
      <c r="AB73" s="62" t="s">
        <v>4060</v>
      </c>
      <c r="AC73" s="33" t="s">
        <v>4247</v>
      </c>
      <c r="AD73" s="33" t="s">
        <v>4248</v>
      </c>
      <c r="AE73" s="33"/>
      <c r="AO73" s="34"/>
      <c r="AP73" s="83"/>
      <c r="AQ73" s="85"/>
      <c r="AR73" s="86"/>
      <c r="AS73" s="87"/>
      <c r="AV73" s="85"/>
      <c r="AW73" s="93"/>
      <c r="AX73" s="94"/>
      <c r="AY73" s="90"/>
      <c r="BB73" s="91"/>
      <c r="BE73" s="34"/>
      <c r="BF73" s="33"/>
    </row>
    <row r="74" spans="1:58" ht="15" customHeight="1">
      <c r="A74" s="33" t="s">
        <v>4037</v>
      </c>
      <c r="B74" s="33" t="s">
        <v>4410</v>
      </c>
      <c r="C74" s="33" t="s">
        <v>57</v>
      </c>
      <c r="D74" s="33">
        <v>73</v>
      </c>
      <c r="E74" s="33">
        <v>1</v>
      </c>
      <c r="G74" s="33" t="s">
        <v>4249</v>
      </c>
      <c r="J74" s="33" t="s">
        <v>4111</v>
      </c>
      <c r="K74" s="33" t="s">
        <v>4056</v>
      </c>
      <c r="N74" s="83">
        <v>1</v>
      </c>
      <c r="O74" s="85"/>
      <c r="P74" s="86">
        <v>1</v>
      </c>
      <c r="Q74" s="87"/>
      <c r="U74" s="85"/>
      <c r="V74" s="88"/>
      <c r="W74" s="89"/>
      <c r="X74" s="90"/>
      <c r="AA74" s="91"/>
      <c r="AB74" s="62" t="s">
        <v>4059</v>
      </c>
      <c r="AD74" s="33" t="s">
        <v>4143</v>
      </c>
      <c r="AE74" s="33"/>
      <c r="AF74" s="33" t="s">
        <v>4250</v>
      </c>
      <c r="AO74" s="34"/>
      <c r="AP74" s="83"/>
      <c r="AQ74" s="85"/>
      <c r="AR74" s="86"/>
      <c r="AS74" s="87"/>
      <c r="AV74" s="85"/>
      <c r="AW74" s="93"/>
      <c r="AX74" s="94"/>
      <c r="AY74" s="90"/>
      <c r="BB74" s="91"/>
      <c r="BE74" s="34"/>
      <c r="BF74" s="33"/>
    </row>
    <row r="75" spans="1:58" ht="15" customHeight="1">
      <c r="A75" s="33" t="s">
        <v>4037</v>
      </c>
      <c r="B75" s="33" t="s">
        <v>4411</v>
      </c>
      <c r="C75" s="33" t="s">
        <v>57</v>
      </c>
      <c r="D75" s="33">
        <v>74</v>
      </c>
      <c r="E75" s="33">
        <v>1</v>
      </c>
      <c r="G75" s="33" t="s">
        <v>4251</v>
      </c>
      <c r="J75" s="33" t="s">
        <v>4111</v>
      </c>
      <c r="K75" s="33" t="s">
        <v>4056</v>
      </c>
      <c r="N75" s="83">
        <v>2</v>
      </c>
      <c r="O75" s="85"/>
      <c r="P75" s="86"/>
      <c r="Q75" s="87">
        <v>1</v>
      </c>
      <c r="U75" s="85"/>
      <c r="V75" s="88"/>
      <c r="W75" s="89"/>
      <c r="X75" s="90"/>
      <c r="AA75" s="91"/>
      <c r="AB75" s="62" t="s">
        <v>4060</v>
      </c>
      <c r="AC75" s="33" t="s">
        <v>4176</v>
      </c>
      <c r="AD75" s="33" t="s">
        <v>4152</v>
      </c>
      <c r="AE75" s="33"/>
      <c r="AF75" s="33" t="s">
        <v>4252</v>
      </c>
      <c r="AO75" s="34"/>
      <c r="AP75" s="83"/>
      <c r="AQ75" s="85"/>
      <c r="AR75" s="86"/>
      <c r="AS75" s="87"/>
      <c r="AV75" s="85"/>
      <c r="AW75" s="93"/>
      <c r="AX75" s="94"/>
      <c r="AY75" s="90"/>
      <c r="BB75" s="91"/>
      <c r="BE75" s="34"/>
      <c r="BF75" s="33"/>
    </row>
    <row r="76" spans="1:58" ht="15" customHeight="1">
      <c r="A76" s="33" t="s">
        <v>4037</v>
      </c>
      <c r="B76" s="33" t="s">
        <v>4412</v>
      </c>
      <c r="C76" s="33" t="s">
        <v>57</v>
      </c>
      <c r="D76" s="33">
        <v>75</v>
      </c>
      <c r="E76" s="33">
        <v>1</v>
      </c>
      <c r="G76" s="33" t="s">
        <v>4253</v>
      </c>
      <c r="J76" s="33" t="s">
        <v>4111</v>
      </c>
      <c r="K76" s="33" t="s">
        <v>4056</v>
      </c>
      <c r="N76" s="83">
        <v>1</v>
      </c>
      <c r="O76" s="85"/>
      <c r="P76" s="86"/>
      <c r="Q76" s="87"/>
      <c r="S76" s="123">
        <v>1</v>
      </c>
      <c r="U76" s="85"/>
      <c r="V76" s="88"/>
      <c r="W76" s="89"/>
      <c r="X76" s="90"/>
      <c r="AA76" s="91"/>
      <c r="AB76" s="62" t="s">
        <v>4062</v>
      </c>
      <c r="AC76" s="33" t="s">
        <v>4129</v>
      </c>
      <c r="AD76" s="33" t="s">
        <v>4229</v>
      </c>
      <c r="AE76" s="33"/>
      <c r="AF76" s="33" t="s">
        <v>4254</v>
      </c>
      <c r="AO76" s="34"/>
      <c r="AP76" s="83"/>
      <c r="AQ76" s="85"/>
      <c r="AR76" s="86"/>
      <c r="AS76" s="87"/>
      <c r="AV76" s="85"/>
      <c r="AW76" s="93"/>
      <c r="AX76" s="94"/>
      <c r="AY76" s="90"/>
      <c r="BB76" s="91"/>
      <c r="BE76" s="34"/>
      <c r="BF76" s="33"/>
    </row>
    <row r="77" spans="1:58" ht="15" customHeight="1">
      <c r="A77" s="33" t="s">
        <v>4037</v>
      </c>
      <c r="B77" s="33" t="s">
        <v>4413</v>
      </c>
      <c r="C77" s="33" t="s">
        <v>57</v>
      </c>
      <c r="D77" s="33">
        <v>76</v>
      </c>
      <c r="E77" s="33">
        <v>1</v>
      </c>
      <c r="G77" s="33" t="s">
        <v>4255</v>
      </c>
      <c r="J77" s="33" t="s">
        <v>4111</v>
      </c>
      <c r="K77" s="33" t="s">
        <v>4056</v>
      </c>
      <c r="N77" s="83">
        <v>1</v>
      </c>
      <c r="O77" s="85"/>
      <c r="P77" s="86"/>
      <c r="Q77" s="87"/>
      <c r="R77" s="76">
        <v>1</v>
      </c>
      <c r="T77" s="78">
        <v>1</v>
      </c>
      <c r="U77" s="85" t="s">
        <v>38</v>
      </c>
      <c r="V77" s="88"/>
      <c r="W77" s="89"/>
      <c r="X77" s="90"/>
      <c r="AA77" s="91"/>
      <c r="AB77" s="62" t="s">
        <v>4061</v>
      </c>
      <c r="AC77" s="33" t="s">
        <v>25</v>
      </c>
      <c r="AD77" s="33" t="s">
        <v>4155</v>
      </c>
      <c r="AE77" s="33"/>
      <c r="AF77" s="33" t="s">
        <v>4256</v>
      </c>
      <c r="AO77" s="34"/>
      <c r="AP77" s="83"/>
      <c r="AQ77" s="85"/>
      <c r="AR77" s="86"/>
      <c r="AS77" s="87"/>
      <c r="AV77" s="85"/>
      <c r="AW77" s="93"/>
      <c r="AX77" s="94"/>
      <c r="AY77" s="90"/>
      <c r="BB77" s="91"/>
      <c r="BE77" s="34"/>
      <c r="BF77" s="33"/>
    </row>
    <row r="78" spans="1:58" ht="15" customHeight="1">
      <c r="A78" s="33" t="s">
        <v>4037</v>
      </c>
      <c r="B78" s="33" t="s">
        <v>4414</v>
      </c>
      <c r="C78" s="33" t="s">
        <v>57</v>
      </c>
      <c r="D78" s="33">
        <v>77</v>
      </c>
      <c r="E78" s="33">
        <v>1</v>
      </c>
      <c r="G78" s="33" t="s">
        <v>4257</v>
      </c>
      <c r="J78" s="33" t="s">
        <v>4111</v>
      </c>
      <c r="K78" s="33" t="s">
        <v>4056</v>
      </c>
      <c r="N78" s="83">
        <v>2</v>
      </c>
      <c r="O78" s="85">
        <v>1</v>
      </c>
      <c r="P78" s="86"/>
      <c r="Q78" s="87"/>
      <c r="R78" s="76">
        <v>1</v>
      </c>
      <c r="U78" s="85"/>
      <c r="V78" s="88"/>
      <c r="W78" s="89"/>
      <c r="X78" s="90"/>
      <c r="AA78" s="91"/>
      <c r="AB78" s="62" t="s">
        <v>4939</v>
      </c>
      <c r="AD78" s="33" t="s">
        <v>4143</v>
      </c>
      <c r="AE78" s="33"/>
      <c r="AF78" s="33" t="s">
        <v>4258</v>
      </c>
      <c r="AO78" s="34"/>
      <c r="AP78" s="83"/>
      <c r="AQ78" s="85"/>
      <c r="AR78" s="86"/>
      <c r="AS78" s="87"/>
      <c r="AV78" s="85"/>
      <c r="AW78" s="93"/>
      <c r="AX78" s="94"/>
      <c r="AY78" s="90"/>
      <c r="BB78" s="91"/>
      <c r="BE78" s="34"/>
      <c r="BF78" s="33"/>
    </row>
    <row r="79" spans="1:58" ht="15" customHeight="1">
      <c r="A79" s="33" t="s">
        <v>4037</v>
      </c>
      <c r="B79" s="33" t="s">
        <v>4415</v>
      </c>
      <c r="C79" s="33" t="s">
        <v>57</v>
      </c>
      <c r="D79" s="33">
        <v>78</v>
      </c>
      <c r="E79" s="33">
        <v>1</v>
      </c>
      <c r="G79" s="33" t="s">
        <v>4259</v>
      </c>
      <c r="J79" s="33" t="s">
        <v>27</v>
      </c>
      <c r="K79" s="33" t="s">
        <v>4056</v>
      </c>
      <c r="N79" s="83">
        <v>5</v>
      </c>
      <c r="O79" s="85">
        <v>1</v>
      </c>
      <c r="P79" s="86"/>
      <c r="Q79" s="87"/>
      <c r="S79" s="123">
        <v>1</v>
      </c>
      <c r="U79" s="85"/>
      <c r="V79" s="88"/>
      <c r="W79" s="89"/>
      <c r="X79" s="90"/>
      <c r="AA79" s="91"/>
      <c r="AB79" s="62" t="s">
        <v>4940</v>
      </c>
      <c r="AD79" s="33" t="s">
        <v>4161</v>
      </c>
      <c r="AE79" s="33"/>
      <c r="AF79" s="33" t="s">
        <v>4260</v>
      </c>
      <c r="AO79" s="34"/>
      <c r="AP79" s="83"/>
      <c r="AQ79" s="85"/>
      <c r="AR79" s="86"/>
      <c r="AS79" s="87"/>
      <c r="AV79" s="85"/>
      <c r="AW79" s="93"/>
      <c r="AX79" s="94"/>
      <c r="AY79" s="90"/>
      <c r="BB79" s="91"/>
      <c r="BE79" s="34"/>
      <c r="BF79" s="33"/>
    </row>
    <row r="80" spans="1:58" ht="15" customHeight="1">
      <c r="A80" s="33" t="s">
        <v>4037</v>
      </c>
      <c r="B80" s="33" t="s">
        <v>4416</v>
      </c>
      <c r="C80" s="33" t="s">
        <v>57</v>
      </c>
      <c r="D80" s="33">
        <v>79</v>
      </c>
      <c r="E80" s="33">
        <v>1</v>
      </c>
      <c r="G80" s="33" t="s">
        <v>4261</v>
      </c>
      <c r="J80" s="33" t="s">
        <v>27</v>
      </c>
      <c r="K80" s="33" t="s">
        <v>4056</v>
      </c>
      <c r="N80" s="83">
        <v>2</v>
      </c>
      <c r="O80" s="85"/>
      <c r="P80" s="86">
        <v>2</v>
      </c>
      <c r="Q80" s="87"/>
      <c r="U80" s="85"/>
      <c r="V80" s="88"/>
      <c r="W80" s="89"/>
      <c r="X80" s="90"/>
      <c r="AA80" s="91"/>
      <c r="AB80" s="62" t="s">
        <v>4938</v>
      </c>
      <c r="AD80" s="33" t="s">
        <v>4226</v>
      </c>
      <c r="AE80" s="33"/>
      <c r="AF80" s="33" t="s">
        <v>4262</v>
      </c>
      <c r="AO80" s="34"/>
      <c r="AP80" s="83"/>
      <c r="AQ80" s="85"/>
      <c r="AR80" s="86"/>
      <c r="AS80" s="87"/>
      <c r="AV80" s="85"/>
      <c r="AW80" s="93"/>
      <c r="AX80" s="94"/>
      <c r="AY80" s="90"/>
      <c r="BB80" s="91"/>
      <c r="BE80" s="34"/>
      <c r="BF80" s="33"/>
    </row>
    <row r="81" spans="1:58" ht="15" customHeight="1">
      <c r="A81" s="33" t="s">
        <v>4037</v>
      </c>
      <c r="B81" s="33" t="s">
        <v>4417</v>
      </c>
      <c r="C81" s="33" t="s">
        <v>57</v>
      </c>
      <c r="D81" s="33">
        <v>80</v>
      </c>
      <c r="E81" s="33">
        <v>1</v>
      </c>
      <c r="G81" s="33" t="s">
        <v>4263</v>
      </c>
      <c r="J81" s="33" t="s">
        <v>27</v>
      </c>
      <c r="K81" s="33" t="s">
        <v>4056</v>
      </c>
      <c r="N81" s="83">
        <v>1</v>
      </c>
      <c r="O81" s="85"/>
      <c r="P81" s="86"/>
      <c r="Q81" s="87"/>
      <c r="U81" s="85"/>
      <c r="V81" s="88"/>
      <c r="W81" s="89"/>
      <c r="X81" s="90"/>
      <c r="AA81" s="91"/>
      <c r="AB81" s="52"/>
      <c r="AD81" s="33" t="s">
        <v>4226</v>
      </c>
      <c r="AE81" s="33"/>
      <c r="AF81" s="33" t="s">
        <v>4264</v>
      </c>
      <c r="AO81" s="34"/>
      <c r="AP81" s="83"/>
      <c r="AQ81" s="85"/>
      <c r="AR81" s="86"/>
      <c r="AS81" s="87"/>
      <c r="AV81" s="85"/>
      <c r="AW81" s="93"/>
      <c r="AX81" s="94"/>
      <c r="AY81" s="90"/>
      <c r="BB81" s="91"/>
      <c r="BE81" s="34"/>
      <c r="BF81" s="33"/>
    </row>
    <row r="82" spans="1:58" ht="15" customHeight="1">
      <c r="A82" s="33" t="s">
        <v>4037</v>
      </c>
      <c r="B82" s="33" t="s">
        <v>4418</v>
      </c>
      <c r="C82" s="33" t="s">
        <v>57</v>
      </c>
      <c r="D82" s="33">
        <v>81</v>
      </c>
      <c r="E82" s="33">
        <v>1</v>
      </c>
      <c r="G82" s="33" t="s">
        <v>4265</v>
      </c>
      <c r="J82" s="33" t="s">
        <v>4166</v>
      </c>
      <c r="K82" s="33" t="s">
        <v>4056</v>
      </c>
      <c r="N82" s="83"/>
      <c r="O82" s="85"/>
      <c r="P82" s="86"/>
      <c r="Q82" s="87"/>
      <c r="R82" s="76">
        <v>1</v>
      </c>
      <c r="U82" s="85"/>
      <c r="V82" s="88"/>
      <c r="W82" s="89"/>
      <c r="X82" s="90"/>
      <c r="AA82" s="91"/>
      <c r="AB82" s="62" t="s">
        <v>4061</v>
      </c>
      <c r="AD82" s="33" t="s">
        <v>4266</v>
      </c>
      <c r="AE82" s="33"/>
      <c r="AF82" s="33" t="s">
        <v>4267</v>
      </c>
      <c r="AO82" s="34"/>
      <c r="AP82" s="83"/>
      <c r="AQ82" s="85"/>
      <c r="AR82" s="86"/>
      <c r="AS82" s="87"/>
      <c r="AV82" s="85"/>
      <c r="AW82" s="93"/>
      <c r="AX82" s="94"/>
      <c r="AY82" s="90"/>
      <c r="BB82" s="91"/>
      <c r="BE82" s="34"/>
      <c r="BF82" s="33"/>
    </row>
    <row r="83" spans="1:58" ht="15" customHeight="1">
      <c r="A83" s="33" t="s">
        <v>4037</v>
      </c>
      <c r="B83" s="33" t="s">
        <v>4541</v>
      </c>
      <c r="C83" s="33" t="s">
        <v>57</v>
      </c>
      <c r="D83" s="33">
        <v>82</v>
      </c>
      <c r="E83" s="33">
        <v>1</v>
      </c>
      <c r="G83" s="33" t="s">
        <v>4542</v>
      </c>
      <c r="H83" s="33" t="s">
        <v>4543</v>
      </c>
      <c r="I83" s="33" t="s">
        <v>4077</v>
      </c>
      <c r="J83" s="33" t="s">
        <v>4111</v>
      </c>
      <c r="K83" s="33" t="s">
        <v>4056</v>
      </c>
      <c r="L83" s="33">
        <v>1</v>
      </c>
      <c r="N83" s="83">
        <v>5</v>
      </c>
      <c r="O83" s="85">
        <v>1</v>
      </c>
      <c r="P83" s="86"/>
      <c r="Q83" s="87"/>
      <c r="T83" s="78">
        <v>1</v>
      </c>
      <c r="U83" s="85">
        <v>4</v>
      </c>
      <c r="V83" s="88"/>
      <c r="W83" s="89"/>
      <c r="X83" s="90"/>
      <c r="AA83" s="91"/>
      <c r="AB83" s="62" t="s">
        <v>4058</v>
      </c>
      <c r="AC83" s="33" t="s">
        <v>25</v>
      </c>
      <c r="AD83" s="33" t="s">
        <v>4312</v>
      </c>
      <c r="AE83" s="33"/>
      <c r="AF83" s="33" t="s">
        <v>4544</v>
      </c>
      <c r="AO83" s="34"/>
      <c r="AP83" s="83"/>
      <c r="AQ83" s="85"/>
      <c r="AR83" s="86"/>
      <c r="AS83" s="87"/>
      <c r="AV83" s="85"/>
      <c r="AW83" s="93"/>
      <c r="AX83" s="94"/>
      <c r="AY83" s="90"/>
      <c r="BB83" s="91"/>
      <c r="BE83" s="34"/>
      <c r="BF83" s="33"/>
    </row>
    <row r="84" spans="1:58" ht="15" customHeight="1">
      <c r="A84" s="33" t="s">
        <v>4037</v>
      </c>
      <c r="B84" s="33" t="s">
        <v>4419</v>
      </c>
      <c r="C84" s="33" t="s">
        <v>57</v>
      </c>
      <c r="D84" s="33">
        <v>83</v>
      </c>
      <c r="E84" s="33">
        <v>1</v>
      </c>
      <c r="G84" s="33" t="s">
        <v>4268</v>
      </c>
      <c r="J84" s="33" t="s">
        <v>27</v>
      </c>
      <c r="K84" s="33" t="s">
        <v>4056</v>
      </c>
      <c r="L84" s="33">
        <v>2</v>
      </c>
      <c r="N84" s="83">
        <v>2</v>
      </c>
      <c r="O84" s="85"/>
      <c r="P84" s="86"/>
      <c r="Q84" s="87">
        <v>1</v>
      </c>
      <c r="R84" s="76">
        <v>1</v>
      </c>
      <c r="U84" s="85"/>
      <c r="V84" s="88"/>
      <c r="W84" s="89"/>
      <c r="X84" s="90"/>
      <c r="AA84" s="91"/>
      <c r="AB84" s="62" t="s">
        <v>4941</v>
      </c>
      <c r="AD84" s="33" t="s">
        <v>4226</v>
      </c>
      <c r="AE84" s="33"/>
      <c r="AF84" s="33" t="s">
        <v>4269</v>
      </c>
      <c r="AO84" s="34"/>
      <c r="AP84" s="83"/>
      <c r="AQ84" s="85"/>
      <c r="AR84" s="86"/>
      <c r="AS84" s="87"/>
      <c r="AV84" s="85"/>
      <c r="AW84" s="93"/>
      <c r="AX84" s="94"/>
      <c r="AY84" s="90"/>
      <c r="BB84" s="91"/>
      <c r="BE84" s="34"/>
      <c r="BF84" s="33"/>
    </row>
    <row r="85" spans="1:58" ht="15" customHeight="1">
      <c r="A85" s="33" t="s">
        <v>4037</v>
      </c>
      <c r="B85" s="33" t="s">
        <v>4420</v>
      </c>
      <c r="C85" s="33" t="s">
        <v>57</v>
      </c>
      <c r="D85" s="33">
        <v>84</v>
      </c>
      <c r="E85" s="33">
        <v>1</v>
      </c>
      <c r="G85" s="33" t="s">
        <v>4263</v>
      </c>
      <c r="J85" s="33" t="s">
        <v>27</v>
      </c>
      <c r="K85" s="33" t="s">
        <v>4056</v>
      </c>
      <c r="L85" s="33">
        <v>2</v>
      </c>
      <c r="N85" s="83">
        <v>1</v>
      </c>
      <c r="O85" s="85"/>
      <c r="P85" s="86"/>
      <c r="Q85" s="87"/>
      <c r="U85" s="85"/>
      <c r="V85" s="88"/>
      <c r="W85" s="89"/>
      <c r="X85" s="90"/>
      <c r="AA85" s="91"/>
      <c r="AB85" s="52"/>
      <c r="AD85" s="33" t="s">
        <v>4226</v>
      </c>
      <c r="AE85" s="33"/>
      <c r="AF85" s="33" t="s">
        <v>4270</v>
      </c>
      <c r="AO85" s="34"/>
      <c r="AP85" s="83"/>
      <c r="AQ85" s="85"/>
      <c r="AR85" s="86"/>
      <c r="AS85" s="87"/>
      <c r="AV85" s="85"/>
      <c r="AW85" s="93"/>
      <c r="AX85" s="94"/>
      <c r="AY85" s="90"/>
      <c r="BB85" s="91"/>
      <c r="BE85" s="34"/>
      <c r="BF85" s="33"/>
    </row>
    <row r="86" spans="1:58" ht="15" customHeight="1">
      <c r="A86" s="33" t="s">
        <v>4037</v>
      </c>
      <c r="B86" s="33" t="s">
        <v>4421</v>
      </c>
      <c r="C86" s="33" t="s">
        <v>57</v>
      </c>
      <c r="D86" s="33">
        <v>85</v>
      </c>
      <c r="E86" s="33">
        <v>1</v>
      </c>
      <c r="G86" s="33" t="s">
        <v>4271</v>
      </c>
      <c r="J86" s="33" t="s">
        <v>27</v>
      </c>
      <c r="K86" s="33" t="s">
        <v>4056</v>
      </c>
      <c r="L86" s="33">
        <v>3</v>
      </c>
      <c r="N86" s="83">
        <v>2</v>
      </c>
      <c r="O86" s="85"/>
      <c r="P86" s="86"/>
      <c r="Q86" s="87">
        <v>1</v>
      </c>
      <c r="S86" s="123">
        <v>1</v>
      </c>
      <c r="U86" s="85"/>
      <c r="V86" s="88"/>
      <c r="W86" s="89"/>
      <c r="X86" s="90"/>
      <c r="AA86" s="91"/>
      <c r="AB86" s="62" t="s">
        <v>4947</v>
      </c>
      <c r="AD86" s="33" t="s">
        <v>5659</v>
      </c>
      <c r="AE86" s="33"/>
      <c r="AF86" s="33" t="s">
        <v>4272</v>
      </c>
      <c r="AO86" s="34"/>
      <c r="AP86" s="83"/>
      <c r="AQ86" s="85"/>
      <c r="AR86" s="86"/>
      <c r="AS86" s="87"/>
      <c r="AV86" s="85"/>
      <c r="AW86" s="93"/>
      <c r="AX86" s="94"/>
      <c r="AY86" s="90"/>
      <c r="BB86" s="91"/>
      <c r="BE86" s="34"/>
      <c r="BF86" s="33"/>
    </row>
    <row r="87" spans="1:58" ht="15" customHeight="1">
      <c r="A87" s="33" t="s">
        <v>4037</v>
      </c>
      <c r="B87" s="33" t="s">
        <v>4422</v>
      </c>
      <c r="C87" s="33" t="s">
        <v>57</v>
      </c>
      <c r="D87" s="33">
        <v>86</v>
      </c>
      <c r="E87" s="33">
        <v>4</v>
      </c>
      <c r="G87" s="33" t="s">
        <v>4273</v>
      </c>
      <c r="J87" s="33" t="s">
        <v>4111</v>
      </c>
      <c r="K87" s="33" t="s">
        <v>26</v>
      </c>
      <c r="N87" s="83">
        <v>1</v>
      </c>
      <c r="O87" s="85"/>
      <c r="P87" s="86"/>
      <c r="Q87" s="87">
        <v>1</v>
      </c>
      <c r="U87" s="85"/>
      <c r="V87" s="88"/>
      <c r="W87" s="89"/>
      <c r="X87" s="90"/>
      <c r="AA87" s="91"/>
      <c r="AB87" s="62" t="s">
        <v>4060</v>
      </c>
      <c r="AC87" s="33" t="s">
        <v>4112</v>
      </c>
      <c r="AD87" s="33" t="s">
        <v>4152</v>
      </c>
      <c r="AE87" s="33"/>
      <c r="AF87" s="33" t="s">
        <v>4274</v>
      </c>
      <c r="AO87" s="34"/>
      <c r="AP87" s="83"/>
      <c r="AQ87" s="85"/>
      <c r="AR87" s="86"/>
      <c r="AS87" s="87"/>
      <c r="AV87" s="85"/>
      <c r="AW87" s="93"/>
      <c r="AX87" s="94"/>
      <c r="AY87" s="90"/>
      <c r="BB87" s="91"/>
      <c r="BE87" s="34"/>
      <c r="BF87" s="33"/>
    </row>
    <row r="88" spans="1:58" ht="15" customHeight="1">
      <c r="A88" s="33" t="s">
        <v>4037</v>
      </c>
      <c r="B88" s="33" t="s">
        <v>4423</v>
      </c>
      <c r="C88" s="33" t="s">
        <v>57</v>
      </c>
      <c r="D88" s="33">
        <v>87</v>
      </c>
      <c r="E88" s="33">
        <v>4</v>
      </c>
      <c r="G88" s="33" t="s">
        <v>4275</v>
      </c>
      <c r="J88" s="33" t="s">
        <v>4111</v>
      </c>
      <c r="K88" s="33" t="s">
        <v>26</v>
      </c>
      <c r="N88" s="83">
        <v>2</v>
      </c>
      <c r="O88" s="85"/>
      <c r="P88" s="86">
        <v>1</v>
      </c>
      <c r="Q88" s="87"/>
      <c r="U88" s="85"/>
      <c r="V88" s="88"/>
      <c r="W88" s="89"/>
      <c r="X88" s="90"/>
      <c r="AA88" s="91"/>
      <c r="AB88" s="62" t="s">
        <v>4059</v>
      </c>
      <c r="AC88" s="33" t="s">
        <v>4112</v>
      </c>
      <c r="AD88" s="33" t="s">
        <v>4179</v>
      </c>
      <c r="AE88" s="33"/>
      <c r="AF88" s="33" t="s">
        <v>4276</v>
      </c>
      <c r="AO88" s="34"/>
      <c r="AP88" s="83"/>
      <c r="AQ88" s="85"/>
      <c r="AR88" s="86"/>
      <c r="AS88" s="87"/>
      <c r="AV88" s="85"/>
      <c r="AW88" s="93"/>
      <c r="AX88" s="94"/>
      <c r="AY88" s="90"/>
      <c r="BB88" s="91"/>
      <c r="BE88" s="34"/>
      <c r="BF88" s="33"/>
    </row>
    <row r="89" spans="1:58" ht="15" customHeight="1">
      <c r="A89" s="33" t="s">
        <v>4037</v>
      </c>
      <c r="B89" s="33" t="s">
        <v>4424</v>
      </c>
      <c r="C89" s="33" t="s">
        <v>57</v>
      </c>
      <c r="D89" s="33">
        <v>88</v>
      </c>
      <c r="E89" s="33">
        <v>4</v>
      </c>
      <c r="G89" s="33" t="s">
        <v>4277</v>
      </c>
      <c r="J89" s="33" t="s">
        <v>27</v>
      </c>
      <c r="K89" s="33" t="s">
        <v>26</v>
      </c>
      <c r="N89" s="83">
        <v>0</v>
      </c>
      <c r="O89" s="85"/>
      <c r="P89" s="86"/>
      <c r="Q89" s="87"/>
      <c r="U89" s="85"/>
      <c r="V89" s="88"/>
      <c r="W89" s="89"/>
      <c r="X89" s="90"/>
      <c r="AA89" s="91"/>
      <c r="AB89" s="52"/>
      <c r="AD89" s="33" t="s">
        <v>4170</v>
      </c>
      <c r="AE89" s="33"/>
      <c r="AF89" s="33" t="s">
        <v>4278</v>
      </c>
      <c r="AO89" s="34"/>
      <c r="AP89" s="83"/>
      <c r="AQ89" s="85"/>
      <c r="AR89" s="86"/>
      <c r="AS89" s="87"/>
      <c r="AV89" s="85"/>
      <c r="AW89" s="93"/>
      <c r="AX89" s="94"/>
      <c r="AY89" s="90"/>
      <c r="BB89" s="91"/>
      <c r="BE89" s="34"/>
      <c r="BF89" s="33"/>
    </row>
    <row r="90" spans="1:58" ht="15" customHeight="1">
      <c r="A90" s="33" t="s">
        <v>4037</v>
      </c>
      <c r="B90" s="33" t="s">
        <v>4425</v>
      </c>
      <c r="C90" s="33" t="s">
        <v>57</v>
      </c>
      <c r="D90" s="33">
        <v>89</v>
      </c>
      <c r="E90" s="33">
        <v>2</v>
      </c>
      <c r="G90" s="33" t="s">
        <v>4279</v>
      </c>
      <c r="J90" s="33" t="s">
        <v>4166</v>
      </c>
      <c r="K90" s="33" t="s">
        <v>26</v>
      </c>
      <c r="N90" s="83"/>
      <c r="O90" s="85">
        <v>2</v>
      </c>
      <c r="P90" s="86"/>
      <c r="Q90" s="87"/>
      <c r="U90" s="85"/>
      <c r="V90" s="88"/>
      <c r="W90" s="89"/>
      <c r="X90" s="90"/>
      <c r="AA90" s="91"/>
      <c r="AB90" s="62" t="s">
        <v>4948</v>
      </c>
      <c r="AD90" s="33" t="s">
        <v>4266</v>
      </c>
      <c r="AE90" s="33"/>
      <c r="AF90" s="33" t="s">
        <v>4280</v>
      </c>
      <c r="AO90" s="34"/>
      <c r="AP90" s="83"/>
      <c r="AQ90" s="85"/>
      <c r="AR90" s="86"/>
      <c r="AS90" s="87"/>
      <c r="AV90" s="85"/>
      <c r="AW90" s="93"/>
      <c r="AX90" s="94"/>
      <c r="AY90" s="90"/>
      <c r="BB90" s="91"/>
      <c r="BE90" s="34"/>
      <c r="BF90" s="33"/>
    </row>
    <row r="91" spans="1:58" ht="15" customHeight="1">
      <c r="A91" s="33" t="s">
        <v>4037</v>
      </c>
      <c r="B91" s="33" t="s">
        <v>4426</v>
      </c>
      <c r="C91" s="33" t="s">
        <v>57</v>
      </c>
      <c r="D91" s="33">
        <v>90</v>
      </c>
      <c r="E91" s="33">
        <v>2</v>
      </c>
      <c r="G91" s="33" t="s">
        <v>4281</v>
      </c>
      <c r="J91" s="33" t="s">
        <v>4166</v>
      </c>
      <c r="K91" s="33" t="s">
        <v>26</v>
      </c>
      <c r="N91" s="83"/>
      <c r="O91" s="85"/>
      <c r="P91" s="86">
        <v>2</v>
      </c>
      <c r="Q91" s="87"/>
      <c r="U91" s="85"/>
      <c r="V91" s="88"/>
      <c r="W91" s="89"/>
      <c r="X91" s="90"/>
      <c r="AA91" s="91"/>
      <c r="AB91" s="62" t="s">
        <v>4938</v>
      </c>
      <c r="AD91" s="33" t="s">
        <v>4167</v>
      </c>
      <c r="AE91" s="33"/>
      <c r="AF91" s="33" t="s">
        <v>4280</v>
      </c>
      <c r="AO91" s="34"/>
      <c r="AP91" s="83"/>
      <c r="AQ91" s="85"/>
      <c r="AR91" s="86"/>
      <c r="AS91" s="87"/>
      <c r="AV91" s="85"/>
      <c r="AW91" s="93"/>
      <c r="AX91" s="94"/>
      <c r="AY91" s="90"/>
      <c r="BB91" s="91"/>
      <c r="BE91" s="34"/>
      <c r="BF91" s="33"/>
    </row>
    <row r="92" spans="1:58" ht="15" customHeight="1">
      <c r="A92" s="33" t="s">
        <v>4037</v>
      </c>
      <c r="B92" s="33" t="s">
        <v>4427</v>
      </c>
      <c r="C92" s="33" t="s">
        <v>57</v>
      </c>
      <c r="D92" s="33">
        <v>91</v>
      </c>
      <c r="E92" s="33">
        <v>2</v>
      </c>
      <c r="G92" s="33" t="s">
        <v>4282</v>
      </c>
      <c r="J92" s="33" t="s">
        <v>4166</v>
      </c>
      <c r="K92" s="33" t="s">
        <v>26</v>
      </c>
      <c r="N92" s="83"/>
      <c r="O92" s="85"/>
      <c r="P92" s="86"/>
      <c r="Q92" s="87">
        <v>2</v>
      </c>
      <c r="U92" s="85"/>
      <c r="V92" s="88"/>
      <c r="W92" s="89"/>
      <c r="X92" s="90"/>
      <c r="AA92" s="91"/>
      <c r="AB92" s="62" t="s">
        <v>4942</v>
      </c>
      <c r="AD92" s="33" t="s">
        <v>4167</v>
      </c>
      <c r="AE92" s="33"/>
      <c r="AF92" s="33" t="s">
        <v>4280</v>
      </c>
      <c r="AO92" s="34"/>
      <c r="AP92" s="83"/>
      <c r="AQ92" s="85"/>
      <c r="AR92" s="86"/>
      <c r="AS92" s="87"/>
      <c r="AV92" s="85"/>
      <c r="AW92" s="93"/>
      <c r="AX92" s="94"/>
      <c r="AY92" s="90"/>
      <c r="BB92" s="91"/>
      <c r="BE92" s="34"/>
      <c r="BF92" s="33"/>
    </row>
    <row r="93" spans="1:58" ht="15" customHeight="1">
      <c r="A93" s="33" t="s">
        <v>4037</v>
      </c>
      <c r="B93" s="33" t="s">
        <v>4428</v>
      </c>
      <c r="C93" s="33" t="s">
        <v>57</v>
      </c>
      <c r="D93" s="33">
        <v>92</v>
      </c>
      <c r="E93" s="33">
        <v>2</v>
      </c>
      <c r="G93" s="33" t="s">
        <v>4283</v>
      </c>
      <c r="J93" s="33" t="s">
        <v>4166</v>
      </c>
      <c r="K93" s="33" t="s">
        <v>26</v>
      </c>
      <c r="N93" s="83"/>
      <c r="O93" s="85"/>
      <c r="P93" s="86"/>
      <c r="Q93" s="87"/>
      <c r="R93" s="76">
        <v>2</v>
      </c>
      <c r="U93" s="85"/>
      <c r="V93" s="88"/>
      <c r="W93" s="89"/>
      <c r="X93" s="90"/>
      <c r="AA93" s="91"/>
      <c r="AB93" s="62" t="s">
        <v>4949</v>
      </c>
      <c r="AD93" s="33" t="s">
        <v>4266</v>
      </c>
      <c r="AE93" s="33"/>
      <c r="AF93" s="33" t="s">
        <v>4280</v>
      </c>
      <c r="AO93" s="34"/>
      <c r="AP93" s="83"/>
      <c r="AQ93" s="85"/>
      <c r="AR93" s="86"/>
      <c r="AS93" s="87"/>
      <c r="AV93" s="85"/>
      <c r="AW93" s="93"/>
      <c r="AX93" s="94"/>
      <c r="AY93" s="90"/>
      <c r="BB93" s="91"/>
      <c r="BE93" s="34"/>
      <c r="BF93" s="33"/>
    </row>
    <row r="94" spans="1:58" ht="15" customHeight="1">
      <c r="A94" s="33" t="s">
        <v>4037</v>
      </c>
      <c r="B94" s="33" t="s">
        <v>4429</v>
      </c>
      <c r="C94" s="33" t="s">
        <v>57</v>
      </c>
      <c r="D94" s="33">
        <v>93</v>
      </c>
      <c r="E94" s="33">
        <v>2</v>
      </c>
      <c r="G94" s="33" t="s">
        <v>4284</v>
      </c>
      <c r="J94" s="33" t="s">
        <v>4166</v>
      </c>
      <c r="K94" s="33" t="s">
        <v>26</v>
      </c>
      <c r="N94" s="83"/>
      <c r="O94" s="85"/>
      <c r="P94" s="86"/>
      <c r="Q94" s="87"/>
      <c r="S94" s="123">
        <v>2</v>
      </c>
      <c r="U94" s="85"/>
      <c r="V94" s="88"/>
      <c r="W94" s="89"/>
      <c r="X94" s="90"/>
      <c r="AA94" s="91"/>
      <c r="AB94" s="62" t="s">
        <v>4936</v>
      </c>
      <c r="AD94" s="33" t="s">
        <v>4266</v>
      </c>
      <c r="AE94" s="33"/>
      <c r="AF94" s="33" t="s">
        <v>4285</v>
      </c>
      <c r="AO94" s="34"/>
      <c r="AP94" s="83"/>
      <c r="AQ94" s="85"/>
      <c r="AR94" s="86"/>
      <c r="AS94" s="87"/>
      <c r="AV94" s="85"/>
      <c r="AW94" s="93"/>
      <c r="AX94" s="94"/>
      <c r="AY94" s="90"/>
      <c r="BB94" s="91"/>
      <c r="BE94" s="34"/>
      <c r="BF94" s="33"/>
    </row>
    <row r="95" spans="1:58" ht="15" customHeight="1">
      <c r="A95" s="33" t="s">
        <v>4037</v>
      </c>
      <c r="B95" s="33" t="s">
        <v>4430</v>
      </c>
      <c r="C95" s="33" t="s">
        <v>57</v>
      </c>
      <c r="D95" s="33">
        <v>94</v>
      </c>
      <c r="E95" s="33">
        <v>2</v>
      </c>
      <c r="G95" s="33" t="s">
        <v>4286</v>
      </c>
      <c r="J95" s="33" t="s">
        <v>4111</v>
      </c>
      <c r="K95" s="33" t="s">
        <v>26</v>
      </c>
      <c r="L95" s="33">
        <v>3</v>
      </c>
      <c r="N95" s="83">
        <v>2</v>
      </c>
      <c r="O95" s="85"/>
      <c r="P95" s="86"/>
      <c r="Q95" s="87">
        <v>1</v>
      </c>
      <c r="S95" s="123">
        <v>1</v>
      </c>
      <c r="T95" s="78">
        <v>4</v>
      </c>
      <c r="U95" s="85" t="s">
        <v>38</v>
      </c>
      <c r="V95" s="88"/>
      <c r="W95" s="89"/>
      <c r="X95" s="90"/>
      <c r="AA95" s="91"/>
      <c r="AB95" s="62" t="s">
        <v>4947</v>
      </c>
      <c r="AC95" s="33" t="s">
        <v>4247</v>
      </c>
      <c r="AD95" s="33" t="s">
        <v>4248</v>
      </c>
      <c r="AE95" s="33"/>
      <c r="AO95" s="34"/>
      <c r="AP95" s="83"/>
      <c r="AQ95" s="85"/>
      <c r="AR95" s="86"/>
      <c r="AS95" s="87"/>
      <c r="AV95" s="85"/>
      <c r="AW95" s="93"/>
      <c r="AX95" s="94"/>
      <c r="AY95" s="90"/>
      <c r="BB95" s="91"/>
      <c r="BE95" s="34"/>
      <c r="BF95" s="33"/>
    </row>
    <row r="96" spans="1:58" ht="15" customHeight="1">
      <c r="A96" s="33" t="s">
        <v>4037</v>
      </c>
      <c r="B96" s="33" t="s">
        <v>4431</v>
      </c>
      <c r="C96" s="33" t="s">
        <v>57</v>
      </c>
      <c r="D96" s="33">
        <v>95</v>
      </c>
      <c r="E96" s="33">
        <v>2</v>
      </c>
      <c r="G96" s="33" t="s">
        <v>4287</v>
      </c>
      <c r="J96" s="33" t="s">
        <v>4111</v>
      </c>
      <c r="K96" s="33" t="s">
        <v>26</v>
      </c>
      <c r="L96" s="33">
        <v>3</v>
      </c>
      <c r="N96" s="83">
        <v>2</v>
      </c>
      <c r="O96" s="85">
        <v>1</v>
      </c>
      <c r="P96" s="86"/>
      <c r="Q96" s="87"/>
      <c r="S96" s="123">
        <v>1</v>
      </c>
      <c r="T96" s="78" t="s">
        <v>38</v>
      </c>
      <c r="U96" s="85">
        <v>4</v>
      </c>
      <c r="V96" s="88"/>
      <c r="W96" s="89"/>
      <c r="X96" s="90"/>
      <c r="AA96" s="91"/>
      <c r="AB96" s="62" t="s">
        <v>4940</v>
      </c>
      <c r="AC96" s="33" t="s">
        <v>4129</v>
      </c>
      <c r="AD96" s="33" t="s">
        <v>4130</v>
      </c>
      <c r="AE96" s="33"/>
      <c r="AO96" s="34"/>
      <c r="AP96" s="83"/>
      <c r="AQ96" s="85"/>
      <c r="AR96" s="86"/>
      <c r="AS96" s="87"/>
      <c r="AV96" s="85"/>
      <c r="AW96" s="93"/>
      <c r="AX96" s="94"/>
      <c r="AY96" s="90"/>
      <c r="BB96" s="91"/>
      <c r="BE96" s="34"/>
      <c r="BF96" s="33"/>
    </row>
    <row r="97" spans="1:59" ht="15" customHeight="1">
      <c r="A97" s="33" t="s">
        <v>4037</v>
      </c>
      <c r="B97" s="33" t="s">
        <v>4432</v>
      </c>
      <c r="C97" s="33" t="s">
        <v>57</v>
      </c>
      <c r="D97" s="33">
        <v>96</v>
      </c>
      <c r="E97" s="33">
        <v>2</v>
      </c>
      <c r="G97" s="33" t="s">
        <v>4288</v>
      </c>
      <c r="J97" s="33" t="s">
        <v>28</v>
      </c>
      <c r="K97" s="33" t="s">
        <v>26</v>
      </c>
      <c r="M97" s="33" t="s">
        <v>4545</v>
      </c>
      <c r="N97" s="83"/>
      <c r="O97" s="85"/>
      <c r="P97" s="86"/>
      <c r="Q97" s="87"/>
      <c r="U97" s="85"/>
      <c r="V97" s="88"/>
      <c r="W97" s="89"/>
      <c r="X97" s="90"/>
      <c r="AA97" s="91"/>
      <c r="AB97" s="52"/>
      <c r="AD97" s="33" t="s">
        <v>4138</v>
      </c>
      <c r="AE97" s="33"/>
      <c r="AF97" s="33" t="s">
        <v>4289</v>
      </c>
      <c r="AO97" s="34"/>
      <c r="AP97" s="83"/>
      <c r="AQ97" s="85"/>
      <c r="AR97" s="86"/>
      <c r="AS97" s="87"/>
      <c r="AV97" s="85"/>
      <c r="AW97" s="93"/>
      <c r="AX97" s="94"/>
      <c r="AY97" s="90"/>
      <c r="BB97" s="91"/>
      <c r="BE97" s="34"/>
      <c r="BF97" s="33"/>
    </row>
    <row r="98" spans="1:59" ht="15" customHeight="1">
      <c r="A98" s="33" t="s">
        <v>4037</v>
      </c>
      <c r="B98" s="33" t="s">
        <v>4433</v>
      </c>
      <c r="C98" s="33" t="s">
        <v>57</v>
      </c>
      <c r="D98" s="33">
        <v>97</v>
      </c>
      <c r="E98" s="33">
        <v>2</v>
      </c>
      <c r="G98" s="33" t="s">
        <v>4290</v>
      </c>
      <c r="J98" s="33" t="s">
        <v>28</v>
      </c>
      <c r="K98" s="33" t="s">
        <v>26</v>
      </c>
      <c r="M98" s="33" t="s">
        <v>4545</v>
      </c>
      <c r="N98" s="83"/>
      <c r="O98" s="85"/>
      <c r="P98" s="86"/>
      <c r="Q98" s="87"/>
      <c r="U98" s="85"/>
      <c r="V98" s="88"/>
      <c r="W98" s="89"/>
      <c r="X98" s="90"/>
      <c r="AA98" s="91"/>
      <c r="AB98" s="52"/>
      <c r="AD98" s="33" t="s">
        <v>4138</v>
      </c>
      <c r="AE98" s="33"/>
      <c r="AF98" s="33" t="s">
        <v>4291</v>
      </c>
      <c r="AO98" s="34"/>
      <c r="AP98" s="83"/>
      <c r="AQ98" s="85"/>
      <c r="AR98" s="86"/>
      <c r="AS98" s="87"/>
      <c r="AV98" s="85"/>
      <c r="AW98" s="93"/>
      <c r="AX98" s="94"/>
      <c r="AY98" s="90"/>
      <c r="BB98" s="91"/>
      <c r="BE98" s="34"/>
      <c r="BF98" s="33"/>
    </row>
    <row r="99" spans="1:59" ht="15" customHeight="1">
      <c r="A99" s="33" t="s">
        <v>4037</v>
      </c>
      <c r="B99" s="33" t="s">
        <v>4434</v>
      </c>
      <c r="C99" s="33" t="s">
        <v>57</v>
      </c>
      <c r="D99" s="33">
        <v>98</v>
      </c>
      <c r="E99" s="33">
        <v>1</v>
      </c>
      <c r="G99" s="33" t="s">
        <v>4292</v>
      </c>
      <c r="J99" s="33" t="s">
        <v>28</v>
      </c>
      <c r="K99" s="33" t="s">
        <v>26</v>
      </c>
      <c r="M99" s="33" t="s">
        <v>4545</v>
      </c>
      <c r="N99" s="83"/>
      <c r="O99" s="85"/>
      <c r="P99" s="86"/>
      <c r="Q99" s="87"/>
      <c r="U99" s="85"/>
      <c r="V99" s="88"/>
      <c r="W99" s="89"/>
      <c r="X99" s="90"/>
      <c r="AA99" s="91"/>
      <c r="AB99" s="52"/>
      <c r="AD99" s="33" t="s">
        <v>4293</v>
      </c>
      <c r="AE99" s="33"/>
      <c r="AF99" s="33" t="s">
        <v>4294</v>
      </c>
      <c r="AO99" s="34"/>
      <c r="AP99" s="83"/>
      <c r="AQ99" s="85"/>
      <c r="AR99" s="86"/>
      <c r="AS99" s="87"/>
      <c r="AV99" s="85"/>
      <c r="AW99" s="93"/>
      <c r="AX99" s="94"/>
      <c r="AY99" s="90"/>
      <c r="BB99" s="91"/>
      <c r="BE99" s="34"/>
      <c r="BF99" s="33"/>
    </row>
    <row r="100" spans="1:59" ht="15" customHeight="1">
      <c r="A100" s="33" t="s">
        <v>4037</v>
      </c>
      <c r="B100" s="33" t="s">
        <v>4435</v>
      </c>
      <c r="C100" s="33" t="s">
        <v>57</v>
      </c>
      <c r="D100" s="33">
        <v>99</v>
      </c>
      <c r="E100" s="33">
        <v>1</v>
      </c>
      <c r="G100" s="33" t="s">
        <v>4550</v>
      </c>
      <c r="J100" s="33" t="s">
        <v>28</v>
      </c>
      <c r="K100" s="33" t="s">
        <v>26</v>
      </c>
      <c r="M100" s="33" t="s">
        <v>4545</v>
      </c>
      <c r="N100" s="83"/>
      <c r="O100" s="85"/>
      <c r="P100" s="86"/>
      <c r="Q100" s="87"/>
      <c r="U100" s="85"/>
      <c r="V100" s="88"/>
      <c r="W100" s="89"/>
      <c r="X100" s="90"/>
      <c r="AA100" s="91"/>
      <c r="AB100" s="52"/>
      <c r="AD100" s="33" t="s">
        <v>4138</v>
      </c>
      <c r="AE100" s="33"/>
      <c r="AF100" s="33" t="s">
        <v>4551</v>
      </c>
      <c r="AO100" s="34"/>
      <c r="AP100" s="83"/>
      <c r="AQ100" s="85"/>
      <c r="AR100" s="86"/>
      <c r="AS100" s="87"/>
      <c r="AV100" s="85"/>
      <c r="AW100" s="93"/>
      <c r="AX100" s="94"/>
      <c r="AY100" s="90"/>
      <c r="BB100" s="91"/>
      <c r="BE100" s="34"/>
      <c r="BF100" s="33"/>
    </row>
    <row r="101" spans="1:59" ht="15" customHeight="1">
      <c r="A101" s="33" t="s">
        <v>4037</v>
      </c>
      <c r="B101" s="33" t="s">
        <v>4546</v>
      </c>
      <c r="C101" s="33" t="s">
        <v>57</v>
      </c>
      <c r="D101" s="33">
        <v>100</v>
      </c>
      <c r="E101" s="33">
        <v>1</v>
      </c>
      <c r="G101" s="33" t="s">
        <v>4295</v>
      </c>
      <c r="J101" s="33" t="s">
        <v>28</v>
      </c>
      <c r="K101" s="33" t="s">
        <v>26</v>
      </c>
      <c r="M101" s="33" t="s">
        <v>4545</v>
      </c>
      <c r="N101" s="83"/>
      <c r="O101" s="85"/>
      <c r="P101" s="86"/>
      <c r="Q101" s="87"/>
      <c r="U101" s="85"/>
      <c r="V101" s="88"/>
      <c r="W101" s="89"/>
      <c r="X101" s="90"/>
      <c r="AA101" s="91"/>
      <c r="AB101" s="52"/>
      <c r="AD101" s="33" t="s">
        <v>4138</v>
      </c>
      <c r="AE101" s="33"/>
      <c r="AF101" s="33" t="s">
        <v>4552</v>
      </c>
      <c r="AO101" s="34"/>
      <c r="AP101" s="83"/>
      <c r="AQ101" s="85"/>
      <c r="AR101" s="86"/>
      <c r="AS101" s="87"/>
      <c r="AV101" s="85"/>
      <c r="AW101" s="93"/>
      <c r="AX101" s="94"/>
      <c r="AY101" s="90"/>
      <c r="BB101" s="91"/>
      <c r="BE101" s="34"/>
      <c r="BF101" s="33"/>
    </row>
    <row r="102" spans="1:59" ht="15" customHeight="1">
      <c r="A102" s="33" t="s">
        <v>4037</v>
      </c>
      <c r="B102" s="33" t="s">
        <v>4547</v>
      </c>
      <c r="C102" s="33" t="s">
        <v>57</v>
      </c>
      <c r="D102" s="33">
        <v>101</v>
      </c>
      <c r="E102" s="33">
        <v>1</v>
      </c>
      <c r="G102" s="33" t="s">
        <v>4553</v>
      </c>
      <c r="J102" s="33" t="s">
        <v>29</v>
      </c>
      <c r="K102" s="33" t="s">
        <v>26</v>
      </c>
      <c r="M102" s="33" t="s">
        <v>4545</v>
      </c>
      <c r="N102" s="83"/>
      <c r="O102" s="85"/>
      <c r="P102" s="86"/>
      <c r="Q102" s="87">
        <v>4</v>
      </c>
      <c r="R102" s="76">
        <v>3</v>
      </c>
      <c r="T102" s="78">
        <v>3</v>
      </c>
      <c r="U102" s="85"/>
      <c r="V102" s="88">
        <v>1</v>
      </c>
      <c r="W102" s="89"/>
      <c r="X102" s="90"/>
      <c r="AA102" s="91"/>
      <c r="AB102" s="52"/>
      <c r="AD102" s="33" t="s">
        <v>4554</v>
      </c>
      <c r="AE102" s="33" t="s">
        <v>4555</v>
      </c>
      <c r="AF102" s="33" t="s">
        <v>4556</v>
      </c>
      <c r="AO102" s="34"/>
      <c r="AP102" s="83"/>
      <c r="AQ102" s="85"/>
      <c r="AR102" s="86"/>
      <c r="AS102" s="87"/>
      <c r="AV102" s="85"/>
      <c r="AW102" s="93"/>
      <c r="AX102" s="94"/>
      <c r="AY102" s="90"/>
      <c r="BB102" s="91"/>
      <c r="BE102" s="34"/>
      <c r="BF102" s="33"/>
    </row>
    <row r="103" spans="1:59" ht="15" customHeight="1">
      <c r="A103" s="33" t="s">
        <v>4037</v>
      </c>
      <c r="B103" s="33" t="s">
        <v>4548</v>
      </c>
      <c r="C103" s="33" t="s">
        <v>57</v>
      </c>
      <c r="D103" s="33">
        <v>102</v>
      </c>
      <c r="E103" s="33">
        <v>1</v>
      </c>
      <c r="G103" s="33" t="s">
        <v>4557</v>
      </c>
      <c r="J103" s="33" t="s">
        <v>29</v>
      </c>
      <c r="K103" s="33" t="s">
        <v>26</v>
      </c>
      <c r="M103" s="33" t="s">
        <v>4545</v>
      </c>
      <c r="N103" s="83"/>
      <c r="O103" s="85"/>
      <c r="P103" s="86"/>
      <c r="Q103" s="87">
        <v>2</v>
      </c>
      <c r="R103" s="76">
        <v>3</v>
      </c>
      <c r="T103" s="78">
        <v>3</v>
      </c>
      <c r="U103" s="85"/>
      <c r="V103" s="88">
        <v>1</v>
      </c>
      <c r="W103" s="89"/>
      <c r="X103" s="90"/>
      <c r="AA103" s="91"/>
      <c r="AB103" s="52"/>
      <c r="AD103" s="33" t="s">
        <v>4558</v>
      </c>
      <c r="AE103" s="33" t="s">
        <v>4555</v>
      </c>
      <c r="AF103" s="33" t="s">
        <v>4559</v>
      </c>
      <c r="AO103" s="34"/>
      <c r="AP103" s="83"/>
      <c r="AQ103" s="85"/>
      <c r="AR103" s="86"/>
      <c r="AS103" s="87"/>
      <c r="AV103" s="85"/>
      <c r="AW103" s="93"/>
      <c r="AX103" s="94"/>
      <c r="AY103" s="90"/>
      <c r="BB103" s="91"/>
      <c r="BE103" s="34"/>
      <c r="BF103" s="33"/>
    </row>
    <row r="104" spans="1:59" ht="15" customHeight="1">
      <c r="A104" s="33" t="s">
        <v>4037</v>
      </c>
      <c r="B104" s="33" t="s">
        <v>4549</v>
      </c>
      <c r="C104" s="33" t="s">
        <v>57</v>
      </c>
      <c r="D104" s="33">
        <v>103</v>
      </c>
      <c r="E104" s="33">
        <v>1</v>
      </c>
      <c r="G104" s="33" t="s">
        <v>4560</v>
      </c>
      <c r="J104" s="33" t="s">
        <v>29</v>
      </c>
      <c r="K104" s="33" t="s">
        <v>26</v>
      </c>
      <c r="M104" s="33" t="s">
        <v>4545</v>
      </c>
      <c r="N104" s="83"/>
      <c r="O104" s="85"/>
      <c r="P104" s="86"/>
      <c r="Q104" s="87">
        <v>3</v>
      </c>
      <c r="R104" s="76">
        <v>2</v>
      </c>
      <c r="T104" s="78">
        <v>2</v>
      </c>
      <c r="U104" s="85"/>
      <c r="V104" s="88">
        <v>1</v>
      </c>
      <c r="W104" s="89"/>
      <c r="X104" s="90"/>
      <c r="AA104" s="91"/>
      <c r="AB104" s="52"/>
      <c r="AD104" s="33" t="s">
        <v>4561</v>
      </c>
      <c r="AE104" s="33" t="s">
        <v>4555</v>
      </c>
      <c r="AF104" s="33" t="s">
        <v>4562</v>
      </c>
      <c r="AO104" s="34"/>
      <c r="AP104" s="83"/>
      <c r="AQ104" s="85"/>
      <c r="AR104" s="86"/>
      <c r="AS104" s="87"/>
      <c r="AV104" s="85"/>
      <c r="AW104" s="93"/>
      <c r="AX104" s="94"/>
      <c r="AY104" s="90"/>
      <c r="BB104" s="91"/>
      <c r="BE104" s="34"/>
      <c r="BF104" s="33"/>
    </row>
    <row r="105" spans="1:59" ht="15" customHeight="1">
      <c r="A105" s="33" t="s">
        <v>4037</v>
      </c>
      <c r="B105" s="33" t="s">
        <v>4436</v>
      </c>
      <c r="C105" s="33" t="s">
        <v>57</v>
      </c>
      <c r="D105" s="41">
        <v>104</v>
      </c>
      <c r="E105" s="38">
        <v>1</v>
      </c>
      <c r="F105" s="38" t="s">
        <v>4296</v>
      </c>
      <c r="G105" s="38" t="s">
        <v>4296</v>
      </c>
      <c r="H105" s="33" t="s">
        <v>4563</v>
      </c>
      <c r="J105" s="33" t="s">
        <v>4472</v>
      </c>
      <c r="AB105" s="52"/>
      <c r="AF105" s="33" t="s">
        <v>4784</v>
      </c>
      <c r="AI105" s="36" t="s">
        <v>4296</v>
      </c>
      <c r="AJ105" s="38" t="s">
        <v>4564</v>
      </c>
      <c r="AL105" s="33" t="s">
        <v>4472</v>
      </c>
      <c r="AO105" s="34"/>
      <c r="AP105" s="83"/>
      <c r="AQ105" s="85"/>
      <c r="AR105" s="86"/>
      <c r="AS105" s="87"/>
      <c r="AV105" s="85"/>
      <c r="AW105" s="93"/>
      <c r="AX105" s="94"/>
      <c r="AY105" s="90"/>
      <c r="BB105" s="91"/>
      <c r="BE105" s="34"/>
      <c r="BF105" s="33"/>
      <c r="BG105" s="33" t="s">
        <v>4785</v>
      </c>
    </row>
    <row r="106" spans="1:59" ht="15" customHeight="1">
      <c r="A106" s="33" t="s">
        <v>4037</v>
      </c>
      <c r="B106" s="33" t="s">
        <v>4437</v>
      </c>
      <c r="C106" s="33" t="s">
        <v>57</v>
      </c>
      <c r="D106" s="34">
        <v>105</v>
      </c>
      <c r="E106" s="33">
        <v>1</v>
      </c>
      <c r="F106" s="38" t="s">
        <v>4296</v>
      </c>
      <c r="G106" s="33" t="s">
        <v>4297</v>
      </c>
      <c r="J106" s="33" t="s">
        <v>4473</v>
      </c>
      <c r="L106" s="33">
        <v>1</v>
      </c>
      <c r="Z106" s="78">
        <v>3</v>
      </c>
      <c r="AB106" s="52"/>
      <c r="AI106" s="33" t="s">
        <v>4565</v>
      </c>
      <c r="AL106" s="33" t="s">
        <v>4473</v>
      </c>
      <c r="AN106" s="33">
        <v>1</v>
      </c>
      <c r="AO106" s="34"/>
      <c r="AP106" s="83"/>
      <c r="AQ106" s="85"/>
      <c r="AR106" s="86"/>
      <c r="AS106" s="87"/>
      <c r="AV106" s="85"/>
      <c r="AW106" s="93"/>
      <c r="AX106" s="94"/>
      <c r="AY106" s="90"/>
      <c r="BB106" s="91"/>
      <c r="BE106" s="34"/>
      <c r="BF106" s="33"/>
      <c r="BG106" s="33" t="s">
        <v>4566</v>
      </c>
    </row>
    <row r="107" spans="1:59" ht="15" customHeight="1">
      <c r="A107" s="33" t="s">
        <v>4037</v>
      </c>
      <c r="B107" s="33" t="s">
        <v>4438</v>
      </c>
      <c r="C107" s="33" t="s">
        <v>57</v>
      </c>
      <c r="D107" s="34">
        <v>106</v>
      </c>
      <c r="E107" s="33">
        <v>1</v>
      </c>
      <c r="F107" s="38" t="s">
        <v>4296</v>
      </c>
      <c r="G107" s="33" t="s">
        <v>4298</v>
      </c>
      <c r="J107" s="33" t="s">
        <v>4473</v>
      </c>
      <c r="L107" s="33">
        <v>2</v>
      </c>
      <c r="Z107" s="78">
        <v>7</v>
      </c>
      <c r="AB107" s="52"/>
      <c r="AI107" s="33" t="s">
        <v>4567</v>
      </c>
      <c r="AL107" s="33" t="s">
        <v>4473</v>
      </c>
      <c r="AN107" s="33">
        <v>2</v>
      </c>
      <c r="AO107" s="34"/>
      <c r="AP107" s="83"/>
      <c r="AQ107" s="85"/>
      <c r="AR107" s="86"/>
      <c r="AS107" s="87"/>
      <c r="AV107" s="85"/>
      <c r="AW107" s="93"/>
      <c r="AX107" s="94"/>
      <c r="AY107" s="90"/>
      <c r="BB107" s="91"/>
      <c r="BE107" s="34"/>
      <c r="BF107" s="33"/>
      <c r="BG107" s="33" t="s">
        <v>4568</v>
      </c>
    </row>
    <row r="108" spans="1:59" ht="15" customHeight="1">
      <c r="A108" s="33" t="s">
        <v>4037</v>
      </c>
      <c r="B108" s="33" t="s">
        <v>4439</v>
      </c>
      <c r="C108" s="33" t="s">
        <v>57</v>
      </c>
      <c r="D108" s="34">
        <v>107</v>
      </c>
      <c r="E108" s="33">
        <v>1</v>
      </c>
      <c r="F108" s="38" t="s">
        <v>4296</v>
      </c>
      <c r="G108" s="33" t="s">
        <v>4299</v>
      </c>
      <c r="J108" s="33" t="s">
        <v>4473</v>
      </c>
      <c r="L108" s="33">
        <v>3</v>
      </c>
      <c r="Z108" s="78">
        <v>10</v>
      </c>
      <c r="AB108" s="52"/>
      <c r="AF108" s="33" t="s">
        <v>4474</v>
      </c>
      <c r="AI108" s="33" t="s">
        <v>4569</v>
      </c>
      <c r="AL108" s="33" t="s">
        <v>4473</v>
      </c>
      <c r="AN108" s="33">
        <v>3</v>
      </c>
      <c r="AO108" s="34"/>
      <c r="AP108" s="83"/>
      <c r="AQ108" s="85"/>
      <c r="AR108" s="86"/>
      <c r="AS108" s="87"/>
      <c r="AV108" s="85"/>
      <c r="AW108" s="93"/>
      <c r="AX108" s="94"/>
      <c r="AY108" s="90"/>
      <c r="BB108" s="91"/>
      <c r="BE108" s="34"/>
      <c r="BF108" s="33"/>
      <c r="BG108" s="33" t="s">
        <v>4570</v>
      </c>
    </row>
    <row r="109" spans="1:59" ht="15" customHeight="1">
      <c r="A109" s="33" t="s">
        <v>4037</v>
      </c>
      <c r="B109" s="33" t="s">
        <v>4440</v>
      </c>
      <c r="C109" s="33" t="s">
        <v>57</v>
      </c>
      <c r="D109" s="33">
        <v>108</v>
      </c>
      <c r="E109" s="33">
        <v>1</v>
      </c>
      <c r="F109" s="38" t="s">
        <v>4296</v>
      </c>
      <c r="G109" s="33" t="s">
        <v>4300</v>
      </c>
      <c r="J109" s="33" t="s">
        <v>4475</v>
      </c>
      <c r="L109" s="33">
        <v>1</v>
      </c>
      <c r="N109" s="83"/>
      <c r="S109" s="123">
        <v>1</v>
      </c>
      <c r="Y109" s="76" t="s">
        <v>4965</v>
      </c>
      <c r="AB109" s="52"/>
      <c r="AE109" s="33"/>
      <c r="AI109" s="33" t="s">
        <v>4571</v>
      </c>
      <c r="AL109" s="33" t="s">
        <v>4475</v>
      </c>
      <c r="AN109" s="33">
        <v>1</v>
      </c>
      <c r="AO109" s="34"/>
      <c r="AP109" s="83"/>
      <c r="AQ109" s="85"/>
      <c r="AR109" s="86"/>
      <c r="AS109" s="87"/>
      <c r="AV109" s="85"/>
      <c r="AW109" s="93"/>
      <c r="AX109" s="94"/>
      <c r="AY109" s="90"/>
      <c r="BB109" s="91"/>
      <c r="BE109" s="34"/>
      <c r="BF109" s="33"/>
      <c r="BG109" s="33" t="s">
        <v>4572</v>
      </c>
    </row>
    <row r="110" spans="1:59" ht="15" customHeight="1">
      <c r="A110" s="33" t="s">
        <v>4037</v>
      </c>
      <c r="B110" s="33" t="s">
        <v>4441</v>
      </c>
      <c r="C110" s="33" t="s">
        <v>57</v>
      </c>
      <c r="D110" s="33">
        <v>109</v>
      </c>
      <c r="E110" s="33">
        <v>1</v>
      </c>
      <c r="F110" s="38" t="s">
        <v>4296</v>
      </c>
      <c r="G110" s="33" t="s">
        <v>4301</v>
      </c>
      <c r="J110" s="33" t="s">
        <v>4475</v>
      </c>
      <c r="L110" s="33">
        <v>2</v>
      </c>
      <c r="N110" s="83"/>
      <c r="Y110" s="76" t="s">
        <v>4966</v>
      </c>
      <c r="AB110" s="52"/>
      <c r="AE110" s="33"/>
      <c r="AF110" s="33" t="s">
        <v>4476</v>
      </c>
      <c r="AI110" s="33" t="s">
        <v>4573</v>
      </c>
      <c r="AL110" s="33" t="s">
        <v>4475</v>
      </c>
      <c r="AN110" s="33">
        <v>2</v>
      </c>
      <c r="AO110" s="34"/>
      <c r="AP110" s="83"/>
      <c r="AQ110" s="85"/>
      <c r="AR110" s="86"/>
      <c r="AS110" s="87"/>
      <c r="AV110" s="85"/>
      <c r="AW110" s="93"/>
      <c r="AX110" s="94"/>
      <c r="AY110" s="90"/>
      <c r="BB110" s="91"/>
      <c r="BE110" s="34"/>
      <c r="BF110" s="33"/>
      <c r="BG110" s="33" t="s">
        <v>4574</v>
      </c>
    </row>
    <row r="111" spans="1:59" ht="15" customHeight="1">
      <c r="A111" s="33" t="s">
        <v>4037</v>
      </c>
      <c r="B111" s="33" t="s">
        <v>4442</v>
      </c>
      <c r="C111" s="33" t="s">
        <v>57</v>
      </c>
      <c r="D111" s="33">
        <v>110</v>
      </c>
      <c r="E111" s="33">
        <v>1</v>
      </c>
      <c r="F111" s="38" t="s">
        <v>4296</v>
      </c>
      <c r="G111" s="33" t="s">
        <v>4302</v>
      </c>
      <c r="J111" s="33" t="s">
        <v>4475</v>
      </c>
      <c r="L111" s="33">
        <v>3</v>
      </c>
      <c r="N111" s="83"/>
      <c r="S111" s="123">
        <v>1</v>
      </c>
      <c r="Y111" s="92" t="s">
        <v>38</v>
      </c>
      <c r="AB111" s="52"/>
      <c r="AE111" s="33"/>
      <c r="AF111" s="33" t="s">
        <v>4477</v>
      </c>
      <c r="AI111" s="33" t="s">
        <v>4575</v>
      </c>
      <c r="AL111" s="33" t="s">
        <v>4475</v>
      </c>
      <c r="AN111" s="33">
        <v>3</v>
      </c>
      <c r="AO111" s="34"/>
      <c r="AP111" s="83"/>
      <c r="AQ111" s="85"/>
      <c r="AR111" s="86"/>
      <c r="AS111" s="87"/>
      <c r="AV111" s="85"/>
      <c r="AW111" s="93"/>
      <c r="AX111" s="94"/>
      <c r="AY111" s="90"/>
      <c r="BB111" s="91"/>
      <c r="BE111" s="34"/>
      <c r="BF111" s="33"/>
      <c r="BG111" s="33" t="s">
        <v>4576</v>
      </c>
    </row>
    <row r="112" spans="1:59" ht="15" customHeight="1">
      <c r="A112" s="33" t="s">
        <v>4037</v>
      </c>
      <c r="B112" s="33" t="s">
        <v>4443</v>
      </c>
      <c r="C112" s="33" t="s">
        <v>57</v>
      </c>
      <c r="D112" s="33">
        <v>111</v>
      </c>
      <c r="E112" s="33">
        <v>1</v>
      </c>
      <c r="F112" s="38" t="s">
        <v>4296</v>
      </c>
      <c r="G112" s="33" t="s">
        <v>4303</v>
      </c>
      <c r="J112" s="33" t="s">
        <v>31</v>
      </c>
      <c r="N112" s="83"/>
      <c r="AB112" s="52"/>
      <c r="AE112" s="33"/>
      <c r="AI112" s="33" t="s">
        <v>4303</v>
      </c>
      <c r="AL112" s="33" t="s">
        <v>31</v>
      </c>
      <c r="AP112" s="83"/>
      <c r="AY112" s="81">
        <v>2</v>
      </c>
      <c r="AZ112" s="76" t="s">
        <v>4965</v>
      </c>
      <c r="BF112" s="33"/>
    </row>
    <row r="113" spans="1:59" ht="15" customHeight="1">
      <c r="A113" s="33" t="s">
        <v>4037</v>
      </c>
      <c r="B113" s="33" t="s">
        <v>4444</v>
      </c>
      <c r="C113" s="33" t="s">
        <v>57</v>
      </c>
      <c r="D113" s="33">
        <v>112</v>
      </c>
      <c r="E113" s="33">
        <v>1</v>
      </c>
      <c r="F113" s="38" t="s">
        <v>4296</v>
      </c>
      <c r="G113" s="33" t="s">
        <v>4304</v>
      </c>
      <c r="J113" s="33" t="s">
        <v>31</v>
      </c>
      <c r="N113" s="83"/>
      <c r="S113" s="123">
        <v>1</v>
      </c>
      <c r="AB113" s="52"/>
      <c r="AE113" s="33"/>
      <c r="AI113" s="33" t="s">
        <v>4304</v>
      </c>
      <c r="AL113" s="33" t="s">
        <v>31</v>
      </c>
      <c r="AP113" s="83"/>
      <c r="AY113" s="81">
        <v>1</v>
      </c>
      <c r="AZ113" s="76">
        <v>0</v>
      </c>
      <c r="BF113" s="33"/>
    </row>
    <row r="114" spans="1:59" ht="15" customHeight="1">
      <c r="A114" s="33" t="s">
        <v>4037</v>
      </c>
      <c r="B114" s="33" t="s">
        <v>4445</v>
      </c>
      <c r="C114" s="33" t="s">
        <v>57</v>
      </c>
      <c r="D114" s="33">
        <v>113</v>
      </c>
      <c r="E114" s="33">
        <v>1</v>
      </c>
      <c r="F114" s="38" t="s">
        <v>4296</v>
      </c>
      <c r="G114" s="33" t="s">
        <v>4305</v>
      </c>
      <c r="J114" s="33" t="s">
        <v>31</v>
      </c>
      <c r="N114" s="83"/>
      <c r="AB114" s="52"/>
      <c r="AE114" s="33"/>
      <c r="AI114" s="33" t="s">
        <v>4305</v>
      </c>
      <c r="AL114" s="33" t="s">
        <v>31</v>
      </c>
      <c r="AP114" s="83"/>
      <c r="AY114" s="81">
        <v>1</v>
      </c>
      <c r="AZ114" s="76" t="s">
        <v>4965</v>
      </c>
      <c r="BB114" s="82">
        <v>1</v>
      </c>
      <c r="BF114" s="33"/>
      <c r="BG114" s="33" t="s">
        <v>4478</v>
      </c>
    </row>
    <row r="115" spans="1:59" ht="15" customHeight="1">
      <c r="A115" s="33" t="s">
        <v>4037</v>
      </c>
      <c r="B115" s="33" t="s">
        <v>4446</v>
      </c>
      <c r="C115" s="33" t="s">
        <v>57</v>
      </c>
      <c r="D115" s="33">
        <v>114</v>
      </c>
      <c r="E115" s="33">
        <v>1</v>
      </c>
      <c r="F115" s="38" t="s">
        <v>4296</v>
      </c>
      <c r="G115" s="33" t="s">
        <v>4306</v>
      </c>
      <c r="J115" s="33" t="s">
        <v>31</v>
      </c>
      <c r="N115" s="83"/>
      <c r="S115" s="123">
        <v>1</v>
      </c>
      <c r="AB115" s="52"/>
      <c r="AE115" s="33"/>
      <c r="AI115" s="33" t="s">
        <v>4306</v>
      </c>
      <c r="AL115" s="33" t="s">
        <v>31</v>
      </c>
      <c r="AP115" s="83"/>
      <c r="AY115" s="81">
        <v>4</v>
      </c>
      <c r="AZ115" s="76" t="s">
        <v>4965</v>
      </c>
      <c r="BB115" s="82">
        <v>1</v>
      </c>
      <c r="BF115" s="33"/>
      <c r="BG115" s="33" t="s">
        <v>4479</v>
      </c>
    </row>
    <row r="116" spans="1:59" ht="15" customHeight="1">
      <c r="A116" s="33" t="s">
        <v>4037</v>
      </c>
      <c r="B116" s="33" t="s">
        <v>4447</v>
      </c>
      <c r="C116" s="33" t="s">
        <v>57</v>
      </c>
      <c r="D116" s="33">
        <v>115</v>
      </c>
      <c r="E116" s="33">
        <v>1</v>
      </c>
      <c r="F116" s="38" t="s">
        <v>4296</v>
      </c>
      <c r="G116" s="33" t="s">
        <v>4307</v>
      </c>
      <c r="J116" s="33" t="s">
        <v>31</v>
      </c>
      <c r="N116" s="83"/>
      <c r="AB116" s="52"/>
      <c r="AE116" s="33"/>
      <c r="AI116" s="33" t="s">
        <v>4307</v>
      </c>
      <c r="AL116" s="33" t="s">
        <v>31</v>
      </c>
      <c r="AP116" s="83"/>
      <c r="AY116" s="81">
        <v>2</v>
      </c>
      <c r="AZ116" s="76">
        <v>0</v>
      </c>
      <c r="BF116" s="33"/>
      <c r="BG116" s="33" t="s">
        <v>4480</v>
      </c>
    </row>
    <row r="117" spans="1:59" ht="15" customHeight="1">
      <c r="A117" s="33" t="s">
        <v>4037</v>
      </c>
      <c r="B117" s="33" t="s">
        <v>4448</v>
      </c>
      <c r="C117" s="33" t="s">
        <v>57</v>
      </c>
      <c r="D117" s="33">
        <v>116</v>
      </c>
      <c r="E117" s="33">
        <v>1</v>
      </c>
      <c r="F117" s="38" t="s">
        <v>4296</v>
      </c>
      <c r="G117" s="33" t="s">
        <v>4308</v>
      </c>
      <c r="J117" s="33" t="s">
        <v>29</v>
      </c>
      <c r="N117" s="83"/>
      <c r="Q117" s="75">
        <v>4</v>
      </c>
      <c r="R117" s="76">
        <v>4</v>
      </c>
      <c r="S117" s="123">
        <v>1</v>
      </c>
      <c r="T117" s="78" t="s">
        <v>4931</v>
      </c>
      <c r="V117" s="79">
        <v>2</v>
      </c>
      <c r="W117" s="80">
        <v>2</v>
      </c>
      <c r="AA117" s="82">
        <v>2</v>
      </c>
      <c r="AB117" s="52"/>
      <c r="AD117" s="33" t="s">
        <v>4309</v>
      </c>
      <c r="AE117" s="33"/>
      <c r="AF117" s="33" t="s">
        <v>4481</v>
      </c>
      <c r="AO117" s="34"/>
      <c r="AP117" s="83"/>
      <c r="AQ117" s="85"/>
      <c r="AR117" s="86"/>
      <c r="AS117" s="87"/>
      <c r="AV117" s="85"/>
      <c r="AW117" s="93"/>
      <c r="AX117" s="94"/>
      <c r="AY117" s="90"/>
      <c r="BB117" s="91"/>
      <c r="BE117" s="34"/>
      <c r="BF117" s="33"/>
    </row>
    <row r="118" spans="1:59" ht="15" customHeight="1">
      <c r="A118" s="33" t="s">
        <v>4037</v>
      </c>
      <c r="B118" s="33" t="s">
        <v>4449</v>
      </c>
      <c r="C118" s="33" t="s">
        <v>57</v>
      </c>
      <c r="D118" s="33">
        <v>117</v>
      </c>
      <c r="E118" s="33">
        <v>1</v>
      </c>
      <c r="F118" s="38" t="s">
        <v>4296</v>
      </c>
      <c r="G118" s="33" t="s">
        <v>4310</v>
      </c>
      <c r="H118" s="33" t="s">
        <v>4311</v>
      </c>
      <c r="I118" s="33" t="s">
        <v>4077</v>
      </c>
      <c r="J118" s="33" t="s">
        <v>4111</v>
      </c>
      <c r="N118" s="83"/>
      <c r="S118" s="123">
        <v>1</v>
      </c>
      <c r="T118" s="78">
        <v>3</v>
      </c>
      <c r="U118" s="73">
        <v>3</v>
      </c>
      <c r="AB118" s="52"/>
      <c r="AC118" s="33" t="s">
        <v>25</v>
      </c>
      <c r="AD118" s="33" t="s">
        <v>4312</v>
      </c>
      <c r="AE118" s="33"/>
      <c r="AF118" s="33" t="s">
        <v>4482</v>
      </c>
      <c r="AO118" s="34"/>
      <c r="AP118" s="83"/>
      <c r="AQ118" s="85"/>
      <c r="AR118" s="86"/>
      <c r="AS118" s="87"/>
      <c r="AV118" s="85"/>
      <c r="AW118" s="93"/>
      <c r="AX118" s="94"/>
      <c r="AY118" s="90"/>
      <c r="BB118" s="91"/>
      <c r="BE118" s="34"/>
      <c r="BF118" s="33"/>
    </row>
    <row r="119" spans="1:59" ht="15" customHeight="1">
      <c r="A119" s="33" t="s">
        <v>4037</v>
      </c>
      <c r="B119" s="33" t="s">
        <v>4450</v>
      </c>
      <c r="C119" s="33" t="s">
        <v>57</v>
      </c>
      <c r="D119" s="33">
        <v>118</v>
      </c>
      <c r="E119" s="33">
        <v>1</v>
      </c>
      <c r="F119" s="38" t="s">
        <v>4296</v>
      </c>
      <c r="G119" s="33" t="s">
        <v>4313</v>
      </c>
      <c r="J119" s="33" t="s">
        <v>29</v>
      </c>
      <c r="N119" s="83"/>
      <c r="Q119" s="75">
        <v>4</v>
      </c>
      <c r="R119" s="76">
        <v>1</v>
      </c>
      <c r="T119" s="78">
        <v>4</v>
      </c>
      <c r="V119" s="79">
        <v>1</v>
      </c>
      <c r="W119" s="80">
        <v>2</v>
      </c>
      <c r="AA119" s="82">
        <v>1</v>
      </c>
      <c r="AB119" s="52"/>
      <c r="AD119" s="33" t="s">
        <v>4314</v>
      </c>
      <c r="AE119" s="33"/>
      <c r="AF119" s="33" t="s">
        <v>4483</v>
      </c>
      <c r="AO119" s="34"/>
      <c r="AP119" s="83"/>
      <c r="AQ119" s="85"/>
      <c r="AR119" s="86"/>
      <c r="AS119" s="87"/>
      <c r="AV119" s="85"/>
      <c r="AW119" s="93"/>
      <c r="AX119" s="94"/>
      <c r="AY119" s="90"/>
      <c r="BB119" s="91"/>
      <c r="BE119" s="34"/>
      <c r="BF119" s="33"/>
    </row>
    <row r="120" spans="1:59" ht="15" customHeight="1">
      <c r="A120" s="33" t="s">
        <v>4037</v>
      </c>
      <c r="B120" s="33" t="s">
        <v>4451</v>
      </c>
      <c r="C120" s="33" t="s">
        <v>57</v>
      </c>
      <c r="D120" s="33">
        <v>119</v>
      </c>
      <c r="E120" s="33">
        <v>1</v>
      </c>
      <c r="F120" s="38" t="s">
        <v>4296</v>
      </c>
      <c r="G120" s="33" t="s">
        <v>4315</v>
      </c>
      <c r="J120" s="33" t="s">
        <v>29</v>
      </c>
      <c r="N120" s="83"/>
      <c r="Q120" s="75">
        <v>3</v>
      </c>
      <c r="R120" s="76">
        <v>4</v>
      </c>
      <c r="S120" s="123">
        <v>1</v>
      </c>
      <c r="T120" s="78">
        <v>4</v>
      </c>
      <c r="V120" s="79">
        <v>2</v>
      </c>
      <c r="W120" s="80">
        <v>1</v>
      </c>
      <c r="AA120" s="82">
        <v>1</v>
      </c>
      <c r="AB120" s="52"/>
      <c r="AD120" s="33" t="s">
        <v>4314</v>
      </c>
      <c r="AE120" s="33"/>
      <c r="AF120" s="33" t="s">
        <v>4484</v>
      </c>
      <c r="AO120" s="34"/>
      <c r="AP120" s="83"/>
      <c r="AQ120" s="85"/>
      <c r="AR120" s="86"/>
      <c r="AS120" s="87"/>
      <c r="AV120" s="85"/>
      <c r="AW120" s="93"/>
      <c r="AX120" s="94"/>
      <c r="AY120" s="90"/>
      <c r="BB120" s="91"/>
      <c r="BE120" s="34"/>
      <c r="BF120" s="33"/>
    </row>
    <row r="121" spans="1:59" ht="15" customHeight="1">
      <c r="A121" s="33" t="s">
        <v>4037</v>
      </c>
      <c r="B121" s="33" t="s">
        <v>4756</v>
      </c>
      <c r="C121" s="33" t="s">
        <v>57</v>
      </c>
      <c r="D121" s="33">
        <v>120</v>
      </c>
      <c r="E121" s="33">
        <v>1</v>
      </c>
      <c r="F121" s="33" t="s">
        <v>4577</v>
      </c>
      <c r="G121" s="33" t="s">
        <v>4577</v>
      </c>
      <c r="H121" s="33" t="s">
        <v>4563</v>
      </c>
      <c r="J121" s="33" t="s">
        <v>4472</v>
      </c>
      <c r="N121" s="83"/>
      <c r="AB121" s="52"/>
      <c r="AE121" s="33"/>
      <c r="AF121" s="33" t="s">
        <v>4578</v>
      </c>
      <c r="AI121" s="33" t="s">
        <v>4577</v>
      </c>
      <c r="AJ121" s="33" t="s">
        <v>4564</v>
      </c>
      <c r="AL121" s="33" t="s">
        <v>4472</v>
      </c>
      <c r="AO121" s="34"/>
      <c r="AP121" s="83"/>
      <c r="AQ121" s="85"/>
      <c r="AR121" s="86"/>
      <c r="AS121" s="87"/>
      <c r="AV121" s="85"/>
      <c r="AW121" s="93"/>
      <c r="AX121" s="94"/>
      <c r="AY121" s="90"/>
      <c r="BB121" s="91"/>
      <c r="BE121" s="34"/>
      <c r="BF121" s="33"/>
      <c r="BG121" s="33" t="s">
        <v>4579</v>
      </c>
    </row>
    <row r="122" spans="1:59" ht="15" customHeight="1">
      <c r="A122" s="33" t="s">
        <v>4037</v>
      </c>
      <c r="B122" s="33" t="s">
        <v>4757</v>
      </c>
      <c r="C122" s="33" t="s">
        <v>57</v>
      </c>
      <c r="D122" s="33">
        <v>121</v>
      </c>
      <c r="E122" s="33">
        <v>1</v>
      </c>
      <c r="F122" s="33" t="s">
        <v>4577</v>
      </c>
      <c r="G122" s="33" t="s">
        <v>4580</v>
      </c>
      <c r="J122" s="33" t="s">
        <v>4473</v>
      </c>
      <c r="L122" s="33">
        <v>1</v>
      </c>
      <c r="N122" s="83"/>
      <c r="Z122" s="78">
        <v>6</v>
      </c>
      <c r="AB122" s="52"/>
      <c r="AE122" s="33"/>
      <c r="AF122" s="33" t="s">
        <v>4581</v>
      </c>
      <c r="AI122" s="33" t="s">
        <v>4582</v>
      </c>
      <c r="AJ122" s="33" t="s">
        <v>4583</v>
      </c>
      <c r="AK122" s="33" t="s">
        <v>4077</v>
      </c>
      <c r="AL122" s="33" t="s">
        <v>29</v>
      </c>
      <c r="AO122" s="34"/>
      <c r="AP122" s="83"/>
      <c r="AQ122" s="85"/>
      <c r="AR122" s="86"/>
      <c r="AS122" s="87">
        <v>4</v>
      </c>
      <c r="AT122" s="76">
        <v>2</v>
      </c>
      <c r="AU122" s="78">
        <v>4</v>
      </c>
      <c r="AV122" s="85"/>
      <c r="AW122" s="93">
        <v>2</v>
      </c>
      <c r="AX122" s="94">
        <v>1</v>
      </c>
      <c r="AY122" s="90"/>
      <c r="BB122" s="91">
        <v>2</v>
      </c>
      <c r="BE122" s="34"/>
      <c r="BF122" s="33" t="s">
        <v>4584</v>
      </c>
      <c r="BG122" s="33" t="s">
        <v>4585</v>
      </c>
    </row>
    <row r="123" spans="1:59" ht="15" customHeight="1">
      <c r="A123" s="33" t="s">
        <v>4037</v>
      </c>
      <c r="B123" s="33" t="s">
        <v>4950</v>
      </c>
      <c r="C123" s="33" t="s">
        <v>57</v>
      </c>
      <c r="D123" s="33">
        <v>121</v>
      </c>
      <c r="E123" s="33">
        <v>1</v>
      </c>
      <c r="F123" s="33" t="s">
        <v>4577</v>
      </c>
      <c r="G123" s="33" t="s">
        <v>4582</v>
      </c>
      <c r="H123" s="33" t="s">
        <v>4583</v>
      </c>
      <c r="I123" s="33" t="s">
        <v>4077</v>
      </c>
      <c r="J123" s="33" t="s">
        <v>29</v>
      </c>
      <c r="M123" s="34"/>
      <c r="N123" s="83"/>
      <c r="O123" s="85"/>
      <c r="P123" s="86"/>
      <c r="Q123" s="87">
        <v>4</v>
      </c>
      <c r="R123" s="76">
        <v>2</v>
      </c>
      <c r="T123" s="78">
        <v>4</v>
      </c>
      <c r="U123" s="85"/>
      <c r="V123" s="93">
        <v>2</v>
      </c>
      <c r="W123" s="94">
        <v>1</v>
      </c>
      <c r="X123" s="90"/>
      <c r="AA123" s="91">
        <v>2</v>
      </c>
      <c r="AD123" s="34"/>
      <c r="AE123" s="33" t="s">
        <v>4584</v>
      </c>
      <c r="AF123" s="33" t="s">
        <v>4585</v>
      </c>
      <c r="AO123" s="34"/>
      <c r="AP123" s="83"/>
      <c r="AQ123" s="85"/>
      <c r="AR123" s="86"/>
      <c r="AS123" s="87"/>
      <c r="AV123" s="85"/>
      <c r="AW123" s="93"/>
      <c r="AX123" s="94"/>
      <c r="AY123" s="90"/>
      <c r="BB123" s="91"/>
      <c r="BE123" s="34"/>
      <c r="BF123" s="33"/>
    </row>
    <row r="124" spans="1:59" ht="15" customHeight="1">
      <c r="A124" s="33" t="s">
        <v>4037</v>
      </c>
      <c r="B124" s="33" t="s">
        <v>4758</v>
      </c>
      <c r="C124" s="33" t="s">
        <v>57</v>
      </c>
      <c r="D124" s="33">
        <v>122</v>
      </c>
      <c r="E124" s="33">
        <v>1</v>
      </c>
      <c r="F124" s="33" t="s">
        <v>4577</v>
      </c>
      <c r="G124" s="33" t="s">
        <v>4586</v>
      </c>
      <c r="J124" s="33" t="s">
        <v>4473</v>
      </c>
      <c r="L124" s="33">
        <v>2</v>
      </c>
      <c r="N124" s="83"/>
      <c r="Z124" s="78">
        <v>8</v>
      </c>
      <c r="AB124" s="52"/>
      <c r="AE124" s="33"/>
      <c r="AF124" s="33" t="s">
        <v>4581</v>
      </c>
      <c r="AI124" s="33" t="s">
        <v>4587</v>
      </c>
      <c r="AL124" s="33" t="s">
        <v>4473</v>
      </c>
      <c r="AN124" s="33">
        <v>2</v>
      </c>
      <c r="AO124" s="34"/>
      <c r="AP124" s="83"/>
      <c r="AQ124" s="85"/>
      <c r="AR124" s="86"/>
      <c r="AS124" s="87"/>
      <c r="AV124" s="85"/>
      <c r="AW124" s="93"/>
      <c r="AX124" s="94"/>
      <c r="AY124" s="90"/>
      <c r="BB124" s="91"/>
      <c r="BE124" s="34"/>
      <c r="BF124" s="33"/>
      <c r="BG124" s="33" t="s">
        <v>4588</v>
      </c>
    </row>
    <row r="125" spans="1:59" ht="15" customHeight="1">
      <c r="A125" s="33" t="s">
        <v>4037</v>
      </c>
      <c r="B125" s="33" t="s">
        <v>4759</v>
      </c>
      <c r="C125" s="33" t="s">
        <v>57</v>
      </c>
      <c r="D125" s="33">
        <v>123</v>
      </c>
      <c r="E125" s="33">
        <v>1</v>
      </c>
      <c r="F125" s="33" t="s">
        <v>4577</v>
      </c>
      <c r="G125" s="33" t="s">
        <v>4589</v>
      </c>
      <c r="J125" s="33" t="s">
        <v>4475</v>
      </c>
      <c r="L125" s="33">
        <v>1</v>
      </c>
      <c r="N125" s="83"/>
      <c r="Y125" s="92" t="s">
        <v>38</v>
      </c>
      <c r="AB125" s="52"/>
      <c r="AE125" s="33"/>
      <c r="AF125" s="33" t="s">
        <v>4590</v>
      </c>
      <c r="AI125" s="33" t="s">
        <v>4591</v>
      </c>
      <c r="AL125" s="33" t="s">
        <v>4475</v>
      </c>
      <c r="AN125" s="33">
        <v>1</v>
      </c>
      <c r="AO125" s="34"/>
      <c r="AP125" s="83"/>
      <c r="AQ125" s="85"/>
      <c r="AR125" s="86"/>
      <c r="AS125" s="87"/>
      <c r="AV125" s="85"/>
      <c r="AW125" s="93"/>
      <c r="AX125" s="94"/>
      <c r="AY125" s="90"/>
      <c r="BB125" s="91"/>
      <c r="BE125" s="34"/>
      <c r="BF125" s="33"/>
      <c r="BG125" s="33" t="s">
        <v>4592</v>
      </c>
    </row>
    <row r="126" spans="1:59" ht="15" customHeight="1">
      <c r="A126" s="33" t="s">
        <v>4037</v>
      </c>
      <c r="B126" s="33" t="s">
        <v>4760</v>
      </c>
      <c r="C126" s="33" t="s">
        <v>57</v>
      </c>
      <c r="D126" s="33">
        <v>124</v>
      </c>
      <c r="E126" s="33">
        <v>1</v>
      </c>
      <c r="F126" s="33" t="s">
        <v>4577</v>
      </c>
      <c r="G126" s="33" t="s">
        <v>4593</v>
      </c>
      <c r="J126" s="33" t="s">
        <v>31</v>
      </c>
      <c r="N126" s="83"/>
      <c r="AB126" s="52"/>
      <c r="AD126" s="33" t="s">
        <v>4317</v>
      </c>
      <c r="AE126" s="33"/>
      <c r="AI126" s="33" t="s">
        <v>4593</v>
      </c>
      <c r="AL126" s="33" t="s">
        <v>31</v>
      </c>
      <c r="AO126" s="34"/>
      <c r="AP126" s="83"/>
      <c r="AQ126" s="85"/>
      <c r="AR126" s="86"/>
      <c r="AS126" s="87"/>
      <c r="AV126" s="85"/>
      <c r="AW126" s="93"/>
      <c r="AX126" s="94"/>
      <c r="AY126" s="90">
        <v>2</v>
      </c>
      <c r="AZ126" s="76" t="s">
        <v>4927</v>
      </c>
      <c r="BB126" s="91"/>
      <c r="BE126" s="34" t="s">
        <v>4317</v>
      </c>
      <c r="BF126" s="33"/>
      <c r="BG126" s="33" t="s">
        <v>4594</v>
      </c>
    </row>
    <row r="127" spans="1:59" ht="15" customHeight="1">
      <c r="A127" s="33" t="s">
        <v>4037</v>
      </c>
      <c r="B127" s="33" t="s">
        <v>4761</v>
      </c>
      <c r="C127" s="33" t="s">
        <v>57</v>
      </c>
      <c r="D127" s="33">
        <v>125</v>
      </c>
      <c r="E127" s="33">
        <v>1</v>
      </c>
      <c r="F127" s="33" t="s">
        <v>4577</v>
      </c>
      <c r="G127" s="33" t="s">
        <v>4595</v>
      </c>
      <c r="J127" s="33" t="s">
        <v>31</v>
      </c>
      <c r="N127" s="83"/>
      <c r="AB127" s="52"/>
      <c r="AD127" s="33" t="s">
        <v>4596</v>
      </c>
      <c r="AE127" s="33"/>
      <c r="AI127" s="33" t="s">
        <v>4595</v>
      </c>
      <c r="AL127" s="33" t="s">
        <v>31</v>
      </c>
      <c r="AO127" s="34"/>
      <c r="AP127" s="83"/>
      <c r="AQ127" s="85"/>
      <c r="AR127" s="86"/>
      <c r="AS127" s="87"/>
      <c r="AV127" s="85"/>
      <c r="AW127" s="93"/>
      <c r="AX127" s="94"/>
      <c r="AY127" s="90">
        <v>1</v>
      </c>
      <c r="AZ127" s="76" t="s">
        <v>4927</v>
      </c>
      <c r="BB127" s="91"/>
      <c r="BE127" s="34" t="s">
        <v>4596</v>
      </c>
      <c r="BF127" s="33"/>
    </row>
    <row r="128" spans="1:59" ht="15" customHeight="1">
      <c r="A128" s="33" t="s">
        <v>4037</v>
      </c>
      <c r="B128" s="33" t="s">
        <v>4762</v>
      </c>
      <c r="C128" s="33" t="s">
        <v>57</v>
      </c>
      <c r="D128" s="33">
        <v>126</v>
      </c>
      <c r="E128" s="33">
        <v>1</v>
      </c>
      <c r="F128" s="33" t="s">
        <v>4577</v>
      </c>
      <c r="G128" s="33" t="s">
        <v>4597</v>
      </c>
      <c r="J128" s="33" t="s">
        <v>31</v>
      </c>
      <c r="N128" s="83"/>
      <c r="AB128" s="52"/>
      <c r="AD128" s="33" t="s">
        <v>4317</v>
      </c>
      <c r="AE128" s="33"/>
      <c r="AI128" s="33" t="s">
        <v>4597</v>
      </c>
      <c r="AJ128" s="33" t="s">
        <v>4598</v>
      </c>
      <c r="AL128" s="33" t="s">
        <v>31</v>
      </c>
      <c r="AO128" s="34"/>
      <c r="AP128" s="83"/>
      <c r="AQ128" s="85"/>
      <c r="AR128" s="86"/>
      <c r="AS128" s="87"/>
      <c r="AV128" s="85"/>
      <c r="AW128" s="93"/>
      <c r="AX128" s="94"/>
      <c r="AY128" s="90">
        <v>3</v>
      </c>
      <c r="AZ128" s="76" t="s">
        <v>4927</v>
      </c>
      <c r="BB128" s="91"/>
      <c r="BE128" s="34" t="s">
        <v>4317</v>
      </c>
      <c r="BF128" s="33"/>
      <c r="BG128" s="33" t="s">
        <v>4599</v>
      </c>
    </row>
    <row r="129" spans="1:59" ht="15" customHeight="1">
      <c r="A129" s="33" t="s">
        <v>4037</v>
      </c>
      <c r="B129" s="33" t="s">
        <v>4763</v>
      </c>
      <c r="C129" s="33" t="s">
        <v>57</v>
      </c>
      <c r="D129" s="33">
        <v>127</v>
      </c>
      <c r="E129" s="33">
        <v>1</v>
      </c>
      <c r="F129" s="33" t="s">
        <v>4577</v>
      </c>
      <c r="G129" s="33" t="s">
        <v>4597</v>
      </c>
      <c r="J129" s="33" t="s">
        <v>31</v>
      </c>
      <c r="N129" s="83"/>
      <c r="AB129" s="52"/>
      <c r="AD129" s="33" t="s">
        <v>4317</v>
      </c>
      <c r="AE129" s="33"/>
      <c r="AI129" s="33" t="s">
        <v>4597</v>
      </c>
      <c r="AJ129" s="33" t="s">
        <v>4600</v>
      </c>
      <c r="AL129" s="33" t="s">
        <v>31</v>
      </c>
      <c r="AO129" s="34"/>
      <c r="AP129" s="83"/>
      <c r="AQ129" s="85"/>
      <c r="AR129" s="86"/>
      <c r="AS129" s="87"/>
      <c r="AV129" s="85"/>
      <c r="AW129" s="93"/>
      <c r="AX129" s="94"/>
      <c r="AY129" s="90">
        <v>2</v>
      </c>
      <c r="AZ129" s="76" t="s">
        <v>4927</v>
      </c>
      <c r="BB129" s="91"/>
      <c r="BE129" s="34" t="s">
        <v>4317</v>
      </c>
      <c r="BF129" s="33"/>
      <c r="BG129" s="33" t="s">
        <v>4601</v>
      </c>
    </row>
    <row r="130" spans="1:59" ht="15" customHeight="1">
      <c r="A130" s="33" t="s">
        <v>4037</v>
      </c>
      <c r="B130" s="33" t="s">
        <v>4452</v>
      </c>
      <c r="C130" s="33" t="s">
        <v>57</v>
      </c>
      <c r="D130" s="33">
        <v>128</v>
      </c>
      <c r="E130" s="33">
        <v>1</v>
      </c>
      <c r="F130" s="33" t="s">
        <v>4577</v>
      </c>
      <c r="G130" s="33" t="s">
        <v>4316</v>
      </c>
      <c r="J130" s="33" t="s">
        <v>31</v>
      </c>
      <c r="N130" s="83"/>
      <c r="AB130" s="52"/>
      <c r="AD130" s="33" t="s">
        <v>4317</v>
      </c>
      <c r="AE130" s="33"/>
      <c r="AI130" s="33" t="s">
        <v>4316</v>
      </c>
      <c r="AL130" s="33" t="s">
        <v>31</v>
      </c>
      <c r="AP130" s="83"/>
      <c r="AY130" s="81">
        <v>2</v>
      </c>
      <c r="AZ130" s="76" t="s">
        <v>4927</v>
      </c>
      <c r="BE130" s="33" t="s">
        <v>4317</v>
      </c>
      <c r="BF130" s="33"/>
      <c r="BG130" s="33" t="s">
        <v>4485</v>
      </c>
    </row>
    <row r="131" spans="1:59" ht="15" customHeight="1">
      <c r="A131" s="33" t="s">
        <v>4037</v>
      </c>
      <c r="B131" s="33" t="s">
        <v>4453</v>
      </c>
      <c r="C131" s="33" t="s">
        <v>57</v>
      </c>
      <c r="D131" s="33">
        <v>129</v>
      </c>
      <c r="E131" s="33">
        <v>1</v>
      </c>
      <c r="F131" s="33" t="s">
        <v>4577</v>
      </c>
      <c r="G131" s="33" t="s">
        <v>4318</v>
      </c>
      <c r="J131" s="33" t="s">
        <v>31</v>
      </c>
      <c r="N131" s="83"/>
      <c r="AB131" s="52"/>
      <c r="AD131" s="33" t="s">
        <v>4317</v>
      </c>
      <c r="AE131" s="33"/>
      <c r="AI131" s="33" t="s">
        <v>4318</v>
      </c>
      <c r="AL131" s="33" t="s">
        <v>31</v>
      </c>
      <c r="AP131" s="83"/>
      <c r="AY131" s="81">
        <v>4</v>
      </c>
      <c r="AZ131" s="76" t="s">
        <v>4965</v>
      </c>
      <c r="BB131" s="82">
        <v>1</v>
      </c>
      <c r="BE131" s="33" t="s">
        <v>4317</v>
      </c>
      <c r="BF131" s="33"/>
      <c r="BG131" s="33" t="s">
        <v>4602</v>
      </c>
    </row>
    <row r="132" spans="1:59" ht="15" customHeight="1">
      <c r="A132" s="33" t="s">
        <v>4037</v>
      </c>
      <c r="B132" s="33" t="s">
        <v>4746</v>
      </c>
      <c r="C132" s="33" t="s">
        <v>57</v>
      </c>
      <c r="D132" s="33">
        <v>130</v>
      </c>
      <c r="E132" s="33">
        <v>1</v>
      </c>
      <c r="F132" s="33" t="s">
        <v>4577</v>
      </c>
      <c r="G132" s="33" t="s">
        <v>4603</v>
      </c>
      <c r="J132" s="33" t="s">
        <v>31</v>
      </c>
      <c r="N132" s="83"/>
      <c r="AB132" s="52"/>
      <c r="AD132" s="33" t="s">
        <v>4317</v>
      </c>
      <c r="AE132" s="33"/>
      <c r="AI132" s="33" t="s">
        <v>4603</v>
      </c>
      <c r="AJ132" s="33" t="s">
        <v>4604</v>
      </c>
      <c r="AL132" s="33" t="s">
        <v>31</v>
      </c>
      <c r="AO132" s="34"/>
      <c r="AP132" s="83"/>
      <c r="AQ132" s="85"/>
      <c r="AR132" s="86"/>
      <c r="AS132" s="87"/>
      <c r="AV132" s="85"/>
      <c r="AW132" s="93"/>
      <c r="AX132" s="94"/>
      <c r="AY132" s="90">
        <v>3</v>
      </c>
      <c r="AZ132" s="76" t="s">
        <v>4927</v>
      </c>
      <c r="BB132" s="91"/>
      <c r="BE132" s="34" t="s">
        <v>4317</v>
      </c>
      <c r="BF132" s="33"/>
      <c r="BG132" s="33" t="s">
        <v>4605</v>
      </c>
    </row>
    <row r="133" spans="1:59" ht="15" customHeight="1">
      <c r="A133" s="33" t="s">
        <v>4037</v>
      </c>
      <c r="B133" s="33" t="s">
        <v>4747</v>
      </c>
      <c r="C133" s="33" t="s">
        <v>57</v>
      </c>
      <c r="D133" s="33">
        <v>131</v>
      </c>
      <c r="E133" s="33">
        <v>1</v>
      </c>
      <c r="F133" s="33" t="s">
        <v>4577</v>
      </c>
      <c r="G133" s="33" t="s">
        <v>4603</v>
      </c>
      <c r="J133" s="33" t="s">
        <v>31</v>
      </c>
      <c r="N133" s="83"/>
      <c r="AB133" s="52"/>
      <c r="AD133" s="33" t="s">
        <v>4317</v>
      </c>
      <c r="AE133" s="33"/>
      <c r="AI133" s="33" t="s">
        <v>4603</v>
      </c>
      <c r="AJ133" s="33" t="s">
        <v>4606</v>
      </c>
      <c r="AL133" s="33" t="s">
        <v>31</v>
      </c>
      <c r="AO133" s="34"/>
      <c r="AP133" s="83"/>
      <c r="AQ133" s="85"/>
      <c r="AR133" s="86"/>
      <c r="AS133" s="87"/>
      <c r="AV133" s="85"/>
      <c r="AW133" s="93"/>
      <c r="AX133" s="94"/>
      <c r="AY133" s="90">
        <v>3</v>
      </c>
      <c r="AZ133" s="76" t="s">
        <v>4965</v>
      </c>
      <c r="BB133" s="91"/>
      <c r="BE133" s="34" t="s">
        <v>4317</v>
      </c>
      <c r="BF133" s="33"/>
      <c r="BG133" s="33" t="s">
        <v>4607</v>
      </c>
    </row>
    <row r="134" spans="1:59" ht="15" customHeight="1">
      <c r="A134" s="33" t="s">
        <v>4037</v>
      </c>
      <c r="B134" s="33" t="s">
        <v>4748</v>
      </c>
      <c r="C134" s="33" t="s">
        <v>57</v>
      </c>
      <c r="D134" s="33">
        <v>132</v>
      </c>
      <c r="E134" s="33">
        <v>1</v>
      </c>
      <c r="F134" s="33" t="s">
        <v>4577</v>
      </c>
      <c r="G134" s="33" t="s">
        <v>4608</v>
      </c>
      <c r="J134" s="33" t="s">
        <v>31</v>
      </c>
      <c r="N134" s="83"/>
      <c r="AB134" s="52"/>
      <c r="AD134" s="33" t="s">
        <v>4317</v>
      </c>
      <c r="AE134" s="33"/>
      <c r="AI134" s="33" t="s">
        <v>4608</v>
      </c>
      <c r="AL134" s="33" t="s">
        <v>31</v>
      </c>
      <c r="AO134" s="34"/>
      <c r="AP134" s="83"/>
      <c r="AQ134" s="85"/>
      <c r="AR134" s="86"/>
      <c r="AS134" s="87"/>
      <c r="AV134" s="85"/>
      <c r="AW134" s="93"/>
      <c r="AX134" s="94"/>
      <c r="AY134" s="90">
        <v>2</v>
      </c>
      <c r="AZ134" s="76" t="s">
        <v>4927</v>
      </c>
      <c r="BB134" s="91"/>
      <c r="BE134" s="34" t="s">
        <v>4317</v>
      </c>
      <c r="BF134" s="33"/>
      <c r="BG134" s="33" t="s">
        <v>4609</v>
      </c>
    </row>
    <row r="135" spans="1:59" ht="15" customHeight="1">
      <c r="A135" s="33" t="s">
        <v>4037</v>
      </c>
      <c r="B135" s="33" t="s">
        <v>4749</v>
      </c>
      <c r="C135" s="33" t="s">
        <v>57</v>
      </c>
      <c r="D135" s="33">
        <v>133</v>
      </c>
      <c r="E135" s="33">
        <v>1</v>
      </c>
      <c r="F135" s="33" t="s">
        <v>4577</v>
      </c>
      <c r="G135" s="33" t="s">
        <v>4610</v>
      </c>
      <c r="J135" s="33" t="s">
        <v>31</v>
      </c>
      <c r="N135" s="83"/>
      <c r="AB135" s="52"/>
      <c r="AD135" s="33" t="s">
        <v>4317</v>
      </c>
      <c r="AE135" s="33"/>
      <c r="AI135" s="33" t="s">
        <v>4610</v>
      </c>
      <c r="AL135" s="33" t="s">
        <v>31</v>
      </c>
      <c r="AO135" s="34"/>
      <c r="AP135" s="83"/>
      <c r="AQ135" s="85"/>
      <c r="AR135" s="86"/>
      <c r="AS135" s="87"/>
      <c r="AV135" s="85"/>
      <c r="AW135" s="93"/>
      <c r="AX135" s="94"/>
      <c r="AY135" s="90">
        <v>1</v>
      </c>
      <c r="AZ135" s="76" t="s">
        <v>4965</v>
      </c>
      <c r="BB135" s="91">
        <v>1</v>
      </c>
      <c r="BE135" s="34" t="s">
        <v>4317</v>
      </c>
      <c r="BF135" s="33"/>
      <c r="BG135" s="33" t="s">
        <v>4611</v>
      </c>
    </row>
    <row r="136" spans="1:59" ht="15" customHeight="1">
      <c r="A136" s="33" t="s">
        <v>4037</v>
      </c>
      <c r="B136" s="33" t="s">
        <v>4750</v>
      </c>
      <c r="C136" s="33" t="s">
        <v>57</v>
      </c>
      <c r="D136" s="33">
        <v>134</v>
      </c>
      <c r="E136" s="33">
        <v>1</v>
      </c>
      <c r="F136" s="33" t="s">
        <v>4577</v>
      </c>
      <c r="G136" s="33" t="s">
        <v>4612</v>
      </c>
      <c r="J136" s="33" t="s">
        <v>31</v>
      </c>
      <c r="N136" s="83"/>
      <c r="AB136" s="52"/>
      <c r="AD136" s="33" t="s">
        <v>4317</v>
      </c>
      <c r="AE136" s="33"/>
      <c r="AI136" s="33" t="s">
        <v>4612</v>
      </c>
      <c r="AL136" s="33" t="s">
        <v>31</v>
      </c>
      <c r="AO136" s="34"/>
      <c r="AP136" s="83"/>
      <c r="AQ136" s="85"/>
      <c r="AR136" s="86"/>
      <c r="AS136" s="87"/>
      <c r="AV136" s="85"/>
      <c r="AW136" s="93"/>
      <c r="AX136" s="94"/>
      <c r="AY136" s="90">
        <v>3</v>
      </c>
      <c r="AZ136" s="76" t="s">
        <v>4965</v>
      </c>
      <c r="BB136" s="91">
        <v>1</v>
      </c>
      <c r="BE136" s="34" t="s">
        <v>4317</v>
      </c>
      <c r="BF136" s="33"/>
      <c r="BG136" s="33" t="s">
        <v>4613</v>
      </c>
    </row>
    <row r="137" spans="1:59" ht="15" customHeight="1">
      <c r="A137" s="33" t="s">
        <v>4037</v>
      </c>
      <c r="B137" s="33" t="s">
        <v>4751</v>
      </c>
      <c r="C137" s="33" t="s">
        <v>57</v>
      </c>
      <c r="D137" s="33">
        <v>135</v>
      </c>
      <c r="E137" s="33">
        <v>3</v>
      </c>
      <c r="F137" s="33" t="s">
        <v>4577</v>
      </c>
      <c r="G137" s="33" t="s">
        <v>4614</v>
      </c>
      <c r="J137" s="33" t="s">
        <v>28</v>
      </c>
      <c r="N137" s="83"/>
      <c r="AB137" s="52"/>
      <c r="AD137" s="33" t="s">
        <v>4293</v>
      </c>
      <c r="AE137" s="33" t="s">
        <v>4615</v>
      </c>
      <c r="AF137" s="33" t="s">
        <v>4616</v>
      </c>
      <c r="AO137" s="34"/>
      <c r="AP137" s="83"/>
      <c r="AQ137" s="85"/>
      <c r="AR137" s="86"/>
      <c r="AS137" s="87"/>
      <c r="AV137" s="85"/>
      <c r="AW137" s="93"/>
      <c r="AX137" s="94"/>
      <c r="AY137" s="90"/>
      <c r="BB137" s="91"/>
      <c r="BE137" s="34"/>
      <c r="BF137" s="33"/>
    </row>
    <row r="138" spans="1:59" ht="15" customHeight="1">
      <c r="A138" s="33" t="s">
        <v>4037</v>
      </c>
      <c r="B138" s="33" t="s">
        <v>4752</v>
      </c>
      <c r="C138" s="33" t="s">
        <v>57</v>
      </c>
      <c r="D138" s="33">
        <v>136</v>
      </c>
      <c r="E138" s="33">
        <v>2</v>
      </c>
      <c r="F138" s="33" t="s">
        <v>4577</v>
      </c>
      <c r="G138" s="33" t="s">
        <v>4617</v>
      </c>
      <c r="J138" s="33" t="s">
        <v>28</v>
      </c>
      <c r="N138" s="83"/>
      <c r="AB138" s="52"/>
      <c r="AE138" s="33"/>
      <c r="AF138" s="33" t="s">
        <v>4618</v>
      </c>
      <c r="AO138" s="34"/>
      <c r="AP138" s="83"/>
      <c r="AQ138" s="85"/>
      <c r="AR138" s="86"/>
      <c r="AS138" s="87"/>
      <c r="AV138" s="85"/>
      <c r="AW138" s="93"/>
      <c r="AX138" s="94"/>
      <c r="AY138" s="90"/>
      <c r="BB138" s="91"/>
      <c r="BE138" s="34"/>
      <c r="BF138" s="33"/>
    </row>
    <row r="139" spans="1:59" ht="15" customHeight="1">
      <c r="A139" s="33" t="s">
        <v>4037</v>
      </c>
      <c r="B139" s="33" t="s">
        <v>4753</v>
      </c>
      <c r="C139" s="33" t="s">
        <v>57</v>
      </c>
      <c r="D139" s="33">
        <v>137</v>
      </c>
      <c r="E139" s="33">
        <v>1</v>
      </c>
      <c r="F139" s="33" t="s">
        <v>4764</v>
      </c>
      <c r="G139" s="33" t="s">
        <v>4619</v>
      </c>
      <c r="H139" s="33" t="s">
        <v>4620</v>
      </c>
      <c r="I139" s="33" t="s">
        <v>4077</v>
      </c>
      <c r="J139" s="33" t="s">
        <v>29</v>
      </c>
      <c r="N139" s="83"/>
      <c r="Q139" s="75">
        <v>4</v>
      </c>
      <c r="R139" s="76">
        <v>2</v>
      </c>
      <c r="T139" s="78">
        <v>4</v>
      </c>
      <c r="V139" s="79">
        <v>2</v>
      </c>
      <c r="W139" s="80">
        <v>0</v>
      </c>
      <c r="AA139" s="82">
        <v>1</v>
      </c>
      <c r="AB139" s="52"/>
      <c r="AD139" s="33" t="s">
        <v>4321</v>
      </c>
      <c r="AE139" s="33" t="s">
        <v>4621</v>
      </c>
      <c r="AF139" s="33" t="s">
        <v>4622</v>
      </c>
      <c r="AO139" s="34"/>
      <c r="AP139" s="83"/>
      <c r="AQ139" s="85"/>
      <c r="AR139" s="86"/>
      <c r="AS139" s="87"/>
      <c r="AV139" s="85"/>
      <c r="AW139" s="93"/>
      <c r="AX139" s="94"/>
      <c r="AY139" s="90"/>
      <c r="BB139" s="91"/>
      <c r="BE139" s="34"/>
      <c r="BF139" s="33"/>
    </row>
    <row r="140" spans="1:59" ht="15" customHeight="1">
      <c r="A140" s="33" t="s">
        <v>4037</v>
      </c>
      <c r="B140" s="33" t="s">
        <v>4754</v>
      </c>
      <c r="C140" s="33" t="s">
        <v>57</v>
      </c>
      <c r="D140" s="33">
        <v>138</v>
      </c>
      <c r="E140" s="33">
        <v>1</v>
      </c>
      <c r="F140" s="33" t="s">
        <v>4764</v>
      </c>
      <c r="G140" s="33" t="s">
        <v>4623</v>
      </c>
      <c r="H140" s="33" t="s">
        <v>4624</v>
      </c>
      <c r="I140" s="33" t="s">
        <v>4077</v>
      </c>
      <c r="J140" s="33" t="s">
        <v>29</v>
      </c>
      <c r="N140" s="83"/>
      <c r="Q140" s="75">
        <v>3</v>
      </c>
      <c r="R140" s="76">
        <v>4</v>
      </c>
      <c r="T140" s="78">
        <v>4</v>
      </c>
      <c r="V140" s="79">
        <v>1</v>
      </c>
      <c r="W140" s="80">
        <v>1</v>
      </c>
      <c r="AA140" s="82">
        <v>1</v>
      </c>
      <c r="AB140" s="52"/>
      <c r="AD140" s="33" t="s">
        <v>4321</v>
      </c>
      <c r="AE140" s="33" t="s">
        <v>4625</v>
      </c>
      <c r="AF140" s="33" t="s">
        <v>4626</v>
      </c>
      <c r="AO140" s="34"/>
      <c r="AP140" s="83"/>
      <c r="AQ140" s="85"/>
      <c r="AR140" s="86"/>
      <c r="AS140" s="87"/>
      <c r="AV140" s="85"/>
      <c r="AW140" s="93"/>
      <c r="AX140" s="94"/>
      <c r="AY140" s="90"/>
      <c r="BB140" s="91"/>
      <c r="BE140" s="34"/>
      <c r="BF140" s="33"/>
    </row>
    <row r="141" spans="1:59" ht="15" customHeight="1">
      <c r="A141" s="33" t="s">
        <v>4037</v>
      </c>
      <c r="B141" s="33" t="s">
        <v>4755</v>
      </c>
      <c r="C141" s="33" t="s">
        <v>57</v>
      </c>
      <c r="D141" s="33">
        <v>139</v>
      </c>
      <c r="E141" s="33">
        <v>1</v>
      </c>
      <c r="F141" s="33" t="s">
        <v>4764</v>
      </c>
      <c r="G141" s="33" t="s">
        <v>4627</v>
      </c>
      <c r="H141" s="33" t="s">
        <v>4628</v>
      </c>
      <c r="I141" s="33" t="s">
        <v>4077</v>
      </c>
      <c r="J141" s="33" t="s">
        <v>29</v>
      </c>
      <c r="N141" s="83"/>
      <c r="Q141" s="75">
        <v>2</v>
      </c>
      <c r="R141" s="76">
        <v>3</v>
      </c>
      <c r="T141" s="78">
        <v>3</v>
      </c>
      <c r="V141" s="79">
        <v>1</v>
      </c>
      <c r="W141" s="80">
        <v>0</v>
      </c>
      <c r="AA141" s="82">
        <v>1</v>
      </c>
      <c r="AB141" s="52"/>
      <c r="AD141" s="33" t="s">
        <v>4629</v>
      </c>
      <c r="AE141" s="33" t="s">
        <v>4630</v>
      </c>
      <c r="AF141" s="33" t="s">
        <v>4631</v>
      </c>
      <c r="AO141" s="34"/>
      <c r="AP141" s="83"/>
      <c r="AQ141" s="85"/>
      <c r="AR141" s="86"/>
      <c r="AS141" s="87"/>
      <c r="AV141" s="85"/>
      <c r="AW141" s="93"/>
      <c r="AX141" s="94"/>
      <c r="AY141" s="90"/>
      <c r="BB141" s="91"/>
      <c r="BE141" s="34"/>
      <c r="BF141" s="33"/>
    </row>
    <row r="142" spans="1:59" ht="15" customHeight="1">
      <c r="A142" s="33" t="s">
        <v>4037</v>
      </c>
      <c r="B142" s="33" t="s">
        <v>4454</v>
      </c>
      <c r="C142" s="33" t="s">
        <v>57</v>
      </c>
      <c r="D142" s="33">
        <v>140</v>
      </c>
      <c r="E142" s="33">
        <v>1</v>
      </c>
      <c r="F142" s="33" t="s">
        <v>4764</v>
      </c>
      <c r="G142" s="33" t="s">
        <v>4319</v>
      </c>
      <c r="H142" s="33" t="s">
        <v>4320</v>
      </c>
      <c r="I142" s="33" t="s">
        <v>4077</v>
      </c>
      <c r="J142" s="33" t="s">
        <v>29</v>
      </c>
      <c r="N142" s="83"/>
      <c r="Q142" s="75">
        <v>3</v>
      </c>
      <c r="R142" s="76">
        <v>3</v>
      </c>
      <c r="T142" s="78">
        <v>3</v>
      </c>
      <c r="V142" s="79">
        <v>1</v>
      </c>
      <c r="W142" s="80">
        <v>0</v>
      </c>
      <c r="AA142" s="82">
        <v>1</v>
      </c>
      <c r="AB142" s="52"/>
      <c r="AD142" s="33" t="s">
        <v>4321</v>
      </c>
      <c r="AE142" s="33" t="s">
        <v>4632</v>
      </c>
      <c r="AF142" s="33" t="s">
        <v>4633</v>
      </c>
      <c r="AO142" s="34"/>
      <c r="AP142" s="83"/>
      <c r="AQ142" s="85"/>
      <c r="AR142" s="86"/>
      <c r="AS142" s="87"/>
      <c r="AV142" s="85"/>
      <c r="AW142" s="93"/>
      <c r="AX142" s="94"/>
      <c r="AY142" s="90"/>
      <c r="BB142" s="91"/>
      <c r="BE142" s="34"/>
      <c r="BF142" s="33"/>
    </row>
    <row r="143" spans="1:59" ht="15" customHeight="1">
      <c r="A143" s="33" t="s">
        <v>4037</v>
      </c>
      <c r="B143" s="33" t="s">
        <v>4455</v>
      </c>
      <c r="C143" s="33" t="s">
        <v>57</v>
      </c>
      <c r="D143" s="33">
        <v>141</v>
      </c>
      <c r="E143" s="33">
        <v>1</v>
      </c>
      <c r="F143" s="33" t="s">
        <v>4764</v>
      </c>
      <c r="G143" s="33" t="s">
        <v>4322</v>
      </c>
      <c r="H143" s="33" t="s">
        <v>4323</v>
      </c>
      <c r="I143" s="33" t="s">
        <v>4077</v>
      </c>
      <c r="J143" s="33" t="s">
        <v>29</v>
      </c>
      <c r="N143" s="83"/>
      <c r="Q143" s="75">
        <v>2</v>
      </c>
      <c r="R143" s="76">
        <v>5</v>
      </c>
      <c r="T143" s="78">
        <v>4</v>
      </c>
      <c r="V143" s="79">
        <v>1</v>
      </c>
      <c r="W143" s="80">
        <v>0</v>
      </c>
      <c r="AA143" s="82">
        <v>1</v>
      </c>
      <c r="AB143" s="52"/>
      <c r="AD143" s="33" t="s">
        <v>4321</v>
      </c>
      <c r="AE143" s="33" t="s">
        <v>4634</v>
      </c>
      <c r="AF143" s="33" t="s">
        <v>4635</v>
      </c>
      <c r="AO143" s="34"/>
      <c r="AP143" s="83"/>
      <c r="AQ143" s="85"/>
      <c r="AR143" s="86"/>
      <c r="AS143" s="87"/>
      <c r="AV143" s="85"/>
      <c r="AW143" s="93"/>
      <c r="AX143" s="94"/>
      <c r="AY143" s="90"/>
      <c r="BB143" s="91"/>
      <c r="BE143" s="34"/>
      <c r="BF143" s="33"/>
    </row>
    <row r="144" spans="1:59" ht="15" customHeight="1">
      <c r="A144" s="33" t="s">
        <v>4037</v>
      </c>
      <c r="B144" s="33" t="s">
        <v>4743</v>
      </c>
      <c r="C144" s="33" t="s">
        <v>57</v>
      </c>
      <c r="D144" s="33">
        <v>142</v>
      </c>
      <c r="E144" s="33">
        <v>1</v>
      </c>
      <c r="F144" s="33" t="s">
        <v>4636</v>
      </c>
      <c r="G144" s="33" t="s">
        <v>4636</v>
      </c>
      <c r="H144" s="33" t="s">
        <v>4563</v>
      </c>
      <c r="J144" s="33" t="s">
        <v>4472</v>
      </c>
      <c r="N144" s="83"/>
      <c r="AB144" s="52"/>
      <c r="AE144" s="33"/>
      <c r="AF144" s="33" t="s">
        <v>4637</v>
      </c>
      <c r="AI144" s="33" t="s">
        <v>4636</v>
      </c>
      <c r="AJ144" s="33" t="s">
        <v>4564</v>
      </c>
      <c r="AL144" s="33" t="s">
        <v>4472</v>
      </c>
      <c r="AO144" s="34"/>
      <c r="AP144" s="83"/>
      <c r="AQ144" s="85"/>
      <c r="AR144" s="86"/>
      <c r="AS144" s="87"/>
      <c r="AV144" s="85"/>
      <c r="AW144" s="93"/>
      <c r="AX144" s="94"/>
      <c r="AY144" s="90"/>
      <c r="BB144" s="91"/>
      <c r="BE144" s="34"/>
      <c r="BF144" s="33"/>
      <c r="BG144" s="33" t="s">
        <v>4638</v>
      </c>
    </row>
    <row r="145" spans="1:59" ht="15" customHeight="1">
      <c r="A145" s="33" t="s">
        <v>4037</v>
      </c>
      <c r="B145" s="33" t="s">
        <v>4744</v>
      </c>
      <c r="C145" s="33" t="s">
        <v>57</v>
      </c>
      <c r="D145" s="33">
        <v>143</v>
      </c>
      <c r="E145" s="33">
        <v>1</v>
      </c>
      <c r="F145" s="33" t="s">
        <v>4636</v>
      </c>
      <c r="G145" s="33" t="s">
        <v>4639</v>
      </c>
      <c r="J145" s="33" t="s">
        <v>4473</v>
      </c>
      <c r="L145" s="33">
        <v>1</v>
      </c>
      <c r="N145" s="83"/>
      <c r="Z145" s="78">
        <v>3</v>
      </c>
      <c r="AB145" s="52"/>
      <c r="AE145" s="33"/>
      <c r="AI145" s="33" t="s">
        <v>4640</v>
      </c>
      <c r="AL145" s="33" t="s">
        <v>4473</v>
      </c>
      <c r="AN145" s="33">
        <v>1</v>
      </c>
      <c r="AO145" s="34"/>
      <c r="AP145" s="83"/>
      <c r="AQ145" s="85"/>
      <c r="AR145" s="86"/>
      <c r="AS145" s="87"/>
      <c r="AV145" s="85"/>
      <c r="AW145" s="93"/>
      <c r="AX145" s="94"/>
      <c r="AY145" s="90"/>
      <c r="BB145" s="91"/>
      <c r="BE145" s="34"/>
      <c r="BF145" s="33"/>
      <c r="BG145" s="33" t="s">
        <v>4641</v>
      </c>
    </row>
    <row r="146" spans="1:59" ht="15" customHeight="1">
      <c r="A146" s="33" t="s">
        <v>4037</v>
      </c>
      <c r="B146" s="33" t="s">
        <v>4745</v>
      </c>
      <c r="C146" s="33" t="s">
        <v>57</v>
      </c>
      <c r="D146" s="33">
        <v>144</v>
      </c>
      <c r="E146" s="33">
        <v>1</v>
      </c>
      <c r="F146" s="33" t="s">
        <v>4636</v>
      </c>
      <c r="G146" s="33" t="s">
        <v>4642</v>
      </c>
      <c r="J146" s="33" t="s">
        <v>4473</v>
      </c>
      <c r="L146" s="33">
        <v>2</v>
      </c>
      <c r="N146" s="83"/>
      <c r="Z146" s="78">
        <v>5</v>
      </c>
      <c r="AB146" s="52"/>
      <c r="AE146" s="33"/>
      <c r="AF146" s="33" t="s">
        <v>4643</v>
      </c>
      <c r="AI146" s="33" t="s">
        <v>4644</v>
      </c>
      <c r="AL146" s="33" t="s">
        <v>4473</v>
      </c>
      <c r="AN146" s="33">
        <v>2</v>
      </c>
      <c r="AO146" s="34"/>
      <c r="AP146" s="83"/>
      <c r="AQ146" s="85"/>
      <c r="AR146" s="86"/>
      <c r="AS146" s="87"/>
      <c r="AV146" s="85"/>
      <c r="AW146" s="93"/>
      <c r="AX146" s="94"/>
      <c r="AY146" s="90"/>
      <c r="BB146" s="91"/>
      <c r="BE146" s="34"/>
      <c r="BF146" s="33"/>
      <c r="BG146" s="33" t="s">
        <v>4645</v>
      </c>
    </row>
    <row r="147" spans="1:59" ht="15" customHeight="1">
      <c r="A147" s="33" t="s">
        <v>4037</v>
      </c>
      <c r="B147" s="33" t="s">
        <v>4456</v>
      </c>
      <c r="C147" s="33" t="s">
        <v>57</v>
      </c>
      <c r="D147" s="33">
        <v>145</v>
      </c>
      <c r="E147" s="33">
        <v>1</v>
      </c>
      <c r="F147" s="33" t="s">
        <v>4636</v>
      </c>
      <c r="G147" s="33" t="s">
        <v>4324</v>
      </c>
      <c r="J147" s="33" t="s">
        <v>4473</v>
      </c>
      <c r="L147" s="33">
        <v>3</v>
      </c>
      <c r="N147" s="83"/>
      <c r="Z147" s="78">
        <v>5</v>
      </c>
      <c r="AB147" s="52"/>
      <c r="AE147" s="33"/>
      <c r="AF147" s="33" t="s">
        <v>4646</v>
      </c>
      <c r="AI147" s="33" t="s">
        <v>4636</v>
      </c>
      <c r="AL147" s="33" t="s">
        <v>4473</v>
      </c>
      <c r="AN147" s="33">
        <v>3</v>
      </c>
      <c r="AO147" s="34"/>
      <c r="AP147" s="83"/>
      <c r="AQ147" s="85"/>
      <c r="AR147" s="86"/>
      <c r="AS147" s="87"/>
      <c r="AV147" s="85"/>
      <c r="AW147" s="93"/>
      <c r="AX147" s="94"/>
      <c r="AY147" s="90"/>
      <c r="BB147" s="91"/>
      <c r="BE147" s="34"/>
      <c r="BF147" s="33"/>
      <c r="BG147" s="33" t="s">
        <v>4647</v>
      </c>
    </row>
    <row r="148" spans="1:59" ht="15" customHeight="1">
      <c r="A148" s="33" t="s">
        <v>4037</v>
      </c>
      <c r="B148" s="33" t="s">
        <v>4740</v>
      </c>
      <c r="C148" s="33" t="s">
        <v>57</v>
      </c>
      <c r="D148" s="33">
        <v>146</v>
      </c>
      <c r="E148" s="33">
        <v>1</v>
      </c>
      <c r="F148" s="33" t="s">
        <v>4636</v>
      </c>
      <c r="G148" s="33" t="s">
        <v>4648</v>
      </c>
      <c r="J148" s="33" t="s">
        <v>4475</v>
      </c>
      <c r="L148" s="33">
        <v>1</v>
      </c>
      <c r="N148" s="83"/>
      <c r="Y148" s="76" t="s">
        <v>4966</v>
      </c>
      <c r="AB148" s="52"/>
      <c r="AE148" s="33"/>
      <c r="AI148" s="33" t="s">
        <v>4649</v>
      </c>
      <c r="AL148" s="33" t="s">
        <v>4475</v>
      </c>
      <c r="AN148" s="33">
        <v>1</v>
      </c>
      <c r="AO148" s="34"/>
      <c r="AP148" s="83"/>
      <c r="AQ148" s="85"/>
      <c r="AR148" s="86"/>
      <c r="AS148" s="87"/>
      <c r="AV148" s="85"/>
      <c r="AW148" s="93"/>
      <c r="AX148" s="94"/>
      <c r="AY148" s="90"/>
      <c r="BB148" s="91"/>
      <c r="BE148" s="34"/>
      <c r="BF148" s="33"/>
      <c r="BG148" s="33" t="s">
        <v>4650</v>
      </c>
    </row>
    <row r="149" spans="1:59" ht="15" customHeight="1">
      <c r="A149" s="33" t="s">
        <v>4037</v>
      </c>
      <c r="B149" s="33" t="s">
        <v>4741</v>
      </c>
      <c r="C149" s="33" t="s">
        <v>57</v>
      </c>
      <c r="D149" s="33">
        <v>147</v>
      </c>
      <c r="E149" s="33">
        <v>1</v>
      </c>
      <c r="F149" s="33" t="s">
        <v>4636</v>
      </c>
      <c r="G149" s="33" t="s">
        <v>4651</v>
      </c>
      <c r="J149" s="33" t="s">
        <v>4475</v>
      </c>
      <c r="L149" s="33">
        <v>2</v>
      </c>
      <c r="N149" s="83"/>
      <c r="Y149" s="92" t="s">
        <v>38</v>
      </c>
      <c r="AB149" s="52"/>
      <c r="AE149" s="33"/>
      <c r="AF149" s="33" t="s">
        <v>4652</v>
      </c>
      <c r="AI149" s="33" t="s">
        <v>4653</v>
      </c>
      <c r="AL149" s="33" t="s">
        <v>4475</v>
      </c>
      <c r="AN149" s="33">
        <v>2</v>
      </c>
      <c r="AO149" s="34"/>
      <c r="AP149" s="83"/>
      <c r="AQ149" s="85"/>
      <c r="AR149" s="86"/>
      <c r="AS149" s="87"/>
      <c r="AV149" s="85"/>
      <c r="AW149" s="93"/>
      <c r="AX149" s="94"/>
      <c r="AY149" s="90"/>
      <c r="BB149" s="91"/>
      <c r="BE149" s="34"/>
      <c r="BF149" s="33"/>
      <c r="BG149" s="33" t="s">
        <v>4654</v>
      </c>
    </row>
    <row r="150" spans="1:59" ht="15" customHeight="1">
      <c r="A150" s="33" t="s">
        <v>4037</v>
      </c>
      <c r="B150" s="33" t="s">
        <v>4742</v>
      </c>
      <c r="C150" s="33" t="s">
        <v>57</v>
      </c>
      <c r="D150" s="33">
        <v>148</v>
      </c>
      <c r="E150" s="33">
        <v>1</v>
      </c>
      <c r="F150" s="33" t="s">
        <v>4636</v>
      </c>
      <c r="G150" s="33" t="s">
        <v>4655</v>
      </c>
      <c r="J150" s="33" t="s">
        <v>4475</v>
      </c>
      <c r="L150" s="33">
        <v>3</v>
      </c>
      <c r="N150" s="83"/>
      <c r="Y150" s="92" t="s">
        <v>38</v>
      </c>
      <c r="AB150" s="52"/>
      <c r="AE150" s="33"/>
      <c r="AF150" s="33" t="s">
        <v>4656</v>
      </c>
      <c r="AI150" s="33" t="s">
        <v>4657</v>
      </c>
      <c r="AL150" s="33" t="s">
        <v>4475</v>
      </c>
      <c r="AN150" s="33">
        <v>3</v>
      </c>
      <c r="AO150" s="34"/>
      <c r="AP150" s="83"/>
      <c r="AQ150" s="85"/>
      <c r="AR150" s="86"/>
      <c r="AS150" s="87"/>
      <c r="AV150" s="85"/>
      <c r="AW150" s="93"/>
      <c r="AX150" s="94"/>
      <c r="AY150" s="90"/>
      <c r="BB150" s="91"/>
      <c r="BE150" s="34"/>
      <c r="BF150" s="33"/>
      <c r="BG150" s="33" t="s">
        <v>4592</v>
      </c>
    </row>
    <row r="151" spans="1:59" ht="15" customHeight="1">
      <c r="A151" s="33" t="s">
        <v>4037</v>
      </c>
      <c r="B151" s="33" t="s">
        <v>4457</v>
      </c>
      <c r="C151" s="33" t="s">
        <v>57</v>
      </c>
      <c r="D151" s="33">
        <v>149</v>
      </c>
      <c r="E151" s="33">
        <v>1</v>
      </c>
      <c r="F151" s="33" t="s">
        <v>4636</v>
      </c>
      <c r="G151" s="33" t="s">
        <v>4325</v>
      </c>
      <c r="J151" s="33" t="s">
        <v>31</v>
      </c>
      <c r="N151" s="83"/>
      <c r="AB151" s="52"/>
      <c r="AD151" s="33" t="s">
        <v>4326</v>
      </c>
      <c r="AE151" s="33"/>
      <c r="AI151" s="33" t="s">
        <v>4325</v>
      </c>
      <c r="AL151" s="33" t="s">
        <v>31</v>
      </c>
      <c r="AP151" s="83"/>
      <c r="AY151" s="81">
        <v>2</v>
      </c>
      <c r="AZ151" s="76">
        <v>0</v>
      </c>
      <c r="BE151" s="33" t="s">
        <v>4326</v>
      </c>
      <c r="BF151" s="33"/>
      <c r="BG151" s="33" t="s">
        <v>4658</v>
      </c>
    </row>
    <row r="152" spans="1:59" ht="15" customHeight="1">
      <c r="A152" s="33" t="s">
        <v>4037</v>
      </c>
      <c r="B152" s="33" t="s">
        <v>4732</v>
      </c>
      <c r="C152" s="33" t="s">
        <v>57</v>
      </c>
      <c r="D152" s="33">
        <v>150</v>
      </c>
      <c r="E152" s="33">
        <v>1</v>
      </c>
      <c r="F152" s="33" t="s">
        <v>4636</v>
      </c>
      <c r="G152" s="33" t="s">
        <v>4659</v>
      </c>
      <c r="J152" s="33" t="s">
        <v>31</v>
      </c>
      <c r="N152" s="83"/>
      <c r="AB152" s="52"/>
      <c r="AD152" s="33" t="s">
        <v>4326</v>
      </c>
      <c r="AE152" s="33"/>
      <c r="AI152" s="33" t="s">
        <v>4659</v>
      </c>
      <c r="AJ152" s="33" t="s">
        <v>4660</v>
      </c>
      <c r="AL152" s="33" t="s">
        <v>31</v>
      </c>
      <c r="AP152" s="83"/>
      <c r="AY152" s="81">
        <v>4</v>
      </c>
      <c r="AZ152" s="76" t="s">
        <v>4927</v>
      </c>
      <c r="BE152" s="33" t="s">
        <v>4326</v>
      </c>
      <c r="BF152" s="33"/>
      <c r="BG152" s="33" t="s">
        <v>4661</v>
      </c>
    </row>
    <row r="153" spans="1:59" ht="15" customHeight="1">
      <c r="A153" s="33" t="s">
        <v>4037</v>
      </c>
      <c r="B153" s="33" t="s">
        <v>4733</v>
      </c>
      <c r="C153" s="33" t="s">
        <v>57</v>
      </c>
      <c r="D153" s="33">
        <v>151</v>
      </c>
      <c r="E153" s="33">
        <v>1</v>
      </c>
      <c r="F153" s="33" t="s">
        <v>4636</v>
      </c>
      <c r="G153" s="33" t="s">
        <v>4659</v>
      </c>
      <c r="J153" s="33" t="s">
        <v>31</v>
      </c>
      <c r="N153" s="83"/>
      <c r="AB153" s="52"/>
      <c r="AD153" s="33" t="s">
        <v>4326</v>
      </c>
      <c r="AE153" s="33"/>
      <c r="AI153" s="33" t="s">
        <v>4659</v>
      </c>
      <c r="AJ153" s="33" t="s">
        <v>4662</v>
      </c>
      <c r="AL153" s="33" t="s">
        <v>31</v>
      </c>
      <c r="AP153" s="83"/>
      <c r="AY153" s="81">
        <v>3</v>
      </c>
      <c r="AZ153" s="76" t="s">
        <v>4927</v>
      </c>
      <c r="BE153" s="33" t="s">
        <v>4326</v>
      </c>
      <c r="BF153" s="33"/>
      <c r="BG153" s="33" t="s">
        <v>4663</v>
      </c>
    </row>
    <row r="154" spans="1:59" ht="15" customHeight="1">
      <c r="A154" s="33" t="s">
        <v>4037</v>
      </c>
      <c r="B154" s="33" t="s">
        <v>4734</v>
      </c>
      <c r="C154" s="33" t="s">
        <v>57</v>
      </c>
      <c r="D154" s="33">
        <v>152</v>
      </c>
      <c r="E154" s="33">
        <v>1</v>
      </c>
      <c r="F154" s="33" t="s">
        <v>4636</v>
      </c>
      <c r="G154" s="33" t="s">
        <v>4659</v>
      </c>
      <c r="J154" s="33" t="s">
        <v>31</v>
      </c>
      <c r="N154" s="83"/>
      <c r="AB154" s="52"/>
      <c r="AD154" s="33" t="s">
        <v>4326</v>
      </c>
      <c r="AE154" s="33"/>
      <c r="AI154" s="33" t="s">
        <v>4659</v>
      </c>
      <c r="AJ154" s="33" t="s">
        <v>4664</v>
      </c>
      <c r="AL154" s="33" t="s">
        <v>31</v>
      </c>
      <c r="AP154" s="83"/>
      <c r="AY154" s="81">
        <v>2</v>
      </c>
      <c r="AZ154" s="76" t="s">
        <v>4927</v>
      </c>
      <c r="BE154" s="33" t="s">
        <v>4326</v>
      </c>
      <c r="BF154" s="33"/>
      <c r="BG154" s="33" t="s">
        <v>4665</v>
      </c>
    </row>
    <row r="155" spans="1:59" ht="15" customHeight="1">
      <c r="A155" s="33" t="s">
        <v>4037</v>
      </c>
      <c r="B155" s="33" t="s">
        <v>4735</v>
      </c>
      <c r="C155" s="33" t="s">
        <v>57</v>
      </c>
      <c r="D155" s="33">
        <v>153</v>
      </c>
      <c r="E155" s="33">
        <v>1</v>
      </c>
      <c r="F155" s="33" t="s">
        <v>4636</v>
      </c>
      <c r="G155" s="33" t="s">
        <v>4659</v>
      </c>
      <c r="J155" s="33" t="s">
        <v>31</v>
      </c>
      <c r="N155" s="83"/>
      <c r="AB155" s="52"/>
      <c r="AD155" s="33" t="s">
        <v>4326</v>
      </c>
      <c r="AE155" s="33"/>
      <c r="AI155" s="33" t="s">
        <v>4659</v>
      </c>
      <c r="AJ155" s="33" t="s">
        <v>4666</v>
      </c>
      <c r="AL155" s="33" t="s">
        <v>31</v>
      </c>
      <c r="AP155" s="83"/>
      <c r="AY155" s="81">
        <v>2</v>
      </c>
      <c r="AZ155" s="76" t="s">
        <v>4927</v>
      </c>
      <c r="BE155" s="33" t="s">
        <v>4326</v>
      </c>
      <c r="BF155" s="33"/>
      <c r="BG155" s="33" t="s">
        <v>4667</v>
      </c>
    </row>
    <row r="156" spans="1:59" ht="15" customHeight="1">
      <c r="A156" s="33" t="s">
        <v>4037</v>
      </c>
      <c r="B156" s="33" t="s">
        <v>4736</v>
      </c>
      <c r="C156" s="33" t="s">
        <v>57</v>
      </c>
      <c r="D156" s="33">
        <v>154</v>
      </c>
      <c r="E156" s="33">
        <v>1</v>
      </c>
      <c r="F156" s="33" t="s">
        <v>4636</v>
      </c>
      <c r="G156" s="33" t="s">
        <v>4659</v>
      </c>
      <c r="J156" s="33" t="s">
        <v>31</v>
      </c>
      <c r="N156" s="83"/>
      <c r="AB156" s="52"/>
      <c r="AD156" s="33" t="s">
        <v>4326</v>
      </c>
      <c r="AE156" s="33"/>
      <c r="AI156" s="33" t="s">
        <v>4659</v>
      </c>
      <c r="AJ156" s="33" t="s">
        <v>4668</v>
      </c>
      <c r="AL156" s="33" t="s">
        <v>31</v>
      </c>
      <c r="AP156" s="83"/>
      <c r="AY156" s="81">
        <v>2</v>
      </c>
      <c r="AZ156" s="76" t="s">
        <v>4927</v>
      </c>
      <c r="BE156" s="33" t="s">
        <v>4326</v>
      </c>
      <c r="BF156" s="33"/>
      <c r="BG156" s="33" t="s">
        <v>4669</v>
      </c>
    </row>
    <row r="157" spans="1:59" ht="15" customHeight="1">
      <c r="A157" s="33" t="s">
        <v>4037</v>
      </c>
      <c r="B157" s="33" t="s">
        <v>4737</v>
      </c>
      <c r="C157" s="33" t="s">
        <v>57</v>
      </c>
      <c r="D157" s="33">
        <v>155</v>
      </c>
      <c r="E157" s="33">
        <v>1</v>
      </c>
      <c r="F157" s="33" t="s">
        <v>4636</v>
      </c>
      <c r="G157" s="33" t="s">
        <v>4659</v>
      </c>
      <c r="J157" s="33" t="s">
        <v>31</v>
      </c>
      <c r="N157" s="83"/>
      <c r="AB157" s="52"/>
      <c r="AD157" s="33" t="s">
        <v>4326</v>
      </c>
      <c r="AE157" s="33"/>
      <c r="AI157" s="33" t="s">
        <v>4659</v>
      </c>
      <c r="AJ157" s="33" t="s">
        <v>4670</v>
      </c>
      <c r="AL157" s="33" t="s">
        <v>31</v>
      </c>
      <c r="AP157" s="83"/>
      <c r="AY157" s="81">
        <v>1</v>
      </c>
      <c r="AZ157" s="76">
        <v>0</v>
      </c>
      <c r="BE157" s="33" t="s">
        <v>4326</v>
      </c>
      <c r="BF157" s="33"/>
      <c r="BG157" s="33" t="s">
        <v>4671</v>
      </c>
    </row>
    <row r="158" spans="1:59" ht="15" customHeight="1">
      <c r="A158" s="33" t="s">
        <v>4037</v>
      </c>
      <c r="B158" s="33" t="s">
        <v>4738</v>
      </c>
      <c r="C158" s="33" t="s">
        <v>57</v>
      </c>
      <c r="D158" s="33">
        <v>156</v>
      </c>
      <c r="E158" s="33">
        <v>1</v>
      </c>
      <c r="F158" s="33" t="s">
        <v>4636</v>
      </c>
      <c r="G158" s="33" t="s">
        <v>4672</v>
      </c>
      <c r="J158" s="33" t="s">
        <v>31</v>
      </c>
      <c r="N158" s="83"/>
      <c r="AB158" s="52"/>
      <c r="AD158" s="33" t="s">
        <v>4673</v>
      </c>
      <c r="AE158" s="33"/>
      <c r="AI158" s="33" t="s">
        <v>4672</v>
      </c>
      <c r="AL158" s="33" t="s">
        <v>31</v>
      </c>
      <c r="AP158" s="83"/>
      <c r="AY158" s="81">
        <v>3</v>
      </c>
      <c r="AZ158" s="76" t="s">
        <v>4965</v>
      </c>
      <c r="BE158" s="33" t="s">
        <v>4673</v>
      </c>
      <c r="BF158" s="33"/>
      <c r="BG158" s="33" t="s">
        <v>4674</v>
      </c>
    </row>
    <row r="159" spans="1:59" ht="15" customHeight="1">
      <c r="A159" s="33" t="s">
        <v>4037</v>
      </c>
      <c r="B159" s="33" t="s">
        <v>4739</v>
      </c>
      <c r="C159" s="33" t="s">
        <v>57</v>
      </c>
      <c r="D159" s="33">
        <v>157</v>
      </c>
      <c r="E159" s="33">
        <v>1</v>
      </c>
      <c r="F159" s="33" t="s">
        <v>4636</v>
      </c>
      <c r="G159" s="33" t="s">
        <v>4675</v>
      </c>
      <c r="H159" s="33" t="s">
        <v>4636</v>
      </c>
      <c r="J159" s="33" t="s">
        <v>29</v>
      </c>
      <c r="N159" s="83"/>
      <c r="Q159" s="75">
        <v>5</v>
      </c>
      <c r="R159" s="76">
        <v>6</v>
      </c>
      <c r="T159" s="78">
        <v>6</v>
      </c>
      <c r="V159" s="79">
        <v>3</v>
      </c>
      <c r="W159" s="80">
        <v>3</v>
      </c>
      <c r="AB159" s="52"/>
      <c r="AD159" s="33" t="s">
        <v>4676</v>
      </c>
      <c r="AE159" s="33" t="s">
        <v>4677</v>
      </c>
      <c r="AF159" s="33" t="s">
        <v>4678</v>
      </c>
      <c r="AP159" s="83"/>
      <c r="BF159" s="33"/>
    </row>
    <row r="160" spans="1:59" ht="15" customHeight="1">
      <c r="A160" s="33" t="s">
        <v>4037</v>
      </c>
      <c r="B160" s="33" t="s">
        <v>4458</v>
      </c>
      <c r="C160" s="33" t="s">
        <v>57</v>
      </c>
      <c r="D160" s="33">
        <v>158</v>
      </c>
      <c r="E160" s="33">
        <v>2</v>
      </c>
      <c r="F160" s="33" t="s">
        <v>4636</v>
      </c>
      <c r="G160" s="33" t="s">
        <v>4327</v>
      </c>
      <c r="J160" s="33" t="s">
        <v>28</v>
      </c>
      <c r="N160" s="83"/>
      <c r="AB160" s="52"/>
      <c r="AD160" s="33" t="s">
        <v>4293</v>
      </c>
      <c r="AE160" s="33"/>
      <c r="AF160" s="33" t="s">
        <v>4486</v>
      </c>
      <c r="AO160" s="34"/>
      <c r="AP160" s="83"/>
      <c r="AQ160" s="85"/>
      <c r="AR160" s="86"/>
      <c r="AS160" s="87"/>
      <c r="AV160" s="85"/>
      <c r="AW160" s="93"/>
      <c r="AX160" s="94"/>
      <c r="AY160" s="90"/>
      <c r="BB160" s="91"/>
      <c r="BE160" s="34"/>
      <c r="BF160" s="33"/>
    </row>
    <row r="161" spans="1:58" ht="15" customHeight="1">
      <c r="A161" s="33" t="s">
        <v>4037</v>
      </c>
      <c r="B161" s="33" t="s">
        <v>4459</v>
      </c>
      <c r="C161" s="33" t="s">
        <v>57</v>
      </c>
      <c r="D161" s="33">
        <v>159</v>
      </c>
      <c r="E161" s="33">
        <v>3</v>
      </c>
      <c r="F161" s="33" t="s">
        <v>4765</v>
      </c>
      <c r="G161" s="33" t="s">
        <v>4328</v>
      </c>
      <c r="J161" s="33" t="s">
        <v>29</v>
      </c>
      <c r="N161" s="83"/>
      <c r="Q161" s="75">
        <v>1</v>
      </c>
      <c r="R161" s="76">
        <v>3</v>
      </c>
      <c r="T161" s="78">
        <v>1</v>
      </c>
      <c r="V161" s="79">
        <v>1</v>
      </c>
      <c r="W161" s="80">
        <v>0</v>
      </c>
      <c r="AB161" s="52"/>
      <c r="AD161" s="33" t="s">
        <v>30</v>
      </c>
      <c r="AE161" s="33"/>
      <c r="AF161" s="33" t="s">
        <v>4329</v>
      </c>
      <c r="AO161" s="34"/>
      <c r="AP161" s="83"/>
      <c r="AQ161" s="85"/>
      <c r="AR161" s="86"/>
      <c r="AS161" s="87"/>
      <c r="AV161" s="85"/>
      <c r="AW161" s="93"/>
      <c r="AX161" s="94"/>
      <c r="AY161" s="90"/>
      <c r="BB161" s="91"/>
      <c r="BE161" s="34"/>
      <c r="BF161" s="33"/>
    </row>
    <row r="162" spans="1:58" ht="15" customHeight="1">
      <c r="A162" s="33" t="s">
        <v>4037</v>
      </c>
      <c r="B162" s="33" t="s">
        <v>4460</v>
      </c>
      <c r="C162" s="33" t="s">
        <v>57</v>
      </c>
      <c r="D162" s="33">
        <v>160</v>
      </c>
      <c r="E162" s="33">
        <v>3</v>
      </c>
      <c r="F162" s="33" t="s">
        <v>4766</v>
      </c>
      <c r="G162" s="33" t="s">
        <v>4330</v>
      </c>
      <c r="J162" s="33" t="s">
        <v>29</v>
      </c>
      <c r="N162" s="83"/>
      <c r="Q162" s="75">
        <v>2</v>
      </c>
      <c r="R162" s="76">
        <v>2</v>
      </c>
      <c r="T162" s="78">
        <v>2</v>
      </c>
      <c r="V162" s="79">
        <v>1</v>
      </c>
      <c r="W162" s="80">
        <v>1</v>
      </c>
      <c r="AB162" s="52"/>
      <c r="AD162" s="33" t="s">
        <v>4314</v>
      </c>
      <c r="AE162" s="33"/>
      <c r="AO162" s="34"/>
      <c r="AP162" s="83"/>
      <c r="AQ162" s="85"/>
      <c r="AR162" s="86"/>
      <c r="AS162" s="87"/>
      <c r="AV162" s="85"/>
      <c r="AW162" s="93"/>
      <c r="AX162" s="94"/>
      <c r="AY162" s="90"/>
      <c r="BB162" s="91"/>
      <c r="BE162" s="34"/>
      <c r="BF162" s="33"/>
    </row>
    <row r="163" spans="1:58" ht="15" customHeight="1">
      <c r="A163" s="33" t="s">
        <v>4037</v>
      </c>
      <c r="B163" s="33" t="s">
        <v>4461</v>
      </c>
      <c r="C163" s="33" t="s">
        <v>57</v>
      </c>
      <c r="D163" s="33">
        <v>161</v>
      </c>
      <c r="E163" s="33">
        <v>1</v>
      </c>
      <c r="F163" s="33" t="s">
        <v>4766</v>
      </c>
      <c r="G163" s="33" t="s">
        <v>4331</v>
      </c>
      <c r="J163" s="33" t="s">
        <v>29</v>
      </c>
      <c r="N163" s="83"/>
      <c r="Q163" s="75">
        <v>3</v>
      </c>
      <c r="R163" s="76">
        <v>3</v>
      </c>
      <c r="T163" s="78">
        <v>3</v>
      </c>
      <c r="V163" s="79">
        <v>1</v>
      </c>
      <c r="W163" s="80">
        <v>1</v>
      </c>
      <c r="AB163" s="52"/>
      <c r="AD163" s="33" t="s">
        <v>4314</v>
      </c>
      <c r="AE163" s="33"/>
      <c r="AF163" s="33" t="s">
        <v>4487</v>
      </c>
      <c r="AO163" s="34"/>
      <c r="AP163" s="83"/>
      <c r="AQ163" s="85"/>
      <c r="AR163" s="86"/>
      <c r="AS163" s="87"/>
      <c r="AV163" s="85"/>
      <c r="AW163" s="93"/>
      <c r="AX163" s="94"/>
      <c r="AY163" s="90"/>
      <c r="BB163" s="91"/>
      <c r="BE163" s="34"/>
      <c r="BF163" s="33"/>
    </row>
    <row r="164" spans="1:58" ht="15" customHeight="1">
      <c r="A164" s="33" t="s">
        <v>4037</v>
      </c>
      <c r="B164" s="33" t="s">
        <v>4462</v>
      </c>
      <c r="C164" s="33" t="s">
        <v>57</v>
      </c>
      <c r="D164" s="33">
        <v>162</v>
      </c>
      <c r="E164" s="33">
        <v>3</v>
      </c>
      <c r="F164" s="33" t="s">
        <v>4766</v>
      </c>
      <c r="G164" s="33" t="s">
        <v>4332</v>
      </c>
      <c r="J164" s="33" t="s">
        <v>28</v>
      </c>
      <c r="N164" s="83"/>
      <c r="AB164" s="52"/>
      <c r="AD164" s="33" t="s">
        <v>4333</v>
      </c>
      <c r="AE164" s="33"/>
      <c r="AF164" s="33" t="s">
        <v>4488</v>
      </c>
      <c r="AO164" s="34"/>
      <c r="AP164" s="83"/>
      <c r="AQ164" s="85"/>
      <c r="AR164" s="86"/>
      <c r="AS164" s="87"/>
      <c r="AV164" s="85"/>
      <c r="AW164" s="93"/>
      <c r="AX164" s="94"/>
      <c r="AY164" s="90"/>
      <c r="BB164" s="91"/>
      <c r="BE164" s="34"/>
      <c r="BF164" s="33"/>
    </row>
    <row r="165" spans="1:58" ht="15" customHeight="1">
      <c r="A165" s="33" t="s">
        <v>4037</v>
      </c>
      <c r="B165" s="33" t="s">
        <v>4463</v>
      </c>
      <c r="C165" s="33" t="s">
        <v>57</v>
      </c>
      <c r="D165" s="33">
        <v>163</v>
      </c>
      <c r="E165" s="33">
        <v>3</v>
      </c>
      <c r="F165" s="33" t="s">
        <v>4767</v>
      </c>
      <c r="G165" s="33" t="s">
        <v>4334</v>
      </c>
      <c r="J165" s="33" t="s">
        <v>28</v>
      </c>
      <c r="N165" s="83"/>
      <c r="AB165" s="52"/>
      <c r="AD165" s="33" t="s">
        <v>4335</v>
      </c>
      <c r="AE165" s="33"/>
      <c r="AF165" s="33" t="s">
        <v>4489</v>
      </c>
      <c r="AO165" s="34"/>
      <c r="AP165" s="83"/>
      <c r="AQ165" s="85"/>
      <c r="AR165" s="86"/>
      <c r="AS165" s="87"/>
      <c r="AV165" s="85"/>
      <c r="AW165" s="93"/>
      <c r="AX165" s="94"/>
      <c r="AY165" s="90"/>
      <c r="BB165" s="91"/>
      <c r="BE165" s="34"/>
      <c r="BF165" s="33"/>
    </row>
    <row r="166" spans="1:58" ht="15" customHeight="1">
      <c r="A166" s="33" t="s">
        <v>4037</v>
      </c>
      <c r="B166" s="33" t="s">
        <v>4464</v>
      </c>
      <c r="C166" s="33" t="s">
        <v>57</v>
      </c>
      <c r="D166" s="33">
        <v>164</v>
      </c>
      <c r="E166" s="33">
        <v>2</v>
      </c>
      <c r="F166" s="33" t="s">
        <v>4767</v>
      </c>
      <c r="G166" s="33" t="s">
        <v>4336</v>
      </c>
      <c r="J166" s="33" t="s">
        <v>28</v>
      </c>
      <c r="N166" s="83"/>
      <c r="AB166" s="52"/>
      <c r="AD166" s="33" t="s">
        <v>4335</v>
      </c>
      <c r="AE166" s="33"/>
      <c r="AF166" s="33" t="s">
        <v>4490</v>
      </c>
      <c r="AO166" s="34"/>
      <c r="AP166" s="83"/>
      <c r="AQ166" s="85"/>
      <c r="AR166" s="86"/>
      <c r="AS166" s="87"/>
      <c r="AV166" s="85"/>
      <c r="AW166" s="93"/>
      <c r="AX166" s="94"/>
      <c r="AY166" s="90"/>
      <c r="BB166" s="91"/>
      <c r="BE166" s="34"/>
      <c r="BF166" s="33"/>
    </row>
    <row r="167" spans="1:58" ht="15" customHeight="1">
      <c r="A167" s="33" t="s">
        <v>4037</v>
      </c>
      <c r="B167" s="33" t="s">
        <v>4465</v>
      </c>
      <c r="C167" s="33" t="s">
        <v>57</v>
      </c>
      <c r="D167" s="33">
        <v>165</v>
      </c>
      <c r="E167" s="33">
        <v>2</v>
      </c>
      <c r="F167" s="33" t="s">
        <v>4767</v>
      </c>
      <c r="G167" s="33" t="s">
        <v>4337</v>
      </c>
      <c r="J167" s="33" t="s">
        <v>28</v>
      </c>
      <c r="N167" s="83"/>
      <c r="AB167" s="52"/>
      <c r="AD167" s="33" t="s">
        <v>4335</v>
      </c>
      <c r="AE167" s="33"/>
      <c r="AF167" s="33" t="s">
        <v>4491</v>
      </c>
      <c r="AO167" s="34"/>
      <c r="AP167" s="83"/>
      <c r="AQ167" s="85"/>
      <c r="AR167" s="86"/>
      <c r="AS167" s="87"/>
      <c r="AV167" s="85"/>
      <c r="AW167" s="93"/>
      <c r="AX167" s="94"/>
      <c r="AY167" s="90"/>
      <c r="BB167" s="91"/>
      <c r="BE167" s="34"/>
      <c r="BF167" s="33"/>
    </row>
    <row r="168" spans="1:58" ht="15" customHeight="1">
      <c r="A168" s="33" t="s">
        <v>4037</v>
      </c>
      <c r="B168" s="33" t="s">
        <v>4470</v>
      </c>
      <c r="C168" s="33" t="s">
        <v>57</v>
      </c>
      <c r="D168" s="33">
        <v>166</v>
      </c>
      <c r="E168" s="33">
        <v>3</v>
      </c>
      <c r="F168" s="33" t="s">
        <v>4345</v>
      </c>
      <c r="G168" s="33" t="s">
        <v>4345</v>
      </c>
      <c r="J168" s="33" t="s">
        <v>28</v>
      </c>
      <c r="N168" s="83"/>
      <c r="AB168" s="52"/>
      <c r="AD168" s="33" t="s">
        <v>4346</v>
      </c>
      <c r="AE168" s="33"/>
      <c r="AF168" s="33" t="s">
        <v>4494</v>
      </c>
      <c r="AO168" s="34"/>
      <c r="AP168" s="83"/>
      <c r="AQ168" s="85"/>
      <c r="AR168" s="86"/>
      <c r="AS168" s="87"/>
      <c r="AV168" s="85"/>
      <c r="AW168" s="93"/>
      <c r="AX168" s="94"/>
      <c r="AY168" s="90"/>
      <c r="BB168" s="91"/>
      <c r="BE168" s="34"/>
      <c r="BF168" s="33"/>
    </row>
    <row r="169" spans="1:58" ht="15" customHeight="1">
      <c r="A169" s="33" t="s">
        <v>4037</v>
      </c>
      <c r="B169" s="33" t="s">
        <v>4730</v>
      </c>
      <c r="C169" s="33" t="s">
        <v>57</v>
      </c>
      <c r="D169" s="33">
        <v>167</v>
      </c>
      <c r="E169" s="33">
        <v>2</v>
      </c>
      <c r="F169" s="33" t="s">
        <v>4768</v>
      </c>
      <c r="G169" s="33" t="s">
        <v>4679</v>
      </c>
      <c r="J169" s="33" t="s">
        <v>28</v>
      </c>
      <c r="N169" s="83"/>
      <c r="AB169" s="52"/>
      <c r="AD169" s="33" t="s">
        <v>4333</v>
      </c>
      <c r="AE169" s="33"/>
      <c r="AF169" s="33" t="s">
        <v>4680</v>
      </c>
      <c r="AO169" s="34"/>
      <c r="AP169" s="83"/>
      <c r="AQ169" s="85"/>
      <c r="AR169" s="86"/>
      <c r="AS169" s="87"/>
      <c r="AV169" s="85"/>
      <c r="AW169" s="93"/>
      <c r="AX169" s="94"/>
      <c r="AY169" s="90"/>
      <c r="BB169" s="91"/>
      <c r="BE169" s="34"/>
      <c r="BF169" s="33"/>
    </row>
    <row r="170" spans="1:58" ht="15" customHeight="1">
      <c r="A170" s="33" t="s">
        <v>4037</v>
      </c>
      <c r="B170" s="33" t="s">
        <v>4471</v>
      </c>
      <c r="C170" s="33" t="s">
        <v>57</v>
      </c>
      <c r="D170" s="33">
        <v>168</v>
      </c>
      <c r="E170" s="33">
        <v>2</v>
      </c>
      <c r="F170" s="33" t="s">
        <v>4768</v>
      </c>
      <c r="G170" s="33" t="s">
        <v>4347</v>
      </c>
      <c r="J170" s="33" t="s">
        <v>28</v>
      </c>
      <c r="N170" s="83"/>
      <c r="O170" s="85"/>
      <c r="P170" s="86"/>
      <c r="Q170" s="87"/>
      <c r="U170" s="85"/>
      <c r="V170" s="88"/>
      <c r="W170" s="89"/>
      <c r="X170" s="90"/>
      <c r="AA170" s="91"/>
      <c r="AB170" s="52"/>
      <c r="AD170" s="33" t="s">
        <v>4333</v>
      </c>
      <c r="AE170" s="33"/>
      <c r="AF170" s="33" t="s">
        <v>4495</v>
      </c>
      <c r="AO170" s="34"/>
      <c r="AP170" s="83"/>
      <c r="AQ170" s="85"/>
      <c r="AR170" s="86"/>
      <c r="AS170" s="87"/>
      <c r="AV170" s="85"/>
      <c r="AW170" s="93"/>
      <c r="AX170" s="94"/>
      <c r="AY170" s="90"/>
      <c r="BB170" s="91"/>
      <c r="BE170" s="34"/>
      <c r="BF170" s="33"/>
    </row>
    <row r="171" spans="1:58" ht="15" customHeight="1">
      <c r="A171" s="33" t="s">
        <v>4037</v>
      </c>
      <c r="B171" s="33" t="s">
        <v>4466</v>
      </c>
      <c r="C171" s="33" t="s">
        <v>57</v>
      </c>
      <c r="D171" s="33">
        <v>169</v>
      </c>
      <c r="E171" s="33">
        <v>3</v>
      </c>
      <c r="F171" s="33" t="s">
        <v>4769</v>
      </c>
      <c r="G171" s="33" t="s">
        <v>4338</v>
      </c>
      <c r="J171" s="33" t="s">
        <v>29</v>
      </c>
      <c r="N171" s="83"/>
      <c r="Q171" s="75">
        <v>3</v>
      </c>
      <c r="R171" s="76">
        <v>2</v>
      </c>
      <c r="T171" s="78">
        <v>1</v>
      </c>
      <c r="V171" s="79">
        <v>1</v>
      </c>
      <c r="W171" s="80">
        <v>0</v>
      </c>
      <c r="AB171" s="52"/>
      <c r="AD171" s="33" t="s">
        <v>4321</v>
      </c>
      <c r="AE171" s="33"/>
      <c r="AF171" s="33" t="s">
        <v>4492</v>
      </c>
      <c r="AO171" s="34"/>
      <c r="AP171" s="83"/>
      <c r="AQ171" s="85"/>
      <c r="AR171" s="86"/>
      <c r="AS171" s="87"/>
      <c r="AV171" s="85"/>
      <c r="AW171" s="93"/>
      <c r="AX171" s="94"/>
      <c r="AY171" s="90"/>
      <c r="BB171" s="91"/>
      <c r="BE171" s="34"/>
      <c r="BF171" s="33"/>
    </row>
    <row r="172" spans="1:58" ht="15" customHeight="1">
      <c r="A172" s="33" t="s">
        <v>4037</v>
      </c>
      <c r="B172" s="33" t="s">
        <v>4731</v>
      </c>
      <c r="C172" s="33" t="s">
        <v>57</v>
      </c>
      <c r="D172" s="33">
        <v>170</v>
      </c>
      <c r="E172" s="33">
        <v>1</v>
      </c>
      <c r="F172" s="33" t="s">
        <v>4769</v>
      </c>
      <c r="G172" s="33" t="s">
        <v>4681</v>
      </c>
      <c r="J172" s="33" t="s">
        <v>29</v>
      </c>
      <c r="N172" s="83"/>
      <c r="Q172" s="75">
        <v>4</v>
      </c>
      <c r="R172" s="76">
        <v>2</v>
      </c>
      <c r="T172" s="78">
        <v>2</v>
      </c>
      <c r="V172" s="79">
        <v>1</v>
      </c>
      <c r="W172" s="80">
        <v>0</v>
      </c>
      <c r="AB172" s="52"/>
      <c r="AD172" s="33" t="s">
        <v>4321</v>
      </c>
      <c r="AE172" s="33" t="s">
        <v>4682</v>
      </c>
      <c r="AF172" s="33" t="s">
        <v>4683</v>
      </c>
      <c r="AO172" s="34"/>
      <c r="AP172" s="83"/>
      <c r="AQ172" s="85"/>
      <c r="AR172" s="86"/>
      <c r="AS172" s="87"/>
      <c r="AV172" s="85"/>
      <c r="AW172" s="93"/>
      <c r="AX172" s="94"/>
      <c r="AY172" s="90"/>
      <c r="BB172" s="91"/>
      <c r="BE172" s="34"/>
      <c r="BF172" s="33"/>
    </row>
    <row r="173" spans="1:58" ht="15" customHeight="1">
      <c r="A173" s="33" t="s">
        <v>4037</v>
      </c>
      <c r="B173" s="33" t="s">
        <v>4467</v>
      </c>
      <c r="C173" s="33" t="s">
        <v>57</v>
      </c>
      <c r="D173" s="33">
        <v>171</v>
      </c>
      <c r="E173" s="33">
        <v>2</v>
      </c>
      <c r="F173" s="33" t="s">
        <v>4769</v>
      </c>
      <c r="G173" s="33" t="s">
        <v>4339</v>
      </c>
      <c r="J173" s="33" t="s">
        <v>28</v>
      </c>
      <c r="N173" s="83"/>
      <c r="AB173" s="52"/>
      <c r="AD173" s="33" t="s">
        <v>4340</v>
      </c>
      <c r="AE173" s="33"/>
      <c r="AF173" s="33" t="s">
        <v>4493</v>
      </c>
      <c r="AO173" s="34"/>
      <c r="AP173" s="83"/>
      <c r="AQ173" s="85"/>
      <c r="AR173" s="86"/>
      <c r="AS173" s="87"/>
      <c r="AV173" s="85"/>
      <c r="AW173" s="93"/>
      <c r="AX173" s="94"/>
      <c r="AY173" s="90"/>
      <c r="BB173" s="91"/>
      <c r="BE173" s="34"/>
      <c r="BF173" s="33"/>
    </row>
    <row r="174" spans="1:58" ht="15" customHeight="1">
      <c r="A174" s="33" t="s">
        <v>4037</v>
      </c>
      <c r="B174" s="33" t="s">
        <v>4468</v>
      </c>
      <c r="C174" s="33" t="s">
        <v>57</v>
      </c>
      <c r="D174" s="33">
        <v>172</v>
      </c>
      <c r="E174" s="33">
        <v>2</v>
      </c>
      <c r="F174" s="33" t="s">
        <v>4770</v>
      </c>
      <c r="G174" s="33" t="s">
        <v>4341</v>
      </c>
      <c r="J174" s="33" t="s">
        <v>29</v>
      </c>
      <c r="N174" s="83"/>
      <c r="Q174" s="75">
        <v>3</v>
      </c>
      <c r="R174" s="76">
        <v>1</v>
      </c>
      <c r="T174" s="78">
        <v>4</v>
      </c>
      <c r="V174" s="79">
        <v>1</v>
      </c>
      <c r="W174" s="80">
        <v>1</v>
      </c>
      <c r="AB174" s="52"/>
      <c r="AD174" s="33" t="s">
        <v>4342</v>
      </c>
      <c r="AE174" s="33" t="s">
        <v>4329</v>
      </c>
      <c r="AF174" s="33" t="s">
        <v>4684</v>
      </c>
      <c r="AO174" s="34"/>
      <c r="AP174" s="83"/>
      <c r="AQ174" s="85"/>
      <c r="AR174" s="86"/>
      <c r="AS174" s="87"/>
      <c r="AV174" s="85"/>
      <c r="AW174" s="93"/>
      <c r="AX174" s="94"/>
      <c r="AY174" s="90"/>
      <c r="BB174" s="91"/>
      <c r="BE174" s="34"/>
      <c r="BF174" s="33"/>
    </row>
    <row r="175" spans="1:58" ht="15" customHeight="1">
      <c r="A175" s="33" t="s">
        <v>4037</v>
      </c>
      <c r="B175" s="33" t="s">
        <v>4726</v>
      </c>
      <c r="C175" s="33" t="s">
        <v>57</v>
      </c>
      <c r="D175" s="33">
        <v>173</v>
      </c>
      <c r="E175" s="33">
        <v>2</v>
      </c>
      <c r="F175" s="33" t="s">
        <v>4770</v>
      </c>
      <c r="G175" s="33" t="s">
        <v>4685</v>
      </c>
      <c r="J175" s="33" t="s">
        <v>28</v>
      </c>
      <c r="N175" s="83"/>
      <c r="AB175" s="52"/>
      <c r="AE175" s="33"/>
      <c r="AF175" s="33" t="s">
        <v>4686</v>
      </c>
      <c r="AO175" s="34"/>
      <c r="AP175" s="83"/>
      <c r="AQ175" s="85"/>
      <c r="AR175" s="86"/>
      <c r="AS175" s="87"/>
      <c r="AV175" s="85"/>
      <c r="AW175" s="93"/>
      <c r="AX175" s="94"/>
      <c r="AY175" s="90"/>
      <c r="BB175" s="91"/>
      <c r="BE175" s="34"/>
      <c r="BF175" s="33"/>
    </row>
    <row r="176" spans="1:58" ht="15" customHeight="1">
      <c r="A176" s="33" t="s">
        <v>4037</v>
      </c>
      <c r="B176" s="33" t="s">
        <v>4727</v>
      </c>
      <c r="C176" s="33" t="s">
        <v>57</v>
      </c>
      <c r="D176" s="33">
        <v>174</v>
      </c>
      <c r="E176" s="33">
        <v>2</v>
      </c>
      <c r="F176" s="33" t="s">
        <v>4771</v>
      </c>
      <c r="G176" s="33" t="s">
        <v>4687</v>
      </c>
      <c r="J176" s="33" t="s">
        <v>28</v>
      </c>
      <c r="N176" s="83"/>
      <c r="AB176" s="52"/>
      <c r="AD176" s="33" t="s">
        <v>4688</v>
      </c>
      <c r="AE176" s="33"/>
      <c r="AF176" s="33" t="s">
        <v>4689</v>
      </c>
      <c r="AO176" s="34"/>
      <c r="AP176" s="83"/>
      <c r="AQ176" s="85"/>
      <c r="AR176" s="86"/>
      <c r="AS176" s="87"/>
      <c r="AV176" s="85"/>
      <c r="AW176" s="93"/>
      <c r="AX176" s="94"/>
      <c r="AY176" s="90"/>
      <c r="BB176" s="91"/>
      <c r="BE176" s="34"/>
      <c r="BF176" s="33"/>
    </row>
    <row r="177" spans="1:59" ht="15" customHeight="1">
      <c r="A177" s="33" t="s">
        <v>4037</v>
      </c>
      <c r="B177" s="33" t="s">
        <v>4728</v>
      </c>
      <c r="C177" s="33" t="s">
        <v>57</v>
      </c>
      <c r="D177" s="33">
        <v>175</v>
      </c>
      <c r="E177" s="33">
        <v>2</v>
      </c>
      <c r="F177" s="33" t="s">
        <v>4772</v>
      </c>
      <c r="G177" s="33" t="s">
        <v>4693</v>
      </c>
      <c r="J177" s="33" t="s">
        <v>29</v>
      </c>
      <c r="N177" s="83"/>
      <c r="Q177" s="75">
        <v>3</v>
      </c>
      <c r="R177" s="76">
        <v>3</v>
      </c>
      <c r="T177" s="78">
        <v>4</v>
      </c>
      <c r="V177" s="79">
        <v>1</v>
      </c>
      <c r="W177" s="80">
        <v>2</v>
      </c>
      <c r="AA177" s="82">
        <v>1</v>
      </c>
      <c r="AB177" s="52"/>
      <c r="AD177" s="33" t="s">
        <v>4690</v>
      </c>
      <c r="AE177" s="33" t="s">
        <v>4691</v>
      </c>
      <c r="AF177" s="33" t="s">
        <v>4692</v>
      </c>
      <c r="AO177" s="34"/>
      <c r="AP177" s="83"/>
      <c r="AQ177" s="85"/>
      <c r="AR177" s="86"/>
      <c r="AS177" s="87"/>
      <c r="AV177" s="85"/>
      <c r="AW177" s="93"/>
      <c r="AX177" s="94"/>
      <c r="AY177" s="90"/>
      <c r="BB177" s="91"/>
      <c r="BE177" s="34"/>
      <c r="BF177" s="33"/>
    </row>
    <row r="178" spans="1:59" ht="15" customHeight="1">
      <c r="A178" s="33" t="s">
        <v>4037</v>
      </c>
      <c r="B178" s="33" t="s">
        <v>4729</v>
      </c>
      <c r="C178" s="33" t="s">
        <v>57</v>
      </c>
      <c r="D178" s="33">
        <v>176</v>
      </c>
      <c r="E178" s="33">
        <v>2</v>
      </c>
      <c r="F178" s="33" t="s">
        <v>4772</v>
      </c>
      <c r="G178" s="33" t="s">
        <v>4694</v>
      </c>
      <c r="J178" s="33" t="s">
        <v>28</v>
      </c>
      <c r="N178" s="83"/>
      <c r="AB178" s="52"/>
      <c r="AD178" s="33" t="s">
        <v>4346</v>
      </c>
      <c r="AE178" s="33"/>
      <c r="AF178" s="33" t="s">
        <v>4695</v>
      </c>
      <c r="AO178" s="34"/>
      <c r="AP178" s="83"/>
      <c r="AQ178" s="85"/>
      <c r="AR178" s="86"/>
      <c r="AS178" s="87"/>
      <c r="AV178" s="85"/>
      <c r="AW178" s="93"/>
      <c r="AX178" s="94"/>
      <c r="AY178" s="90"/>
      <c r="BB178" s="91"/>
      <c r="BE178" s="34"/>
      <c r="BF178" s="33"/>
    </row>
    <row r="179" spans="1:59" ht="15" customHeight="1">
      <c r="A179" s="33" t="s">
        <v>4037</v>
      </c>
      <c r="B179" s="33" t="s">
        <v>4469</v>
      </c>
      <c r="C179" s="33" t="s">
        <v>57</v>
      </c>
      <c r="D179" s="33">
        <v>177</v>
      </c>
      <c r="E179" s="33">
        <v>2</v>
      </c>
      <c r="F179" s="33" t="s">
        <v>4773</v>
      </c>
      <c r="G179" s="33" t="s">
        <v>4343</v>
      </c>
      <c r="J179" s="33" t="s">
        <v>29</v>
      </c>
      <c r="N179" s="83"/>
      <c r="Q179" s="75">
        <v>4</v>
      </c>
      <c r="R179" s="76">
        <v>3</v>
      </c>
      <c r="T179" s="78">
        <v>4</v>
      </c>
      <c r="V179" s="79">
        <v>1</v>
      </c>
      <c r="W179" s="80">
        <v>1</v>
      </c>
      <c r="AA179" s="82">
        <v>1</v>
      </c>
      <c r="AB179" s="52"/>
      <c r="AD179" s="33" t="s">
        <v>4344</v>
      </c>
      <c r="AE179" s="33" t="s">
        <v>4696</v>
      </c>
      <c r="AF179" s="33" t="s">
        <v>4697</v>
      </c>
      <c r="AO179" s="34"/>
      <c r="AP179" s="83"/>
      <c r="AQ179" s="85"/>
      <c r="AR179" s="86"/>
      <c r="AS179" s="87"/>
      <c r="AV179" s="85"/>
      <c r="AW179" s="93"/>
      <c r="AX179" s="94"/>
      <c r="AY179" s="90"/>
      <c r="BB179" s="91"/>
      <c r="BE179" s="34"/>
      <c r="BF179" s="33"/>
    </row>
    <row r="180" spans="1:59" ht="15" customHeight="1">
      <c r="A180" s="33" t="s">
        <v>4037</v>
      </c>
      <c r="B180" s="33" t="s">
        <v>4716</v>
      </c>
      <c r="C180" s="33" t="s">
        <v>57</v>
      </c>
      <c r="D180" s="33">
        <v>178</v>
      </c>
      <c r="E180" s="33">
        <v>2</v>
      </c>
      <c r="F180" s="33" t="s">
        <v>4773</v>
      </c>
      <c r="G180" s="33" t="s">
        <v>4698</v>
      </c>
      <c r="J180" s="33" t="s">
        <v>28</v>
      </c>
      <c r="N180" s="83"/>
      <c r="AB180" s="52"/>
      <c r="AD180" s="33" t="s">
        <v>4699</v>
      </c>
      <c r="AE180" s="33" t="s">
        <v>4615</v>
      </c>
      <c r="AF180" s="33" t="s">
        <v>4700</v>
      </c>
      <c r="AO180" s="34"/>
      <c r="AP180" s="83"/>
      <c r="AQ180" s="85"/>
      <c r="AR180" s="86"/>
      <c r="AS180" s="87"/>
      <c r="AV180" s="85"/>
      <c r="AW180" s="93"/>
      <c r="AX180" s="94"/>
      <c r="AY180" s="90"/>
      <c r="BB180" s="91"/>
      <c r="BE180" s="34"/>
      <c r="BF180" s="33"/>
    </row>
    <row r="181" spans="1:59" ht="15" customHeight="1">
      <c r="A181" s="33" t="s">
        <v>4037</v>
      </c>
      <c r="B181" s="33" t="s">
        <v>4717</v>
      </c>
      <c r="C181" s="33" t="s">
        <v>57</v>
      </c>
      <c r="D181" s="33">
        <v>179</v>
      </c>
      <c r="E181" s="33">
        <v>2</v>
      </c>
      <c r="F181" s="33" t="s">
        <v>4774</v>
      </c>
      <c r="G181" s="33" t="s">
        <v>4701</v>
      </c>
      <c r="J181" s="33" t="s">
        <v>29</v>
      </c>
      <c r="N181" s="83"/>
      <c r="O181" s="85"/>
      <c r="P181" s="86"/>
      <c r="Q181" s="87">
        <v>4</v>
      </c>
      <c r="R181" s="76">
        <v>2</v>
      </c>
      <c r="T181" s="78">
        <v>5</v>
      </c>
      <c r="U181" s="85"/>
      <c r="V181" s="93">
        <v>2</v>
      </c>
      <c r="W181" s="94">
        <v>1</v>
      </c>
      <c r="X181" s="90"/>
      <c r="AA181" s="91">
        <v>1</v>
      </c>
      <c r="AB181" s="52"/>
      <c r="AD181" s="33" t="s">
        <v>4702</v>
      </c>
      <c r="AE181" s="33" t="s">
        <v>4703</v>
      </c>
      <c r="AF181" s="33" t="s">
        <v>4704</v>
      </c>
      <c r="AO181" s="34"/>
      <c r="AP181" s="83"/>
      <c r="AQ181" s="85"/>
      <c r="AR181" s="86"/>
      <c r="AS181" s="87"/>
      <c r="AV181" s="85"/>
      <c r="AW181" s="93"/>
      <c r="AX181" s="94"/>
      <c r="AY181" s="90"/>
      <c r="BB181" s="91"/>
      <c r="BE181" s="34"/>
      <c r="BF181" s="33"/>
    </row>
    <row r="182" spans="1:59" ht="15" customHeight="1">
      <c r="A182" s="33" t="s">
        <v>4037</v>
      </c>
      <c r="B182" s="33" t="s">
        <v>4718</v>
      </c>
      <c r="C182" s="33" t="s">
        <v>57</v>
      </c>
      <c r="D182" s="33">
        <v>180</v>
      </c>
      <c r="E182" s="33">
        <v>2</v>
      </c>
      <c r="F182" s="33" t="s">
        <v>4774</v>
      </c>
      <c r="G182" s="33" t="s">
        <v>4705</v>
      </c>
      <c r="J182" s="33" t="s">
        <v>29</v>
      </c>
      <c r="N182" s="83"/>
      <c r="O182" s="85"/>
      <c r="P182" s="86"/>
      <c r="Q182" s="87">
        <v>3</v>
      </c>
      <c r="R182" s="76">
        <v>2</v>
      </c>
      <c r="T182" s="78">
        <v>3</v>
      </c>
      <c r="U182" s="85"/>
      <c r="V182" s="93">
        <v>1</v>
      </c>
      <c r="W182" s="94">
        <v>0</v>
      </c>
      <c r="X182" s="90"/>
      <c r="AA182" s="91"/>
      <c r="AB182" s="52"/>
      <c r="AD182" s="33" t="s">
        <v>4706</v>
      </c>
      <c r="AE182" s="33" t="s">
        <v>4707</v>
      </c>
      <c r="AF182" s="33" t="s">
        <v>4708</v>
      </c>
      <c r="AO182" s="34"/>
      <c r="AP182" s="83"/>
      <c r="AQ182" s="85"/>
      <c r="AR182" s="86"/>
      <c r="AS182" s="87"/>
      <c r="AV182" s="85"/>
      <c r="AW182" s="93"/>
      <c r="AX182" s="94"/>
      <c r="AY182" s="90"/>
      <c r="BB182" s="91"/>
      <c r="BE182" s="34"/>
      <c r="BF182" s="33"/>
    </row>
    <row r="183" spans="1:59" ht="15" customHeight="1">
      <c r="A183" s="33" t="s">
        <v>4037</v>
      </c>
      <c r="B183" s="33" t="s">
        <v>4719</v>
      </c>
      <c r="C183" s="33" t="s">
        <v>57</v>
      </c>
      <c r="D183" s="33">
        <v>181</v>
      </c>
      <c r="E183" s="33">
        <v>2</v>
      </c>
      <c r="F183" s="33" t="s">
        <v>4775</v>
      </c>
      <c r="G183" s="33" t="s">
        <v>4709</v>
      </c>
      <c r="J183" s="33" t="s">
        <v>29</v>
      </c>
      <c r="N183" s="83"/>
      <c r="O183" s="85"/>
      <c r="P183" s="86"/>
      <c r="Q183" s="87">
        <v>3</v>
      </c>
      <c r="R183" s="76">
        <v>3</v>
      </c>
      <c r="T183" s="78">
        <v>3</v>
      </c>
      <c r="U183" s="85"/>
      <c r="V183" s="93">
        <v>1</v>
      </c>
      <c r="W183" s="94">
        <v>1</v>
      </c>
      <c r="X183" s="90"/>
      <c r="AA183" s="91"/>
      <c r="AB183" s="52"/>
      <c r="AD183" s="33" t="s">
        <v>4710</v>
      </c>
      <c r="AE183" s="33" t="s">
        <v>4711</v>
      </c>
      <c r="AF183" s="33" t="s">
        <v>4712</v>
      </c>
      <c r="AO183" s="34"/>
      <c r="AP183" s="83"/>
      <c r="AQ183" s="85"/>
      <c r="AR183" s="86"/>
      <c r="AS183" s="87"/>
      <c r="AV183" s="85"/>
      <c r="AW183" s="93"/>
      <c r="AX183" s="94"/>
      <c r="AY183" s="90"/>
      <c r="BB183" s="91"/>
      <c r="BE183" s="34"/>
      <c r="BF183" s="33"/>
    </row>
    <row r="184" spans="1:59" ht="15" customHeight="1">
      <c r="A184" s="33" t="s">
        <v>4037</v>
      </c>
      <c r="B184" s="33" t="s">
        <v>4720</v>
      </c>
      <c r="C184" s="33" t="s">
        <v>57</v>
      </c>
      <c r="D184" s="33">
        <v>182</v>
      </c>
      <c r="E184" s="33">
        <v>2</v>
      </c>
      <c r="F184" s="33" t="s">
        <v>4775</v>
      </c>
      <c r="G184" s="33" t="s">
        <v>4713</v>
      </c>
      <c r="J184" s="33" t="s">
        <v>28</v>
      </c>
      <c r="N184" s="83"/>
      <c r="O184" s="85"/>
      <c r="P184" s="86"/>
      <c r="Q184" s="87"/>
      <c r="U184" s="85"/>
      <c r="V184" s="93"/>
      <c r="W184" s="94"/>
      <c r="X184" s="90"/>
      <c r="AA184" s="91"/>
      <c r="AB184" s="52"/>
      <c r="AD184" s="33" t="s">
        <v>4346</v>
      </c>
      <c r="AE184" s="33"/>
      <c r="AF184" s="33" t="s">
        <v>4714</v>
      </c>
      <c r="AP184" s="83"/>
      <c r="AQ184" s="85"/>
      <c r="AR184" s="86"/>
      <c r="AS184" s="87"/>
      <c r="AV184" s="85"/>
      <c r="AW184" s="93"/>
      <c r="AX184" s="94"/>
      <c r="AY184" s="90"/>
      <c r="BB184" s="91"/>
    </row>
    <row r="185" spans="1:59" ht="15" customHeight="1">
      <c r="A185" s="38" t="s">
        <v>4037</v>
      </c>
      <c r="B185" s="38" t="s">
        <v>4721</v>
      </c>
      <c r="C185" s="38" t="s">
        <v>57</v>
      </c>
      <c r="D185" s="41">
        <v>995</v>
      </c>
      <c r="E185" s="38">
        <v>1</v>
      </c>
      <c r="F185" s="38"/>
      <c r="G185" s="38" t="s">
        <v>4038</v>
      </c>
      <c r="J185" s="33" t="s">
        <v>4715</v>
      </c>
      <c r="K185" s="33" t="s">
        <v>4052</v>
      </c>
      <c r="N185" s="83"/>
      <c r="O185" s="85"/>
      <c r="P185" s="86"/>
      <c r="Q185" s="87"/>
      <c r="U185" s="85"/>
      <c r="V185" s="93"/>
      <c r="W185" s="94"/>
      <c r="X185" s="90"/>
      <c r="AA185" s="91"/>
      <c r="AB185" s="52"/>
      <c r="AE185" s="33"/>
      <c r="AI185" s="38" t="s">
        <v>4038</v>
      </c>
      <c r="AL185" s="33" t="s">
        <v>4715</v>
      </c>
      <c r="AP185" s="83"/>
      <c r="AQ185" s="85"/>
      <c r="AR185" s="86"/>
      <c r="AS185" s="87"/>
      <c r="AV185" s="85"/>
      <c r="AW185" s="93"/>
      <c r="AX185" s="94"/>
      <c r="AY185" s="90"/>
      <c r="BB185" s="91"/>
    </row>
    <row r="186" spans="1:59" ht="15" customHeight="1">
      <c r="A186" s="33" t="s">
        <v>4037</v>
      </c>
      <c r="B186" s="33" t="s">
        <v>4722</v>
      </c>
      <c r="C186" s="33" t="s">
        <v>57</v>
      </c>
      <c r="D186" s="34">
        <v>996</v>
      </c>
      <c r="E186" s="33">
        <v>1</v>
      </c>
      <c r="G186" s="33" t="s">
        <v>4094</v>
      </c>
      <c r="J186" s="33" t="s">
        <v>4715</v>
      </c>
      <c r="K186" s="33" t="s">
        <v>4053</v>
      </c>
      <c r="N186" s="83"/>
      <c r="O186" s="85"/>
      <c r="P186" s="86"/>
      <c r="Q186" s="87"/>
      <c r="U186" s="85"/>
      <c r="V186" s="93"/>
      <c r="W186" s="94"/>
      <c r="X186" s="90"/>
      <c r="AA186" s="91"/>
      <c r="AB186" s="52"/>
      <c r="AE186" s="33"/>
      <c r="AI186" s="33" t="s">
        <v>4094</v>
      </c>
      <c r="AL186" s="33" t="s">
        <v>4715</v>
      </c>
      <c r="AP186" s="83"/>
      <c r="AQ186" s="85"/>
      <c r="AR186" s="86"/>
      <c r="AS186" s="87"/>
      <c r="AV186" s="85"/>
      <c r="AW186" s="93"/>
      <c r="AX186" s="94"/>
      <c r="AY186" s="90"/>
      <c r="BB186" s="91"/>
    </row>
    <row r="187" spans="1:59" ht="15" customHeight="1">
      <c r="A187" s="33" t="s">
        <v>4037</v>
      </c>
      <c r="B187" s="33" t="s">
        <v>4723</v>
      </c>
      <c r="C187" s="33" t="s">
        <v>57</v>
      </c>
      <c r="D187" s="34">
        <v>997</v>
      </c>
      <c r="E187" s="33">
        <v>1</v>
      </c>
      <c r="G187" s="33" t="s">
        <v>4098</v>
      </c>
      <c r="J187" s="33" t="s">
        <v>4715</v>
      </c>
      <c r="K187" s="33" t="s">
        <v>4055</v>
      </c>
      <c r="N187" s="83"/>
      <c r="O187" s="85"/>
      <c r="P187" s="86"/>
      <c r="Q187" s="87"/>
      <c r="U187" s="85"/>
      <c r="V187" s="93"/>
      <c r="W187" s="94"/>
      <c r="X187" s="90"/>
      <c r="AA187" s="91"/>
      <c r="AB187" s="52"/>
      <c r="AE187" s="33"/>
      <c r="AI187" s="33" t="s">
        <v>4098</v>
      </c>
      <c r="AL187" s="33" t="s">
        <v>4715</v>
      </c>
      <c r="AP187" s="83"/>
      <c r="AQ187" s="85"/>
      <c r="AR187" s="86"/>
      <c r="AS187" s="87"/>
      <c r="AV187" s="85"/>
      <c r="AW187" s="93"/>
      <c r="AX187" s="94"/>
      <c r="AY187" s="90"/>
      <c r="BB187" s="91"/>
    </row>
    <row r="188" spans="1:59" ht="15" customHeight="1">
      <c r="A188" s="33" t="s">
        <v>4037</v>
      </c>
      <c r="B188" s="33" t="s">
        <v>4724</v>
      </c>
      <c r="C188" s="33" t="s">
        <v>57</v>
      </c>
      <c r="D188" s="34">
        <v>998</v>
      </c>
      <c r="E188" s="33">
        <v>1</v>
      </c>
      <c r="G188" s="33" t="s">
        <v>4102</v>
      </c>
      <c r="J188" s="33" t="s">
        <v>4715</v>
      </c>
      <c r="K188" s="33" t="s">
        <v>4054</v>
      </c>
      <c r="N188" s="83"/>
      <c r="O188" s="85"/>
      <c r="P188" s="86"/>
      <c r="Q188" s="87"/>
      <c r="U188" s="85"/>
      <c r="V188" s="93"/>
      <c r="W188" s="94"/>
      <c r="X188" s="90"/>
      <c r="AA188" s="91"/>
      <c r="AB188" s="52"/>
      <c r="AE188" s="33"/>
      <c r="AI188" s="33" t="s">
        <v>4102</v>
      </c>
      <c r="AL188" s="33" t="s">
        <v>4715</v>
      </c>
      <c r="AP188" s="83"/>
      <c r="AQ188" s="85"/>
      <c r="AR188" s="86"/>
      <c r="AS188" s="87"/>
      <c r="AV188" s="85"/>
      <c r="AW188" s="93"/>
      <c r="AX188" s="94"/>
      <c r="AY188" s="90"/>
      <c r="BB188" s="91"/>
    </row>
    <row r="189" spans="1:59" s="42" customFormat="1" ht="15" customHeight="1">
      <c r="A189" s="42" t="s">
        <v>4037</v>
      </c>
      <c r="B189" s="42" t="s">
        <v>4725</v>
      </c>
      <c r="C189" s="42" t="s">
        <v>57</v>
      </c>
      <c r="D189" s="42">
        <v>999</v>
      </c>
      <c r="E189" s="42">
        <v>1</v>
      </c>
      <c r="G189" s="42" t="s">
        <v>4106</v>
      </c>
      <c r="J189" s="42" t="s">
        <v>4715</v>
      </c>
      <c r="K189" s="42" t="s">
        <v>4056</v>
      </c>
      <c r="N189" s="95"/>
      <c r="O189" s="96"/>
      <c r="P189" s="97"/>
      <c r="Q189" s="98"/>
      <c r="R189" s="99"/>
      <c r="S189" s="123"/>
      <c r="T189" s="100"/>
      <c r="U189" s="96"/>
      <c r="V189" s="101"/>
      <c r="W189" s="102"/>
      <c r="X189" s="103"/>
      <c r="Y189" s="99"/>
      <c r="Z189" s="100"/>
      <c r="AA189" s="104"/>
      <c r="AI189" s="42" t="s">
        <v>4106</v>
      </c>
      <c r="AL189" s="42" t="s">
        <v>4715</v>
      </c>
      <c r="AP189" s="95"/>
      <c r="AQ189" s="96"/>
      <c r="AR189" s="97"/>
      <c r="AS189" s="98"/>
      <c r="AT189" s="99"/>
      <c r="AU189" s="100"/>
      <c r="AV189" s="96"/>
      <c r="AW189" s="101"/>
      <c r="AX189" s="102"/>
      <c r="AY189" s="103"/>
      <c r="AZ189" s="99"/>
      <c r="BA189" s="100"/>
      <c r="BB189" s="104"/>
      <c r="BF189" s="35"/>
    </row>
    <row r="190" spans="1:59" ht="15" customHeight="1">
      <c r="A190" s="33" t="s">
        <v>4787</v>
      </c>
      <c r="B190" s="33" t="s">
        <v>4789</v>
      </c>
      <c r="C190" s="33" t="s">
        <v>4825</v>
      </c>
      <c r="D190" s="33">
        <v>1</v>
      </c>
      <c r="E190" s="33">
        <v>1</v>
      </c>
      <c r="F190" s="33" t="s">
        <v>4912</v>
      </c>
      <c r="G190" s="33" t="s">
        <v>4788</v>
      </c>
      <c r="H190" s="33" t="s">
        <v>4563</v>
      </c>
      <c r="J190" s="33" t="s">
        <v>4472</v>
      </c>
      <c r="N190" s="83"/>
      <c r="O190" s="105"/>
      <c r="P190" s="106"/>
      <c r="Q190" s="107"/>
      <c r="R190" s="108"/>
      <c r="T190" s="109"/>
      <c r="U190" s="105"/>
      <c r="V190" s="110"/>
      <c r="W190" s="111"/>
      <c r="X190" s="112"/>
      <c r="Y190" s="108"/>
      <c r="Z190" s="109"/>
      <c r="AA190" s="113"/>
      <c r="AE190" s="33"/>
      <c r="AF190" s="33" t="s">
        <v>4826</v>
      </c>
      <c r="AI190" s="33" t="s">
        <v>4788</v>
      </c>
      <c r="AJ190" s="33" t="s">
        <v>4564</v>
      </c>
      <c r="AL190" s="33" t="s">
        <v>4472</v>
      </c>
      <c r="AP190" s="83"/>
      <c r="AQ190" s="105"/>
      <c r="AR190" s="106"/>
      <c r="AS190" s="107"/>
      <c r="AT190" s="108"/>
      <c r="AU190" s="109"/>
      <c r="AV190" s="105"/>
      <c r="AW190" s="110"/>
      <c r="AX190" s="111"/>
      <c r="AY190" s="112"/>
      <c r="AZ190" s="108"/>
      <c r="BA190" s="109"/>
      <c r="BB190" s="113"/>
      <c r="BG190" s="33" t="s">
        <v>4827</v>
      </c>
    </row>
    <row r="191" spans="1:59" ht="15" customHeight="1">
      <c r="A191" s="33" t="s">
        <v>4787</v>
      </c>
      <c r="B191" s="33" t="s">
        <v>4790</v>
      </c>
      <c r="C191" s="33" t="s">
        <v>4825</v>
      </c>
      <c r="D191" s="33">
        <v>2</v>
      </c>
      <c r="E191" s="33">
        <v>1</v>
      </c>
      <c r="F191" s="33" t="s">
        <v>4912</v>
      </c>
      <c r="G191" s="33" t="s">
        <v>4828</v>
      </c>
      <c r="J191" s="33" t="s">
        <v>4473</v>
      </c>
      <c r="L191" s="33">
        <v>1</v>
      </c>
      <c r="N191" s="83"/>
      <c r="O191" s="85"/>
      <c r="P191" s="86"/>
      <c r="Q191" s="87"/>
      <c r="U191" s="85"/>
      <c r="V191" s="93"/>
      <c r="W191" s="94"/>
      <c r="X191" s="90"/>
      <c r="Z191" s="78">
        <v>5</v>
      </c>
      <c r="AA191" s="91"/>
      <c r="AE191" s="33"/>
      <c r="AI191" s="33" t="s">
        <v>4829</v>
      </c>
      <c r="AL191" s="33" t="s">
        <v>4473</v>
      </c>
      <c r="AN191" s="33">
        <v>1</v>
      </c>
      <c r="AP191" s="83"/>
      <c r="AQ191" s="85"/>
      <c r="AR191" s="86"/>
      <c r="AS191" s="87"/>
      <c r="AV191" s="85"/>
      <c r="AW191" s="93"/>
      <c r="AX191" s="94"/>
      <c r="AY191" s="90"/>
      <c r="BB191" s="91"/>
      <c r="BG191" s="33" t="s">
        <v>4830</v>
      </c>
    </row>
    <row r="192" spans="1:59" ht="15" customHeight="1">
      <c r="A192" s="33" t="s">
        <v>4787</v>
      </c>
      <c r="B192" s="33" t="s">
        <v>4791</v>
      </c>
      <c r="C192" s="33" t="s">
        <v>4825</v>
      </c>
      <c r="D192" s="33">
        <v>3</v>
      </c>
      <c r="E192" s="33">
        <v>1</v>
      </c>
      <c r="F192" s="33" t="s">
        <v>4912</v>
      </c>
      <c r="G192" s="33" t="s">
        <v>4831</v>
      </c>
      <c r="J192" s="33" t="s">
        <v>4473</v>
      </c>
      <c r="L192" s="33">
        <v>2</v>
      </c>
      <c r="N192" s="83"/>
      <c r="O192" s="85"/>
      <c r="P192" s="86"/>
      <c r="Q192" s="87"/>
      <c r="U192" s="85"/>
      <c r="V192" s="93"/>
      <c r="W192" s="94"/>
      <c r="X192" s="90"/>
      <c r="Z192" s="78">
        <v>6</v>
      </c>
      <c r="AA192" s="91"/>
      <c r="AE192" s="33"/>
      <c r="AI192" s="33" t="s">
        <v>4832</v>
      </c>
      <c r="AL192" s="33" t="s">
        <v>4473</v>
      </c>
      <c r="AN192" s="33">
        <v>2</v>
      </c>
      <c r="AP192" s="83"/>
      <c r="AQ192" s="85"/>
      <c r="AR192" s="86"/>
      <c r="AS192" s="87"/>
      <c r="AV192" s="85"/>
      <c r="AW192" s="93"/>
      <c r="AX192" s="94"/>
      <c r="AY192" s="90"/>
      <c r="BB192" s="91"/>
      <c r="BG192" s="33" t="s">
        <v>4833</v>
      </c>
    </row>
    <row r="193" spans="1:59" ht="15" customHeight="1">
      <c r="A193" s="33" t="s">
        <v>4787</v>
      </c>
      <c r="B193" s="33" t="s">
        <v>4792</v>
      </c>
      <c r="C193" s="33" t="s">
        <v>4825</v>
      </c>
      <c r="D193" s="33">
        <v>4</v>
      </c>
      <c r="E193" s="33">
        <v>1</v>
      </c>
      <c r="F193" s="33" t="s">
        <v>4912</v>
      </c>
      <c r="G193" s="33" t="s">
        <v>4834</v>
      </c>
      <c r="J193" s="33" t="s">
        <v>4473</v>
      </c>
      <c r="L193" s="33">
        <v>3</v>
      </c>
      <c r="N193" s="83"/>
      <c r="O193" s="85"/>
      <c r="P193" s="86"/>
      <c r="Q193" s="87"/>
      <c r="U193" s="85"/>
      <c r="V193" s="93"/>
      <c r="W193" s="94"/>
      <c r="X193" s="90"/>
      <c r="Z193" s="78">
        <v>8</v>
      </c>
      <c r="AA193" s="91"/>
      <c r="AE193" s="33"/>
      <c r="AF193" s="33" t="s">
        <v>4838</v>
      </c>
      <c r="AI193" s="33" t="s">
        <v>4835</v>
      </c>
      <c r="AL193" s="33" t="s">
        <v>4473</v>
      </c>
      <c r="AN193" s="33">
        <v>3</v>
      </c>
      <c r="AP193" s="83"/>
      <c r="AQ193" s="85"/>
      <c r="AR193" s="86"/>
      <c r="AS193" s="87"/>
      <c r="AV193" s="85"/>
      <c r="AW193" s="93"/>
      <c r="AX193" s="94"/>
      <c r="AY193" s="90"/>
      <c r="BB193" s="91"/>
      <c r="BG193" s="33" t="s">
        <v>4837</v>
      </c>
    </row>
    <row r="194" spans="1:59" ht="15" customHeight="1">
      <c r="A194" s="33" t="s">
        <v>4787</v>
      </c>
      <c r="B194" s="33" t="s">
        <v>4793</v>
      </c>
      <c r="C194" s="33" t="s">
        <v>4825</v>
      </c>
      <c r="D194" s="33">
        <v>5</v>
      </c>
      <c r="E194" s="33">
        <v>1</v>
      </c>
      <c r="F194" s="33" t="s">
        <v>4912</v>
      </c>
      <c r="G194" s="33" t="s">
        <v>4836</v>
      </c>
      <c r="J194" s="33" t="s">
        <v>4475</v>
      </c>
      <c r="L194" s="33">
        <v>1</v>
      </c>
      <c r="N194" s="83"/>
      <c r="O194" s="85"/>
      <c r="P194" s="86"/>
      <c r="Q194" s="87"/>
      <c r="U194" s="85"/>
      <c r="V194" s="88"/>
      <c r="W194" s="89"/>
      <c r="X194" s="90"/>
      <c r="Y194" s="76" t="s">
        <v>4925</v>
      </c>
      <c r="AA194" s="91"/>
      <c r="AE194" s="33"/>
      <c r="AF194" s="33" t="s">
        <v>4839</v>
      </c>
      <c r="AI194" s="33" t="s">
        <v>4929</v>
      </c>
      <c r="AL194" s="33" t="s">
        <v>4475</v>
      </c>
      <c r="AN194" s="33">
        <v>1</v>
      </c>
      <c r="AP194" s="83"/>
      <c r="AQ194" s="85"/>
      <c r="AR194" s="86"/>
      <c r="AS194" s="87"/>
      <c r="AV194" s="85"/>
      <c r="AW194" s="93"/>
      <c r="AX194" s="94"/>
      <c r="AY194" s="90"/>
      <c r="BB194" s="91"/>
      <c r="BG194" s="33" t="s">
        <v>4840</v>
      </c>
    </row>
    <row r="195" spans="1:59" ht="15" customHeight="1">
      <c r="A195" s="33" t="s">
        <v>4787</v>
      </c>
      <c r="B195" s="33" t="s">
        <v>4794</v>
      </c>
      <c r="C195" s="33" t="s">
        <v>4825</v>
      </c>
      <c r="D195" s="33">
        <v>6</v>
      </c>
      <c r="E195" s="33">
        <v>1</v>
      </c>
      <c r="F195" s="33" t="s">
        <v>4912</v>
      </c>
      <c r="G195" s="33" t="s">
        <v>4841</v>
      </c>
      <c r="J195" s="33" t="s">
        <v>4475</v>
      </c>
      <c r="L195" s="33">
        <v>2</v>
      </c>
      <c r="N195" s="83"/>
      <c r="O195" s="85"/>
      <c r="P195" s="86"/>
      <c r="Q195" s="87"/>
      <c r="U195" s="85"/>
      <c r="V195" s="88"/>
      <c r="W195" s="89"/>
      <c r="X195" s="90"/>
      <c r="Y195" s="76" t="s">
        <v>38</v>
      </c>
      <c r="AA195" s="91"/>
      <c r="AE195" s="33"/>
      <c r="AF195" s="33" t="s">
        <v>4842</v>
      </c>
      <c r="AI195" s="52" t="s">
        <v>4930</v>
      </c>
      <c r="AL195" s="33" t="s">
        <v>4475</v>
      </c>
      <c r="AN195" s="33">
        <v>2</v>
      </c>
      <c r="AP195" s="83"/>
      <c r="AQ195" s="85"/>
      <c r="AR195" s="86"/>
      <c r="AS195" s="87"/>
      <c r="AV195" s="85"/>
      <c r="AW195" s="93"/>
      <c r="AX195" s="94"/>
      <c r="AY195" s="90"/>
      <c r="BB195" s="91"/>
      <c r="BG195" s="33" t="s">
        <v>4926</v>
      </c>
    </row>
    <row r="196" spans="1:59" ht="15" customHeight="1">
      <c r="A196" s="33" t="s">
        <v>4787</v>
      </c>
      <c r="B196" s="33" t="s">
        <v>4795</v>
      </c>
      <c r="C196" s="33" t="s">
        <v>4825</v>
      </c>
      <c r="D196" s="33">
        <v>7</v>
      </c>
      <c r="E196" s="33">
        <v>1</v>
      </c>
      <c r="F196" s="33" t="s">
        <v>4912</v>
      </c>
      <c r="G196" s="53" t="s">
        <v>4843</v>
      </c>
      <c r="J196" s="33" t="s">
        <v>31</v>
      </c>
      <c r="N196" s="83"/>
      <c r="O196" s="85"/>
      <c r="P196" s="86"/>
      <c r="Q196" s="87"/>
      <c r="U196" s="85"/>
      <c r="V196" s="88"/>
      <c r="W196" s="89"/>
      <c r="X196" s="90"/>
      <c r="AA196" s="91"/>
      <c r="AD196" s="53" t="s">
        <v>4844</v>
      </c>
      <c r="AE196" s="33"/>
      <c r="AI196" s="53" t="s">
        <v>4843</v>
      </c>
      <c r="AL196" s="33" t="s">
        <v>31</v>
      </c>
      <c r="AP196" s="83"/>
      <c r="AQ196" s="85"/>
      <c r="AR196" s="86"/>
      <c r="AS196" s="87"/>
      <c r="AV196" s="85"/>
      <c r="AW196" s="93"/>
      <c r="AX196" s="94"/>
      <c r="AY196" s="90">
        <v>1</v>
      </c>
      <c r="AZ196" s="76">
        <v>0</v>
      </c>
      <c r="BB196" s="91"/>
      <c r="BE196" s="53" t="s">
        <v>4844</v>
      </c>
      <c r="BG196" s="33" t="s">
        <v>4845</v>
      </c>
    </row>
    <row r="197" spans="1:59" ht="15" customHeight="1">
      <c r="A197" s="33" t="s">
        <v>4787</v>
      </c>
      <c r="B197" s="33" t="s">
        <v>4796</v>
      </c>
      <c r="C197" s="33" t="s">
        <v>4825</v>
      </c>
      <c r="D197" s="33">
        <v>8</v>
      </c>
      <c r="E197" s="33">
        <v>1</v>
      </c>
      <c r="F197" s="33" t="s">
        <v>4912</v>
      </c>
      <c r="G197" s="53" t="s">
        <v>4846</v>
      </c>
      <c r="J197" s="33" t="s">
        <v>31</v>
      </c>
      <c r="N197" s="83"/>
      <c r="O197" s="85"/>
      <c r="P197" s="86"/>
      <c r="Q197" s="87"/>
      <c r="U197" s="85"/>
      <c r="V197" s="88"/>
      <c r="W197" s="89"/>
      <c r="X197" s="90"/>
      <c r="AA197" s="91"/>
      <c r="AD197" s="53" t="s">
        <v>4846</v>
      </c>
      <c r="AE197" s="33"/>
      <c r="AI197" s="53" t="s">
        <v>4846</v>
      </c>
      <c r="AJ197" s="53" t="s">
        <v>4847</v>
      </c>
      <c r="AL197" s="33" t="s">
        <v>31</v>
      </c>
      <c r="AP197" s="83"/>
      <c r="AQ197" s="85"/>
      <c r="AR197" s="86"/>
      <c r="AS197" s="87"/>
      <c r="AV197" s="85"/>
      <c r="AW197" s="93"/>
      <c r="AX197" s="94"/>
      <c r="AY197" s="90">
        <v>1</v>
      </c>
      <c r="AZ197" s="76">
        <v>0</v>
      </c>
      <c r="BB197" s="91"/>
      <c r="BE197" s="53" t="s">
        <v>4846</v>
      </c>
      <c r="BG197" s="33" t="s">
        <v>4849</v>
      </c>
    </row>
    <row r="198" spans="1:59" ht="15" customHeight="1">
      <c r="A198" s="33" t="s">
        <v>4787</v>
      </c>
      <c r="B198" s="33" t="s">
        <v>4797</v>
      </c>
      <c r="C198" s="33" t="s">
        <v>4825</v>
      </c>
      <c r="D198" s="33">
        <v>9</v>
      </c>
      <c r="E198" s="33">
        <v>1</v>
      </c>
      <c r="F198" s="33" t="s">
        <v>4912</v>
      </c>
      <c r="G198" s="53" t="s">
        <v>4846</v>
      </c>
      <c r="J198" s="33" t="s">
        <v>31</v>
      </c>
      <c r="N198" s="83"/>
      <c r="O198" s="85"/>
      <c r="P198" s="86"/>
      <c r="Q198" s="87"/>
      <c r="U198" s="85"/>
      <c r="V198" s="88"/>
      <c r="W198" s="89"/>
      <c r="X198" s="90"/>
      <c r="AA198" s="91"/>
      <c r="AD198" s="53" t="s">
        <v>4846</v>
      </c>
      <c r="AE198" s="33"/>
      <c r="AI198" s="53" t="s">
        <v>4846</v>
      </c>
      <c r="AJ198" s="53" t="s">
        <v>4848</v>
      </c>
      <c r="AL198" s="33" t="s">
        <v>31</v>
      </c>
      <c r="AP198" s="83"/>
      <c r="AQ198" s="85"/>
      <c r="AR198" s="86"/>
      <c r="AS198" s="87"/>
      <c r="AV198" s="85"/>
      <c r="AW198" s="93"/>
      <c r="AX198" s="94"/>
      <c r="AY198" s="90">
        <v>3</v>
      </c>
      <c r="AZ198" s="76" t="s">
        <v>4927</v>
      </c>
      <c r="BB198" s="91"/>
      <c r="BE198" s="53" t="s">
        <v>4846</v>
      </c>
      <c r="BG198" s="33" t="s">
        <v>4850</v>
      </c>
    </row>
    <row r="199" spans="1:59" ht="15" customHeight="1">
      <c r="A199" s="33" t="s">
        <v>4787</v>
      </c>
      <c r="B199" s="33" t="s">
        <v>4798</v>
      </c>
      <c r="C199" s="33" t="s">
        <v>4825</v>
      </c>
      <c r="D199" s="33">
        <v>10</v>
      </c>
      <c r="E199" s="33">
        <v>1</v>
      </c>
      <c r="F199" s="33" t="s">
        <v>4912</v>
      </c>
      <c r="G199" s="33" t="s">
        <v>4851</v>
      </c>
      <c r="J199" s="33" t="s">
        <v>31</v>
      </c>
      <c r="N199" s="83"/>
      <c r="O199" s="85"/>
      <c r="P199" s="86"/>
      <c r="Q199" s="87"/>
      <c r="U199" s="85"/>
      <c r="V199" s="88"/>
      <c r="W199" s="89"/>
      <c r="X199" s="90"/>
      <c r="AA199" s="91"/>
      <c r="AD199" s="53" t="s">
        <v>4852</v>
      </c>
      <c r="AE199" s="33"/>
      <c r="AI199" s="33" t="s">
        <v>4851</v>
      </c>
      <c r="AL199" s="33" t="s">
        <v>31</v>
      </c>
      <c r="AP199" s="83"/>
      <c r="AQ199" s="85"/>
      <c r="AR199" s="86"/>
      <c r="AS199" s="87"/>
      <c r="AV199" s="85"/>
      <c r="AW199" s="93"/>
      <c r="AX199" s="94"/>
      <c r="AY199" s="90">
        <v>1</v>
      </c>
      <c r="AZ199" s="76">
        <v>0</v>
      </c>
      <c r="BB199" s="91"/>
      <c r="BE199" s="53" t="s">
        <v>4852</v>
      </c>
      <c r="BG199" s="33" t="s">
        <v>4853</v>
      </c>
    </row>
    <row r="200" spans="1:59" ht="15" customHeight="1">
      <c r="A200" s="33" t="s">
        <v>4787</v>
      </c>
      <c r="B200" s="33" t="s">
        <v>4799</v>
      </c>
      <c r="C200" s="33" t="s">
        <v>4825</v>
      </c>
      <c r="D200" s="33">
        <v>11</v>
      </c>
      <c r="E200" s="33">
        <v>1</v>
      </c>
      <c r="F200" s="33" t="s">
        <v>4912</v>
      </c>
      <c r="G200" s="33" t="s">
        <v>4854</v>
      </c>
      <c r="J200" s="33" t="s">
        <v>31</v>
      </c>
      <c r="N200" s="83"/>
      <c r="O200" s="85"/>
      <c r="P200" s="86"/>
      <c r="Q200" s="87"/>
      <c r="U200" s="85"/>
      <c r="V200" s="88"/>
      <c r="W200" s="89"/>
      <c r="X200" s="90"/>
      <c r="AA200" s="91"/>
      <c r="AD200" s="33" t="s">
        <v>4854</v>
      </c>
      <c r="AE200" s="33"/>
      <c r="AI200" s="33" t="s">
        <v>4854</v>
      </c>
      <c r="AJ200" s="33" t="s">
        <v>4855</v>
      </c>
      <c r="AL200" s="33" t="s">
        <v>31</v>
      </c>
      <c r="AP200" s="83"/>
      <c r="AQ200" s="85"/>
      <c r="AR200" s="86"/>
      <c r="AS200" s="87"/>
      <c r="AV200" s="85"/>
      <c r="AW200" s="93"/>
      <c r="AX200" s="94"/>
      <c r="AY200" s="90">
        <v>3</v>
      </c>
      <c r="AZ200" s="76" t="s">
        <v>4927</v>
      </c>
      <c r="BB200" s="91">
        <v>1</v>
      </c>
      <c r="BE200" s="33" t="s">
        <v>4854</v>
      </c>
      <c r="BG200" s="33" t="s">
        <v>4856</v>
      </c>
    </row>
    <row r="201" spans="1:59" ht="15" customHeight="1">
      <c r="A201" s="33" t="s">
        <v>4787</v>
      </c>
      <c r="B201" s="33" t="s">
        <v>4800</v>
      </c>
      <c r="C201" s="33" t="s">
        <v>4825</v>
      </c>
      <c r="D201" s="33">
        <v>12</v>
      </c>
      <c r="E201" s="33">
        <v>1</v>
      </c>
      <c r="F201" s="33" t="s">
        <v>4912</v>
      </c>
      <c r="G201" s="33" t="s">
        <v>4854</v>
      </c>
      <c r="J201" s="33" t="s">
        <v>31</v>
      </c>
      <c r="N201" s="83"/>
      <c r="O201" s="85"/>
      <c r="P201" s="86"/>
      <c r="Q201" s="87"/>
      <c r="U201" s="85"/>
      <c r="V201" s="88"/>
      <c r="W201" s="89"/>
      <c r="X201" s="90"/>
      <c r="AA201" s="91"/>
      <c r="AD201" s="33" t="s">
        <v>4854</v>
      </c>
      <c r="AE201" s="33"/>
      <c r="AI201" s="33" t="s">
        <v>4854</v>
      </c>
      <c r="AJ201" s="33" t="s">
        <v>4857</v>
      </c>
      <c r="AL201" s="33" t="s">
        <v>31</v>
      </c>
      <c r="AP201" s="83"/>
      <c r="AQ201" s="85"/>
      <c r="AR201" s="86"/>
      <c r="AS201" s="87"/>
      <c r="AV201" s="85"/>
      <c r="AW201" s="93"/>
      <c r="AX201" s="94"/>
      <c r="AY201" s="90">
        <v>4</v>
      </c>
      <c r="AZ201" s="76">
        <v>0</v>
      </c>
      <c r="BB201" s="91"/>
      <c r="BE201" s="33" t="s">
        <v>4854</v>
      </c>
      <c r="BG201" s="33" t="s">
        <v>4858</v>
      </c>
    </row>
    <row r="202" spans="1:59" ht="15" customHeight="1">
      <c r="A202" s="33" t="s">
        <v>4787</v>
      </c>
      <c r="B202" s="33" t="s">
        <v>4801</v>
      </c>
      <c r="C202" s="33" t="s">
        <v>4825</v>
      </c>
      <c r="D202" s="33">
        <v>13</v>
      </c>
      <c r="E202" s="33">
        <v>1</v>
      </c>
      <c r="F202" s="33" t="s">
        <v>4912</v>
      </c>
      <c r="G202" s="53" t="s">
        <v>4859</v>
      </c>
      <c r="J202" s="33" t="s">
        <v>31</v>
      </c>
      <c r="N202" s="83"/>
      <c r="O202" s="85"/>
      <c r="P202" s="86"/>
      <c r="Q202" s="87"/>
      <c r="U202" s="85"/>
      <c r="V202" s="88"/>
      <c r="W202" s="89"/>
      <c r="X202" s="90"/>
      <c r="AA202" s="91"/>
      <c r="AD202" s="53" t="s">
        <v>4860</v>
      </c>
      <c r="AE202" s="33"/>
      <c r="AI202" s="53" t="s">
        <v>4859</v>
      </c>
      <c r="AL202" s="33" t="s">
        <v>31</v>
      </c>
      <c r="AP202" s="83"/>
      <c r="AQ202" s="85"/>
      <c r="AR202" s="86"/>
      <c r="AS202" s="87"/>
      <c r="AV202" s="85"/>
      <c r="AW202" s="93"/>
      <c r="AX202" s="94"/>
      <c r="AY202" s="90">
        <v>2</v>
      </c>
      <c r="AZ202" s="76">
        <v>0</v>
      </c>
      <c r="BB202" s="91"/>
      <c r="BE202" s="53" t="s">
        <v>4860</v>
      </c>
      <c r="BG202" s="33" t="s">
        <v>4861</v>
      </c>
    </row>
    <row r="203" spans="1:59" ht="15" customHeight="1">
      <c r="A203" s="33" t="s">
        <v>4787</v>
      </c>
      <c r="B203" s="33" t="s">
        <v>4802</v>
      </c>
      <c r="C203" s="33" t="s">
        <v>4825</v>
      </c>
      <c r="D203" s="33">
        <v>14</v>
      </c>
      <c r="E203" s="33">
        <v>1</v>
      </c>
      <c r="F203" s="33" t="s">
        <v>4912</v>
      </c>
      <c r="G203" s="53" t="s">
        <v>4862</v>
      </c>
      <c r="J203" s="33" t="s">
        <v>31</v>
      </c>
      <c r="N203" s="83"/>
      <c r="O203" s="85"/>
      <c r="P203" s="86"/>
      <c r="Q203" s="87"/>
      <c r="U203" s="85"/>
      <c r="V203" s="88"/>
      <c r="W203" s="89"/>
      <c r="X203" s="90"/>
      <c r="AA203" s="91"/>
      <c r="AD203" s="53" t="s">
        <v>4863</v>
      </c>
      <c r="AE203" s="33"/>
      <c r="AI203" s="53" t="s">
        <v>4862</v>
      </c>
      <c r="AJ203" s="33" t="s">
        <v>4864</v>
      </c>
      <c r="AL203" s="33" t="s">
        <v>31</v>
      </c>
      <c r="AP203" s="83"/>
      <c r="AQ203" s="85"/>
      <c r="AR203" s="86"/>
      <c r="AS203" s="87"/>
      <c r="AV203" s="85"/>
      <c r="AW203" s="93"/>
      <c r="AX203" s="94"/>
      <c r="AY203" s="90">
        <v>3</v>
      </c>
      <c r="AZ203" s="76">
        <v>0</v>
      </c>
      <c r="BB203" s="91"/>
      <c r="BE203" s="53" t="s">
        <v>4863</v>
      </c>
      <c r="BG203" s="33" t="s">
        <v>4865</v>
      </c>
    </row>
    <row r="204" spans="1:59" ht="15" customHeight="1">
      <c r="A204" s="33" t="s">
        <v>4787</v>
      </c>
      <c r="B204" s="33" t="s">
        <v>4803</v>
      </c>
      <c r="C204" s="33" t="s">
        <v>4825</v>
      </c>
      <c r="D204" s="33">
        <v>15</v>
      </c>
      <c r="E204" s="33">
        <v>1</v>
      </c>
      <c r="F204" s="33" t="s">
        <v>4912</v>
      </c>
      <c r="G204" s="53" t="s">
        <v>4862</v>
      </c>
      <c r="J204" s="33" t="s">
        <v>31</v>
      </c>
      <c r="N204" s="83"/>
      <c r="O204" s="85"/>
      <c r="P204" s="86"/>
      <c r="Q204" s="87"/>
      <c r="U204" s="85"/>
      <c r="V204" s="88"/>
      <c r="W204" s="89"/>
      <c r="X204" s="90"/>
      <c r="AA204" s="91"/>
      <c r="AD204" s="53" t="s">
        <v>4863</v>
      </c>
      <c r="AE204" s="33"/>
      <c r="AI204" s="53" t="s">
        <v>4862</v>
      </c>
      <c r="AJ204" s="33" t="s">
        <v>4866</v>
      </c>
      <c r="AL204" s="33" t="s">
        <v>31</v>
      </c>
      <c r="AP204" s="83"/>
      <c r="AQ204" s="85"/>
      <c r="AR204" s="86"/>
      <c r="AS204" s="87"/>
      <c r="AV204" s="85"/>
      <c r="AW204" s="93"/>
      <c r="AX204" s="94"/>
      <c r="AY204" s="90">
        <v>3</v>
      </c>
      <c r="AZ204" s="76" t="s">
        <v>4927</v>
      </c>
      <c r="BB204" s="91">
        <v>1</v>
      </c>
      <c r="BE204" s="53" t="s">
        <v>4863</v>
      </c>
      <c r="BG204" s="33" t="s">
        <v>4867</v>
      </c>
    </row>
    <row r="205" spans="1:59" ht="15" customHeight="1">
      <c r="A205" s="33" t="s">
        <v>4787</v>
      </c>
      <c r="B205" s="33" t="s">
        <v>4804</v>
      </c>
      <c r="C205" s="33" t="s">
        <v>4825</v>
      </c>
      <c r="D205" s="33">
        <v>16</v>
      </c>
      <c r="E205" s="33">
        <v>1</v>
      </c>
      <c r="F205" s="33" t="s">
        <v>4912</v>
      </c>
      <c r="G205" s="33" t="s">
        <v>4868</v>
      </c>
      <c r="J205" s="33" t="s">
        <v>31</v>
      </c>
      <c r="N205" s="83"/>
      <c r="O205" s="85"/>
      <c r="P205" s="86"/>
      <c r="Q205" s="87"/>
      <c r="U205" s="85"/>
      <c r="V205" s="88"/>
      <c r="W205" s="89"/>
      <c r="X205" s="90"/>
      <c r="AA205" s="91"/>
      <c r="AD205" s="33" t="s">
        <v>4869</v>
      </c>
      <c r="AE205" s="33"/>
      <c r="AI205" s="33" t="s">
        <v>4868</v>
      </c>
      <c r="AL205" s="33" t="s">
        <v>31</v>
      </c>
      <c r="AP205" s="83"/>
      <c r="AQ205" s="85"/>
      <c r="AR205" s="86"/>
      <c r="AS205" s="87"/>
      <c r="AV205" s="85"/>
      <c r="AW205" s="93"/>
      <c r="AX205" s="94"/>
      <c r="AY205" s="90">
        <v>2</v>
      </c>
      <c r="AZ205" s="76">
        <v>0</v>
      </c>
      <c r="BB205" s="91"/>
      <c r="BE205" s="33" t="s">
        <v>4869</v>
      </c>
      <c r="BG205" s="33" t="s">
        <v>4870</v>
      </c>
    </row>
    <row r="206" spans="1:59" ht="15" customHeight="1">
      <c r="A206" s="33" t="s">
        <v>4787</v>
      </c>
      <c r="B206" s="33" t="s">
        <v>4805</v>
      </c>
      <c r="C206" s="33" t="s">
        <v>4825</v>
      </c>
      <c r="D206" s="33">
        <v>17</v>
      </c>
      <c r="E206" s="33">
        <v>1</v>
      </c>
      <c r="F206" s="33" t="s">
        <v>4912</v>
      </c>
      <c r="G206" s="33" t="s">
        <v>4871</v>
      </c>
      <c r="J206" s="33" t="s">
        <v>31</v>
      </c>
      <c r="N206" s="83"/>
      <c r="O206" s="85"/>
      <c r="P206" s="86"/>
      <c r="Q206" s="87"/>
      <c r="U206" s="85"/>
      <c r="V206" s="88"/>
      <c r="W206" s="89"/>
      <c r="X206" s="90"/>
      <c r="AA206" s="91"/>
      <c r="AD206" s="33" t="s">
        <v>4873</v>
      </c>
      <c r="AE206" s="33"/>
      <c r="AI206" s="33" t="s">
        <v>4871</v>
      </c>
      <c r="AJ206" s="33" t="s">
        <v>4872</v>
      </c>
      <c r="AL206" s="33" t="s">
        <v>31</v>
      </c>
      <c r="AP206" s="83"/>
      <c r="AQ206" s="85"/>
      <c r="AR206" s="86"/>
      <c r="AS206" s="87"/>
      <c r="AV206" s="85"/>
      <c r="AW206" s="93"/>
      <c r="AX206" s="94"/>
      <c r="AY206" s="90">
        <v>2</v>
      </c>
      <c r="AZ206" s="76" t="s">
        <v>4927</v>
      </c>
      <c r="BB206" s="91">
        <v>1</v>
      </c>
      <c r="BE206" s="33" t="s">
        <v>4873</v>
      </c>
      <c r="BG206" s="33" t="s">
        <v>4874</v>
      </c>
    </row>
    <row r="207" spans="1:59" ht="15" customHeight="1">
      <c r="A207" s="33" t="s">
        <v>4787</v>
      </c>
      <c r="B207" s="33" t="s">
        <v>4806</v>
      </c>
      <c r="C207" s="33" t="s">
        <v>4825</v>
      </c>
      <c r="D207" s="33">
        <v>18</v>
      </c>
      <c r="E207" s="33">
        <v>1</v>
      </c>
      <c r="F207" s="33" t="s">
        <v>4912</v>
      </c>
      <c r="G207" s="33" t="s">
        <v>4871</v>
      </c>
      <c r="J207" s="33" t="s">
        <v>31</v>
      </c>
      <c r="N207" s="83"/>
      <c r="O207" s="85"/>
      <c r="P207" s="86"/>
      <c r="Q207" s="87"/>
      <c r="U207" s="85"/>
      <c r="V207" s="88"/>
      <c r="W207" s="89"/>
      <c r="X207" s="90"/>
      <c r="AA207" s="91"/>
      <c r="AD207" s="33" t="s">
        <v>4873</v>
      </c>
      <c r="AE207" s="33"/>
      <c r="AI207" s="33" t="s">
        <v>4871</v>
      </c>
      <c r="AJ207" s="33" t="s">
        <v>4875</v>
      </c>
      <c r="AL207" s="33" t="s">
        <v>31</v>
      </c>
      <c r="AP207" s="83"/>
      <c r="AQ207" s="85"/>
      <c r="AR207" s="86"/>
      <c r="AS207" s="87"/>
      <c r="AV207" s="85"/>
      <c r="AW207" s="93"/>
      <c r="AX207" s="94"/>
      <c r="AY207" s="90">
        <v>4</v>
      </c>
      <c r="AZ207" s="76">
        <v>0</v>
      </c>
      <c r="BB207" s="91">
        <v>1</v>
      </c>
      <c r="BE207" s="33" t="s">
        <v>4873</v>
      </c>
      <c r="BG207" s="33" t="s">
        <v>4914</v>
      </c>
    </row>
    <row r="208" spans="1:59" ht="15" customHeight="1">
      <c r="A208" s="33" t="s">
        <v>4787</v>
      </c>
      <c r="B208" s="33" t="s">
        <v>4807</v>
      </c>
      <c r="C208" s="33" t="s">
        <v>4825</v>
      </c>
      <c r="D208" s="33">
        <v>19</v>
      </c>
      <c r="E208" s="33">
        <v>1</v>
      </c>
      <c r="F208" s="33" t="s">
        <v>4912</v>
      </c>
      <c r="G208" s="33" t="s">
        <v>4876</v>
      </c>
      <c r="I208" s="33" t="s">
        <v>4077</v>
      </c>
      <c r="J208" s="33" t="s">
        <v>4111</v>
      </c>
      <c r="N208" s="83">
        <v>4</v>
      </c>
      <c r="O208" s="85"/>
      <c r="P208" s="86"/>
      <c r="Q208" s="87"/>
      <c r="U208" s="85">
        <v>4</v>
      </c>
      <c r="V208" s="88">
        <v>2</v>
      </c>
      <c r="W208" s="89"/>
      <c r="X208" s="90"/>
      <c r="AA208" s="91"/>
      <c r="AB208" s="33" t="s">
        <v>4915</v>
      </c>
      <c r="AC208" s="33" t="s">
        <v>25</v>
      </c>
      <c r="AD208" s="33" t="s">
        <v>4877</v>
      </c>
      <c r="AE208" s="33"/>
      <c r="AF208" s="33" t="s">
        <v>4913</v>
      </c>
      <c r="AJ208" s="33" t="s">
        <v>4928</v>
      </c>
      <c r="AP208" s="83"/>
      <c r="AQ208" s="85"/>
      <c r="AR208" s="86"/>
      <c r="AS208" s="87"/>
      <c r="AV208" s="85"/>
      <c r="AW208" s="93"/>
      <c r="AX208" s="94"/>
      <c r="AY208" s="90"/>
      <c r="BB208" s="91"/>
    </row>
    <row r="209" spans="1:54" ht="15" customHeight="1">
      <c r="A209" s="33" t="s">
        <v>4787</v>
      </c>
      <c r="B209" s="33" t="s">
        <v>4808</v>
      </c>
      <c r="C209" s="33" t="s">
        <v>4825</v>
      </c>
      <c r="D209" s="33">
        <v>20</v>
      </c>
      <c r="E209" s="33">
        <v>1</v>
      </c>
      <c r="F209" s="33" t="s">
        <v>4912</v>
      </c>
      <c r="G209" s="33" t="s">
        <v>4878</v>
      </c>
      <c r="J209" s="33" t="s">
        <v>4111</v>
      </c>
      <c r="N209" s="83"/>
      <c r="O209" s="85"/>
      <c r="P209" s="86"/>
      <c r="Q209" s="87"/>
      <c r="U209" s="85"/>
      <c r="V209" s="88"/>
      <c r="W209" s="89"/>
      <c r="X209" s="90"/>
      <c r="AA209" s="91"/>
      <c r="AD209" s="33" t="s">
        <v>4879</v>
      </c>
      <c r="AE209" s="33"/>
      <c r="AF209" s="33" t="s">
        <v>4916</v>
      </c>
      <c r="AP209" s="83"/>
      <c r="AQ209" s="85"/>
      <c r="AR209" s="86"/>
      <c r="AS209" s="87"/>
      <c r="AV209" s="85"/>
      <c r="AW209" s="93"/>
      <c r="AX209" s="94"/>
      <c r="AY209" s="90"/>
      <c r="BB209" s="91"/>
    </row>
    <row r="210" spans="1:54" ht="15" customHeight="1">
      <c r="A210" s="33" t="s">
        <v>4787</v>
      </c>
      <c r="B210" s="33" t="s">
        <v>4809</v>
      </c>
      <c r="C210" s="33" t="s">
        <v>4825</v>
      </c>
      <c r="D210" s="33">
        <v>21</v>
      </c>
      <c r="E210" s="33">
        <v>1</v>
      </c>
      <c r="F210" s="33" t="s">
        <v>4912</v>
      </c>
      <c r="G210" s="33" t="s">
        <v>4880</v>
      </c>
      <c r="J210" s="33" t="s">
        <v>4111</v>
      </c>
      <c r="N210" s="83"/>
      <c r="O210" s="85"/>
      <c r="P210" s="86"/>
      <c r="Q210" s="87"/>
      <c r="U210" s="85"/>
      <c r="V210" s="88"/>
      <c r="W210" s="89"/>
      <c r="X210" s="90"/>
      <c r="AA210" s="91"/>
      <c r="AD210" s="33" t="s">
        <v>4879</v>
      </c>
      <c r="AE210" s="33"/>
      <c r="AF210" s="33" t="s">
        <v>4917</v>
      </c>
      <c r="AP210" s="83"/>
      <c r="AQ210" s="85"/>
      <c r="AR210" s="86"/>
      <c r="AS210" s="87"/>
      <c r="AV210" s="85"/>
      <c r="AW210" s="93"/>
      <c r="AX210" s="94"/>
      <c r="AY210" s="90"/>
      <c r="BB210" s="91"/>
    </row>
    <row r="211" spans="1:54" ht="15" customHeight="1">
      <c r="A211" s="33" t="s">
        <v>4787</v>
      </c>
      <c r="B211" s="33" t="s">
        <v>4810</v>
      </c>
      <c r="C211" s="33" t="s">
        <v>4825</v>
      </c>
      <c r="D211" s="33">
        <v>22</v>
      </c>
      <c r="E211" s="33">
        <v>2</v>
      </c>
      <c r="F211" s="33" t="s">
        <v>4912</v>
      </c>
      <c r="G211" s="33" t="s">
        <v>4881</v>
      </c>
      <c r="J211" s="33" t="s">
        <v>29</v>
      </c>
      <c r="N211" s="83"/>
      <c r="O211" s="85"/>
      <c r="P211" s="86"/>
      <c r="Q211" s="87">
        <v>2</v>
      </c>
      <c r="R211" s="76">
        <v>2</v>
      </c>
      <c r="T211" s="78">
        <v>2</v>
      </c>
      <c r="U211" s="85"/>
      <c r="V211" s="88">
        <v>1</v>
      </c>
      <c r="W211" s="89">
        <v>1</v>
      </c>
      <c r="X211" s="90"/>
      <c r="AA211" s="91"/>
      <c r="AD211" s="33" t="s">
        <v>30</v>
      </c>
      <c r="AE211" s="33" t="s">
        <v>4918</v>
      </c>
      <c r="AF211" s="33" t="s">
        <v>4904</v>
      </c>
      <c r="AP211" s="83"/>
      <c r="AQ211" s="85"/>
      <c r="AR211" s="86"/>
      <c r="AS211" s="87"/>
      <c r="AV211" s="85"/>
      <c r="AW211" s="93"/>
      <c r="AX211" s="94"/>
      <c r="AY211" s="90"/>
      <c r="BB211" s="91"/>
    </row>
    <row r="212" spans="1:54" ht="15" customHeight="1">
      <c r="A212" s="33" t="s">
        <v>4787</v>
      </c>
      <c r="B212" s="33" t="s">
        <v>4811</v>
      </c>
      <c r="C212" s="33" t="s">
        <v>4825</v>
      </c>
      <c r="D212" s="33">
        <v>23</v>
      </c>
      <c r="E212" s="33">
        <v>3</v>
      </c>
      <c r="F212" s="33" t="s">
        <v>4912</v>
      </c>
      <c r="G212" s="33" t="s">
        <v>4882</v>
      </c>
      <c r="J212" s="33" t="s">
        <v>29</v>
      </c>
      <c r="N212" s="83"/>
      <c r="O212" s="85"/>
      <c r="P212" s="86"/>
      <c r="Q212" s="87">
        <v>4</v>
      </c>
      <c r="R212" s="76">
        <v>0</v>
      </c>
      <c r="T212" s="78">
        <v>1</v>
      </c>
      <c r="U212" s="85"/>
      <c r="V212" s="88">
        <v>1</v>
      </c>
      <c r="W212" s="89"/>
      <c r="X212" s="90"/>
      <c r="AA212" s="91"/>
      <c r="AD212" s="33" t="s">
        <v>30</v>
      </c>
      <c r="AE212" s="33" t="s">
        <v>4900</v>
      </c>
      <c r="AF212" s="33" t="s">
        <v>4905</v>
      </c>
      <c r="AP212" s="83"/>
      <c r="AQ212" s="85"/>
      <c r="AR212" s="86"/>
      <c r="AS212" s="87"/>
      <c r="AV212" s="85"/>
      <c r="AW212" s="93"/>
      <c r="AX212" s="94"/>
      <c r="AY212" s="90"/>
      <c r="BB212" s="91"/>
    </row>
    <row r="213" spans="1:54" ht="15" customHeight="1">
      <c r="A213" s="33" t="s">
        <v>4787</v>
      </c>
      <c r="B213" s="33" t="s">
        <v>4812</v>
      </c>
      <c r="C213" s="33" t="s">
        <v>4825</v>
      </c>
      <c r="D213" s="33">
        <v>24</v>
      </c>
      <c r="E213" s="33">
        <v>3</v>
      </c>
      <c r="F213" s="33" t="s">
        <v>4912</v>
      </c>
      <c r="G213" s="33" t="s">
        <v>4883</v>
      </c>
      <c r="J213" s="33" t="s">
        <v>28</v>
      </c>
      <c r="N213" s="83"/>
      <c r="O213" s="85"/>
      <c r="P213" s="86"/>
      <c r="Q213" s="87"/>
      <c r="U213" s="85"/>
      <c r="V213" s="88"/>
      <c r="W213" s="89"/>
      <c r="X213" s="90"/>
      <c r="AA213" s="91"/>
      <c r="AD213" s="33" t="s">
        <v>4333</v>
      </c>
      <c r="AE213" s="33"/>
      <c r="AF213" s="33" t="s">
        <v>4920</v>
      </c>
      <c r="AP213" s="83"/>
      <c r="AQ213" s="85"/>
      <c r="AR213" s="86"/>
      <c r="AS213" s="87"/>
      <c r="AV213" s="85"/>
      <c r="AW213" s="93"/>
      <c r="AX213" s="94"/>
      <c r="AY213" s="90"/>
      <c r="BB213" s="91"/>
    </row>
    <row r="214" spans="1:54" ht="15" customHeight="1">
      <c r="A214" s="33" t="s">
        <v>4787</v>
      </c>
      <c r="B214" s="33" t="s">
        <v>4813</v>
      </c>
      <c r="C214" s="33" t="s">
        <v>4825</v>
      </c>
      <c r="D214" s="33">
        <v>25</v>
      </c>
      <c r="E214" s="33">
        <v>3</v>
      </c>
      <c r="F214" s="33" t="s">
        <v>4912</v>
      </c>
      <c r="G214" s="33" t="s">
        <v>4884</v>
      </c>
      <c r="J214" s="33" t="s">
        <v>28</v>
      </c>
      <c r="N214" s="83"/>
      <c r="O214" s="85"/>
      <c r="P214" s="86"/>
      <c r="Q214" s="87"/>
      <c r="U214" s="85"/>
      <c r="V214" s="88"/>
      <c r="W214" s="89"/>
      <c r="X214" s="90"/>
      <c r="AA214" s="91"/>
      <c r="AD214" s="33" t="s">
        <v>4333</v>
      </c>
      <c r="AE214" s="33"/>
      <c r="AF214" s="33" t="s">
        <v>4922</v>
      </c>
      <c r="AP214" s="83"/>
      <c r="AQ214" s="85"/>
      <c r="AR214" s="86"/>
      <c r="AS214" s="87"/>
      <c r="AV214" s="85"/>
      <c r="AW214" s="93"/>
      <c r="AX214" s="94"/>
      <c r="AY214" s="90"/>
      <c r="BB214" s="91"/>
    </row>
    <row r="215" spans="1:54" ht="15" customHeight="1">
      <c r="A215" s="33" t="s">
        <v>4787</v>
      </c>
      <c r="B215" s="33" t="s">
        <v>4814</v>
      </c>
      <c r="C215" s="33" t="s">
        <v>4825</v>
      </c>
      <c r="D215" s="33">
        <v>26</v>
      </c>
      <c r="E215" s="33">
        <v>4</v>
      </c>
      <c r="F215" s="33" t="s">
        <v>4912</v>
      </c>
      <c r="G215" s="33" t="s">
        <v>4885</v>
      </c>
      <c r="J215" s="33" t="s">
        <v>28</v>
      </c>
      <c r="N215" s="83"/>
      <c r="O215" s="85"/>
      <c r="P215" s="86"/>
      <c r="Q215" s="87"/>
      <c r="U215" s="85"/>
      <c r="V215" s="88"/>
      <c r="W215" s="89"/>
      <c r="X215" s="90"/>
      <c r="AA215" s="91"/>
      <c r="AD215" s="33" t="s">
        <v>4333</v>
      </c>
      <c r="AE215" s="33"/>
      <c r="AF215" s="33" t="s">
        <v>4919</v>
      </c>
      <c r="AP215" s="83"/>
      <c r="AQ215" s="85"/>
      <c r="AR215" s="86"/>
      <c r="AS215" s="87"/>
      <c r="AV215" s="85"/>
      <c r="AW215" s="93"/>
      <c r="AX215" s="94"/>
      <c r="AY215" s="90"/>
      <c r="BB215" s="91"/>
    </row>
    <row r="216" spans="1:54" ht="15" customHeight="1">
      <c r="A216" s="33" t="s">
        <v>4787</v>
      </c>
      <c r="B216" s="33" t="s">
        <v>4815</v>
      </c>
      <c r="C216" s="33" t="s">
        <v>4825</v>
      </c>
      <c r="D216" s="33">
        <v>27</v>
      </c>
      <c r="E216" s="33">
        <v>3</v>
      </c>
      <c r="F216" s="33" t="s">
        <v>4912</v>
      </c>
      <c r="G216" s="33" t="s">
        <v>4886</v>
      </c>
      <c r="J216" s="33" t="s">
        <v>28</v>
      </c>
      <c r="N216" s="83"/>
      <c r="O216" s="85"/>
      <c r="P216" s="86"/>
      <c r="Q216" s="87"/>
      <c r="U216" s="85"/>
      <c r="V216" s="88"/>
      <c r="W216" s="89"/>
      <c r="X216" s="90"/>
      <c r="AA216" s="91"/>
      <c r="AD216" s="33" t="s">
        <v>4335</v>
      </c>
      <c r="AE216" s="33"/>
      <c r="AF216" s="33" t="s">
        <v>4921</v>
      </c>
      <c r="AP216" s="83"/>
      <c r="AQ216" s="85"/>
      <c r="AR216" s="86"/>
      <c r="AS216" s="87"/>
      <c r="AV216" s="85"/>
      <c r="AW216" s="93"/>
      <c r="AX216" s="94"/>
      <c r="AY216" s="90"/>
      <c r="BB216" s="91"/>
    </row>
    <row r="217" spans="1:54" ht="15" customHeight="1">
      <c r="A217" s="33" t="s">
        <v>4787</v>
      </c>
      <c r="B217" s="33" t="s">
        <v>4816</v>
      </c>
      <c r="C217" s="33" t="s">
        <v>4825</v>
      </c>
      <c r="D217" s="33">
        <v>28</v>
      </c>
      <c r="E217" s="33">
        <v>1</v>
      </c>
      <c r="F217" s="33" t="s">
        <v>4788</v>
      </c>
      <c r="G217" s="33" t="s">
        <v>4887</v>
      </c>
      <c r="I217" s="33" t="s">
        <v>4077</v>
      </c>
      <c r="J217" s="33" t="s">
        <v>29</v>
      </c>
      <c r="N217" s="83"/>
      <c r="O217" s="85"/>
      <c r="P217" s="86"/>
      <c r="Q217" s="87">
        <v>3</v>
      </c>
      <c r="R217" s="76">
        <v>3</v>
      </c>
      <c r="T217" s="78" t="s">
        <v>4931</v>
      </c>
      <c r="U217" s="85">
        <v>2</v>
      </c>
      <c r="V217" s="88">
        <v>2</v>
      </c>
      <c r="W217" s="89"/>
      <c r="X217" s="90"/>
      <c r="AA217" s="91"/>
      <c r="AD217" s="33" t="s">
        <v>4888</v>
      </c>
      <c r="AE217" s="33" t="s">
        <v>4889</v>
      </c>
      <c r="AF217" s="33" t="s">
        <v>4924</v>
      </c>
      <c r="AP217" s="83"/>
      <c r="AQ217" s="85"/>
      <c r="AR217" s="86"/>
      <c r="AS217" s="87"/>
      <c r="AV217" s="85"/>
      <c r="AW217" s="93"/>
      <c r="AX217" s="94"/>
      <c r="AY217" s="90"/>
      <c r="BB217" s="91"/>
    </row>
    <row r="218" spans="1:54" ht="15" customHeight="1">
      <c r="A218" s="33" t="s">
        <v>4787</v>
      </c>
      <c r="B218" s="33" t="s">
        <v>4817</v>
      </c>
      <c r="C218" s="33" t="s">
        <v>4825</v>
      </c>
      <c r="D218" s="33">
        <v>29</v>
      </c>
      <c r="E218" s="33">
        <v>1</v>
      </c>
      <c r="F218" s="33" t="s">
        <v>4788</v>
      </c>
      <c r="G218" s="33" t="s">
        <v>4788</v>
      </c>
      <c r="J218" s="33" t="s">
        <v>28</v>
      </c>
      <c r="M218" s="33" t="s">
        <v>4502</v>
      </c>
      <c r="N218" s="83"/>
      <c r="O218" s="85"/>
      <c r="P218" s="86"/>
      <c r="Q218" s="87"/>
      <c r="U218" s="85"/>
      <c r="V218" s="88"/>
      <c r="W218" s="89"/>
      <c r="X218" s="90"/>
      <c r="AA218" s="91"/>
      <c r="AD218" s="33" t="s">
        <v>4293</v>
      </c>
      <c r="AE218" s="33"/>
      <c r="AF218" s="33" t="s">
        <v>4890</v>
      </c>
      <c r="AP218" s="83"/>
      <c r="AQ218" s="85"/>
      <c r="AR218" s="86"/>
      <c r="AS218" s="87"/>
      <c r="AV218" s="85"/>
      <c r="AW218" s="93"/>
      <c r="AX218" s="94"/>
      <c r="AY218" s="90"/>
      <c r="BB218" s="91"/>
    </row>
    <row r="219" spans="1:54" ht="15" customHeight="1">
      <c r="A219" s="33" t="s">
        <v>4787</v>
      </c>
      <c r="B219" s="33" t="s">
        <v>4818</v>
      </c>
      <c r="C219" s="33" t="s">
        <v>4825</v>
      </c>
      <c r="D219" s="33">
        <v>30</v>
      </c>
      <c r="E219" s="33">
        <v>1</v>
      </c>
      <c r="F219" s="33" t="s">
        <v>4788</v>
      </c>
      <c r="G219" s="33" t="s">
        <v>4891</v>
      </c>
      <c r="J219" s="33" t="s">
        <v>4111</v>
      </c>
      <c r="N219" s="83">
        <v>0</v>
      </c>
      <c r="O219" s="85"/>
      <c r="P219" s="86"/>
      <c r="Q219" s="87"/>
      <c r="U219" s="85"/>
      <c r="V219" s="88"/>
      <c r="W219" s="89"/>
      <c r="X219" s="90"/>
      <c r="AA219" s="91"/>
      <c r="AD219" s="33" t="s">
        <v>4143</v>
      </c>
      <c r="AE219" s="33" t="s">
        <v>4892</v>
      </c>
      <c r="AF219" s="33" t="s">
        <v>4923</v>
      </c>
      <c r="AP219" s="83"/>
      <c r="AQ219" s="85"/>
      <c r="AR219" s="86"/>
      <c r="AS219" s="87"/>
      <c r="AV219" s="85"/>
      <c r="AW219" s="93"/>
      <c r="AX219" s="94"/>
      <c r="AY219" s="90"/>
      <c r="BB219" s="91"/>
    </row>
    <row r="220" spans="1:54" ht="15" customHeight="1">
      <c r="A220" s="33" t="s">
        <v>4787</v>
      </c>
      <c r="B220" s="33" t="s">
        <v>4819</v>
      </c>
      <c r="C220" s="33" t="s">
        <v>4825</v>
      </c>
      <c r="D220" s="33">
        <v>31</v>
      </c>
      <c r="E220" s="33">
        <v>2</v>
      </c>
      <c r="F220" s="33" t="s">
        <v>4788</v>
      </c>
      <c r="G220" s="33" t="s">
        <v>4893</v>
      </c>
      <c r="J220" s="33" t="s">
        <v>29</v>
      </c>
      <c r="N220" s="83"/>
      <c r="O220" s="85"/>
      <c r="P220" s="86"/>
      <c r="Q220" s="87">
        <v>2</v>
      </c>
      <c r="R220" s="76">
        <v>3</v>
      </c>
      <c r="T220" s="78">
        <v>3</v>
      </c>
      <c r="U220" s="85">
        <v>1</v>
      </c>
      <c r="V220" s="88">
        <v>1</v>
      </c>
      <c r="W220" s="89"/>
      <c r="X220" s="90"/>
      <c r="AA220" s="91"/>
      <c r="AD220" s="33" t="s">
        <v>4894</v>
      </c>
      <c r="AE220" s="33" t="s">
        <v>4902</v>
      </c>
      <c r="AF220" s="33" t="s">
        <v>4901</v>
      </c>
      <c r="AP220" s="83"/>
      <c r="AQ220" s="85"/>
      <c r="AR220" s="86"/>
      <c r="AS220" s="87"/>
      <c r="AV220" s="85"/>
      <c r="AW220" s="93"/>
      <c r="AX220" s="94"/>
      <c r="AY220" s="90"/>
      <c r="BB220" s="91"/>
    </row>
    <row r="221" spans="1:54" ht="15" customHeight="1">
      <c r="A221" s="33" t="s">
        <v>4787</v>
      </c>
      <c r="B221" s="33" t="s">
        <v>4820</v>
      </c>
      <c r="C221" s="33" t="s">
        <v>4825</v>
      </c>
      <c r="D221" s="33">
        <v>32</v>
      </c>
      <c r="E221" s="33">
        <v>2</v>
      </c>
      <c r="F221" s="33" t="s">
        <v>4788</v>
      </c>
      <c r="G221" s="33" t="s">
        <v>4895</v>
      </c>
      <c r="J221" s="33" t="s">
        <v>29</v>
      </c>
      <c r="N221" s="83"/>
      <c r="O221" s="85"/>
      <c r="P221" s="86"/>
      <c r="Q221" s="87">
        <v>3</v>
      </c>
      <c r="R221" s="76">
        <v>3</v>
      </c>
      <c r="T221" s="78">
        <v>4</v>
      </c>
      <c r="U221" s="85">
        <v>1</v>
      </c>
      <c r="V221" s="88">
        <v>2</v>
      </c>
      <c r="W221" s="89"/>
      <c r="X221" s="90"/>
      <c r="AA221" s="91"/>
      <c r="AD221" s="33" t="s">
        <v>4896</v>
      </c>
      <c r="AE221" s="33" t="s">
        <v>4903</v>
      </c>
      <c r="AP221" s="83"/>
      <c r="AQ221" s="85"/>
      <c r="AR221" s="86"/>
      <c r="AS221" s="87"/>
      <c r="AV221" s="85"/>
      <c r="AW221" s="93"/>
      <c r="AX221" s="94"/>
      <c r="AY221" s="90"/>
      <c r="BB221" s="91"/>
    </row>
    <row r="222" spans="1:54" ht="15" customHeight="1">
      <c r="A222" s="33" t="s">
        <v>4787</v>
      </c>
      <c r="B222" s="33" t="s">
        <v>4821</v>
      </c>
      <c r="C222" s="33" t="s">
        <v>4825</v>
      </c>
      <c r="D222" s="33">
        <v>33</v>
      </c>
      <c r="E222" s="33">
        <v>1</v>
      </c>
      <c r="F222" s="33" t="s">
        <v>4788</v>
      </c>
      <c r="G222" s="33" t="s">
        <v>4897</v>
      </c>
      <c r="J222" s="33" t="s">
        <v>29</v>
      </c>
      <c r="N222" s="83"/>
      <c r="O222" s="85"/>
      <c r="P222" s="86"/>
      <c r="Q222" s="87">
        <v>4</v>
      </c>
      <c r="R222" s="76">
        <v>2</v>
      </c>
      <c r="T222" s="78">
        <v>5</v>
      </c>
      <c r="U222" s="85">
        <v>2</v>
      </c>
      <c r="V222" s="88">
        <v>2</v>
      </c>
      <c r="W222" s="89"/>
      <c r="X222" s="90"/>
      <c r="AA222" s="91">
        <v>1</v>
      </c>
      <c r="AD222" s="33" t="s">
        <v>4898</v>
      </c>
      <c r="AE222" s="33" t="s">
        <v>4900</v>
      </c>
      <c r="AF222" s="33" t="s">
        <v>4899</v>
      </c>
      <c r="AP222" s="83"/>
      <c r="AQ222" s="85"/>
      <c r="AR222" s="86"/>
      <c r="AS222" s="87"/>
      <c r="AV222" s="85"/>
      <c r="AW222" s="93"/>
      <c r="AX222" s="94"/>
      <c r="AY222" s="90"/>
      <c r="BB222" s="91"/>
    </row>
    <row r="223" spans="1:54" ht="15" customHeight="1">
      <c r="A223" s="33" t="s">
        <v>4787</v>
      </c>
      <c r="B223" s="33" t="s">
        <v>4822</v>
      </c>
      <c r="C223" s="33" t="s">
        <v>4825</v>
      </c>
      <c r="D223" s="33">
        <v>34</v>
      </c>
      <c r="E223" s="33">
        <v>5</v>
      </c>
      <c r="F223" s="33" t="s">
        <v>4788</v>
      </c>
      <c r="G223" s="33" t="s">
        <v>4906</v>
      </c>
      <c r="J223" s="33" t="s">
        <v>28</v>
      </c>
      <c r="N223" s="83"/>
      <c r="O223" s="85"/>
      <c r="P223" s="86"/>
      <c r="Q223" s="87"/>
      <c r="U223" s="85"/>
      <c r="V223" s="88"/>
      <c r="W223" s="89"/>
      <c r="X223" s="90"/>
      <c r="AA223" s="91"/>
      <c r="AE223" s="33" t="s">
        <v>34</v>
      </c>
      <c r="AF223" s="33" t="s">
        <v>4907</v>
      </c>
      <c r="AP223" s="83"/>
      <c r="AQ223" s="85"/>
      <c r="AR223" s="86"/>
      <c r="AS223" s="87"/>
      <c r="AV223" s="85"/>
      <c r="AW223" s="93"/>
      <c r="AX223" s="94"/>
      <c r="AY223" s="90"/>
      <c r="BB223" s="91"/>
    </row>
    <row r="224" spans="1:54" ht="15" customHeight="1">
      <c r="A224" s="33" t="s">
        <v>4787</v>
      </c>
      <c r="B224" s="33" t="s">
        <v>4823</v>
      </c>
      <c r="C224" s="33" t="s">
        <v>4825</v>
      </c>
      <c r="D224" s="33">
        <v>35</v>
      </c>
      <c r="E224" s="33">
        <v>2</v>
      </c>
      <c r="F224" s="33" t="s">
        <v>4788</v>
      </c>
      <c r="G224" s="33" t="s">
        <v>4908</v>
      </c>
      <c r="J224" s="33" t="s">
        <v>28</v>
      </c>
      <c r="N224" s="83"/>
      <c r="O224" s="85"/>
      <c r="P224" s="86"/>
      <c r="Q224" s="87"/>
      <c r="U224" s="85"/>
      <c r="V224" s="88"/>
      <c r="W224" s="89"/>
      <c r="X224" s="90"/>
      <c r="AA224" s="91"/>
      <c r="AE224" s="33"/>
      <c r="AF224" s="33" t="s">
        <v>4909</v>
      </c>
      <c r="AP224" s="83"/>
      <c r="AQ224" s="85"/>
      <c r="AR224" s="86"/>
      <c r="AS224" s="87"/>
      <c r="AV224" s="85"/>
      <c r="AW224" s="93"/>
      <c r="AX224" s="94"/>
      <c r="AY224" s="90"/>
      <c r="BB224" s="91"/>
    </row>
    <row r="225" spans="1:60" ht="15" customHeight="1">
      <c r="A225" s="33" t="s">
        <v>4787</v>
      </c>
      <c r="B225" s="40" t="s">
        <v>4824</v>
      </c>
      <c r="C225" s="33" t="s">
        <v>4825</v>
      </c>
      <c r="D225" s="33">
        <v>36</v>
      </c>
      <c r="E225" s="33">
        <v>3</v>
      </c>
      <c r="F225" s="33" t="s">
        <v>4788</v>
      </c>
      <c r="G225" s="33" t="s">
        <v>4910</v>
      </c>
      <c r="J225" s="33" t="s">
        <v>28</v>
      </c>
      <c r="N225" s="83"/>
      <c r="O225" s="85"/>
      <c r="P225" s="86"/>
      <c r="Q225" s="87"/>
      <c r="U225" s="85"/>
      <c r="V225" s="88"/>
      <c r="W225" s="89"/>
      <c r="X225" s="90"/>
      <c r="AA225" s="91"/>
      <c r="AE225" s="33"/>
      <c r="AF225" s="33" t="s">
        <v>4911</v>
      </c>
      <c r="AP225" s="83"/>
      <c r="AQ225" s="85"/>
      <c r="AR225" s="86"/>
      <c r="AS225" s="87"/>
      <c r="AV225" s="85"/>
      <c r="AW225" s="93"/>
      <c r="AX225" s="94"/>
      <c r="AY225" s="90"/>
      <c r="BB225" s="91"/>
    </row>
    <row r="226" spans="1:60" ht="15" customHeight="1">
      <c r="A226" s="33" t="s">
        <v>4787</v>
      </c>
      <c r="B226" s="33" t="s">
        <v>4961</v>
      </c>
      <c r="C226" s="33" t="s">
        <v>4825</v>
      </c>
      <c r="D226" s="33">
        <v>37</v>
      </c>
      <c r="E226" s="33">
        <v>1</v>
      </c>
      <c r="F226" s="33" t="s">
        <v>4788</v>
      </c>
      <c r="G226" s="33" t="s">
        <v>4952</v>
      </c>
      <c r="J226" s="33" t="s">
        <v>4956</v>
      </c>
      <c r="N226" s="83"/>
      <c r="O226" s="85"/>
      <c r="P226" s="86"/>
      <c r="Q226" s="87"/>
      <c r="U226" s="85"/>
      <c r="V226" s="88"/>
      <c r="W226" s="89"/>
      <c r="X226" s="90"/>
      <c r="AA226" s="91"/>
      <c r="AE226" s="33"/>
      <c r="AI226" s="33" t="s">
        <v>4957</v>
      </c>
      <c r="AL226" s="43" t="s">
        <v>4956</v>
      </c>
      <c r="AP226" s="83"/>
      <c r="AQ226" s="85"/>
      <c r="AR226" s="86"/>
      <c r="AS226" s="87"/>
      <c r="AV226" s="85"/>
      <c r="AW226" s="93"/>
      <c r="AX226" s="94"/>
      <c r="AY226" s="90"/>
      <c r="BB226" s="91"/>
    </row>
    <row r="227" spans="1:60" ht="15" customHeight="1">
      <c r="A227" s="33" t="s">
        <v>4787</v>
      </c>
      <c r="B227" s="33" t="s">
        <v>4962</v>
      </c>
      <c r="C227" s="33" t="s">
        <v>4825</v>
      </c>
      <c r="D227" s="33">
        <v>38</v>
      </c>
      <c r="E227" s="33">
        <v>1</v>
      </c>
      <c r="F227" s="33" t="s">
        <v>4788</v>
      </c>
      <c r="G227" s="33" t="s">
        <v>4953</v>
      </c>
      <c r="J227" s="33" t="s">
        <v>4956</v>
      </c>
      <c r="N227" s="83"/>
      <c r="O227" s="85"/>
      <c r="P227" s="86"/>
      <c r="Q227" s="87"/>
      <c r="U227" s="85"/>
      <c r="V227" s="88"/>
      <c r="W227" s="89"/>
      <c r="X227" s="90"/>
      <c r="AA227" s="91"/>
      <c r="AE227" s="33"/>
      <c r="AI227" s="33" t="s">
        <v>4958</v>
      </c>
      <c r="AL227" s="43" t="s">
        <v>4956</v>
      </c>
      <c r="AP227" s="83"/>
      <c r="AQ227" s="85"/>
      <c r="AR227" s="86"/>
      <c r="AS227" s="87"/>
      <c r="AV227" s="85"/>
      <c r="AW227" s="93"/>
      <c r="AX227" s="94"/>
      <c r="AY227" s="90"/>
      <c r="BB227" s="91"/>
    </row>
    <row r="228" spans="1:60" ht="15" customHeight="1">
      <c r="A228" s="33" t="s">
        <v>4787</v>
      </c>
      <c r="B228" s="33" t="s">
        <v>4963</v>
      </c>
      <c r="C228" s="33" t="s">
        <v>4825</v>
      </c>
      <c r="D228" s="33">
        <v>39</v>
      </c>
      <c r="E228" s="33">
        <v>1</v>
      </c>
      <c r="F228" s="33" t="s">
        <v>4788</v>
      </c>
      <c r="G228" s="33" t="s">
        <v>4954</v>
      </c>
      <c r="J228" s="33" t="s">
        <v>4956</v>
      </c>
      <c r="N228" s="83"/>
      <c r="O228" s="85"/>
      <c r="P228" s="86"/>
      <c r="Q228" s="87"/>
      <c r="U228" s="85"/>
      <c r="V228" s="88"/>
      <c r="W228" s="89"/>
      <c r="X228" s="90"/>
      <c r="AA228" s="91"/>
      <c r="AE228" s="33"/>
      <c r="AI228" s="33" t="s">
        <v>4959</v>
      </c>
      <c r="AL228" s="43" t="s">
        <v>4956</v>
      </c>
      <c r="AP228" s="83"/>
      <c r="AQ228" s="85"/>
      <c r="AR228" s="86"/>
      <c r="AS228" s="87"/>
      <c r="AV228" s="85"/>
      <c r="AW228" s="93"/>
      <c r="AX228" s="94"/>
      <c r="AY228" s="90"/>
      <c r="BB228" s="91"/>
    </row>
    <row r="229" spans="1:60" ht="15" customHeight="1">
      <c r="A229" s="33" t="s">
        <v>4787</v>
      </c>
      <c r="B229" s="33" t="s">
        <v>4964</v>
      </c>
      <c r="C229" s="33" t="s">
        <v>4825</v>
      </c>
      <c r="D229" s="33">
        <v>40</v>
      </c>
      <c r="E229" s="33">
        <v>1</v>
      </c>
      <c r="F229" s="33" t="s">
        <v>4788</v>
      </c>
      <c r="G229" s="33" t="s">
        <v>4955</v>
      </c>
      <c r="J229" s="33" t="s">
        <v>4956</v>
      </c>
      <c r="N229" s="83"/>
      <c r="O229" s="85"/>
      <c r="P229" s="86"/>
      <c r="Q229" s="87"/>
      <c r="U229" s="85"/>
      <c r="V229" s="88"/>
      <c r="W229" s="89"/>
      <c r="X229" s="90"/>
      <c r="AA229" s="91"/>
      <c r="AE229" s="33"/>
      <c r="AI229" s="33" t="s">
        <v>4960</v>
      </c>
      <c r="AL229" s="43" t="s">
        <v>4956</v>
      </c>
      <c r="AP229" s="83"/>
      <c r="AQ229" s="85"/>
      <c r="AR229" s="86"/>
      <c r="AS229" s="87"/>
      <c r="AV229" s="85"/>
      <c r="AW229" s="93"/>
      <c r="AX229" s="94"/>
      <c r="AY229" s="90"/>
      <c r="BB229" s="91"/>
    </row>
    <row r="230" spans="1:60" ht="15" customHeight="1">
      <c r="A230" s="33" t="s">
        <v>4979</v>
      </c>
      <c r="B230" s="33" t="s">
        <v>4981</v>
      </c>
      <c r="C230" s="33" t="s">
        <v>4984</v>
      </c>
      <c r="D230" s="33">
        <v>1</v>
      </c>
      <c r="E230" s="33">
        <v>1</v>
      </c>
      <c r="F230" s="33" t="s">
        <v>4980</v>
      </c>
      <c r="G230" s="33" t="s">
        <v>4968</v>
      </c>
      <c r="H230" s="33" t="s">
        <v>4969</v>
      </c>
      <c r="I230" s="33" t="s">
        <v>4077</v>
      </c>
      <c r="J230" s="33" t="s">
        <v>4057</v>
      </c>
      <c r="K230" s="33" t="s">
        <v>4054</v>
      </c>
      <c r="N230" s="83"/>
      <c r="O230" s="85">
        <v>4</v>
      </c>
      <c r="P230" s="86">
        <v>4</v>
      </c>
      <c r="Q230" s="87">
        <v>1</v>
      </c>
      <c r="R230" s="76">
        <v>3</v>
      </c>
      <c r="T230" s="78">
        <v>6</v>
      </c>
      <c r="U230" s="85">
        <v>8</v>
      </c>
      <c r="V230" s="88"/>
      <c r="W230" s="89"/>
      <c r="X230" s="90"/>
      <c r="AA230" s="91"/>
      <c r="AD230" s="33" t="s">
        <v>4970</v>
      </c>
      <c r="AE230" s="33"/>
      <c r="AF230" s="33" t="s">
        <v>4971</v>
      </c>
      <c r="AI230" s="33" t="s">
        <v>4968</v>
      </c>
      <c r="AJ230" s="33" t="s">
        <v>4969</v>
      </c>
      <c r="AK230" s="33" t="s">
        <v>4077</v>
      </c>
      <c r="AL230" s="33" t="s">
        <v>4057</v>
      </c>
      <c r="AM230" s="33" t="s">
        <v>5105</v>
      </c>
      <c r="AP230" s="83"/>
      <c r="AQ230" s="85"/>
      <c r="AR230" s="86"/>
      <c r="AS230" s="87"/>
      <c r="AV230" s="85"/>
      <c r="AW230" s="93"/>
      <c r="AX230" s="94"/>
      <c r="AY230" s="90"/>
      <c r="BB230" s="91"/>
    </row>
    <row r="231" spans="1:60" ht="15" customHeight="1">
      <c r="A231" s="33" t="s">
        <v>4979</v>
      </c>
      <c r="B231" s="33" t="s">
        <v>4982</v>
      </c>
      <c r="C231" s="33" t="s">
        <v>4984</v>
      </c>
      <c r="D231" s="33">
        <v>2</v>
      </c>
      <c r="E231" s="33">
        <v>1</v>
      </c>
      <c r="F231" s="33" t="s">
        <v>4980</v>
      </c>
      <c r="G231" s="33" t="s">
        <v>4972</v>
      </c>
      <c r="J231" s="33" t="s">
        <v>27</v>
      </c>
      <c r="K231" s="33" t="s">
        <v>26</v>
      </c>
      <c r="N231" s="83">
        <v>3</v>
      </c>
      <c r="O231" s="85"/>
      <c r="P231" s="86"/>
      <c r="Q231" s="87"/>
      <c r="S231" s="123">
        <v>2</v>
      </c>
      <c r="U231" s="85"/>
      <c r="V231" s="88"/>
      <c r="W231" s="89"/>
      <c r="X231" s="90"/>
      <c r="AA231" s="91"/>
      <c r="AB231" s="33" t="s">
        <v>4936</v>
      </c>
      <c r="AD231" s="33" t="s">
        <v>4973</v>
      </c>
      <c r="AE231" s="33"/>
      <c r="AF231" s="33" t="s">
        <v>4974</v>
      </c>
      <c r="AP231" s="83"/>
      <c r="AQ231" s="85"/>
      <c r="AR231" s="86"/>
      <c r="AS231" s="87"/>
      <c r="AV231" s="85"/>
      <c r="AW231" s="93"/>
      <c r="AX231" s="94"/>
      <c r="AY231" s="90"/>
      <c r="BB231" s="91"/>
    </row>
    <row r="232" spans="1:60" ht="15" customHeight="1">
      <c r="A232" s="33" t="s">
        <v>4979</v>
      </c>
      <c r="B232" s="33" t="s">
        <v>4983</v>
      </c>
      <c r="C232" s="33" t="s">
        <v>4984</v>
      </c>
      <c r="D232" s="33">
        <v>3</v>
      </c>
      <c r="E232" s="33">
        <v>1</v>
      </c>
      <c r="F232" s="33" t="s">
        <v>4980</v>
      </c>
      <c r="G232" s="33" t="s">
        <v>4975</v>
      </c>
      <c r="H232" s="33" t="s">
        <v>4976</v>
      </c>
      <c r="I232" s="33" t="s">
        <v>4077</v>
      </c>
      <c r="J232" s="33" t="s">
        <v>4111</v>
      </c>
      <c r="K232" s="33" t="s">
        <v>26</v>
      </c>
      <c r="M232" s="33" t="s">
        <v>4502</v>
      </c>
      <c r="N232" s="83"/>
      <c r="O232" s="85"/>
      <c r="P232" s="86"/>
      <c r="Q232" s="87"/>
      <c r="U232" s="85"/>
      <c r="V232" s="88"/>
      <c r="W232" s="89"/>
      <c r="X232" s="90"/>
      <c r="AA232" s="91"/>
      <c r="AC232" s="33" t="s">
        <v>25</v>
      </c>
      <c r="AD232" s="33" t="s">
        <v>4977</v>
      </c>
      <c r="AE232" s="33"/>
      <c r="AF232" s="33" t="s">
        <v>4978</v>
      </c>
      <c r="AP232" s="83"/>
      <c r="AQ232" s="85"/>
      <c r="AR232" s="86"/>
      <c r="AS232" s="87"/>
      <c r="AV232" s="85"/>
      <c r="AW232" s="93"/>
      <c r="AX232" s="94"/>
      <c r="AY232" s="90"/>
      <c r="BB232" s="91"/>
    </row>
    <row r="233" spans="1:60" ht="15" customHeight="1">
      <c r="A233" s="33" t="s">
        <v>4979</v>
      </c>
      <c r="B233" s="40" t="s">
        <v>5567</v>
      </c>
      <c r="C233" s="33" t="s">
        <v>4984</v>
      </c>
      <c r="D233" s="34">
        <v>999</v>
      </c>
      <c r="E233" s="33">
        <v>1</v>
      </c>
      <c r="G233" s="33" t="s">
        <v>4968</v>
      </c>
      <c r="J233" s="33" t="s">
        <v>4715</v>
      </c>
      <c r="K233" s="33" t="s">
        <v>4054</v>
      </c>
      <c r="N233" s="83"/>
      <c r="O233" s="85"/>
      <c r="P233" s="86"/>
      <c r="Q233" s="87"/>
      <c r="U233" s="85"/>
      <c r="V233" s="93"/>
      <c r="W233" s="94"/>
      <c r="X233" s="90"/>
      <c r="AA233" s="91"/>
      <c r="AB233" s="52"/>
      <c r="AE233" s="33"/>
      <c r="AI233" s="33" t="s">
        <v>4968</v>
      </c>
      <c r="AL233" s="33" t="s">
        <v>4715</v>
      </c>
      <c r="AP233" s="83"/>
      <c r="AQ233" s="85"/>
      <c r="AR233" s="86"/>
      <c r="AS233" s="87"/>
      <c r="AV233" s="85"/>
      <c r="AW233" s="93"/>
      <c r="AX233" s="94"/>
      <c r="AY233" s="90"/>
      <c r="BB233" s="91"/>
    </row>
    <row r="234" spans="1:60" ht="15" customHeight="1">
      <c r="A234" s="33" t="s">
        <v>5053</v>
      </c>
      <c r="B234" s="40" t="s">
        <v>5055</v>
      </c>
      <c r="C234" s="33" t="s">
        <v>5052</v>
      </c>
      <c r="D234" s="33">
        <v>1</v>
      </c>
      <c r="E234" s="33">
        <v>1</v>
      </c>
      <c r="F234" s="33" t="s">
        <v>4985</v>
      </c>
      <c r="G234" s="33" t="s">
        <v>4985</v>
      </c>
      <c r="J234" s="33" t="s">
        <v>4472</v>
      </c>
      <c r="N234" s="83"/>
      <c r="O234" s="85"/>
      <c r="P234" s="86"/>
      <c r="Q234" s="87"/>
      <c r="U234" s="85"/>
      <c r="V234" s="88"/>
      <c r="W234" s="89"/>
      <c r="X234" s="90"/>
      <c r="AA234" s="91"/>
      <c r="AE234" s="33"/>
      <c r="AF234" s="33" t="s">
        <v>5118</v>
      </c>
      <c r="AI234" s="33" t="s">
        <v>4985</v>
      </c>
      <c r="AL234" s="33" t="s">
        <v>4472</v>
      </c>
      <c r="AP234" s="83"/>
      <c r="AQ234" s="85"/>
      <c r="AR234" s="86"/>
      <c r="AS234" s="87"/>
      <c r="AV234" s="85"/>
      <c r="AW234" s="93"/>
      <c r="AX234" s="94"/>
      <c r="AY234" s="90"/>
      <c r="BB234" s="91"/>
      <c r="BG234" s="33" t="s">
        <v>5119</v>
      </c>
    </row>
    <row r="235" spans="1:60" ht="15" customHeight="1">
      <c r="A235" s="33" t="s">
        <v>5053</v>
      </c>
      <c r="B235" s="33" t="s">
        <v>5056</v>
      </c>
      <c r="C235" s="33" t="s">
        <v>5052</v>
      </c>
      <c r="D235" s="33">
        <v>2</v>
      </c>
      <c r="E235" s="33">
        <v>1</v>
      </c>
      <c r="F235" s="33" t="s">
        <v>4985</v>
      </c>
      <c r="G235" s="33" t="s">
        <v>4986</v>
      </c>
      <c r="J235" s="33" t="s">
        <v>4473</v>
      </c>
      <c r="L235" s="33">
        <v>1</v>
      </c>
      <c r="N235" s="83"/>
      <c r="O235" s="85"/>
      <c r="P235" s="86"/>
      <c r="Q235" s="87"/>
      <c r="U235" s="85"/>
      <c r="V235" s="88"/>
      <c r="W235" s="89"/>
      <c r="X235" s="90"/>
      <c r="Z235" s="78">
        <v>8</v>
      </c>
      <c r="AA235" s="91"/>
      <c r="AE235" s="33"/>
      <c r="AI235" s="33" t="s">
        <v>4987</v>
      </c>
      <c r="AJ235" s="33" t="s">
        <v>4988</v>
      </c>
      <c r="AK235" s="33" t="s">
        <v>4077</v>
      </c>
      <c r="AL235" s="33" t="s">
        <v>29</v>
      </c>
      <c r="AP235" s="83"/>
      <c r="AQ235" s="85"/>
      <c r="AR235" s="86"/>
      <c r="AS235" s="87">
        <v>4</v>
      </c>
      <c r="AT235" s="76">
        <v>3</v>
      </c>
      <c r="AU235" s="78">
        <v>5</v>
      </c>
      <c r="AV235" s="85"/>
      <c r="AW235" s="93">
        <v>2</v>
      </c>
      <c r="AX235" s="94">
        <v>2</v>
      </c>
      <c r="AY235" s="90"/>
      <c r="BB235" s="91">
        <v>2</v>
      </c>
      <c r="BE235" s="33" t="s">
        <v>4989</v>
      </c>
      <c r="BF235" s="34" t="s">
        <v>5152</v>
      </c>
      <c r="BG235" s="33" t="s">
        <v>5154</v>
      </c>
      <c r="BH235" s="33" t="s">
        <v>5153</v>
      </c>
    </row>
    <row r="236" spans="1:60" ht="15" customHeight="1">
      <c r="A236" s="33" t="s">
        <v>5053</v>
      </c>
      <c r="B236" s="33" t="s">
        <v>5057</v>
      </c>
      <c r="C236" s="33" t="s">
        <v>5052</v>
      </c>
      <c r="D236" s="33">
        <v>2</v>
      </c>
      <c r="E236" s="33">
        <v>1</v>
      </c>
      <c r="F236" s="33" t="s">
        <v>4985</v>
      </c>
      <c r="G236" s="33" t="s">
        <v>4987</v>
      </c>
      <c r="H236" s="33" t="s">
        <v>4988</v>
      </c>
      <c r="I236" s="33" t="s">
        <v>4077</v>
      </c>
      <c r="J236" s="33" t="s">
        <v>29</v>
      </c>
      <c r="N236" s="83"/>
      <c r="O236" s="85"/>
      <c r="P236" s="86"/>
      <c r="Q236" s="87">
        <v>4</v>
      </c>
      <c r="R236" s="76">
        <v>3</v>
      </c>
      <c r="T236" s="78">
        <v>5</v>
      </c>
      <c r="U236" s="85"/>
      <c r="V236" s="88">
        <v>2</v>
      </c>
      <c r="W236" s="89">
        <v>2</v>
      </c>
      <c r="X236" s="90"/>
      <c r="AA236" s="91">
        <v>2</v>
      </c>
      <c r="AD236" s="33" t="s">
        <v>4989</v>
      </c>
      <c r="AE236" s="33" t="s">
        <v>5152</v>
      </c>
      <c r="AF236" s="33" t="s">
        <v>5154</v>
      </c>
      <c r="AP236" s="83"/>
      <c r="AQ236" s="85"/>
      <c r="AR236" s="86"/>
      <c r="AS236" s="87"/>
      <c r="AV236" s="85"/>
      <c r="AW236" s="93"/>
      <c r="AX236" s="94"/>
      <c r="AY236" s="90"/>
      <c r="BB236" s="91"/>
    </row>
    <row r="237" spans="1:60" ht="15" customHeight="1">
      <c r="A237" s="33" t="s">
        <v>5053</v>
      </c>
      <c r="B237" s="33" t="s">
        <v>5058</v>
      </c>
      <c r="C237" s="33" t="s">
        <v>5052</v>
      </c>
      <c r="D237" s="33">
        <v>3</v>
      </c>
      <c r="E237" s="33">
        <v>1</v>
      </c>
      <c r="F237" s="33" t="s">
        <v>4985</v>
      </c>
      <c r="G237" s="33" t="s">
        <v>4990</v>
      </c>
      <c r="J237" s="33" t="s">
        <v>4473</v>
      </c>
      <c r="L237" s="33">
        <v>2</v>
      </c>
      <c r="N237" s="83"/>
      <c r="O237" s="85"/>
      <c r="P237" s="86"/>
      <c r="Q237" s="87"/>
      <c r="U237" s="85"/>
      <c r="V237" s="88"/>
      <c r="W237" s="89"/>
      <c r="X237" s="90"/>
      <c r="Z237" s="78">
        <v>3</v>
      </c>
      <c r="AA237" s="91"/>
      <c r="AE237" s="33"/>
      <c r="AI237" s="33" t="s">
        <v>4990</v>
      </c>
      <c r="AL237" s="33" t="s">
        <v>4473</v>
      </c>
      <c r="AN237" s="33">
        <v>2</v>
      </c>
      <c r="AP237" s="83"/>
      <c r="AQ237" s="85"/>
      <c r="AR237" s="86"/>
      <c r="AS237" s="87"/>
      <c r="AV237" s="85"/>
      <c r="AW237" s="93"/>
      <c r="AX237" s="94"/>
      <c r="AY237" s="90"/>
      <c r="BB237" s="91"/>
      <c r="BG237" s="33" t="s">
        <v>5106</v>
      </c>
    </row>
    <row r="238" spans="1:60" ht="15" customHeight="1">
      <c r="A238" s="33" t="s">
        <v>5053</v>
      </c>
      <c r="B238" s="33" t="s">
        <v>5059</v>
      </c>
      <c r="C238" s="33" t="s">
        <v>5052</v>
      </c>
      <c r="D238" s="33">
        <v>4</v>
      </c>
      <c r="E238" s="33">
        <v>1</v>
      </c>
      <c r="F238" s="33" t="s">
        <v>4985</v>
      </c>
      <c r="G238" s="33" t="s">
        <v>4991</v>
      </c>
      <c r="J238" s="33" t="s">
        <v>4473</v>
      </c>
      <c r="L238" s="33">
        <v>3</v>
      </c>
      <c r="N238" s="83"/>
      <c r="O238" s="85"/>
      <c r="P238" s="86"/>
      <c r="Q238" s="87"/>
      <c r="U238" s="85"/>
      <c r="V238" s="88"/>
      <c r="W238" s="89"/>
      <c r="X238" s="90"/>
      <c r="Z238" s="78">
        <v>3</v>
      </c>
      <c r="AA238" s="91"/>
      <c r="AE238" s="33"/>
      <c r="AF238" s="33" t="s">
        <v>5120</v>
      </c>
      <c r="AI238" s="33" t="s">
        <v>4991</v>
      </c>
      <c r="AL238" s="33" t="s">
        <v>4473</v>
      </c>
      <c r="AN238" s="33">
        <v>3</v>
      </c>
      <c r="AP238" s="83"/>
      <c r="AQ238" s="85"/>
      <c r="AR238" s="86"/>
      <c r="AS238" s="87"/>
      <c r="AV238" s="85"/>
      <c r="AW238" s="93"/>
      <c r="AX238" s="94"/>
      <c r="AY238" s="90"/>
      <c r="BB238" s="91"/>
      <c r="BG238" s="33" t="s">
        <v>5107</v>
      </c>
    </row>
    <row r="239" spans="1:60" ht="15" customHeight="1">
      <c r="A239" s="33" t="s">
        <v>5053</v>
      </c>
      <c r="B239" s="33" t="s">
        <v>5060</v>
      </c>
      <c r="C239" s="33" t="s">
        <v>5052</v>
      </c>
      <c r="D239" s="33">
        <v>5</v>
      </c>
      <c r="E239" s="33">
        <v>1</v>
      </c>
      <c r="F239" s="33" t="s">
        <v>4985</v>
      </c>
      <c r="G239" s="33" t="s">
        <v>4992</v>
      </c>
      <c r="J239" s="33" t="s">
        <v>4475</v>
      </c>
      <c r="L239" s="33">
        <v>1</v>
      </c>
      <c r="N239" s="83"/>
      <c r="O239" s="85"/>
      <c r="P239" s="86"/>
      <c r="Q239" s="87"/>
      <c r="U239" s="85"/>
      <c r="V239" s="88"/>
      <c r="W239" s="89"/>
      <c r="X239" s="90"/>
      <c r="Y239" s="76">
        <v>0</v>
      </c>
      <c r="AA239" s="91"/>
      <c r="AE239" s="33"/>
      <c r="AF239" s="33" t="s">
        <v>5155</v>
      </c>
      <c r="AI239" s="33" t="s">
        <v>4992</v>
      </c>
      <c r="AL239" s="33" t="s">
        <v>4475</v>
      </c>
      <c r="AN239" s="33">
        <v>1</v>
      </c>
      <c r="AP239" s="83"/>
      <c r="AQ239" s="85"/>
      <c r="AR239" s="86"/>
      <c r="AS239" s="87"/>
      <c r="AV239" s="85"/>
      <c r="AW239" s="93"/>
      <c r="AX239" s="94"/>
      <c r="AY239" s="90"/>
      <c r="BB239" s="91"/>
      <c r="BG239" s="33" t="s">
        <v>5108</v>
      </c>
    </row>
    <row r="240" spans="1:60" ht="15" customHeight="1">
      <c r="A240" s="33" t="s">
        <v>5053</v>
      </c>
      <c r="B240" s="33" t="s">
        <v>5061</v>
      </c>
      <c r="C240" s="33" t="s">
        <v>5052</v>
      </c>
      <c r="D240" s="33">
        <v>6</v>
      </c>
      <c r="E240" s="33">
        <v>1</v>
      </c>
      <c r="F240" s="33" t="s">
        <v>4985</v>
      </c>
      <c r="G240" s="33" t="s">
        <v>4993</v>
      </c>
      <c r="J240" s="33" t="s">
        <v>4475</v>
      </c>
      <c r="L240" s="33">
        <v>2</v>
      </c>
      <c r="N240" s="83"/>
      <c r="O240" s="85"/>
      <c r="P240" s="86"/>
      <c r="Q240" s="87"/>
      <c r="U240" s="85"/>
      <c r="V240" s="88"/>
      <c r="W240" s="89"/>
      <c r="X240" s="90"/>
      <c r="Y240" s="76">
        <v>0</v>
      </c>
      <c r="AA240" s="91"/>
      <c r="AE240" s="33"/>
      <c r="AF240" s="33" t="s">
        <v>5121</v>
      </c>
      <c r="AI240" s="33" t="s">
        <v>4994</v>
      </c>
      <c r="AL240" s="33" t="s">
        <v>31</v>
      </c>
      <c r="AP240" s="83"/>
      <c r="AQ240" s="85"/>
      <c r="AR240" s="86"/>
      <c r="AS240" s="87"/>
      <c r="AV240" s="85"/>
      <c r="AW240" s="93"/>
      <c r="AX240" s="94"/>
      <c r="AY240" s="90">
        <v>5</v>
      </c>
      <c r="AZ240" s="76">
        <v>0</v>
      </c>
      <c r="BB240" s="91"/>
      <c r="BE240" s="33" t="s">
        <v>4995</v>
      </c>
      <c r="BG240" s="33" t="s">
        <v>5122</v>
      </c>
    </row>
    <row r="241" spans="1:59" ht="15" customHeight="1">
      <c r="A241" s="33" t="s">
        <v>5053</v>
      </c>
      <c r="B241" s="33" t="s">
        <v>5062</v>
      </c>
      <c r="C241" s="33" t="s">
        <v>5052</v>
      </c>
      <c r="D241" s="33">
        <v>6</v>
      </c>
      <c r="E241" s="33">
        <v>1</v>
      </c>
      <c r="F241" s="33" t="s">
        <v>4985</v>
      </c>
      <c r="G241" s="33" t="s">
        <v>4994</v>
      </c>
      <c r="J241" s="33" t="s">
        <v>31</v>
      </c>
      <c r="N241" s="83"/>
      <c r="O241" s="85"/>
      <c r="P241" s="86"/>
      <c r="Q241" s="87"/>
      <c r="U241" s="85"/>
      <c r="V241" s="88"/>
      <c r="W241" s="89"/>
      <c r="X241" s="90">
        <v>5</v>
      </c>
      <c r="Y241" s="76">
        <v>0</v>
      </c>
      <c r="AA241" s="91"/>
      <c r="AD241" s="33" t="s">
        <v>4995</v>
      </c>
      <c r="AE241" s="33"/>
      <c r="AF241" s="33" t="s">
        <v>5122</v>
      </c>
      <c r="AP241" s="83"/>
      <c r="AQ241" s="85"/>
      <c r="AR241" s="86"/>
      <c r="AS241" s="87"/>
      <c r="AV241" s="85"/>
      <c r="AW241" s="93"/>
      <c r="AX241" s="94"/>
      <c r="AY241" s="90"/>
      <c r="BB241" s="91"/>
    </row>
    <row r="242" spans="1:59" ht="15" customHeight="1">
      <c r="A242" s="33" t="s">
        <v>5053</v>
      </c>
      <c r="B242" s="33" t="s">
        <v>5063</v>
      </c>
      <c r="C242" s="33" t="s">
        <v>5052</v>
      </c>
      <c r="D242" s="33">
        <v>7</v>
      </c>
      <c r="E242" s="33">
        <v>1</v>
      </c>
      <c r="F242" s="33" t="s">
        <v>4985</v>
      </c>
      <c r="G242" s="33" t="s">
        <v>4996</v>
      </c>
      <c r="J242" s="33" t="s">
        <v>4475</v>
      </c>
      <c r="L242" s="33">
        <v>3</v>
      </c>
      <c r="N242" s="83"/>
      <c r="O242" s="85"/>
      <c r="P242" s="86"/>
      <c r="Q242" s="87"/>
      <c r="U242" s="85"/>
      <c r="V242" s="88"/>
      <c r="W242" s="89"/>
      <c r="X242" s="90"/>
      <c r="Y242" s="76">
        <v>0</v>
      </c>
      <c r="AA242" s="91"/>
      <c r="AE242" s="33"/>
      <c r="AF242" s="33" t="s">
        <v>5156</v>
      </c>
      <c r="AI242" s="33" t="s">
        <v>4996</v>
      </c>
      <c r="AL242" s="33" t="s">
        <v>4475</v>
      </c>
      <c r="AN242" s="33">
        <v>3</v>
      </c>
      <c r="AP242" s="83"/>
      <c r="AQ242" s="85"/>
      <c r="AR242" s="86"/>
      <c r="AS242" s="87"/>
      <c r="AV242" s="85"/>
      <c r="AW242" s="93"/>
      <c r="AX242" s="94"/>
      <c r="AY242" s="90"/>
      <c r="BB242" s="91"/>
    </row>
    <row r="243" spans="1:59" ht="15" customHeight="1">
      <c r="A243" s="33" t="s">
        <v>5053</v>
      </c>
      <c r="B243" s="33" t="s">
        <v>5064</v>
      </c>
      <c r="C243" s="33" t="s">
        <v>5052</v>
      </c>
      <c r="D243" s="33">
        <v>8</v>
      </c>
      <c r="E243" s="33">
        <v>1</v>
      </c>
      <c r="F243" s="33" t="s">
        <v>4985</v>
      </c>
      <c r="G243" s="33" t="s">
        <v>4997</v>
      </c>
      <c r="J243" s="33" t="s">
        <v>31</v>
      </c>
      <c r="N243" s="83"/>
      <c r="O243" s="85"/>
      <c r="P243" s="86"/>
      <c r="Q243" s="87"/>
      <c r="U243" s="85"/>
      <c r="V243" s="88"/>
      <c r="W243" s="89"/>
      <c r="X243" s="90"/>
      <c r="AA243" s="91"/>
      <c r="AD243" s="33" t="s">
        <v>4998</v>
      </c>
      <c r="AE243" s="33"/>
      <c r="AF243" s="33" t="s">
        <v>5109</v>
      </c>
      <c r="AI243" s="33" t="s">
        <v>4997</v>
      </c>
      <c r="AL243" s="33" t="s">
        <v>31</v>
      </c>
      <c r="AP243" s="83"/>
      <c r="AQ243" s="85"/>
      <c r="AR243" s="86"/>
      <c r="AS243" s="87"/>
      <c r="AV243" s="85"/>
      <c r="AW243" s="93"/>
      <c r="AX243" s="94"/>
      <c r="AY243" s="90">
        <v>3</v>
      </c>
      <c r="AZ243" s="76">
        <v>0</v>
      </c>
      <c r="BB243" s="91"/>
      <c r="BE243" s="33" t="s">
        <v>4998</v>
      </c>
      <c r="BG243" s="33" t="s">
        <v>5123</v>
      </c>
    </row>
    <row r="244" spans="1:59" ht="15" customHeight="1">
      <c r="A244" s="33" t="s">
        <v>5053</v>
      </c>
      <c r="B244" s="33" t="s">
        <v>5065</v>
      </c>
      <c r="C244" s="33" t="s">
        <v>5052</v>
      </c>
      <c r="D244" s="33">
        <v>9</v>
      </c>
      <c r="E244" s="33">
        <v>1</v>
      </c>
      <c r="F244" s="33" t="s">
        <v>4985</v>
      </c>
      <c r="G244" s="33" t="s">
        <v>4999</v>
      </c>
      <c r="J244" s="33" t="s">
        <v>31</v>
      </c>
      <c r="N244" s="83"/>
      <c r="O244" s="85"/>
      <c r="P244" s="86"/>
      <c r="Q244" s="87"/>
      <c r="U244" s="85"/>
      <c r="V244" s="88"/>
      <c r="W244" s="89"/>
      <c r="X244" s="90"/>
      <c r="AA244" s="91"/>
      <c r="AD244" s="33" t="s">
        <v>4998</v>
      </c>
      <c r="AE244" s="33"/>
      <c r="AF244" s="33" t="s">
        <v>5110</v>
      </c>
      <c r="AI244" s="33" t="s">
        <v>4999</v>
      </c>
      <c r="AL244" s="33" t="s">
        <v>31</v>
      </c>
      <c r="AP244" s="83"/>
      <c r="AQ244" s="85"/>
      <c r="AR244" s="86"/>
      <c r="AS244" s="87"/>
      <c r="AV244" s="85"/>
      <c r="AW244" s="93"/>
      <c r="AX244" s="94"/>
      <c r="AY244" s="90">
        <v>2</v>
      </c>
      <c r="AZ244" s="76">
        <v>1</v>
      </c>
      <c r="BB244" s="91"/>
      <c r="BE244" s="33" t="s">
        <v>4998</v>
      </c>
      <c r="BG244" s="33" t="s">
        <v>5124</v>
      </c>
    </row>
    <row r="245" spans="1:59" ht="15" customHeight="1">
      <c r="A245" s="33" t="s">
        <v>5053</v>
      </c>
      <c r="B245" s="33" t="s">
        <v>5066</v>
      </c>
      <c r="C245" s="33" t="s">
        <v>5052</v>
      </c>
      <c r="D245" s="33">
        <v>10</v>
      </c>
      <c r="E245" s="33">
        <v>1</v>
      </c>
      <c r="F245" s="33" t="s">
        <v>4985</v>
      </c>
      <c r="G245" s="33" t="s">
        <v>5000</v>
      </c>
      <c r="J245" s="33" t="s">
        <v>31</v>
      </c>
      <c r="N245" s="83"/>
      <c r="O245" s="85"/>
      <c r="P245" s="86"/>
      <c r="Q245" s="87"/>
      <c r="U245" s="85"/>
      <c r="V245" s="88"/>
      <c r="W245" s="89"/>
      <c r="X245" s="90"/>
      <c r="AA245" s="91"/>
      <c r="AD245" s="33" t="s">
        <v>4998</v>
      </c>
      <c r="AE245" s="33"/>
      <c r="AF245" s="33" t="s">
        <v>5111</v>
      </c>
      <c r="AI245" s="33" t="s">
        <v>5000</v>
      </c>
      <c r="AL245" s="33" t="s">
        <v>31</v>
      </c>
      <c r="AP245" s="83"/>
      <c r="AQ245" s="85"/>
      <c r="AR245" s="86"/>
      <c r="AS245" s="87"/>
      <c r="AV245" s="85"/>
      <c r="AW245" s="93"/>
      <c r="AX245" s="94"/>
      <c r="AY245" s="90">
        <v>2</v>
      </c>
      <c r="AZ245" s="76">
        <v>2</v>
      </c>
      <c r="BB245" s="91"/>
      <c r="BE245" s="33" t="s">
        <v>4998</v>
      </c>
      <c r="BG245" s="33" t="s">
        <v>5125</v>
      </c>
    </row>
    <row r="246" spans="1:59" ht="15" customHeight="1">
      <c r="A246" s="33" t="s">
        <v>5053</v>
      </c>
      <c r="B246" s="33" t="s">
        <v>5067</v>
      </c>
      <c r="C246" s="33" t="s">
        <v>5052</v>
      </c>
      <c r="D246" s="33">
        <v>11</v>
      </c>
      <c r="E246" s="33">
        <v>1</v>
      </c>
      <c r="F246" s="33" t="s">
        <v>4985</v>
      </c>
      <c r="G246" s="33" t="s">
        <v>5001</v>
      </c>
      <c r="J246" s="33" t="s">
        <v>31</v>
      </c>
      <c r="N246" s="83"/>
      <c r="O246" s="85"/>
      <c r="P246" s="86"/>
      <c r="Q246" s="87"/>
      <c r="U246" s="85"/>
      <c r="V246" s="88"/>
      <c r="W246" s="89"/>
      <c r="X246" s="90"/>
      <c r="AA246" s="91"/>
      <c r="AD246" s="33" t="s">
        <v>5002</v>
      </c>
      <c r="AE246" s="33"/>
      <c r="AF246" s="33" t="s">
        <v>5112</v>
      </c>
      <c r="AI246" s="33" t="s">
        <v>5001</v>
      </c>
      <c r="AL246" s="33" t="s">
        <v>31</v>
      </c>
      <c r="AP246" s="83"/>
      <c r="AQ246" s="85"/>
      <c r="AR246" s="86"/>
      <c r="AS246" s="87"/>
      <c r="AV246" s="85"/>
      <c r="AW246" s="93"/>
      <c r="AX246" s="94"/>
      <c r="AY246" s="90">
        <v>2</v>
      </c>
      <c r="AZ246" s="76">
        <v>1</v>
      </c>
      <c r="BB246" s="91"/>
      <c r="BE246" s="33" t="s">
        <v>5002</v>
      </c>
      <c r="BG246" s="33" t="s">
        <v>5126</v>
      </c>
    </row>
    <row r="247" spans="1:59" ht="15" customHeight="1">
      <c r="A247" s="33" t="s">
        <v>5053</v>
      </c>
      <c r="B247" s="33" t="s">
        <v>5068</v>
      </c>
      <c r="C247" s="33" t="s">
        <v>5052</v>
      </c>
      <c r="D247" s="33">
        <v>12</v>
      </c>
      <c r="E247" s="33">
        <v>1</v>
      </c>
      <c r="F247" s="33" t="s">
        <v>4985</v>
      </c>
      <c r="G247" s="33" t="s">
        <v>5003</v>
      </c>
      <c r="J247" s="33" t="s">
        <v>31</v>
      </c>
      <c r="N247" s="83"/>
      <c r="O247" s="85"/>
      <c r="P247" s="86"/>
      <c r="Q247" s="87"/>
      <c r="U247" s="85"/>
      <c r="V247" s="88"/>
      <c r="W247" s="89"/>
      <c r="X247" s="90"/>
      <c r="AA247" s="91"/>
      <c r="AD247" s="33" t="s">
        <v>4998</v>
      </c>
      <c r="AE247" s="33"/>
      <c r="AF247" s="33" t="s">
        <v>5113</v>
      </c>
      <c r="AI247" s="33" t="s">
        <v>5003</v>
      </c>
      <c r="AL247" s="33" t="s">
        <v>31</v>
      </c>
      <c r="AP247" s="83"/>
      <c r="AQ247" s="85"/>
      <c r="AR247" s="86"/>
      <c r="AS247" s="87"/>
      <c r="AV247" s="85"/>
      <c r="AW247" s="93"/>
      <c r="AX247" s="94"/>
      <c r="AY247" s="90">
        <v>3</v>
      </c>
      <c r="AZ247" s="76">
        <v>1</v>
      </c>
      <c r="BB247" s="91"/>
      <c r="BE247" s="33" t="s">
        <v>4998</v>
      </c>
      <c r="BG247" s="33" t="s">
        <v>5127</v>
      </c>
    </row>
    <row r="248" spans="1:59" ht="15" customHeight="1">
      <c r="A248" s="33" t="s">
        <v>5053</v>
      </c>
      <c r="B248" s="33" t="s">
        <v>5069</v>
      </c>
      <c r="C248" s="33" t="s">
        <v>5052</v>
      </c>
      <c r="D248" s="33">
        <v>13</v>
      </c>
      <c r="E248" s="33">
        <v>1</v>
      </c>
      <c r="F248" s="33" t="s">
        <v>4985</v>
      </c>
      <c r="G248" s="33" t="s">
        <v>5004</v>
      </c>
      <c r="J248" s="33" t="s">
        <v>31</v>
      </c>
      <c r="N248" s="83"/>
      <c r="O248" s="85"/>
      <c r="P248" s="86"/>
      <c r="Q248" s="87"/>
      <c r="U248" s="85"/>
      <c r="V248" s="88"/>
      <c r="W248" s="89"/>
      <c r="X248" s="90"/>
      <c r="AA248" s="91"/>
      <c r="AD248" s="33" t="s">
        <v>5002</v>
      </c>
      <c r="AE248" s="33"/>
      <c r="AF248" s="33" t="s">
        <v>5114</v>
      </c>
      <c r="AI248" s="33" t="s">
        <v>5004</v>
      </c>
      <c r="AL248" s="33" t="s">
        <v>31</v>
      </c>
      <c r="AP248" s="83"/>
      <c r="AQ248" s="85"/>
      <c r="AR248" s="86"/>
      <c r="AS248" s="87"/>
      <c r="AV248" s="85"/>
      <c r="AW248" s="93"/>
      <c r="AX248" s="94"/>
      <c r="AY248" s="90">
        <v>1</v>
      </c>
      <c r="AZ248" s="76">
        <v>2</v>
      </c>
      <c r="BB248" s="91"/>
      <c r="BE248" s="33" t="s">
        <v>5002</v>
      </c>
      <c r="BG248" s="33" t="s">
        <v>5128</v>
      </c>
    </row>
    <row r="249" spans="1:59" ht="15" customHeight="1">
      <c r="A249" s="33" t="s">
        <v>5053</v>
      </c>
      <c r="B249" s="33" t="s">
        <v>5070</v>
      </c>
      <c r="C249" s="33" t="s">
        <v>5052</v>
      </c>
      <c r="D249" s="33">
        <v>14</v>
      </c>
      <c r="E249" s="33">
        <v>1</v>
      </c>
      <c r="F249" s="33" t="s">
        <v>4985</v>
      </c>
      <c r="G249" s="33" t="s">
        <v>5005</v>
      </c>
      <c r="J249" s="33" t="s">
        <v>31</v>
      </c>
      <c r="N249" s="83"/>
      <c r="O249" s="85"/>
      <c r="P249" s="86"/>
      <c r="Q249" s="87"/>
      <c r="U249" s="85"/>
      <c r="V249" s="88"/>
      <c r="W249" s="89"/>
      <c r="X249" s="90"/>
      <c r="AA249" s="91"/>
      <c r="AD249" s="33" t="s">
        <v>4998</v>
      </c>
      <c r="AE249" s="33"/>
      <c r="AF249" s="33" t="s">
        <v>5115</v>
      </c>
      <c r="AI249" s="33" t="s">
        <v>5005</v>
      </c>
      <c r="AL249" s="33" t="s">
        <v>31</v>
      </c>
      <c r="AP249" s="83"/>
      <c r="AQ249" s="85"/>
      <c r="AR249" s="86"/>
      <c r="AS249" s="87"/>
      <c r="AV249" s="85"/>
      <c r="AW249" s="93"/>
      <c r="AX249" s="94"/>
      <c r="AY249" s="90">
        <v>4</v>
      </c>
      <c r="AZ249" s="76">
        <v>1</v>
      </c>
      <c r="BB249" s="91"/>
      <c r="BE249" s="33" t="s">
        <v>4998</v>
      </c>
      <c r="BG249" s="33" t="s">
        <v>5129</v>
      </c>
    </row>
    <row r="250" spans="1:59" ht="15" customHeight="1">
      <c r="A250" s="33" t="s">
        <v>5053</v>
      </c>
      <c r="B250" s="33" t="s">
        <v>5071</v>
      </c>
      <c r="C250" s="33" t="s">
        <v>5052</v>
      </c>
      <c r="D250" s="33">
        <v>15</v>
      </c>
      <c r="E250" s="33">
        <v>1</v>
      </c>
      <c r="F250" s="33" t="s">
        <v>4985</v>
      </c>
      <c r="G250" s="33" t="s">
        <v>5006</v>
      </c>
      <c r="J250" s="33" t="s">
        <v>31</v>
      </c>
      <c r="N250" s="83"/>
      <c r="O250" s="85"/>
      <c r="P250" s="86"/>
      <c r="Q250" s="87"/>
      <c r="U250" s="85"/>
      <c r="V250" s="88"/>
      <c r="W250" s="89"/>
      <c r="X250" s="90"/>
      <c r="AA250" s="91"/>
      <c r="AD250" s="33" t="s">
        <v>5002</v>
      </c>
      <c r="AE250" s="33"/>
      <c r="AF250" s="33" t="s">
        <v>5116</v>
      </c>
      <c r="AI250" s="33" t="s">
        <v>5006</v>
      </c>
      <c r="AL250" s="33" t="s">
        <v>31</v>
      </c>
      <c r="AP250" s="83"/>
      <c r="AQ250" s="85"/>
      <c r="AR250" s="86"/>
      <c r="AS250" s="87"/>
      <c r="AV250" s="85"/>
      <c r="AW250" s="93"/>
      <c r="AX250" s="94"/>
      <c r="AY250" s="90">
        <v>2</v>
      </c>
      <c r="AZ250" s="76">
        <v>1</v>
      </c>
      <c r="BB250" s="91"/>
      <c r="BE250" s="33" t="s">
        <v>5002</v>
      </c>
      <c r="BG250" s="33" t="s">
        <v>5130</v>
      </c>
    </row>
    <row r="251" spans="1:59" ht="15" customHeight="1">
      <c r="A251" s="33" t="s">
        <v>5053</v>
      </c>
      <c r="B251" s="33" t="s">
        <v>5072</v>
      </c>
      <c r="C251" s="33" t="s">
        <v>5052</v>
      </c>
      <c r="D251" s="33">
        <v>16</v>
      </c>
      <c r="E251" s="33">
        <v>1</v>
      </c>
      <c r="F251" s="33" t="s">
        <v>4985</v>
      </c>
      <c r="G251" s="33" t="s">
        <v>5007</v>
      </c>
      <c r="J251" s="33" t="s">
        <v>31</v>
      </c>
      <c r="N251" s="83"/>
      <c r="O251" s="85"/>
      <c r="P251" s="86"/>
      <c r="Q251" s="87"/>
      <c r="U251" s="85"/>
      <c r="V251" s="88"/>
      <c r="W251" s="89"/>
      <c r="X251" s="90"/>
      <c r="AA251" s="91"/>
      <c r="AD251" s="33" t="s">
        <v>4998</v>
      </c>
      <c r="AE251" s="33"/>
      <c r="AF251" s="33" t="s">
        <v>5117</v>
      </c>
      <c r="AI251" s="33" t="s">
        <v>5007</v>
      </c>
      <c r="AL251" s="33" t="s">
        <v>31</v>
      </c>
      <c r="AP251" s="83"/>
      <c r="AQ251" s="85"/>
      <c r="AR251" s="86"/>
      <c r="AS251" s="87"/>
      <c r="AV251" s="85"/>
      <c r="AW251" s="93"/>
      <c r="AX251" s="94"/>
      <c r="AY251" s="90">
        <v>3</v>
      </c>
      <c r="AZ251" s="76">
        <v>2</v>
      </c>
      <c r="BB251" s="91"/>
      <c r="BE251" s="33" t="s">
        <v>4998</v>
      </c>
      <c r="BG251" s="33" t="s">
        <v>5131</v>
      </c>
    </row>
    <row r="252" spans="1:59" ht="15" customHeight="1">
      <c r="A252" s="33" t="s">
        <v>5053</v>
      </c>
      <c r="B252" s="33" t="s">
        <v>5073</v>
      </c>
      <c r="C252" s="33" t="s">
        <v>5052</v>
      </c>
      <c r="D252" s="33">
        <v>17</v>
      </c>
      <c r="E252" s="33">
        <v>1</v>
      </c>
      <c r="F252" s="33" t="s">
        <v>4985</v>
      </c>
      <c r="G252" s="33" t="s">
        <v>5008</v>
      </c>
      <c r="H252" s="33" t="s">
        <v>5009</v>
      </c>
      <c r="I252" s="33" t="s">
        <v>4077</v>
      </c>
      <c r="J252" s="33" t="s">
        <v>29</v>
      </c>
      <c r="N252" s="83"/>
      <c r="O252" s="85"/>
      <c r="P252" s="86"/>
      <c r="Q252" s="87">
        <v>4</v>
      </c>
      <c r="R252" s="76">
        <v>3</v>
      </c>
      <c r="T252" s="78">
        <v>4</v>
      </c>
      <c r="U252" s="85"/>
      <c r="V252" s="88">
        <v>2</v>
      </c>
      <c r="W252" s="89">
        <v>0</v>
      </c>
      <c r="X252" s="90"/>
      <c r="AA252" s="91">
        <v>1</v>
      </c>
      <c r="AD252" s="33" t="s">
        <v>5010</v>
      </c>
      <c r="AE252" s="33"/>
      <c r="AF252" s="33" t="s">
        <v>5011</v>
      </c>
      <c r="AI252" s="33" t="s">
        <v>5012</v>
      </c>
      <c r="AL252" s="33" t="s">
        <v>4111</v>
      </c>
      <c r="AM252" s="33" t="s">
        <v>26</v>
      </c>
      <c r="AP252" s="83"/>
      <c r="AQ252" s="85"/>
      <c r="AR252" s="86"/>
      <c r="AS252" s="87"/>
      <c r="AV252" s="85"/>
      <c r="AW252" s="93"/>
      <c r="AX252" s="94"/>
      <c r="AY252" s="90"/>
      <c r="BB252" s="91"/>
      <c r="BE252" s="33" t="s">
        <v>5013</v>
      </c>
      <c r="BG252" s="33" t="s">
        <v>5132</v>
      </c>
    </row>
    <row r="253" spans="1:59" ht="15" customHeight="1">
      <c r="A253" s="33" t="s">
        <v>5053</v>
      </c>
      <c r="B253" s="33" t="s">
        <v>5074</v>
      </c>
      <c r="C253" s="33" t="s">
        <v>5052</v>
      </c>
      <c r="D253" s="33">
        <v>18</v>
      </c>
      <c r="E253" s="33">
        <v>1</v>
      </c>
      <c r="F253" s="33" t="s">
        <v>4985</v>
      </c>
      <c r="G253" s="33" t="s">
        <v>5014</v>
      </c>
      <c r="H253" s="33" t="s">
        <v>5015</v>
      </c>
      <c r="I253" s="33" t="s">
        <v>4077</v>
      </c>
      <c r="J253" s="33" t="s">
        <v>29</v>
      </c>
      <c r="N253" s="83"/>
      <c r="O253" s="85"/>
      <c r="P253" s="86"/>
      <c r="Q253" s="87">
        <v>3</v>
      </c>
      <c r="R253" s="76">
        <v>4</v>
      </c>
      <c r="T253" s="78">
        <v>4</v>
      </c>
      <c r="U253" s="85"/>
      <c r="V253" s="88">
        <v>1</v>
      </c>
      <c r="W253" s="89">
        <v>1</v>
      </c>
      <c r="X253" s="90"/>
      <c r="AA253" s="91">
        <v>1</v>
      </c>
      <c r="AD253" s="33" t="s">
        <v>5016</v>
      </c>
      <c r="AE253" s="33"/>
      <c r="AF253" s="33" t="s">
        <v>5133</v>
      </c>
      <c r="AI253" s="33" t="s">
        <v>5012</v>
      </c>
      <c r="AL253" s="33" t="s">
        <v>4111</v>
      </c>
      <c r="AM253" s="33" t="s">
        <v>26</v>
      </c>
      <c r="AP253" s="83"/>
      <c r="AQ253" s="85"/>
      <c r="AR253" s="86"/>
      <c r="AS253" s="87"/>
      <c r="AV253" s="85"/>
      <c r="AW253" s="93"/>
      <c r="AX253" s="94"/>
      <c r="AY253" s="90"/>
      <c r="BB253" s="91"/>
      <c r="BE253" s="33" t="s">
        <v>5013</v>
      </c>
      <c r="BG253" s="33" t="s">
        <v>5132</v>
      </c>
    </row>
    <row r="254" spans="1:59" ht="15" customHeight="1">
      <c r="A254" s="33" t="s">
        <v>5053</v>
      </c>
      <c r="B254" s="33" t="s">
        <v>5075</v>
      </c>
      <c r="C254" s="33" t="s">
        <v>5052</v>
      </c>
      <c r="D254" s="33">
        <v>19</v>
      </c>
      <c r="E254" s="33">
        <v>1</v>
      </c>
      <c r="F254" s="33" t="s">
        <v>4985</v>
      </c>
      <c r="G254" s="33" t="s">
        <v>5017</v>
      </c>
      <c r="H254" s="33" t="s">
        <v>5018</v>
      </c>
      <c r="I254" s="33" t="s">
        <v>4077</v>
      </c>
      <c r="J254" s="33" t="s">
        <v>29</v>
      </c>
      <c r="N254" s="83"/>
      <c r="O254" s="85"/>
      <c r="P254" s="86"/>
      <c r="Q254" s="87">
        <v>-2</v>
      </c>
      <c r="R254" s="76">
        <v>-2</v>
      </c>
      <c r="T254" s="78">
        <v>3</v>
      </c>
      <c r="U254" s="85"/>
      <c r="V254" s="88">
        <v>0</v>
      </c>
      <c r="W254" s="89">
        <v>2</v>
      </c>
      <c r="X254" s="90"/>
      <c r="AA254" s="91">
        <v>1</v>
      </c>
      <c r="AD254" s="33" t="s">
        <v>5019</v>
      </c>
      <c r="AE254" s="33"/>
      <c r="AF254" s="33" t="s">
        <v>5134</v>
      </c>
      <c r="AI254" s="33" t="s">
        <v>5012</v>
      </c>
      <c r="AL254" s="33" t="s">
        <v>4111</v>
      </c>
      <c r="AM254" s="33" t="s">
        <v>26</v>
      </c>
      <c r="AP254" s="83"/>
      <c r="AQ254" s="85"/>
      <c r="AR254" s="86"/>
      <c r="AS254" s="87"/>
      <c r="AV254" s="85"/>
      <c r="AW254" s="93"/>
      <c r="AX254" s="94"/>
      <c r="AY254" s="90"/>
      <c r="BB254" s="91"/>
      <c r="BE254" s="33" t="s">
        <v>5013</v>
      </c>
      <c r="BG254" s="33" t="s">
        <v>5132</v>
      </c>
    </row>
    <row r="255" spans="1:59" ht="15" customHeight="1">
      <c r="A255" s="33" t="s">
        <v>5053</v>
      </c>
      <c r="B255" s="40" t="s">
        <v>5076</v>
      </c>
      <c r="C255" s="33" t="s">
        <v>5052</v>
      </c>
      <c r="D255" s="33">
        <v>20</v>
      </c>
      <c r="E255" s="33">
        <v>1</v>
      </c>
      <c r="F255" s="33" t="s">
        <v>4985</v>
      </c>
      <c r="G255" s="33" t="s">
        <v>5020</v>
      </c>
      <c r="H255" s="33" t="s">
        <v>5021</v>
      </c>
      <c r="I255" s="33" t="s">
        <v>4077</v>
      </c>
      <c r="J255" s="33" t="s">
        <v>29</v>
      </c>
      <c r="N255" s="83"/>
      <c r="O255" s="85"/>
      <c r="P255" s="86"/>
      <c r="Q255" s="87">
        <v>3</v>
      </c>
      <c r="R255" s="76">
        <v>3</v>
      </c>
      <c r="T255" s="78">
        <v>5</v>
      </c>
      <c r="U255" s="85"/>
      <c r="V255" s="88">
        <v>1</v>
      </c>
      <c r="W255" s="89">
        <v>1</v>
      </c>
      <c r="X255" s="90"/>
      <c r="AA255" s="91">
        <v>1</v>
      </c>
      <c r="AD255" s="33" t="s">
        <v>4989</v>
      </c>
      <c r="AE255" s="33"/>
      <c r="AF255" s="33" t="s">
        <v>5022</v>
      </c>
      <c r="AI255" s="33" t="s">
        <v>5012</v>
      </c>
      <c r="AL255" s="33" t="s">
        <v>4111</v>
      </c>
      <c r="AM255" s="33" t="s">
        <v>26</v>
      </c>
      <c r="AP255" s="83"/>
      <c r="AQ255" s="85"/>
      <c r="AR255" s="86"/>
      <c r="AS255" s="87"/>
      <c r="AV255" s="85"/>
      <c r="AW255" s="93"/>
      <c r="AX255" s="94"/>
      <c r="AY255" s="90"/>
      <c r="BB255" s="91"/>
      <c r="BE255" s="33" t="s">
        <v>5013</v>
      </c>
      <c r="BG255" s="33" t="s">
        <v>5132</v>
      </c>
    </row>
    <row r="256" spans="1:59" ht="15" customHeight="1">
      <c r="A256" s="33" t="s">
        <v>5053</v>
      </c>
      <c r="B256" s="33" t="s">
        <v>5077</v>
      </c>
      <c r="C256" s="33" t="s">
        <v>5052</v>
      </c>
      <c r="D256" s="33">
        <v>21</v>
      </c>
      <c r="E256" s="33">
        <v>3</v>
      </c>
      <c r="F256" s="33" t="s">
        <v>4985</v>
      </c>
      <c r="G256" s="33" t="s">
        <v>5023</v>
      </c>
      <c r="J256" s="33" t="s">
        <v>4111</v>
      </c>
      <c r="K256" s="33" t="s">
        <v>26</v>
      </c>
      <c r="N256" s="83"/>
      <c r="O256" s="85"/>
      <c r="P256" s="86"/>
      <c r="Q256" s="87"/>
      <c r="T256" s="78">
        <v>2</v>
      </c>
      <c r="U256" s="85">
        <v>2</v>
      </c>
      <c r="V256" s="88"/>
      <c r="W256" s="89"/>
      <c r="X256" s="90"/>
      <c r="AA256" s="91"/>
      <c r="AD256" s="33" t="s">
        <v>5024</v>
      </c>
      <c r="AE256" s="33"/>
      <c r="AF256" s="33" t="s">
        <v>5135</v>
      </c>
      <c r="AI256" s="33" t="s">
        <v>5012</v>
      </c>
      <c r="AL256" s="33" t="s">
        <v>4111</v>
      </c>
      <c r="AM256" s="33" t="s">
        <v>26</v>
      </c>
      <c r="AP256" s="83"/>
      <c r="AQ256" s="85"/>
      <c r="AR256" s="86"/>
      <c r="AS256" s="87"/>
      <c r="AV256" s="85"/>
      <c r="AW256" s="93"/>
      <c r="AX256" s="94"/>
      <c r="AY256" s="90"/>
      <c r="BB256" s="91"/>
      <c r="BE256" s="33" t="s">
        <v>5013</v>
      </c>
      <c r="BG256" s="33" t="s">
        <v>5132</v>
      </c>
    </row>
    <row r="257" spans="1:54" ht="15" customHeight="1">
      <c r="A257" s="33" t="s">
        <v>5053</v>
      </c>
      <c r="B257" s="33" t="s">
        <v>5078</v>
      </c>
      <c r="C257" s="33" t="s">
        <v>5052</v>
      </c>
      <c r="D257" s="33">
        <v>22</v>
      </c>
      <c r="E257" s="33">
        <v>1</v>
      </c>
      <c r="F257" s="33" t="s">
        <v>4985</v>
      </c>
      <c r="G257" s="33" t="s">
        <v>5025</v>
      </c>
      <c r="H257" s="33" t="s">
        <v>5026</v>
      </c>
      <c r="I257" s="33" t="s">
        <v>4077</v>
      </c>
      <c r="J257" s="33" t="s">
        <v>4111</v>
      </c>
      <c r="K257" s="33" t="s">
        <v>26</v>
      </c>
      <c r="N257" s="83">
        <v>4</v>
      </c>
      <c r="O257" s="85">
        <v>1</v>
      </c>
      <c r="P257" s="86">
        <v>1</v>
      </c>
      <c r="Q257" s="87"/>
      <c r="S257" s="123">
        <v>1</v>
      </c>
      <c r="T257" s="78">
        <v>2</v>
      </c>
      <c r="U257" s="85">
        <v>2</v>
      </c>
      <c r="V257" s="88"/>
      <c r="W257" s="89"/>
      <c r="X257" s="90"/>
      <c r="AA257" s="91"/>
      <c r="AB257" s="33" t="s">
        <v>4933</v>
      </c>
      <c r="AC257" s="33" t="s">
        <v>25</v>
      </c>
      <c r="AD257" s="33" t="s">
        <v>5027</v>
      </c>
      <c r="AE257" s="33"/>
      <c r="AF257" s="33" t="s">
        <v>5136</v>
      </c>
      <c r="AP257" s="83"/>
      <c r="AQ257" s="85"/>
      <c r="AR257" s="86"/>
      <c r="AS257" s="87"/>
      <c r="AV257" s="85"/>
      <c r="AW257" s="93"/>
      <c r="AX257" s="94"/>
      <c r="AY257" s="90"/>
      <c r="BB257" s="91"/>
    </row>
    <row r="258" spans="1:54" ht="15" customHeight="1">
      <c r="A258" s="33" t="s">
        <v>5053</v>
      </c>
      <c r="B258" s="33" t="s">
        <v>5079</v>
      </c>
      <c r="C258" s="33" t="s">
        <v>5052</v>
      </c>
      <c r="D258" s="33">
        <v>23</v>
      </c>
      <c r="E258" s="33">
        <v>1</v>
      </c>
      <c r="F258" s="33" t="s">
        <v>4985</v>
      </c>
      <c r="G258" s="33" t="s">
        <v>5028</v>
      </c>
      <c r="J258" s="33" t="s">
        <v>4111</v>
      </c>
      <c r="K258" s="33" t="s">
        <v>26</v>
      </c>
      <c r="N258" s="83">
        <v>1</v>
      </c>
      <c r="O258" s="85"/>
      <c r="P258" s="86"/>
      <c r="Q258" s="87">
        <v>1</v>
      </c>
      <c r="S258" s="123">
        <v>1</v>
      </c>
      <c r="U258" s="85"/>
      <c r="V258" s="88"/>
      <c r="W258" s="89"/>
      <c r="X258" s="90"/>
      <c r="AA258" s="91"/>
      <c r="AB258" s="33" t="s">
        <v>4947</v>
      </c>
      <c r="AD258" s="33" t="s">
        <v>5029</v>
      </c>
      <c r="AE258" s="33"/>
      <c r="AF258" s="33" t="s">
        <v>5137</v>
      </c>
      <c r="AP258" s="83"/>
      <c r="AQ258" s="85"/>
      <c r="AR258" s="86"/>
      <c r="AS258" s="87"/>
      <c r="AV258" s="85"/>
      <c r="AW258" s="93"/>
      <c r="AX258" s="94"/>
      <c r="AY258" s="90"/>
      <c r="BB258" s="91"/>
    </row>
    <row r="259" spans="1:54" ht="15" customHeight="1">
      <c r="A259" s="33" t="s">
        <v>5053</v>
      </c>
      <c r="B259" s="33" t="s">
        <v>5080</v>
      </c>
      <c r="C259" s="33" t="s">
        <v>5052</v>
      </c>
      <c r="D259" s="33">
        <v>24</v>
      </c>
      <c r="E259" s="33">
        <v>1</v>
      </c>
      <c r="F259" s="33" t="s">
        <v>4985</v>
      </c>
      <c r="G259" s="33" t="s">
        <v>5030</v>
      </c>
      <c r="J259" s="33" t="s">
        <v>4111</v>
      </c>
      <c r="K259" s="33" t="s">
        <v>26</v>
      </c>
      <c r="N259" s="83">
        <v>1</v>
      </c>
      <c r="O259" s="85">
        <v>1</v>
      </c>
      <c r="P259" s="86"/>
      <c r="Q259" s="87"/>
      <c r="S259" s="123">
        <v>1</v>
      </c>
      <c r="U259" s="85"/>
      <c r="V259" s="88"/>
      <c r="W259" s="89"/>
      <c r="X259" s="90"/>
      <c r="AA259" s="91"/>
      <c r="AB259" s="33" t="s">
        <v>4940</v>
      </c>
      <c r="AD259" s="33" t="s">
        <v>5029</v>
      </c>
      <c r="AE259" s="33"/>
      <c r="AF259" s="33" t="s">
        <v>5138</v>
      </c>
      <c r="AP259" s="83"/>
      <c r="AQ259" s="85"/>
      <c r="AR259" s="86"/>
      <c r="AS259" s="87"/>
      <c r="AV259" s="85"/>
      <c r="AW259" s="93"/>
      <c r="AX259" s="94"/>
      <c r="AY259" s="90"/>
      <c r="BB259" s="91"/>
    </row>
    <row r="260" spans="1:54" ht="15" customHeight="1">
      <c r="A260" s="33" t="s">
        <v>5053</v>
      </c>
      <c r="B260" s="33" t="s">
        <v>5081</v>
      </c>
      <c r="C260" s="33" t="s">
        <v>5052</v>
      </c>
      <c r="D260" s="33">
        <v>25</v>
      </c>
      <c r="E260" s="33">
        <v>1</v>
      </c>
      <c r="F260" s="33" t="s">
        <v>4985</v>
      </c>
      <c r="G260" s="33" t="s">
        <v>5031</v>
      </c>
      <c r="J260" s="33" t="s">
        <v>4111</v>
      </c>
      <c r="K260" s="33" t="s">
        <v>26</v>
      </c>
      <c r="N260" s="83">
        <v>1</v>
      </c>
      <c r="O260" s="85"/>
      <c r="P260" s="86">
        <v>1</v>
      </c>
      <c r="Q260" s="87"/>
      <c r="S260" s="123">
        <v>1</v>
      </c>
      <c r="U260" s="85"/>
      <c r="V260" s="88"/>
      <c r="W260" s="89"/>
      <c r="X260" s="90"/>
      <c r="AA260" s="91"/>
      <c r="AB260" s="33" t="s">
        <v>5032</v>
      </c>
      <c r="AD260" s="33" t="s">
        <v>5029</v>
      </c>
      <c r="AE260" s="33"/>
      <c r="AF260" s="33" t="s">
        <v>5139</v>
      </c>
      <c r="AP260" s="83"/>
      <c r="AQ260" s="85"/>
      <c r="AR260" s="86"/>
      <c r="AS260" s="87"/>
      <c r="AV260" s="85"/>
      <c r="AW260" s="93"/>
      <c r="AX260" s="94"/>
      <c r="AY260" s="90"/>
      <c r="BB260" s="91"/>
    </row>
    <row r="261" spans="1:54" ht="15" customHeight="1">
      <c r="A261" s="33" t="s">
        <v>5053</v>
      </c>
      <c r="B261" s="33" t="s">
        <v>5082</v>
      </c>
      <c r="C261" s="33" t="s">
        <v>5052</v>
      </c>
      <c r="D261" s="33">
        <v>24</v>
      </c>
      <c r="E261" s="33">
        <v>1</v>
      </c>
      <c r="F261" s="33" t="s">
        <v>4985</v>
      </c>
      <c r="G261" s="33" t="s">
        <v>5033</v>
      </c>
      <c r="J261" s="33" t="s">
        <v>4111</v>
      </c>
      <c r="K261" s="33" t="s">
        <v>26</v>
      </c>
      <c r="N261" s="83">
        <v>1</v>
      </c>
      <c r="O261" s="85"/>
      <c r="P261" s="86"/>
      <c r="Q261" s="87"/>
      <c r="R261" s="76">
        <v>1</v>
      </c>
      <c r="S261" s="123">
        <v>1</v>
      </c>
      <c r="U261" s="85"/>
      <c r="V261" s="88"/>
      <c r="W261" s="89"/>
      <c r="X261" s="90"/>
      <c r="AA261" s="91"/>
      <c r="AB261" s="33" t="s">
        <v>5034</v>
      </c>
      <c r="AD261" s="33" t="s">
        <v>5029</v>
      </c>
      <c r="AE261" s="33"/>
      <c r="AF261" s="33" t="s">
        <v>5140</v>
      </c>
      <c r="AP261" s="83"/>
      <c r="AQ261" s="85"/>
      <c r="AR261" s="86"/>
      <c r="AS261" s="87"/>
      <c r="AV261" s="85"/>
      <c r="AW261" s="93"/>
      <c r="AX261" s="94"/>
      <c r="AY261" s="90"/>
      <c r="BB261" s="91"/>
    </row>
    <row r="262" spans="1:54" ht="15" customHeight="1">
      <c r="A262" s="33" t="s">
        <v>5053</v>
      </c>
      <c r="B262" s="33" t="s">
        <v>5083</v>
      </c>
      <c r="C262" s="33" t="s">
        <v>5052</v>
      </c>
      <c r="D262" s="33">
        <v>27</v>
      </c>
      <c r="E262" s="33">
        <v>1</v>
      </c>
      <c r="F262" s="33" t="s">
        <v>4985</v>
      </c>
      <c r="G262" s="33" t="s">
        <v>5035</v>
      </c>
      <c r="H262" s="33" t="s">
        <v>5036</v>
      </c>
      <c r="I262" s="33" t="s">
        <v>4077</v>
      </c>
      <c r="J262" s="33" t="s">
        <v>29</v>
      </c>
      <c r="N262" s="83"/>
      <c r="O262" s="85"/>
      <c r="P262" s="86"/>
      <c r="Q262" s="87">
        <v>4</v>
      </c>
      <c r="T262" s="78">
        <v>8</v>
      </c>
      <c r="U262" s="85"/>
      <c r="V262" s="88">
        <v>2</v>
      </c>
      <c r="W262" s="89">
        <v>2</v>
      </c>
      <c r="X262" s="90"/>
      <c r="AA262" s="91"/>
      <c r="AD262" s="33" t="s">
        <v>5037</v>
      </c>
      <c r="AE262" s="33"/>
      <c r="AF262" s="33" t="s">
        <v>5141</v>
      </c>
      <c r="AP262" s="83"/>
      <c r="AQ262" s="85"/>
      <c r="AR262" s="86"/>
      <c r="AS262" s="87"/>
      <c r="AV262" s="85"/>
      <c r="AW262" s="93"/>
      <c r="AX262" s="94"/>
      <c r="AY262" s="90"/>
      <c r="BB262" s="91"/>
    </row>
    <row r="263" spans="1:54" ht="15" customHeight="1">
      <c r="A263" s="33" t="s">
        <v>5053</v>
      </c>
      <c r="B263" s="33" t="s">
        <v>5084</v>
      </c>
      <c r="C263" s="33" t="s">
        <v>5052</v>
      </c>
      <c r="D263" s="33">
        <v>28</v>
      </c>
      <c r="E263" s="33">
        <v>2</v>
      </c>
      <c r="F263" s="33" t="s">
        <v>4985</v>
      </c>
      <c r="G263" s="33" t="s">
        <v>5038</v>
      </c>
      <c r="J263" s="33" t="s">
        <v>29</v>
      </c>
      <c r="N263" s="83"/>
      <c r="O263" s="85"/>
      <c r="P263" s="86"/>
      <c r="Q263" s="87">
        <v>4</v>
      </c>
      <c r="R263" s="76">
        <v>2</v>
      </c>
      <c r="T263" s="78">
        <v>4</v>
      </c>
      <c r="U263" s="85"/>
      <c r="V263" s="88">
        <v>1</v>
      </c>
      <c r="W263" s="89">
        <v>1</v>
      </c>
      <c r="X263" s="90"/>
      <c r="AA263" s="91"/>
      <c r="AD263" s="33" t="s">
        <v>5039</v>
      </c>
      <c r="AE263" s="33"/>
      <c r="AF263" s="33" t="s">
        <v>5142</v>
      </c>
      <c r="AP263" s="83"/>
      <c r="AQ263" s="85"/>
      <c r="AR263" s="86"/>
      <c r="AS263" s="87"/>
      <c r="AV263" s="85"/>
      <c r="AW263" s="93"/>
      <c r="AX263" s="94"/>
      <c r="AY263" s="90"/>
      <c r="BB263" s="91"/>
    </row>
    <row r="264" spans="1:54" ht="15" customHeight="1">
      <c r="A264" s="33" t="s">
        <v>5053</v>
      </c>
      <c r="B264" s="33" t="s">
        <v>5085</v>
      </c>
      <c r="C264" s="33" t="s">
        <v>5052</v>
      </c>
      <c r="D264" s="33">
        <v>29</v>
      </c>
      <c r="E264" s="33">
        <v>3</v>
      </c>
      <c r="F264" s="33" t="s">
        <v>4985</v>
      </c>
      <c r="G264" s="33" t="s">
        <v>5040</v>
      </c>
      <c r="J264" s="33" t="s">
        <v>29</v>
      </c>
      <c r="N264" s="83"/>
      <c r="O264" s="85"/>
      <c r="P264" s="86"/>
      <c r="Q264" s="87">
        <v>3</v>
      </c>
      <c r="R264" s="76">
        <v>3</v>
      </c>
      <c r="T264" s="78">
        <v>3</v>
      </c>
      <c r="U264" s="85"/>
      <c r="V264" s="88">
        <v>2</v>
      </c>
      <c r="W264" s="89">
        <v>0</v>
      </c>
      <c r="X264" s="90"/>
      <c r="AA264" s="91"/>
      <c r="AD264" s="33" t="s">
        <v>4321</v>
      </c>
      <c r="AE264" s="33"/>
      <c r="AF264" s="33" t="s">
        <v>5143</v>
      </c>
      <c r="AP264" s="83"/>
      <c r="AQ264" s="85"/>
      <c r="AR264" s="86"/>
      <c r="AS264" s="87"/>
      <c r="AV264" s="85"/>
      <c r="AW264" s="93"/>
      <c r="AX264" s="94"/>
      <c r="AY264" s="90"/>
      <c r="BB264" s="91"/>
    </row>
    <row r="265" spans="1:54" ht="15" customHeight="1">
      <c r="A265" s="33" t="s">
        <v>5053</v>
      </c>
      <c r="B265" s="40" t="s">
        <v>5086</v>
      </c>
      <c r="C265" s="33" t="s">
        <v>5052</v>
      </c>
      <c r="D265" s="33">
        <v>30</v>
      </c>
      <c r="E265" s="33">
        <v>3</v>
      </c>
      <c r="F265" s="33" t="s">
        <v>4985</v>
      </c>
      <c r="G265" s="33" t="s">
        <v>5041</v>
      </c>
      <c r="J265" s="33" t="s">
        <v>29</v>
      </c>
      <c r="N265" s="83"/>
      <c r="O265" s="85"/>
      <c r="P265" s="86"/>
      <c r="Q265" s="87">
        <v>2</v>
      </c>
      <c r="R265" s="76">
        <v>4</v>
      </c>
      <c r="T265" s="78">
        <v>2</v>
      </c>
      <c r="U265" s="85"/>
      <c r="V265" s="88">
        <v>1</v>
      </c>
      <c r="W265" s="89">
        <v>0</v>
      </c>
      <c r="X265" s="90"/>
      <c r="AA265" s="91"/>
      <c r="AD265" s="33" t="s">
        <v>5042</v>
      </c>
      <c r="AE265" s="33"/>
      <c r="AF265" s="33" t="s">
        <v>5144</v>
      </c>
      <c r="AP265" s="83"/>
      <c r="AQ265" s="85"/>
      <c r="AR265" s="86"/>
      <c r="AS265" s="87"/>
      <c r="AV265" s="85"/>
      <c r="AW265" s="93"/>
      <c r="AX265" s="94"/>
      <c r="AY265" s="90"/>
      <c r="BB265" s="91"/>
    </row>
    <row r="266" spans="1:54" ht="15" customHeight="1">
      <c r="A266" s="33" t="s">
        <v>5053</v>
      </c>
      <c r="B266" s="33" t="s">
        <v>5087</v>
      </c>
      <c r="C266" s="33" t="s">
        <v>5052</v>
      </c>
      <c r="D266" s="33">
        <v>31</v>
      </c>
      <c r="E266" s="33">
        <v>3</v>
      </c>
      <c r="F266" s="33" t="s">
        <v>4985</v>
      </c>
      <c r="G266" s="33" t="s">
        <v>5043</v>
      </c>
      <c r="J266" s="33" t="s">
        <v>28</v>
      </c>
      <c r="N266" s="83"/>
      <c r="O266" s="85"/>
      <c r="P266" s="86"/>
      <c r="Q266" s="87"/>
      <c r="U266" s="85"/>
      <c r="V266" s="88"/>
      <c r="W266" s="89"/>
      <c r="X266" s="90"/>
      <c r="AA266" s="91"/>
      <c r="AD266" s="33" t="s">
        <v>4333</v>
      </c>
      <c r="AE266" s="33"/>
      <c r="AF266" s="33" t="s">
        <v>5145</v>
      </c>
      <c r="AP266" s="83"/>
      <c r="AQ266" s="85"/>
      <c r="AR266" s="86"/>
      <c r="AS266" s="87"/>
      <c r="AV266" s="85"/>
      <c r="AW266" s="93"/>
      <c r="AX266" s="94"/>
      <c r="AY266" s="90"/>
      <c r="BB266" s="91"/>
    </row>
    <row r="267" spans="1:54" ht="15" customHeight="1">
      <c r="A267" s="33" t="s">
        <v>5053</v>
      </c>
      <c r="B267" s="33" t="s">
        <v>5088</v>
      </c>
      <c r="C267" s="33" t="s">
        <v>5052</v>
      </c>
      <c r="D267" s="33">
        <v>32</v>
      </c>
      <c r="E267" s="33">
        <v>3</v>
      </c>
      <c r="F267" s="33" t="s">
        <v>4985</v>
      </c>
      <c r="G267" s="33" t="s">
        <v>5044</v>
      </c>
      <c r="J267" s="33" t="s">
        <v>28</v>
      </c>
      <c r="N267" s="83"/>
      <c r="O267" s="85"/>
      <c r="P267" s="86"/>
      <c r="Q267" s="87"/>
      <c r="U267" s="85"/>
      <c r="V267" s="88"/>
      <c r="W267" s="89"/>
      <c r="X267" s="90"/>
      <c r="AA267" s="91"/>
      <c r="AD267" s="33" t="s">
        <v>5045</v>
      </c>
      <c r="AE267" s="33"/>
      <c r="AF267" s="33" t="s">
        <v>5146</v>
      </c>
      <c r="AP267" s="83"/>
      <c r="AQ267" s="85"/>
      <c r="AR267" s="86"/>
      <c r="AS267" s="87"/>
      <c r="AV267" s="85"/>
      <c r="AW267" s="93"/>
      <c r="AX267" s="94"/>
      <c r="AY267" s="90"/>
      <c r="BB267" s="91"/>
    </row>
    <row r="268" spans="1:54" ht="15" customHeight="1">
      <c r="A268" s="33" t="s">
        <v>5053</v>
      </c>
      <c r="B268" s="33" t="s">
        <v>5089</v>
      </c>
      <c r="C268" s="33" t="s">
        <v>5052</v>
      </c>
      <c r="D268" s="33">
        <v>33</v>
      </c>
      <c r="E268" s="33">
        <v>4</v>
      </c>
      <c r="F268" s="33" t="s">
        <v>4985</v>
      </c>
      <c r="G268" s="33" t="s">
        <v>5046</v>
      </c>
      <c r="J268" s="33" t="s">
        <v>28</v>
      </c>
      <c r="N268" s="83"/>
      <c r="O268" s="85"/>
      <c r="P268" s="86"/>
      <c r="Q268" s="87"/>
      <c r="U268" s="85"/>
      <c r="V268" s="88"/>
      <c r="W268" s="89"/>
      <c r="X268" s="90"/>
      <c r="AA268" s="91"/>
      <c r="AD268" s="33" t="s">
        <v>4335</v>
      </c>
      <c r="AE268" s="33"/>
      <c r="AF268" s="33" t="s">
        <v>5147</v>
      </c>
      <c r="AP268" s="83"/>
      <c r="AQ268" s="85"/>
      <c r="AR268" s="86"/>
      <c r="AS268" s="87"/>
      <c r="AV268" s="85"/>
      <c r="AW268" s="93"/>
      <c r="AX268" s="94"/>
      <c r="AY268" s="90"/>
      <c r="BB268" s="91"/>
    </row>
    <row r="269" spans="1:54" ht="15" customHeight="1">
      <c r="A269" s="33" t="s">
        <v>5053</v>
      </c>
      <c r="B269" s="33" t="s">
        <v>5090</v>
      </c>
      <c r="C269" s="33" t="s">
        <v>5052</v>
      </c>
      <c r="D269" s="33">
        <v>34</v>
      </c>
      <c r="E269" s="33">
        <v>2</v>
      </c>
      <c r="F269" s="33" t="s">
        <v>4985</v>
      </c>
      <c r="G269" s="33" t="s">
        <v>5047</v>
      </c>
      <c r="J269" s="33" t="s">
        <v>28</v>
      </c>
      <c r="N269" s="83"/>
      <c r="O269" s="85"/>
      <c r="P269" s="86"/>
      <c r="Q269" s="87"/>
      <c r="U269" s="85"/>
      <c r="V269" s="88"/>
      <c r="W269" s="89"/>
      <c r="X269" s="90"/>
      <c r="AA269" s="91"/>
      <c r="AD269" s="33" t="s">
        <v>4333</v>
      </c>
      <c r="AE269" s="33"/>
      <c r="AF269" s="33" t="s">
        <v>5148</v>
      </c>
      <c r="AP269" s="83"/>
      <c r="AQ269" s="85"/>
      <c r="AR269" s="86"/>
      <c r="AS269" s="87"/>
      <c r="AV269" s="85"/>
      <c r="AW269" s="93"/>
      <c r="AX269" s="94"/>
      <c r="AY269" s="90"/>
      <c r="BB269" s="91"/>
    </row>
    <row r="270" spans="1:54" ht="15" customHeight="1">
      <c r="A270" s="33" t="s">
        <v>5053</v>
      </c>
      <c r="B270" s="33" t="s">
        <v>5091</v>
      </c>
      <c r="C270" s="33" t="s">
        <v>5052</v>
      </c>
      <c r="D270" s="33">
        <v>35</v>
      </c>
      <c r="E270" s="33">
        <v>2</v>
      </c>
      <c r="F270" s="33" t="s">
        <v>4985</v>
      </c>
      <c r="G270" s="33" t="s">
        <v>5048</v>
      </c>
      <c r="J270" s="33" t="s">
        <v>28</v>
      </c>
      <c r="N270" s="83"/>
      <c r="O270" s="85"/>
      <c r="P270" s="86"/>
      <c r="Q270" s="87"/>
      <c r="U270" s="85"/>
      <c r="V270" s="88"/>
      <c r="W270" s="89"/>
      <c r="X270" s="90"/>
      <c r="AA270" s="91"/>
      <c r="AD270" s="33" t="s">
        <v>4340</v>
      </c>
      <c r="AE270" s="33"/>
      <c r="AF270" s="33" t="s">
        <v>5149</v>
      </c>
      <c r="AP270" s="83"/>
      <c r="AQ270" s="85"/>
      <c r="AR270" s="86"/>
      <c r="AS270" s="87"/>
      <c r="AV270" s="85"/>
      <c r="AW270" s="93"/>
      <c r="AX270" s="94"/>
      <c r="AY270" s="90"/>
      <c r="BB270" s="91"/>
    </row>
    <row r="271" spans="1:54" ht="15" customHeight="1">
      <c r="A271" s="33" t="s">
        <v>5053</v>
      </c>
      <c r="B271" s="33" t="s">
        <v>5092</v>
      </c>
      <c r="C271" s="33" t="s">
        <v>5052</v>
      </c>
      <c r="D271" s="33">
        <v>36</v>
      </c>
      <c r="E271" s="33">
        <v>2</v>
      </c>
      <c r="F271" s="33" t="s">
        <v>4985</v>
      </c>
      <c r="G271" s="33" t="s">
        <v>5049</v>
      </c>
      <c r="J271" s="33" t="s">
        <v>28</v>
      </c>
      <c r="N271" s="83"/>
      <c r="O271" s="85"/>
      <c r="P271" s="86"/>
      <c r="Q271" s="87"/>
      <c r="U271" s="85"/>
      <c r="V271" s="88"/>
      <c r="W271" s="89"/>
      <c r="X271" s="90"/>
      <c r="AA271" s="91"/>
      <c r="AD271" s="33" t="s">
        <v>5050</v>
      </c>
      <c r="AE271" s="33"/>
      <c r="AF271" s="33" t="s">
        <v>5150</v>
      </c>
      <c r="AP271" s="83"/>
      <c r="AQ271" s="85"/>
      <c r="AR271" s="86"/>
      <c r="AS271" s="87"/>
      <c r="AV271" s="85"/>
      <c r="AW271" s="93"/>
      <c r="AX271" s="94"/>
      <c r="AY271" s="90"/>
      <c r="BB271" s="91"/>
    </row>
    <row r="272" spans="1:54" ht="15" customHeight="1">
      <c r="A272" s="33" t="s">
        <v>5053</v>
      </c>
      <c r="B272" s="33" t="s">
        <v>5093</v>
      </c>
      <c r="C272" s="33" t="s">
        <v>5052</v>
      </c>
      <c r="D272" s="33">
        <v>37</v>
      </c>
      <c r="E272" s="33">
        <v>2</v>
      </c>
      <c r="F272" s="33" t="s">
        <v>4985</v>
      </c>
      <c r="G272" s="33" t="s">
        <v>5051</v>
      </c>
      <c r="J272" s="33" t="s">
        <v>28</v>
      </c>
      <c r="N272" s="83"/>
      <c r="O272" s="85"/>
      <c r="P272" s="86"/>
      <c r="Q272" s="87"/>
      <c r="U272" s="85"/>
      <c r="V272" s="88"/>
      <c r="W272" s="89"/>
      <c r="X272" s="90"/>
      <c r="AA272" s="91"/>
      <c r="AD272" s="33" t="s">
        <v>4333</v>
      </c>
      <c r="AE272" s="33"/>
      <c r="AF272" s="33" t="s">
        <v>5151</v>
      </c>
      <c r="AP272" s="83"/>
      <c r="AQ272" s="85"/>
      <c r="AR272" s="86"/>
      <c r="AS272" s="87"/>
      <c r="AV272" s="85"/>
      <c r="AW272" s="93"/>
      <c r="AX272" s="94"/>
      <c r="AY272" s="90"/>
      <c r="BB272" s="91"/>
    </row>
    <row r="273" spans="1:59" ht="15" customHeight="1">
      <c r="A273" s="33" t="s">
        <v>5053</v>
      </c>
      <c r="B273" s="33" t="s">
        <v>5094</v>
      </c>
      <c r="C273" s="33" t="s">
        <v>5052</v>
      </c>
      <c r="D273" s="33">
        <v>38</v>
      </c>
      <c r="E273" s="33">
        <v>1</v>
      </c>
      <c r="F273" s="33" t="s">
        <v>4985</v>
      </c>
      <c r="G273" s="33" t="s">
        <v>4952</v>
      </c>
      <c r="J273" s="33" t="s">
        <v>4956</v>
      </c>
      <c r="N273" s="83"/>
      <c r="O273" s="85"/>
      <c r="P273" s="86"/>
      <c r="Q273" s="87"/>
      <c r="U273" s="85"/>
      <c r="V273" s="88"/>
      <c r="W273" s="89"/>
      <c r="X273" s="90"/>
      <c r="AA273" s="91"/>
      <c r="AE273" s="33"/>
      <c r="AI273" s="33" t="s">
        <v>4957</v>
      </c>
      <c r="AL273" s="33" t="s">
        <v>4956</v>
      </c>
      <c r="AP273" s="83"/>
      <c r="AQ273" s="85"/>
      <c r="AR273" s="86"/>
      <c r="AS273" s="87"/>
      <c r="AV273" s="85"/>
      <c r="AW273" s="93"/>
      <c r="AX273" s="94"/>
      <c r="AY273" s="90"/>
      <c r="BB273" s="91"/>
    </row>
    <row r="274" spans="1:59" ht="15" customHeight="1">
      <c r="A274" s="33" t="s">
        <v>5053</v>
      </c>
      <c r="B274" s="33" t="s">
        <v>5099</v>
      </c>
      <c r="C274" s="33" t="s">
        <v>5052</v>
      </c>
      <c r="D274" s="33">
        <v>39</v>
      </c>
      <c r="E274" s="33">
        <v>1</v>
      </c>
      <c r="F274" s="33" t="s">
        <v>4985</v>
      </c>
      <c r="G274" s="33" t="s">
        <v>4953</v>
      </c>
      <c r="J274" s="33" t="s">
        <v>4956</v>
      </c>
      <c r="N274" s="83"/>
      <c r="O274" s="85"/>
      <c r="P274" s="86"/>
      <c r="Q274" s="87"/>
      <c r="U274" s="85"/>
      <c r="V274" s="88"/>
      <c r="W274" s="89"/>
      <c r="X274" s="90"/>
      <c r="AA274" s="91"/>
      <c r="AE274" s="33"/>
      <c r="AI274" s="33" t="s">
        <v>4958</v>
      </c>
      <c r="AL274" s="33" t="s">
        <v>4956</v>
      </c>
      <c r="AP274" s="83"/>
      <c r="AQ274" s="85"/>
      <c r="AR274" s="86"/>
      <c r="AS274" s="87"/>
      <c r="AV274" s="85"/>
      <c r="AW274" s="93"/>
      <c r="AX274" s="94"/>
      <c r="AY274" s="90"/>
      <c r="BB274" s="91"/>
    </row>
    <row r="275" spans="1:59" ht="15" customHeight="1">
      <c r="A275" s="33" t="s">
        <v>5053</v>
      </c>
      <c r="B275" s="33" t="s">
        <v>5100</v>
      </c>
      <c r="C275" s="33" t="s">
        <v>5052</v>
      </c>
      <c r="D275" s="33">
        <v>40</v>
      </c>
      <c r="E275" s="33">
        <v>1</v>
      </c>
      <c r="F275" s="33" t="s">
        <v>4985</v>
      </c>
      <c r="G275" s="33" t="s">
        <v>4954</v>
      </c>
      <c r="J275" s="33" t="s">
        <v>4956</v>
      </c>
      <c r="N275" s="83"/>
      <c r="O275" s="85"/>
      <c r="P275" s="86"/>
      <c r="Q275" s="87"/>
      <c r="U275" s="85"/>
      <c r="V275" s="88"/>
      <c r="W275" s="89"/>
      <c r="X275" s="90"/>
      <c r="AA275" s="91"/>
      <c r="AE275" s="33"/>
      <c r="AI275" s="33" t="s">
        <v>4959</v>
      </c>
      <c r="AL275" s="33" t="s">
        <v>4956</v>
      </c>
      <c r="AP275" s="83"/>
      <c r="AQ275" s="85"/>
      <c r="AR275" s="86"/>
      <c r="AS275" s="87"/>
      <c r="AV275" s="85"/>
      <c r="AW275" s="93"/>
      <c r="AX275" s="94"/>
      <c r="AY275" s="90"/>
      <c r="BB275" s="91"/>
    </row>
    <row r="276" spans="1:59" ht="15" customHeight="1">
      <c r="A276" s="33" t="s">
        <v>5053</v>
      </c>
      <c r="B276" s="33" t="s">
        <v>5101</v>
      </c>
      <c r="C276" s="33" t="s">
        <v>5052</v>
      </c>
      <c r="D276" s="33">
        <v>41</v>
      </c>
      <c r="E276" s="33">
        <v>1</v>
      </c>
      <c r="F276" s="33" t="s">
        <v>4985</v>
      </c>
      <c r="G276" s="33" t="s">
        <v>4955</v>
      </c>
      <c r="J276" s="33" t="s">
        <v>4956</v>
      </c>
      <c r="N276" s="83"/>
      <c r="O276" s="85"/>
      <c r="P276" s="86"/>
      <c r="Q276" s="87"/>
      <c r="U276" s="85"/>
      <c r="V276" s="88"/>
      <c r="W276" s="89"/>
      <c r="X276" s="90"/>
      <c r="AA276" s="91"/>
      <c r="AE276" s="33"/>
      <c r="AI276" s="33" t="s">
        <v>4960</v>
      </c>
      <c r="AL276" s="33" t="s">
        <v>4956</v>
      </c>
      <c r="AP276" s="83"/>
      <c r="AQ276" s="85"/>
      <c r="AR276" s="86"/>
      <c r="AS276" s="87"/>
      <c r="AV276" s="85"/>
      <c r="AW276" s="93"/>
      <c r="AX276" s="94"/>
      <c r="AY276" s="90"/>
      <c r="BB276" s="91"/>
    </row>
    <row r="277" spans="1:59" ht="15" customHeight="1">
      <c r="A277" s="33" t="s">
        <v>5053</v>
      </c>
      <c r="B277" s="33" t="s">
        <v>5102</v>
      </c>
      <c r="C277" s="33" t="s">
        <v>5052</v>
      </c>
      <c r="D277" s="33">
        <v>42</v>
      </c>
      <c r="E277" s="33">
        <v>1</v>
      </c>
      <c r="F277" s="33" t="s">
        <v>4985</v>
      </c>
      <c r="G277" s="33" t="s">
        <v>5095</v>
      </c>
      <c r="J277" s="33" t="s">
        <v>4956</v>
      </c>
      <c r="N277" s="83"/>
      <c r="O277" s="85"/>
      <c r="P277" s="86"/>
      <c r="Q277" s="87"/>
      <c r="U277" s="85"/>
      <c r="V277" s="88"/>
      <c r="W277" s="89"/>
      <c r="X277" s="90"/>
      <c r="AA277" s="91"/>
      <c r="AE277" s="33"/>
      <c r="AI277" s="33" t="s">
        <v>5097</v>
      </c>
      <c r="AL277" s="33" t="s">
        <v>4956</v>
      </c>
      <c r="AP277" s="83"/>
      <c r="AQ277" s="85"/>
      <c r="AR277" s="86"/>
      <c r="AS277" s="87"/>
      <c r="AV277" s="85"/>
      <c r="AW277" s="93"/>
      <c r="AX277" s="94"/>
      <c r="AY277" s="90"/>
      <c r="BB277" s="91"/>
    </row>
    <row r="278" spans="1:59" ht="15" customHeight="1">
      <c r="A278" s="33" t="s">
        <v>5053</v>
      </c>
      <c r="B278" s="33" t="s">
        <v>5103</v>
      </c>
      <c r="C278" s="33" t="s">
        <v>5052</v>
      </c>
      <c r="D278" s="33">
        <v>43</v>
      </c>
      <c r="E278" s="33">
        <v>1</v>
      </c>
      <c r="F278" s="33" t="s">
        <v>4985</v>
      </c>
      <c r="G278" s="33" t="s">
        <v>5096</v>
      </c>
      <c r="J278" s="33" t="s">
        <v>4956</v>
      </c>
      <c r="N278" s="83"/>
      <c r="O278" s="85"/>
      <c r="P278" s="86"/>
      <c r="Q278" s="87"/>
      <c r="U278" s="85"/>
      <c r="V278" s="88"/>
      <c r="W278" s="89"/>
      <c r="X278" s="90"/>
      <c r="AA278" s="91"/>
      <c r="AE278" s="33"/>
      <c r="AI278" s="33" t="s">
        <v>5098</v>
      </c>
      <c r="AL278" s="33" t="s">
        <v>4956</v>
      </c>
      <c r="AP278" s="83"/>
      <c r="AQ278" s="85"/>
      <c r="AR278" s="86"/>
      <c r="AS278" s="87"/>
      <c r="AV278" s="85"/>
      <c r="AW278" s="93"/>
      <c r="AX278" s="94"/>
      <c r="AY278" s="90"/>
      <c r="BB278" s="91"/>
    </row>
    <row r="279" spans="1:59" ht="15" customHeight="1">
      <c r="A279" s="50" t="s">
        <v>5157</v>
      </c>
      <c r="B279" s="50" t="s">
        <v>5160</v>
      </c>
      <c r="C279" s="50" t="s">
        <v>5161</v>
      </c>
      <c r="D279" s="50">
        <v>1</v>
      </c>
      <c r="E279" s="50">
        <v>1</v>
      </c>
      <c r="F279" s="50"/>
      <c r="G279" s="50" t="s">
        <v>5162</v>
      </c>
      <c r="H279" s="33" t="s">
        <v>5163</v>
      </c>
      <c r="I279" s="33" t="s">
        <v>4077</v>
      </c>
      <c r="J279" s="33" t="s">
        <v>4057</v>
      </c>
      <c r="K279" s="33" t="s">
        <v>4052</v>
      </c>
      <c r="N279" s="83"/>
      <c r="O279" s="85">
        <v>4</v>
      </c>
      <c r="P279" s="86">
        <v>2</v>
      </c>
      <c r="Q279" s="87">
        <v>4</v>
      </c>
      <c r="R279" s="76">
        <v>2</v>
      </c>
      <c r="T279" s="78">
        <v>9</v>
      </c>
      <c r="U279" s="85">
        <v>6</v>
      </c>
      <c r="V279" s="88"/>
      <c r="W279" s="89"/>
      <c r="X279" s="90"/>
      <c r="AA279" s="91"/>
      <c r="AD279" s="33" t="s">
        <v>5164</v>
      </c>
      <c r="AE279" s="33"/>
      <c r="AF279" s="33" t="s">
        <v>5165</v>
      </c>
      <c r="AI279" s="33" t="s">
        <v>5162</v>
      </c>
      <c r="AJ279" s="33" t="s">
        <v>5163</v>
      </c>
      <c r="AK279" s="33" t="s">
        <v>4077</v>
      </c>
      <c r="AL279" s="33" t="s">
        <v>5104</v>
      </c>
      <c r="AM279" s="33" t="s">
        <v>5166</v>
      </c>
      <c r="AP279" s="83"/>
      <c r="AQ279" s="85"/>
      <c r="AR279" s="86"/>
      <c r="AS279" s="87"/>
      <c r="AV279" s="85"/>
      <c r="AW279" s="93"/>
      <c r="AX279" s="94"/>
      <c r="AY279" s="90"/>
      <c r="BB279" s="91"/>
      <c r="BE279" s="33" t="s">
        <v>5164</v>
      </c>
      <c r="BG279" s="33" t="s">
        <v>5167</v>
      </c>
    </row>
    <row r="280" spans="1:59" ht="15" customHeight="1">
      <c r="A280" s="33" t="s">
        <v>5157</v>
      </c>
      <c r="B280" s="33" t="s">
        <v>5168</v>
      </c>
      <c r="C280" s="33" t="s">
        <v>5161</v>
      </c>
      <c r="D280" s="33">
        <v>2</v>
      </c>
      <c r="E280" s="33">
        <v>1</v>
      </c>
      <c r="G280" s="33" t="s">
        <v>5169</v>
      </c>
      <c r="H280" s="33" t="s">
        <v>5170</v>
      </c>
      <c r="I280" s="33" t="s">
        <v>4077</v>
      </c>
      <c r="J280" s="33" t="s">
        <v>4057</v>
      </c>
      <c r="K280" s="33" t="s">
        <v>4053</v>
      </c>
      <c r="N280" s="83"/>
      <c r="O280" s="85">
        <v>3</v>
      </c>
      <c r="P280" s="86">
        <v>4</v>
      </c>
      <c r="Q280" s="87">
        <v>2</v>
      </c>
      <c r="R280" s="76">
        <v>3</v>
      </c>
      <c r="T280" s="78">
        <v>6</v>
      </c>
      <c r="U280" s="85">
        <v>9</v>
      </c>
      <c r="V280" s="88"/>
      <c r="W280" s="89"/>
      <c r="X280" s="90"/>
      <c r="AA280" s="91"/>
      <c r="AD280" s="33" t="s">
        <v>5171</v>
      </c>
      <c r="AE280" s="33"/>
      <c r="AF280" s="33" t="s">
        <v>5172</v>
      </c>
      <c r="AI280" s="33" t="s">
        <v>5169</v>
      </c>
      <c r="AJ280" s="33" t="s">
        <v>5170</v>
      </c>
      <c r="AK280" s="33" t="s">
        <v>4077</v>
      </c>
      <c r="AL280" s="33" t="s">
        <v>5104</v>
      </c>
      <c r="AM280" s="33" t="s">
        <v>5173</v>
      </c>
      <c r="AP280" s="83"/>
      <c r="AQ280" s="85"/>
      <c r="AR280" s="86"/>
      <c r="AS280" s="87"/>
      <c r="AV280" s="85"/>
      <c r="AW280" s="93"/>
      <c r="AX280" s="94"/>
      <c r="AY280" s="90"/>
      <c r="BB280" s="91"/>
      <c r="BE280" s="33" t="s">
        <v>5171</v>
      </c>
      <c r="BG280" s="33" t="s">
        <v>5174</v>
      </c>
    </row>
    <row r="281" spans="1:59" ht="15" customHeight="1">
      <c r="A281" s="33" t="s">
        <v>5157</v>
      </c>
      <c r="B281" s="33" t="s">
        <v>5175</v>
      </c>
      <c r="C281" s="33" t="s">
        <v>5161</v>
      </c>
      <c r="D281" s="33">
        <v>3</v>
      </c>
      <c r="E281" s="33">
        <v>1</v>
      </c>
      <c r="G281" s="33" t="s">
        <v>5176</v>
      </c>
      <c r="H281" s="33" t="s">
        <v>5177</v>
      </c>
      <c r="I281" s="33" t="s">
        <v>4077</v>
      </c>
      <c r="J281" s="33" t="s">
        <v>4057</v>
      </c>
      <c r="K281" s="33" t="s">
        <v>4055</v>
      </c>
      <c r="N281" s="83"/>
      <c r="O281" s="85">
        <v>3</v>
      </c>
      <c r="P281" s="86">
        <v>3</v>
      </c>
      <c r="Q281" s="87">
        <v>3</v>
      </c>
      <c r="R281" s="76">
        <v>3</v>
      </c>
      <c r="T281" s="78">
        <v>8</v>
      </c>
      <c r="U281" s="85">
        <v>7</v>
      </c>
      <c r="V281" s="88"/>
      <c r="W281" s="89"/>
      <c r="X281" s="90"/>
      <c r="AA281" s="91"/>
      <c r="AD281" s="33" t="s">
        <v>4108</v>
      </c>
      <c r="AE281" s="33"/>
      <c r="AF281" s="33" t="s">
        <v>5178</v>
      </c>
      <c r="AI281" s="33" t="s">
        <v>5176</v>
      </c>
      <c r="AJ281" s="33" t="s">
        <v>5177</v>
      </c>
      <c r="AK281" s="33" t="s">
        <v>4077</v>
      </c>
      <c r="AL281" s="33" t="s">
        <v>5104</v>
      </c>
      <c r="AM281" s="33" t="s">
        <v>5179</v>
      </c>
      <c r="AP281" s="83"/>
      <c r="AQ281" s="85"/>
      <c r="AR281" s="86"/>
      <c r="AS281" s="87"/>
      <c r="AV281" s="85"/>
      <c r="AW281" s="93"/>
      <c r="AX281" s="94"/>
      <c r="AY281" s="90"/>
      <c r="BB281" s="91"/>
      <c r="BE281" s="33" t="s">
        <v>4108</v>
      </c>
      <c r="BG281" s="33" t="s">
        <v>5180</v>
      </c>
    </row>
    <row r="282" spans="1:59" ht="15" customHeight="1">
      <c r="A282" s="33" t="s">
        <v>5157</v>
      </c>
      <c r="B282" s="33" t="s">
        <v>5181</v>
      </c>
      <c r="C282" s="33" t="s">
        <v>5161</v>
      </c>
      <c r="D282" s="33">
        <v>4</v>
      </c>
      <c r="E282" s="33">
        <v>1</v>
      </c>
      <c r="G282" s="33" t="s">
        <v>5182</v>
      </c>
      <c r="H282" s="33" t="s">
        <v>5183</v>
      </c>
      <c r="I282" s="33" t="s">
        <v>4077</v>
      </c>
      <c r="J282" s="33" t="s">
        <v>4057</v>
      </c>
      <c r="K282" s="33" t="s">
        <v>4054</v>
      </c>
      <c r="N282" s="83"/>
      <c r="O282" s="85">
        <v>4</v>
      </c>
      <c r="P282" s="86">
        <v>3</v>
      </c>
      <c r="Q282" s="87">
        <v>3</v>
      </c>
      <c r="R282" s="76">
        <v>2</v>
      </c>
      <c r="T282" s="78">
        <v>7</v>
      </c>
      <c r="U282" s="85">
        <v>8</v>
      </c>
      <c r="V282" s="88"/>
      <c r="W282" s="89"/>
      <c r="X282" s="90"/>
      <c r="AA282" s="91"/>
      <c r="AD282" s="33" t="s">
        <v>5184</v>
      </c>
      <c r="AE282" s="33"/>
      <c r="AF282" s="33" t="s">
        <v>5185</v>
      </c>
      <c r="AI282" s="33" t="s">
        <v>5182</v>
      </c>
      <c r="AJ282" s="33" t="s">
        <v>5183</v>
      </c>
      <c r="AK282" s="33" t="s">
        <v>4077</v>
      </c>
      <c r="AL282" s="33" t="s">
        <v>5104</v>
      </c>
      <c r="AM282" s="33" t="s">
        <v>5105</v>
      </c>
      <c r="AP282" s="83"/>
      <c r="AQ282" s="85"/>
      <c r="AR282" s="86"/>
      <c r="AS282" s="87"/>
      <c r="AV282" s="85"/>
      <c r="AW282" s="93"/>
      <c r="AX282" s="94"/>
      <c r="AY282" s="90"/>
      <c r="BB282" s="91"/>
      <c r="BE282" s="33" t="s">
        <v>5184</v>
      </c>
      <c r="BG282" s="33" t="s">
        <v>5186</v>
      </c>
    </row>
    <row r="283" spans="1:59" ht="15" customHeight="1">
      <c r="A283" s="33" t="s">
        <v>5157</v>
      </c>
      <c r="B283" s="33" t="s">
        <v>5187</v>
      </c>
      <c r="C283" s="33" t="s">
        <v>5161</v>
      </c>
      <c r="D283" s="33">
        <v>5</v>
      </c>
      <c r="E283" s="33">
        <v>1</v>
      </c>
      <c r="G283" s="33" t="s">
        <v>5188</v>
      </c>
      <c r="H283" s="33" t="s">
        <v>5189</v>
      </c>
      <c r="I283" s="33" t="s">
        <v>4077</v>
      </c>
      <c r="J283" s="33" t="s">
        <v>4057</v>
      </c>
      <c r="K283" s="33" t="s">
        <v>4056</v>
      </c>
      <c r="N283" s="83"/>
      <c r="O283" s="85">
        <v>4</v>
      </c>
      <c r="P283" s="86">
        <v>2</v>
      </c>
      <c r="Q283" s="87">
        <v>2</v>
      </c>
      <c r="R283" s="76">
        <v>3</v>
      </c>
      <c r="T283" s="78">
        <v>6</v>
      </c>
      <c r="U283" s="85">
        <v>5</v>
      </c>
      <c r="V283" s="88"/>
      <c r="W283" s="89"/>
      <c r="X283" s="90"/>
      <c r="AA283" s="91"/>
      <c r="AD283" s="33" t="s">
        <v>4108</v>
      </c>
      <c r="AE283" s="33"/>
      <c r="AF283" s="33" t="s">
        <v>5190</v>
      </c>
      <c r="AI283" s="33" t="s">
        <v>5188</v>
      </c>
      <c r="AJ283" s="33" t="s">
        <v>5189</v>
      </c>
      <c r="AK283" s="33" t="s">
        <v>4077</v>
      </c>
      <c r="AL283" s="33" t="s">
        <v>5104</v>
      </c>
      <c r="AM283" s="33" t="s">
        <v>5191</v>
      </c>
      <c r="AP283" s="83"/>
      <c r="AQ283" s="85"/>
      <c r="AR283" s="86"/>
      <c r="AS283" s="87"/>
      <c r="AV283" s="85"/>
      <c r="AW283" s="93"/>
      <c r="AX283" s="94"/>
      <c r="AY283" s="90"/>
      <c r="BB283" s="91"/>
      <c r="BE283" s="33" t="s">
        <v>4108</v>
      </c>
      <c r="BG283" s="33" t="s">
        <v>5192</v>
      </c>
    </row>
    <row r="284" spans="1:59" ht="15" customHeight="1">
      <c r="A284" s="33" t="s">
        <v>5157</v>
      </c>
      <c r="B284" s="33" t="s">
        <v>5193</v>
      </c>
      <c r="C284" s="33" t="s">
        <v>5161</v>
      </c>
      <c r="D284" s="33">
        <v>6</v>
      </c>
      <c r="E284" s="33">
        <v>1</v>
      </c>
      <c r="G284" s="33" t="s">
        <v>5194</v>
      </c>
      <c r="H284" s="33" t="s">
        <v>5195</v>
      </c>
      <c r="I284" s="33" t="s">
        <v>4077</v>
      </c>
      <c r="J284" s="33" t="s">
        <v>4111</v>
      </c>
      <c r="K284" s="33" t="s">
        <v>26</v>
      </c>
      <c r="N284" s="83">
        <v>1</v>
      </c>
      <c r="O284" s="85"/>
      <c r="P284" s="86"/>
      <c r="Q284" s="87">
        <v>2</v>
      </c>
      <c r="S284" s="123">
        <v>1</v>
      </c>
      <c r="U284" s="85"/>
      <c r="V284" s="88"/>
      <c r="W284" s="89"/>
      <c r="X284" s="90"/>
      <c r="AA284" s="91"/>
      <c r="AB284" s="33" t="s">
        <v>5196</v>
      </c>
      <c r="AC284" s="33" t="s">
        <v>4129</v>
      </c>
      <c r="AD284" s="33" t="s">
        <v>4229</v>
      </c>
      <c r="AE284" s="33"/>
      <c r="AF284" s="33" t="s">
        <v>5197</v>
      </c>
      <c r="AP284" s="83"/>
      <c r="AQ284" s="85"/>
      <c r="AR284" s="86"/>
      <c r="AS284" s="87"/>
      <c r="AV284" s="85"/>
      <c r="AW284" s="93"/>
      <c r="AX284" s="94"/>
      <c r="AY284" s="90"/>
      <c r="BB284" s="91"/>
    </row>
    <row r="285" spans="1:59" ht="15" customHeight="1">
      <c r="A285" s="33" t="s">
        <v>5157</v>
      </c>
      <c r="B285" s="33" t="s">
        <v>5198</v>
      </c>
      <c r="C285" s="33" t="s">
        <v>5161</v>
      </c>
      <c r="D285" s="33">
        <v>7</v>
      </c>
      <c r="E285" s="33">
        <v>1</v>
      </c>
      <c r="G285" s="33" t="s">
        <v>5199</v>
      </c>
      <c r="J285" s="33" t="s">
        <v>28</v>
      </c>
      <c r="K285" s="33" t="s">
        <v>26</v>
      </c>
      <c r="M285" s="33" t="s">
        <v>4502</v>
      </c>
      <c r="N285" s="83"/>
      <c r="O285" s="85"/>
      <c r="P285" s="86"/>
      <c r="Q285" s="87"/>
      <c r="U285" s="85"/>
      <c r="V285" s="88"/>
      <c r="W285" s="89"/>
      <c r="X285" s="90"/>
      <c r="AA285" s="91"/>
      <c r="AD285" s="33" t="s">
        <v>4116</v>
      </c>
      <c r="AE285" s="33"/>
      <c r="AF285" s="33" t="s">
        <v>5200</v>
      </c>
      <c r="AP285" s="83"/>
      <c r="AQ285" s="85"/>
      <c r="AR285" s="86"/>
      <c r="AS285" s="87"/>
      <c r="AV285" s="85"/>
      <c r="AW285" s="93"/>
      <c r="AX285" s="94"/>
      <c r="AY285" s="90"/>
      <c r="BB285" s="91"/>
    </row>
    <row r="286" spans="1:59" ht="15" customHeight="1">
      <c r="A286" s="33" t="s">
        <v>5157</v>
      </c>
      <c r="B286" s="33" t="s">
        <v>5201</v>
      </c>
      <c r="C286" s="33" t="s">
        <v>5161</v>
      </c>
      <c r="D286" s="33">
        <v>8</v>
      </c>
      <c r="E286" s="33">
        <v>1</v>
      </c>
      <c r="G286" s="33" t="s">
        <v>5202</v>
      </c>
      <c r="J286" s="33" t="s">
        <v>27</v>
      </c>
      <c r="K286" s="33" t="s">
        <v>26</v>
      </c>
      <c r="N286" s="83">
        <v>1</v>
      </c>
      <c r="O286" s="85"/>
      <c r="P286" s="86">
        <v>2</v>
      </c>
      <c r="Q286" s="87"/>
      <c r="S286" s="123">
        <v>1</v>
      </c>
      <c r="U286" s="85"/>
      <c r="V286" s="88"/>
      <c r="W286" s="89"/>
      <c r="X286" s="90"/>
      <c r="AA286" s="91"/>
      <c r="AB286" s="33" t="s">
        <v>5203</v>
      </c>
      <c r="AD286" s="33" t="s">
        <v>4194</v>
      </c>
      <c r="AE286" s="33"/>
      <c r="AF286" s="33" t="s">
        <v>5204</v>
      </c>
      <c r="AP286" s="83"/>
      <c r="AQ286" s="85"/>
      <c r="AR286" s="86"/>
      <c r="AS286" s="87"/>
      <c r="AV286" s="85"/>
      <c r="AW286" s="93"/>
      <c r="AX286" s="94"/>
      <c r="AY286" s="90"/>
      <c r="BB286" s="91"/>
    </row>
    <row r="287" spans="1:59" ht="15" customHeight="1">
      <c r="A287" s="33" t="s">
        <v>5157</v>
      </c>
      <c r="B287" s="33" t="s">
        <v>5205</v>
      </c>
      <c r="C287" s="33" t="s">
        <v>5161</v>
      </c>
      <c r="D287" s="33">
        <v>9</v>
      </c>
      <c r="E287" s="33">
        <v>1</v>
      </c>
      <c r="G287" s="33" t="s">
        <v>5206</v>
      </c>
      <c r="J287" s="33" t="s">
        <v>28</v>
      </c>
      <c r="K287" s="33" t="s">
        <v>26</v>
      </c>
      <c r="M287" s="33" t="s">
        <v>4502</v>
      </c>
      <c r="N287" s="83"/>
      <c r="O287" s="85"/>
      <c r="P287" s="86"/>
      <c r="Q287" s="87"/>
      <c r="U287" s="85"/>
      <c r="V287" s="88"/>
      <c r="W287" s="89"/>
      <c r="X287" s="90"/>
      <c r="AA287" s="91"/>
      <c r="AD287" s="33" t="s">
        <v>4293</v>
      </c>
      <c r="AE287" s="33"/>
      <c r="AF287" s="33" t="s">
        <v>5207</v>
      </c>
      <c r="AP287" s="83"/>
      <c r="AQ287" s="85"/>
      <c r="AR287" s="86"/>
      <c r="AS287" s="87"/>
      <c r="AV287" s="85"/>
      <c r="AW287" s="93"/>
      <c r="AX287" s="94"/>
      <c r="AY287" s="90"/>
      <c r="BB287" s="91"/>
    </row>
    <row r="288" spans="1:59" ht="15" customHeight="1">
      <c r="A288" s="33" t="s">
        <v>5157</v>
      </c>
      <c r="B288" s="33" t="s">
        <v>5208</v>
      </c>
      <c r="C288" s="33" t="s">
        <v>5161</v>
      </c>
      <c r="D288" s="33">
        <v>10</v>
      </c>
      <c r="E288" s="33">
        <v>1</v>
      </c>
      <c r="G288" s="33" t="s">
        <v>5209</v>
      </c>
      <c r="H288" s="33" t="s">
        <v>5210</v>
      </c>
      <c r="I288" s="33" t="s">
        <v>4077</v>
      </c>
      <c r="J288" s="33" t="s">
        <v>4111</v>
      </c>
      <c r="K288" s="33" t="s">
        <v>26</v>
      </c>
      <c r="N288" s="83"/>
      <c r="O288" s="85"/>
      <c r="P288" s="86"/>
      <c r="Q288" s="87"/>
      <c r="R288" s="76">
        <v>2</v>
      </c>
      <c r="S288" s="123">
        <v>1</v>
      </c>
      <c r="U288" s="85"/>
      <c r="V288" s="88"/>
      <c r="W288" s="89"/>
      <c r="X288" s="90"/>
      <c r="AA288" s="91"/>
      <c r="AB288" s="33" t="s">
        <v>5211</v>
      </c>
      <c r="AC288" s="33" t="s">
        <v>4176</v>
      </c>
      <c r="AD288" s="33" t="s">
        <v>4113</v>
      </c>
      <c r="AE288" s="33"/>
      <c r="AF288" s="33" t="s">
        <v>5212</v>
      </c>
      <c r="AP288" s="83"/>
      <c r="AQ288" s="85"/>
      <c r="AR288" s="86"/>
      <c r="AS288" s="87"/>
      <c r="AV288" s="85"/>
      <c r="AW288" s="93"/>
      <c r="AX288" s="94"/>
      <c r="AY288" s="90"/>
      <c r="BB288" s="91"/>
    </row>
    <row r="289" spans="1:54" ht="15" customHeight="1">
      <c r="A289" s="33" t="s">
        <v>5157</v>
      </c>
      <c r="B289" s="33" t="s">
        <v>5213</v>
      </c>
      <c r="C289" s="33" t="s">
        <v>5161</v>
      </c>
      <c r="D289" s="33">
        <v>11</v>
      </c>
      <c r="E289" s="33">
        <v>1</v>
      </c>
      <c r="G289" s="33" t="s">
        <v>5214</v>
      </c>
      <c r="J289" s="33" t="s">
        <v>28</v>
      </c>
      <c r="K289" s="33" t="s">
        <v>26</v>
      </c>
      <c r="M289" s="33" t="s">
        <v>4502</v>
      </c>
      <c r="N289" s="83"/>
      <c r="O289" s="85"/>
      <c r="P289" s="86"/>
      <c r="Q289" s="87"/>
      <c r="U289" s="85"/>
      <c r="V289" s="88"/>
      <c r="W289" s="89"/>
      <c r="X289" s="90"/>
      <c r="AA289" s="91"/>
      <c r="AD289" s="33" t="s">
        <v>4116</v>
      </c>
      <c r="AE289" s="33"/>
      <c r="AF289" s="33" t="s">
        <v>5215</v>
      </c>
      <c r="AP289" s="83"/>
      <c r="AQ289" s="85"/>
      <c r="AR289" s="86"/>
      <c r="AS289" s="87"/>
      <c r="AV289" s="85"/>
      <c r="AW289" s="93"/>
      <c r="AX289" s="94"/>
      <c r="AY289" s="90"/>
      <c r="BB289" s="91"/>
    </row>
    <row r="290" spans="1:54" ht="15" customHeight="1">
      <c r="A290" s="33" t="s">
        <v>5157</v>
      </c>
      <c r="B290" s="33" t="s">
        <v>5216</v>
      </c>
      <c r="C290" s="33" t="s">
        <v>5161</v>
      </c>
      <c r="D290" s="33">
        <v>12</v>
      </c>
      <c r="E290" s="33">
        <v>1</v>
      </c>
      <c r="G290" s="33" t="s">
        <v>5217</v>
      </c>
      <c r="H290" s="33" t="s">
        <v>5218</v>
      </c>
      <c r="I290" s="33" t="s">
        <v>4077</v>
      </c>
      <c r="J290" s="33" t="s">
        <v>4111</v>
      </c>
      <c r="K290" s="33" t="s">
        <v>26</v>
      </c>
      <c r="N290" s="83">
        <v>2</v>
      </c>
      <c r="O290" s="85">
        <v>2</v>
      </c>
      <c r="P290" s="86"/>
      <c r="Q290" s="87"/>
      <c r="S290" s="123">
        <v>1</v>
      </c>
      <c r="U290" s="85"/>
      <c r="V290" s="88"/>
      <c r="W290" s="89"/>
      <c r="X290" s="90"/>
      <c r="AA290" s="91"/>
      <c r="AB290" s="33" t="s">
        <v>5219</v>
      </c>
      <c r="AC290" s="33" t="s">
        <v>4112</v>
      </c>
      <c r="AD290" s="33" t="s">
        <v>5220</v>
      </c>
      <c r="AE290" s="33"/>
      <c r="AF290" s="33" t="s">
        <v>5221</v>
      </c>
      <c r="AP290" s="83"/>
      <c r="AQ290" s="85"/>
      <c r="AR290" s="86"/>
      <c r="AS290" s="87"/>
      <c r="AV290" s="85"/>
      <c r="AW290" s="93"/>
      <c r="AX290" s="94"/>
      <c r="AY290" s="90"/>
      <c r="BB290" s="91"/>
    </row>
    <row r="291" spans="1:54" ht="15" customHeight="1">
      <c r="A291" s="33" t="s">
        <v>5157</v>
      </c>
      <c r="B291" s="33" t="s">
        <v>5222</v>
      </c>
      <c r="C291" s="33" t="s">
        <v>5161</v>
      </c>
      <c r="D291" s="33">
        <v>13</v>
      </c>
      <c r="E291" s="33">
        <v>1</v>
      </c>
      <c r="G291" s="33" t="s">
        <v>5223</v>
      </c>
      <c r="J291" s="33" t="s">
        <v>28</v>
      </c>
      <c r="K291" s="33" t="s">
        <v>26</v>
      </c>
      <c r="M291" s="33" t="s">
        <v>4502</v>
      </c>
      <c r="N291" s="83"/>
      <c r="O291" s="85"/>
      <c r="P291" s="86"/>
      <c r="Q291" s="87"/>
      <c r="U291" s="85"/>
      <c r="V291" s="88"/>
      <c r="W291" s="89"/>
      <c r="X291" s="90"/>
      <c r="AA291" s="91"/>
      <c r="AD291" s="33" t="s">
        <v>5224</v>
      </c>
      <c r="AE291" s="33"/>
      <c r="AF291" s="33" t="s">
        <v>5225</v>
      </c>
      <c r="AP291" s="83"/>
      <c r="AQ291" s="85"/>
      <c r="AR291" s="86"/>
      <c r="AS291" s="87"/>
      <c r="AV291" s="85"/>
      <c r="AW291" s="93"/>
      <c r="AX291" s="94"/>
      <c r="AY291" s="90"/>
      <c r="BB291" s="91"/>
    </row>
    <row r="292" spans="1:54" ht="15" customHeight="1">
      <c r="A292" s="33" t="s">
        <v>5157</v>
      </c>
      <c r="B292" s="33" t="s">
        <v>5226</v>
      </c>
      <c r="C292" s="33" t="s">
        <v>5161</v>
      </c>
      <c r="D292" s="33">
        <v>14</v>
      </c>
      <c r="E292" s="33">
        <v>1</v>
      </c>
      <c r="G292" s="33" t="s">
        <v>5227</v>
      </c>
      <c r="H292" s="33" t="s">
        <v>5228</v>
      </c>
      <c r="I292" s="33" t="s">
        <v>4077</v>
      </c>
      <c r="J292" s="33" t="s">
        <v>4111</v>
      </c>
      <c r="K292" s="33" t="s">
        <v>26</v>
      </c>
      <c r="N292" s="83">
        <v>2</v>
      </c>
      <c r="O292" s="85"/>
      <c r="P292" s="86"/>
      <c r="Q292" s="87"/>
      <c r="T292" s="78">
        <v>2</v>
      </c>
      <c r="U292" s="85">
        <v>3</v>
      </c>
      <c r="V292" s="88"/>
      <c r="W292" s="89"/>
      <c r="X292" s="90"/>
      <c r="AA292" s="91"/>
      <c r="AD292" s="33" t="s">
        <v>4155</v>
      </c>
      <c r="AE292" s="33"/>
      <c r="AF292" s="33" t="s">
        <v>5229</v>
      </c>
      <c r="AP292" s="83"/>
      <c r="AQ292" s="85"/>
      <c r="AR292" s="86"/>
      <c r="AS292" s="87"/>
      <c r="AV292" s="85"/>
      <c r="AW292" s="93"/>
      <c r="AX292" s="94"/>
      <c r="AY292" s="90"/>
      <c r="BB292" s="91"/>
    </row>
    <row r="293" spans="1:54" ht="15" customHeight="1">
      <c r="A293" s="33" t="s">
        <v>5157</v>
      </c>
      <c r="B293" s="33" t="s">
        <v>5230</v>
      </c>
      <c r="C293" s="33" t="s">
        <v>5161</v>
      </c>
      <c r="D293" s="33">
        <v>15</v>
      </c>
      <c r="E293" s="33">
        <v>1</v>
      </c>
      <c r="G293" s="33" t="s">
        <v>5231</v>
      </c>
      <c r="J293" s="33" t="s">
        <v>28</v>
      </c>
      <c r="K293" s="33" t="s">
        <v>26</v>
      </c>
      <c r="M293" s="33" t="s">
        <v>4502</v>
      </c>
      <c r="N293" s="83"/>
      <c r="O293" s="85"/>
      <c r="P293" s="86"/>
      <c r="Q293" s="87"/>
      <c r="U293" s="85"/>
      <c r="V293" s="88"/>
      <c r="W293" s="89"/>
      <c r="X293" s="90"/>
      <c r="AA293" s="91"/>
      <c r="AD293" s="33" t="s">
        <v>4138</v>
      </c>
      <c r="AE293" s="33"/>
      <c r="AF293" s="33" t="s">
        <v>5232</v>
      </c>
      <c r="AP293" s="83"/>
      <c r="AQ293" s="85"/>
      <c r="AR293" s="86"/>
      <c r="AS293" s="87"/>
      <c r="AV293" s="85"/>
      <c r="AW293" s="93"/>
      <c r="AX293" s="94"/>
      <c r="AY293" s="90"/>
      <c r="BB293" s="91"/>
    </row>
    <row r="294" spans="1:54" ht="15" customHeight="1">
      <c r="A294" s="33" t="s">
        <v>5157</v>
      </c>
      <c r="B294" s="33" t="s">
        <v>5233</v>
      </c>
      <c r="C294" s="33" t="s">
        <v>5161</v>
      </c>
      <c r="D294" s="33">
        <v>16</v>
      </c>
      <c r="E294" s="33">
        <v>2</v>
      </c>
      <c r="G294" s="33" t="s">
        <v>5234</v>
      </c>
      <c r="J294" s="33" t="s">
        <v>4111</v>
      </c>
      <c r="K294" s="33" t="s">
        <v>4052</v>
      </c>
      <c r="L294" s="33">
        <v>0</v>
      </c>
      <c r="N294" s="83">
        <v>1</v>
      </c>
      <c r="O294" s="85"/>
      <c r="P294" s="86"/>
      <c r="Q294" s="87">
        <v>1</v>
      </c>
      <c r="U294" s="85"/>
      <c r="V294" s="88"/>
      <c r="W294" s="89"/>
      <c r="X294" s="90"/>
      <c r="AA294" s="91"/>
      <c r="AB294" s="33" t="s">
        <v>4060</v>
      </c>
      <c r="AC294" s="33" t="s">
        <v>4112</v>
      </c>
      <c r="AD294" s="33" t="s">
        <v>4152</v>
      </c>
      <c r="AE294" s="33"/>
      <c r="AF294" s="33" t="s">
        <v>5235</v>
      </c>
      <c r="AP294" s="83"/>
      <c r="AQ294" s="85"/>
      <c r="AR294" s="86"/>
      <c r="AS294" s="87"/>
      <c r="AV294" s="85"/>
      <c r="AW294" s="93"/>
      <c r="AX294" s="94"/>
      <c r="AY294" s="90"/>
      <c r="BB294" s="91"/>
    </row>
    <row r="295" spans="1:54" ht="15" customHeight="1">
      <c r="A295" s="33" t="s">
        <v>5157</v>
      </c>
      <c r="B295" s="33" t="s">
        <v>5236</v>
      </c>
      <c r="C295" s="33" t="s">
        <v>5161</v>
      </c>
      <c r="D295" s="33">
        <v>17</v>
      </c>
      <c r="E295" s="33">
        <v>2</v>
      </c>
      <c r="G295" s="33" t="s">
        <v>5237</v>
      </c>
      <c r="J295" s="33" t="s">
        <v>27</v>
      </c>
      <c r="K295" s="33" t="s">
        <v>4052</v>
      </c>
      <c r="L295" s="33">
        <v>0</v>
      </c>
      <c r="N295" s="83">
        <v>1</v>
      </c>
      <c r="O295" s="85">
        <v>1</v>
      </c>
      <c r="P295" s="86"/>
      <c r="Q295" s="87">
        <v>1</v>
      </c>
      <c r="U295" s="85"/>
      <c r="V295" s="88"/>
      <c r="W295" s="89"/>
      <c r="X295" s="90"/>
      <c r="AA295" s="91"/>
      <c r="AB295" s="33" t="s">
        <v>4937</v>
      </c>
      <c r="AD295" s="33" t="s">
        <v>4161</v>
      </c>
      <c r="AE295" s="33"/>
      <c r="AF295" s="33" t="s">
        <v>5238</v>
      </c>
      <c r="AP295" s="83"/>
      <c r="AQ295" s="85"/>
      <c r="AR295" s="86"/>
      <c r="AS295" s="87"/>
      <c r="AV295" s="85"/>
      <c r="AW295" s="93"/>
      <c r="AX295" s="94"/>
      <c r="AY295" s="90"/>
      <c r="BB295" s="91"/>
    </row>
    <row r="296" spans="1:54" ht="15" customHeight="1">
      <c r="A296" s="33" t="s">
        <v>5157</v>
      </c>
      <c r="B296" s="33" t="s">
        <v>5239</v>
      </c>
      <c r="C296" s="33" t="s">
        <v>5161</v>
      </c>
      <c r="D296" s="33">
        <v>18</v>
      </c>
      <c r="E296" s="33">
        <v>2</v>
      </c>
      <c r="G296" s="33" t="s">
        <v>5240</v>
      </c>
      <c r="J296" s="33" t="s">
        <v>27</v>
      </c>
      <c r="K296" s="33" t="s">
        <v>4052</v>
      </c>
      <c r="L296" s="33">
        <v>0</v>
      </c>
      <c r="N296" s="83">
        <v>0</v>
      </c>
      <c r="O296" s="85"/>
      <c r="P296" s="86"/>
      <c r="Q296" s="87"/>
      <c r="S296" s="123">
        <v>1</v>
      </c>
      <c r="U296" s="85"/>
      <c r="V296" s="88"/>
      <c r="W296" s="89"/>
      <c r="X296" s="90"/>
      <c r="AA296" s="91"/>
      <c r="AB296" s="33" t="s">
        <v>4062</v>
      </c>
      <c r="AD296" s="33" t="s">
        <v>4161</v>
      </c>
      <c r="AE296" s="33"/>
      <c r="AF296" s="33" t="s">
        <v>5241</v>
      </c>
      <c r="AP296" s="83"/>
      <c r="AQ296" s="85"/>
      <c r="AR296" s="86"/>
      <c r="AS296" s="87"/>
      <c r="AV296" s="85"/>
      <c r="AW296" s="93"/>
      <c r="AX296" s="94"/>
      <c r="AY296" s="90"/>
      <c r="BB296" s="91"/>
    </row>
    <row r="297" spans="1:54" ht="15" customHeight="1">
      <c r="A297" s="33" t="s">
        <v>5157</v>
      </c>
      <c r="B297" s="33" t="s">
        <v>5242</v>
      </c>
      <c r="C297" s="33" t="s">
        <v>5161</v>
      </c>
      <c r="D297" s="33">
        <v>19</v>
      </c>
      <c r="E297" s="33">
        <v>2</v>
      </c>
      <c r="G297" s="33" t="s">
        <v>5237</v>
      </c>
      <c r="J297" s="33" t="s">
        <v>27</v>
      </c>
      <c r="K297" s="33" t="s">
        <v>4052</v>
      </c>
      <c r="L297" s="33">
        <v>2</v>
      </c>
      <c r="N297" s="83">
        <v>1</v>
      </c>
      <c r="O297" s="85">
        <v>1</v>
      </c>
      <c r="P297" s="86"/>
      <c r="Q297" s="87">
        <v>1</v>
      </c>
      <c r="R297" s="76">
        <v>1</v>
      </c>
      <c r="U297" s="85"/>
      <c r="V297" s="88"/>
      <c r="W297" s="89"/>
      <c r="X297" s="90"/>
      <c r="AA297" s="91"/>
      <c r="AB297" s="33" t="s">
        <v>5243</v>
      </c>
      <c r="AD297" s="33" t="s">
        <v>4161</v>
      </c>
      <c r="AE297" s="33"/>
      <c r="AF297" s="33" t="s">
        <v>5244</v>
      </c>
      <c r="AP297" s="83"/>
      <c r="AQ297" s="85"/>
      <c r="AR297" s="86"/>
      <c r="AS297" s="87"/>
      <c r="AV297" s="85"/>
      <c r="AW297" s="93"/>
      <c r="AX297" s="94"/>
      <c r="AY297" s="90"/>
      <c r="BB297" s="91"/>
    </row>
    <row r="298" spans="1:54" ht="15" customHeight="1">
      <c r="A298" s="33" t="s">
        <v>5157</v>
      </c>
      <c r="B298" s="33" t="s">
        <v>5245</v>
      </c>
      <c r="C298" s="33" t="s">
        <v>5161</v>
      </c>
      <c r="D298" s="33">
        <v>20</v>
      </c>
      <c r="E298" s="33">
        <v>2</v>
      </c>
      <c r="G298" s="33" t="s">
        <v>5246</v>
      </c>
      <c r="J298" s="33" t="s">
        <v>4111</v>
      </c>
      <c r="K298" s="33" t="s">
        <v>4053</v>
      </c>
      <c r="L298" s="33">
        <v>0</v>
      </c>
      <c r="N298" s="83">
        <v>2</v>
      </c>
      <c r="O298" s="85"/>
      <c r="P298" s="86">
        <v>1</v>
      </c>
      <c r="Q298" s="87"/>
      <c r="T298" s="78">
        <v>1</v>
      </c>
      <c r="U298" s="85">
        <v>2</v>
      </c>
      <c r="V298" s="88"/>
      <c r="W298" s="89"/>
      <c r="X298" s="90"/>
      <c r="AA298" s="91"/>
      <c r="AB298" s="33" t="s">
        <v>4059</v>
      </c>
      <c r="AC298" s="33" t="s">
        <v>25</v>
      </c>
      <c r="AD298" s="33" t="s">
        <v>5247</v>
      </c>
      <c r="AE298" s="33"/>
      <c r="AF298" s="33" t="s">
        <v>5248</v>
      </c>
      <c r="AP298" s="83"/>
      <c r="AQ298" s="85"/>
      <c r="AR298" s="86"/>
      <c r="AS298" s="87"/>
      <c r="AV298" s="85"/>
      <c r="AW298" s="93"/>
      <c r="AX298" s="94"/>
      <c r="AY298" s="90"/>
      <c r="BB298" s="91"/>
    </row>
    <row r="299" spans="1:54" ht="15" customHeight="1">
      <c r="A299" s="33" t="s">
        <v>5157</v>
      </c>
      <c r="B299" s="33" t="s">
        <v>5249</v>
      </c>
      <c r="C299" s="33" t="s">
        <v>5161</v>
      </c>
      <c r="D299" s="33">
        <v>21</v>
      </c>
      <c r="E299" s="33">
        <v>2</v>
      </c>
      <c r="G299" s="33" t="s">
        <v>5250</v>
      </c>
      <c r="H299" s="33" t="s">
        <v>5251</v>
      </c>
      <c r="J299" s="33" t="s">
        <v>4111</v>
      </c>
      <c r="K299" s="33" t="s">
        <v>4053</v>
      </c>
      <c r="L299" s="33">
        <v>0</v>
      </c>
      <c r="N299" s="83">
        <v>1</v>
      </c>
      <c r="O299" s="85"/>
      <c r="P299" s="86"/>
      <c r="Q299" s="87"/>
      <c r="S299" s="123">
        <v>1</v>
      </c>
      <c r="U299" s="85"/>
      <c r="V299" s="88"/>
      <c r="W299" s="89"/>
      <c r="X299" s="90"/>
      <c r="AA299" s="91"/>
      <c r="AB299" s="33" t="s">
        <v>4062</v>
      </c>
      <c r="AD299" s="33" t="s">
        <v>5252</v>
      </c>
      <c r="AE299" s="33"/>
      <c r="AF299" s="33" t="s">
        <v>5253</v>
      </c>
      <c r="AP299" s="83"/>
      <c r="AQ299" s="85"/>
      <c r="AR299" s="86"/>
      <c r="AS299" s="87"/>
      <c r="AV299" s="85"/>
      <c r="AW299" s="93"/>
      <c r="AX299" s="94"/>
      <c r="AY299" s="90"/>
      <c r="BB299" s="91"/>
    </row>
    <row r="300" spans="1:54" ht="15" customHeight="1">
      <c r="A300" s="33" t="s">
        <v>5157</v>
      </c>
      <c r="B300" s="33" t="s">
        <v>5254</v>
      </c>
      <c r="C300" s="33" t="s">
        <v>5161</v>
      </c>
      <c r="D300" s="33">
        <v>22</v>
      </c>
      <c r="E300" s="33">
        <v>2</v>
      </c>
      <c r="G300" s="33" t="s">
        <v>5255</v>
      </c>
      <c r="J300" s="33" t="s">
        <v>27</v>
      </c>
      <c r="K300" s="33" t="s">
        <v>4053</v>
      </c>
      <c r="L300" s="33">
        <v>0</v>
      </c>
      <c r="N300" s="83">
        <v>0</v>
      </c>
      <c r="O300" s="85">
        <v>1</v>
      </c>
      <c r="P300" s="86"/>
      <c r="Q300" s="87"/>
      <c r="R300" s="76">
        <v>1</v>
      </c>
      <c r="U300" s="85"/>
      <c r="V300" s="88"/>
      <c r="W300" s="89"/>
      <c r="X300" s="90"/>
      <c r="AA300" s="91"/>
      <c r="AB300" s="33" t="s">
        <v>4939</v>
      </c>
      <c r="AD300" s="33" t="s">
        <v>4198</v>
      </c>
      <c r="AE300" s="33"/>
      <c r="AF300" s="33" t="s">
        <v>5256</v>
      </c>
      <c r="AP300" s="83"/>
      <c r="AQ300" s="85"/>
      <c r="AR300" s="86"/>
      <c r="AS300" s="87"/>
      <c r="AV300" s="85"/>
      <c r="AW300" s="93"/>
      <c r="AX300" s="94"/>
      <c r="AY300" s="90"/>
      <c r="BB300" s="91"/>
    </row>
    <row r="301" spans="1:54" ht="15" customHeight="1">
      <c r="A301" s="33" t="s">
        <v>5157</v>
      </c>
      <c r="B301" s="33" t="s">
        <v>5257</v>
      </c>
      <c r="C301" s="33" t="s">
        <v>5161</v>
      </c>
      <c r="D301" s="33">
        <v>23</v>
      </c>
      <c r="E301" s="33">
        <v>2</v>
      </c>
      <c r="G301" s="33" t="s">
        <v>5258</v>
      </c>
      <c r="J301" s="33" t="s">
        <v>27</v>
      </c>
      <c r="K301" s="33" t="s">
        <v>4053</v>
      </c>
      <c r="L301" s="33">
        <v>0</v>
      </c>
      <c r="N301" s="83">
        <v>1</v>
      </c>
      <c r="O301" s="85"/>
      <c r="P301" s="86">
        <v>1</v>
      </c>
      <c r="Q301" s="87"/>
      <c r="R301" s="76">
        <v>1</v>
      </c>
      <c r="U301" s="85"/>
      <c r="V301" s="88"/>
      <c r="W301" s="89"/>
      <c r="X301" s="90"/>
      <c r="AA301" s="91"/>
      <c r="AB301" s="33" t="s">
        <v>4943</v>
      </c>
      <c r="AD301" s="33" t="s">
        <v>4194</v>
      </c>
      <c r="AE301" s="33"/>
      <c r="AF301" s="33" t="s">
        <v>5259</v>
      </c>
      <c r="AP301" s="83"/>
      <c r="AQ301" s="85"/>
      <c r="AR301" s="86"/>
      <c r="AS301" s="87"/>
      <c r="AV301" s="85"/>
      <c r="AW301" s="93"/>
      <c r="AX301" s="94"/>
      <c r="AY301" s="90"/>
      <c r="BB301" s="91"/>
    </row>
    <row r="302" spans="1:54" ht="15" customHeight="1">
      <c r="A302" s="33" t="s">
        <v>5157</v>
      </c>
      <c r="B302" s="33" t="s">
        <v>5260</v>
      </c>
      <c r="C302" s="33" t="s">
        <v>5161</v>
      </c>
      <c r="D302" s="33">
        <v>24</v>
      </c>
      <c r="E302" s="33">
        <v>2</v>
      </c>
      <c r="G302" s="33" t="s">
        <v>5261</v>
      </c>
      <c r="J302" s="33" t="s">
        <v>4111</v>
      </c>
      <c r="K302" s="33" t="s">
        <v>4055</v>
      </c>
      <c r="L302" s="33">
        <v>0</v>
      </c>
      <c r="N302" s="83">
        <v>1</v>
      </c>
      <c r="O302" s="85">
        <v>1</v>
      </c>
      <c r="P302" s="86"/>
      <c r="Q302" s="87"/>
      <c r="U302" s="85"/>
      <c r="V302" s="88"/>
      <c r="W302" s="89"/>
      <c r="X302" s="90"/>
      <c r="AA302" s="91"/>
      <c r="AB302" s="33" t="s">
        <v>4058</v>
      </c>
      <c r="AD302" s="33" t="s">
        <v>5262</v>
      </c>
      <c r="AE302" s="33"/>
      <c r="AF302" s="33" t="s">
        <v>5263</v>
      </c>
      <c r="AP302" s="83"/>
      <c r="AQ302" s="85"/>
      <c r="AR302" s="86"/>
      <c r="AS302" s="87"/>
      <c r="AV302" s="85"/>
      <c r="AW302" s="93"/>
      <c r="AX302" s="94"/>
      <c r="AY302" s="90"/>
      <c r="BB302" s="91"/>
    </row>
    <row r="303" spans="1:54" ht="15" customHeight="1">
      <c r="A303" s="33" t="s">
        <v>5157</v>
      </c>
      <c r="B303" s="33" t="s">
        <v>5264</v>
      </c>
      <c r="C303" s="33" t="s">
        <v>5161</v>
      </c>
      <c r="D303" s="33">
        <v>25</v>
      </c>
      <c r="E303" s="33">
        <v>2</v>
      </c>
      <c r="G303" s="33" t="s">
        <v>5265</v>
      </c>
      <c r="J303" s="33" t="s">
        <v>27</v>
      </c>
      <c r="K303" s="33" t="s">
        <v>4055</v>
      </c>
      <c r="L303" s="33">
        <v>0</v>
      </c>
      <c r="N303" s="83">
        <v>1</v>
      </c>
      <c r="O303" s="85"/>
      <c r="P303" s="86">
        <v>1</v>
      </c>
      <c r="Q303" s="87"/>
      <c r="R303" s="76">
        <v>1</v>
      </c>
      <c r="U303" s="85"/>
      <c r="V303" s="88"/>
      <c r="W303" s="89"/>
      <c r="X303" s="90"/>
      <c r="AA303" s="91"/>
      <c r="AB303" s="33" t="s">
        <v>4943</v>
      </c>
      <c r="AD303" s="33" t="s">
        <v>5266</v>
      </c>
      <c r="AE303" s="33"/>
      <c r="AF303" s="33" t="s">
        <v>5267</v>
      </c>
      <c r="AP303" s="83"/>
      <c r="AQ303" s="85"/>
      <c r="AR303" s="86"/>
      <c r="AS303" s="87"/>
      <c r="AV303" s="85"/>
      <c r="AW303" s="93"/>
      <c r="AX303" s="94"/>
      <c r="AY303" s="90"/>
      <c r="BB303" s="91"/>
    </row>
    <row r="304" spans="1:54" ht="15" customHeight="1">
      <c r="A304" s="33" t="s">
        <v>5157</v>
      </c>
      <c r="B304" s="33" t="s">
        <v>5268</v>
      </c>
      <c r="C304" s="33" t="s">
        <v>5161</v>
      </c>
      <c r="D304" s="33">
        <v>26</v>
      </c>
      <c r="E304" s="33">
        <v>2</v>
      </c>
      <c r="G304" s="33" t="s">
        <v>5269</v>
      </c>
      <c r="J304" s="33" t="s">
        <v>4166</v>
      </c>
      <c r="K304" s="33" t="s">
        <v>4055</v>
      </c>
      <c r="L304" s="33">
        <v>0</v>
      </c>
      <c r="N304" s="83"/>
      <c r="O304" s="85"/>
      <c r="P304" s="86"/>
      <c r="Q304" s="87"/>
      <c r="S304" s="123">
        <v>1</v>
      </c>
      <c r="U304" s="85"/>
      <c r="V304" s="88"/>
      <c r="W304" s="89"/>
      <c r="X304" s="90"/>
      <c r="AA304" s="91"/>
      <c r="AB304" s="33" t="s">
        <v>4062</v>
      </c>
      <c r="AD304" s="33" t="s">
        <v>4226</v>
      </c>
      <c r="AE304" s="33"/>
      <c r="AF304" s="33" t="s">
        <v>5270</v>
      </c>
      <c r="AP304" s="83"/>
      <c r="AQ304" s="85"/>
      <c r="AR304" s="86"/>
      <c r="AS304" s="87"/>
      <c r="AV304" s="85"/>
      <c r="AW304" s="93"/>
      <c r="AX304" s="94"/>
      <c r="AY304" s="90"/>
      <c r="BB304" s="91"/>
    </row>
    <row r="305" spans="1:59" ht="15" customHeight="1">
      <c r="A305" s="33" t="s">
        <v>5157</v>
      </c>
      <c r="B305" s="33" t="s">
        <v>5271</v>
      </c>
      <c r="C305" s="33" t="s">
        <v>5161</v>
      </c>
      <c r="D305" s="33">
        <v>27</v>
      </c>
      <c r="E305" s="33">
        <v>2</v>
      </c>
      <c r="G305" s="33" t="s">
        <v>5272</v>
      </c>
      <c r="J305" s="33" t="s">
        <v>4111</v>
      </c>
      <c r="K305" s="33" t="s">
        <v>4055</v>
      </c>
      <c r="L305" s="33">
        <v>1</v>
      </c>
      <c r="N305" s="83">
        <v>1</v>
      </c>
      <c r="O305" s="85"/>
      <c r="P305" s="86"/>
      <c r="Q305" s="87">
        <v>1</v>
      </c>
      <c r="T305" s="78">
        <v>3</v>
      </c>
      <c r="U305" s="85">
        <v>1</v>
      </c>
      <c r="V305" s="88"/>
      <c r="W305" s="89"/>
      <c r="X305" s="90"/>
      <c r="AA305" s="91"/>
      <c r="AB305" s="33" t="s">
        <v>4060</v>
      </c>
      <c r="AD305" s="33" t="s">
        <v>4216</v>
      </c>
      <c r="AE305" s="33"/>
      <c r="AF305" s="33" t="s">
        <v>5273</v>
      </c>
      <c r="AP305" s="83"/>
      <c r="AQ305" s="85"/>
      <c r="AR305" s="86"/>
      <c r="AS305" s="87"/>
      <c r="AV305" s="85"/>
      <c r="AW305" s="93"/>
      <c r="AX305" s="94"/>
      <c r="AY305" s="90"/>
      <c r="BB305" s="91"/>
    </row>
    <row r="306" spans="1:59" ht="15" customHeight="1">
      <c r="A306" s="33" t="s">
        <v>5157</v>
      </c>
      <c r="B306" s="33" t="s">
        <v>5274</v>
      </c>
      <c r="C306" s="33" t="s">
        <v>5161</v>
      </c>
      <c r="D306" s="33">
        <v>28</v>
      </c>
      <c r="E306" s="33">
        <v>2</v>
      </c>
      <c r="G306" s="33" t="s">
        <v>5275</v>
      </c>
      <c r="J306" s="33" t="s">
        <v>4111</v>
      </c>
      <c r="K306" s="33" t="s">
        <v>4054</v>
      </c>
      <c r="L306" s="33">
        <v>0</v>
      </c>
      <c r="N306" s="83">
        <v>4</v>
      </c>
      <c r="O306" s="85"/>
      <c r="P306" s="86">
        <v>1</v>
      </c>
      <c r="Q306" s="87"/>
      <c r="U306" s="85"/>
      <c r="V306" s="88"/>
      <c r="W306" s="89"/>
      <c r="X306" s="90"/>
      <c r="AA306" s="91"/>
      <c r="AB306" s="33" t="s">
        <v>4059</v>
      </c>
      <c r="AC306" s="33" t="s">
        <v>4232</v>
      </c>
      <c r="AD306" s="33" t="s">
        <v>4133</v>
      </c>
      <c r="AE306" s="33"/>
      <c r="AF306" s="33" t="s">
        <v>5276</v>
      </c>
      <c r="AP306" s="83"/>
      <c r="AQ306" s="85"/>
      <c r="AR306" s="86"/>
      <c r="AS306" s="87"/>
      <c r="AV306" s="85"/>
      <c r="AW306" s="93"/>
      <c r="AX306" s="94"/>
      <c r="AY306" s="90"/>
      <c r="BB306" s="91"/>
    </row>
    <row r="307" spans="1:59" ht="15" customHeight="1">
      <c r="A307" s="33" t="s">
        <v>5157</v>
      </c>
      <c r="B307" s="33" t="s">
        <v>5277</v>
      </c>
      <c r="C307" s="33" t="s">
        <v>5161</v>
      </c>
      <c r="D307" s="33">
        <v>29</v>
      </c>
      <c r="E307" s="33">
        <v>2</v>
      </c>
      <c r="G307" s="33" t="s">
        <v>5278</v>
      </c>
      <c r="J307" s="33" t="s">
        <v>4111</v>
      </c>
      <c r="K307" s="33" t="s">
        <v>4054</v>
      </c>
      <c r="L307" s="33">
        <v>0</v>
      </c>
      <c r="N307" s="83">
        <v>1</v>
      </c>
      <c r="O307" s="85">
        <v>1</v>
      </c>
      <c r="P307" s="86"/>
      <c r="Q307" s="87"/>
      <c r="U307" s="85"/>
      <c r="V307" s="88"/>
      <c r="W307" s="89"/>
      <c r="X307" s="90"/>
      <c r="AA307" s="91"/>
      <c r="AB307" s="33" t="s">
        <v>4058</v>
      </c>
      <c r="AC307" s="33" t="s">
        <v>4112</v>
      </c>
      <c r="AD307" s="33" t="s">
        <v>4119</v>
      </c>
      <c r="AE307" s="33"/>
      <c r="AF307" s="33" t="s">
        <v>5279</v>
      </c>
      <c r="AP307" s="83"/>
      <c r="AQ307" s="85"/>
      <c r="AR307" s="86"/>
      <c r="AS307" s="87"/>
      <c r="AV307" s="85"/>
      <c r="AW307" s="93"/>
      <c r="AX307" s="94"/>
      <c r="AY307" s="90"/>
      <c r="BB307" s="91"/>
    </row>
    <row r="308" spans="1:59" ht="15" customHeight="1">
      <c r="A308" s="33" t="s">
        <v>5157</v>
      </c>
      <c r="B308" s="33" t="s">
        <v>5280</v>
      </c>
      <c r="C308" s="33" t="s">
        <v>5161</v>
      </c>
      <c r="D308" s="33">
        <v>30</v>
      </c>
      <c r="E308" s="33">
        <v>2</v>
      </c>
      <c r="G308" s="33" t="s">
        <v>5281</v>
      </c>
      <c r="J308" s="33" t="s">
        <v>4111</v>
      </c>
      <c r="K308" s="33" t="s">
        <v>4054</v>
      </c>
      <c r="L308" s="33">
        <v>0</v>
      </c>
      <c r="N308" s="83">
        <v>2</v>
      </c>
      <c r="O308" s="85">
        <v>1</v>
      </c>
      <c r="P308" s="86"/>
      <c r="Q308" s="87"/>
      <c r="U308" s="85"/>
      <c r="V308" s="88"/>
      <c r="W308" s="89"/>
      <c r="X308" s="90"/>
      <c r="AA308" s="91"/>
      <c r="AB308" s="33" t="s">
        <v>4058</v>
      </c>
      <c r="AC308" s="33" t="s">
        <v>4232</v>
      </c>
      <c r="AD308" s="33" t="s">
        <v>4133</v>
      </c>
      <c r="AE308" s="33"/>
      <c r="AF308" s="33" t="s">
        <v>5282</v>
      </c>
      <c r="AP308" s="83"/>
      <c r="AQ308" s="85"/>
      <c r="AR308" s="86"/>
      <c r="AS308" s="87"/>
      <c r="AV308" s="85"/>
      <c r="AW308" s="93"/>
      <c r="AX308" s="94"/>
      <c r="AY308" s="90"/>
      <c r="BB308" s="91"/>
    </row>
    <row r="309" spans="1:59" ht="15" customHeight="1">
      <c r="A309" s="33" t="s">
        <v>5157</v>
      </c>
      <c r="B309" s="33" t="s">
        <v>5283</v>
      </c>
      <c r="C309" s="33" t="s">
        <v>5161</v>
      </c>
      <c r="D309" s="33">
        <v>31</v>
      </c>
      <c r="E309" s="33">
        <v>2</v>
      </c>
      <c r="G309" s="33" t="s">
        <v>5284</v>
      </c>
      <c r="J309" s="33" t="s">
        <v>27</v>
      </c>
      <c r="K309" s="33" t="s">
        <v>4054</v>
      </c>
      <c r="L309" s="33">
        <v>2</v>
      </c>
      <c r="N309" s="83">
        <v>3</v>
      </c>
      <c r="O309" s="85">
        <v>1</v>
      </c>
      <c r="P309" s="86">
        <v>1</v>
      </c>
      <c r="Q309" s="87"/>
      <c r="U309" s="85"/>
      <c r="V309" s="88"/>
      <c r="W309" s="89"/>
      <c r="X309" s="90"/>
      <c r="AA309" s="91"/>
      <c r="AB309" s="33" t="s">
        <v>4946</v>
      </c>
      <c r="AD309" s="33" t="s">
        <v>4133</v>
      </c>
      <c r="AE309" s="33"/>
      <c r="AF309" s="33" t="s">
        <v>5285</v>
      </c>
      <c r="AP309" s="83"/>
      <c r="AQ309" s="85"/>
      <c r="AR309" s="86"/>
      <c r="AS309" s="87"/>
      <c r="AV309" s="85"/>
      <c r="AW309" s="93"/>
      <c r="AX309" s="94"/>
      <c r="AY309" s="90"/>
      <c r="BB309" s="91"/>
    </row>
    <row r="310" spans="1:59" ht="15" customHeight="1">
      <c r="A310" s="33" t="s">
        <v>5157</v>
      </c>
      <c r="B310" s="33" t="s">
        <v>5286</v>
      </c>
      <c r="C310" s="33" t="s">
        <v>5161</v>
      </c>
      <c r="D310" s="33">
        <v>32</v>
      </c>
      <c r="E310" s="33">
        <v>2</v>
      </c>
      <c r="G310" s="33" t="s">
        <v>5287</v>
      </c>
      <c r="J310" s="33" t="s">
        <v>4111</v>
      </c>
      <c r="K310" s="33" t="s">
        <v>4056</v>
      </c>
      <c r="L310" s="33">
        <v>0</v>
      </c>
      <c r="N310" s="83">
        <v>1</v>
      </c>
      <c r="O310" s="85"/>
      <c r="P310" s="86"/>
      <c r="Q310" s="87">
        <v>1</v>
      </c>
      <c r="U310" s="85"/>
      <c r="V310" s="88"/>
      <c r="W310" s="89"/>
      <c r="X310" s="90"/>
      <c r="AA310" s="91"/>
      <c r="AB310" s="33" t="s">
        <v>4060</v>
      </c>
      <c r="AC310" s="33" t="s">
        <v>4112</v>
      </c>
      <c r="AD310" s="33" t="s">
        <v>4152</v>
      </c>
      <c r="AE310" s="33"/>
      <c r="AF310" s="33" t="s">
        <v>5288</v>
      </c>
      <c r="AP310" s="83"/>
      <c r="AQ310" s="85"/>
      <c r="AR310" s="86"/>
      <c r="AS310" s="87"/>
      <c r="AV310" s="85"/>
      <c r="AW310" s="93"/>
      <c r="AX310" s="94"/>
      <c r="AY310" s="90"/>
      <c r="BB310" s="91"/>
    </row>
    <row r="311" spans="1:59" ht="15" customHeight="1">
      <c r="A311" s="33" t="s">
        <v>5157</v>
      </c>
      <c r="B311" s="33" t="s">
        <v>5289</v>
      </c>
      <c r="C311" s="33" t="s">
        <v>5161</v>
      </c>
      <c r="D311" s="33">
        <v>33</v>
      </c>
      <c r="E311" s="33">
        <v>2</v>
      </c>
      <c r="G311" s="33" t="s">
        <v>5290</v>
      </c>
      <c r="H311" s="33" t="s">
        <v>5291</v>
      </c>
      <c r="I311" s="33" t="s">
        <v>4077</v>
      </c>
      <c r="J311" s="33" t="s">
        <v>4111</v>
      </c>
      <c r="K311" s="33" t="s">
        <v>4056</v>
      </c>
      <c r="L311" s="33">
        <v>0</v>
      </c>
      <c r="N311" s="83">
        <v>3</v>
      </c>
      <c r="O311" s="85">
        <v>1</v>
      </c>
      <c r="P311" s="86"/>
      <c r="Q311" s="87"/>
      <c r="T311" s="78">
        <v>1</v>
      </c>
      <c r="U311" s="85">
        <v>2</v>
      </c>
      <c r="V311" s="88"/>
      <c r="W311" s="89"/>
      <c r="X311" s="90"/>
      <c r="AA311" s="91"/>
      <c r="AB311" s="33" t="s">
        <v>4058</v>
      </c>
      <c r="AC311" s="33" t="s">
        <v>25</v>
      </c>
      <c r="AD311" s="33" t="s">
        <v>4184</v>
      </c>
      <c r="AE311" s="33"/>
      <c r="AF311" s="33" t="s">
        <v>5292</v>
      </c>
      <c r="AP311" s="83"/>
      <c r="AQ311" s="85"/>
      <c r="AR311" s="86"/>
      <c r="AS311" s="87"/>
      <c r="AV311" s="85"/>
      <c r="AW311" s="93"/>
      <c r="AX311" s="94"/>
      <c r="AY311" s="90"/>
      <c r="BB311" s="91"/>
    </row>
    <row r="312" spans="1:59" ht="15" customHeight="1">
      <c r="A312" s="33" t="s">
        <v>5157</v>
      </c>
      <c r="B312" s="33" t="s">
        <v>5293</v>
      </c>
      <c r="C312" s="33" t="s">
        <v>5161</v>
      </c>
      <c r="D312" s="33">
        <v>34</v>
      </c>
      <c r="E312" s="33">
        <v>2</v>
      </c>
      <c r="G312" s="33" t="s">
        <v>5294</v>
      </c>
      <c r="J312" s="33" t="s">
        <v>27</v>
      </c>
      <c r="K312" s="33" t="s">
        <v>4056</v>
      </c>
      <c r="L312" s="33">
        <v>0</v>
      </c>
      <c r="N312" s="83">
        <v>1</v>
      </c>
      <c r="O312" s="85"/>
      <c r="P312" s="86">
        <v>1</v>
      </c>
      <c r="Q312" s="87"/>
      <c r="R312" s="76">
        <v>1</v>
      </c>
      <c r="U312" s="85"/>
      <c r="V312" s="88"/>
      <c r="W312" s="89"/>
      <c r="X312" s="90"/>
      <c r="AA312" s="91"/>
      <c r="AB312" s="33" t="s">
        <v>4943</v>
      </c>
      <c r="AD312" s="33" t="s">
        <v>5266</v>
      </c>
      <c r="AE312" s="33"/>
      <c r="AF312" s="33" t="s">
        <v>5295</v>
      </c>
      <c r="AP312" s="83"/>
      <c r="AQ312" s="85"/>
      <c r="AR312" s="86"/>
      <c r="AS312" s="87"/>
      <c r="AV312" s="85"/>
      <c r="AW312" s="93"/>
      <c r="AX312" s="94"/>
      <c r="AY312" s="90"/>
      <c r="BB312" s="91"/>
    </row>
    <row r="313" spans="1:59" ht="15" customHeight="1">
      <c r="A313" s="33" t="s">
        <v>5157</v>
      </c>
      <c r="B313" s="33" t="s">
        <v>5296</v>
      </c>
      <c r="C313" s="33" t="s">
        <v>5161</v>
      </c>
      <c r="D313" s="33">
        <v>35</v>
      </c>
      <c r="E313" s="33">
        <v>2</v>
      </c>
      <c r="G313" s="33" t="s">
        <v>5290</v>
      </c>
      <c r="H313" s="33" t="s">
        <v>5291</v>
      </c>
      <c r="I313" s="33" t="s">
        <v>4077</v>
      </c>
      <c r="J313" s="33" t="s">
        <v>4111</v>
      </c>
      <c r="K313" s="33" t="s">
        <v>4056</v>
      </c>
      <c r="L313" s="33">
        <v>2</v>
      </c>
      <c r="N313" s="83">
        <v>3</v>
      </c>
      <c r="O313" s="85">
        <v>1</v>
      </c>
      <c r="P313" s="86"/>
      <c r="Q313" s="87"/>
      <c r="T313" s="78">
        <v>1</v>
      </c>
      <c r="U313" s="85">
        <v>3</v>
      </c>
      <c r="V313" s="88"/>
      <c r="W313" s="89"/>
      <c r="X313" s="90"/>
      <c r="AA313" s="91"/>
      <c r="AB313" s="33" t="s">
        <v>4058</v>
      </c>
      <c r="AC313" s="33" t="s">
        <v>25</v>
      </c>
      <c r="AD313" s="33" t="s">
        <v>4184</v>
      </c>
      <c r="AE313" s="33"/>
      <c r="AF313" s="33" t="s">
        <v>5297</v>
      </c>
      <c r="AP313" s="83"/>
      <c r="AQ313" s="85"/>
      <c r="AR313" s="86"/>
      <c r="AS313" s="87"/>
      <c r="AV313" s="85"/>
      <c r="AW313" s="93"/>
      <c r="AX313" s="94"/>
      <c r="AY313" s="90"/>
      <c r="BB313" s="91"/>
    </row>
    <row r="314" spans="1:59" ht="15" customHeight="1">
      <c r="A314" s="33" t="s">
        <v>5157</v>
      </c>
      <c r="B314" s="33" t="s">
        <v>5298</v>
      </c>
      <c r="C314" s="33" t="s">
        <v>5161</v>
      </c>
      <c r="D314" s="33">
        <v>36</v>
      </c>
      <c r="E314" s="33">
        <v>2</v>
      </c>
      <c r="G314" s="33" t="s">
        <v>5299</v>
      </c>
      <c r="J314" s="33" t="s">
        <v>4111</v>
      </c>
      <c r="K314" s="33" t="s">
        <v>26</v>
      </c>
      <c r="L314" s="33">
        <v>0</v>
      </c>
      <c r="N314" s="83">
        <v>2</v>
      </c>
      <c r="O314" s="85"/>
      <c r="P314" s="86"/>
      <c r="Q314" s="87">
        <v>1</v>
      </c>
      <c r="U314" s="85"/>
      <c r="V314" s="88"/>
      <c r="W314" s="89"/>
      <c r="X314" s="90"/>
      <c r="AA314" s="91"/>
      <c r="AB314" s="33" t="s">
        <v>4060</v>
      </c>
      <c r="AC314" s="33" t="s">
        <v>4112</v>
      </c>
      <c r="AD314" s="33" t="s">
        <v>4152</v>
      </c>
      <c r="AE314" s="33"/>
      <c r="AF314" s="33" t="s">
        <v>5300</v>
      </c>
      <c r="AP314" s="83"/>
      <c r="AQ314" s="85"/>
      <c r="AR314" s="86"/>
      <c r="AS314" s="87"/>
      <c r="AV314" s="85"/>
      <c r="AW314" s="93"/>
      <c r="AX314" s="94"/>
      <c r="AY314" s="90"/>
      <c r="BB314" s="91"/>
    </row>
    <row r="315" spans="1:59" ht="15" customHeight="1">
      <c r="A315" s="33" t="s">
        <v>5157</v>
      </c>
      <c r="B315" s="33" t="s">
        <v>5301</v>
      </c>
      <c r="C315" s="33" t="s">
        <v>5161</v>
      </c>
      <c r="D315" s="33">
        <v>37</v>
      </c>
      <c r="E315" s="33">
        <v>2</v>
      </c>
      <c r="G315" s="33" t="s">
        <v>5302</v>
      </c>
      <c r="J315" s="33" t="s">
        <v>28</v>
      </c>
      <c r="K315" s="33" t="s">
        <v>26</v>
      </c>
      <c r="M315" s="33" t="s">
        <v>4545</v>
      </c>
      <c r="N315" s="83"/>
      <c r="O315" s="85"/>
      <c r="P315" s="86"/>
      <c r="Q315" s="87"/>
      <c r="U315" s="85"/>
      <c r="V315" s="88"/>
      <c r="W315" s="89"/>
      <c r="X315" s="90"/>
      <c r="AA315" s="91"/>
      <c r="AD315" s="33" t="s">
        <v>5303</v>
      </c>
      <c r="AE315" s="34" t="s">
        <v>5832</v>
      </c>
      <c r="AF315" s="33" t="s">
        <v>5969</v>
      </c>
      <c r="AP315" s="83"/>
      <c r="AQ315" s="85"/>
      <c r="AR315" s="86"/>
      <c r="AS315" s="87"/>
      <c r="AV315" s="85"/>
      <c r="AW315" s="93"/>
      <c r="AX315" s="94"/>
      <c r="AY315" s="90"/>
      <c r="BB315" s="91"/>
    </row>
    <row r="316" spans="1:59" ht="15" customHeight="1">
      <c r="A316" s="33" t="s">
        <v>5157</v>
      </c>
      <c r="B316" s="33" t="s">
        <v>5304</v>
      </c>
      <c r="C316" s="33" t="s">
        <v>5161</v>
      </c>
      <c r="D316" s="33">
        <v>38</v>
      </c>
      <c r="E316" s="33">
        <v>2</v>
      </c>
      <c r="G316" s="33" t="s">
        <v>5305</v>
      </c>
      <c r="J316" s="33" t="s">
        <v>28</v>
      </c>
      <c r="K316" s="33" t="s">
        <v>26</v>
      </c>
      <c r="M316" s="33" t="s">
        <v>4545</v>
      </c>
      <c r="N316" s="83"/>
      <c r="O316" s="85"/>
      <c r="P316" s="86"/>
      <c r="Q316" s="87"/>
      <c r="U316" s="85"/>
      <c r="V316" s="88"/>
      <c r="W316" s="89"/>
      <c r="X316" s="90"/>
      <c r="AA316" s="91"/>
      <c r="AD316" s="33" t="s">
        <v>5306</v>
      </c>
      <c r="AE316" s="33"/>
      <c r="AF316" s="33" t="s">
        <v>5307</v>
      </c>
      <c r="AP316" s="83"/>
      <c r="AQ316" s="85"/>
      <c r="AR316" s="86"/>
      <c r="AS316" s="87"/>
      <c r="AV316" s="85"/>
      <c r="AW316" s="93"/>
      <c r="AX316" s="94"/>
      <c r="AY316" s="90"/>
      <c r="BB316" s="91"/>
    </row>
    <row r="317" spans="1:59" ht="15" customHeight="1">
      <c r="A317" s="33" t="s">
        <v>5157</v>
      </c>
      <c r="B317" s="33" t="s">
        <v>5308</v>
      </c>
      <c r="C317" s="33" t="s">
        <v>5161</v>
      </c>
      <c r="D317" s="33">
        <v>39</v>
      </c>
      <c r="E317" s="33">
        <v>2</v>
      </c>
      <c r="G317" s="33" t="s">
        <v>5309</v>
      </c>
      <c r="J317" s="33" t="s">
        <v>28</v>
      </c>
      <c r="K317" s="33" t="s">
        <v>26</v>
      </c>
      <c r="M317" s="33" t="s">
        <v>4545</v>
      </c>
      <c r="N317" s="83"/>
      <c r="O317" s="85"/>
      <c r="P317" s="86"/>
      <c r="Q317" s="87"/>
      <c r="U317" s="85"/>
      <c r="V317" s="88"/>
      <c r="W317" s="89"/>
      <c r="X317" s="90"/>
      <c r="AA317" s="91"/>
      <c r="AD317" s="33" t="s">
        <v>4138</v>
      </c>
      <c r="AE317" s="33"/>
      <c r="AF317" s="33" t="s">
        <v>5310</v>
      </c>
      <c r="AP317" s="83"/>
      <c r="AQ317" s="85"/>
      <c r="AR317" s="86"/>
      <c r="AS317" s="87"/>
      <c r="AV317" s="85"/>
      <c r="AW317" s="93"/>
      <c r="AX317" s="94"/>
      <c r="AY317" s="90"/>
      <c r="BB317" s="91"/>
    </row>
    <row r="318" spans="1:59" ht="15" customHeight="1">
      <c r="A318" s="33" t="s">
        <v>5157</v>
      </c>
      <c r="B318" s="33" t="s">
        <v>5311</v>
      </c>
      <c r="C318" s="33" t="s">
        <v>5161</v>
      </c>
      <c r="D318" s="33">
        <v>40</v>
      </c>
      <c r="E318" s="33">
        <v>1</v>
      </c>
      <c r="F318" s="33" t="s">
        <v>5312</v>
      </c>
      <c r="G318" s="33" t="s">
        <v>5313</v>
      </c>
      <c r="H318" s="33" t="s">
        <v>5314</v>
      </c>
      <c r="I318" s="33" t="s">
        <v>4077</v>
      </c>
      <c r="J318" s="33" t="s">
        <v>4111</v>
      </c>
      <c r="K318" s="33" t="s">
        <v>26</v>
      </c>
      <c r="N318" s="83">
        <v>2</v>
      </c>
      <c r="O318" s="85"/>
      <c r="P318" s="86"/>
      <c r="Q318" s="87"/>
      <c r="S318" s="123">
        <v>2</v>
      </c>
      <c r="T318" s="78">
        <v>2</v>
      </c>
      <c r="U318" s="85">
        <v>2</v>
      </c>
      <c r="V318" s="88"/>
      <c r="W318" s="89"/>
      <c r="X318" s="90"/>
      <c r="AA318" s="91"/>
      <c r="AB318" s="33" t="s">
        <v>4936</v>
      </c>
      <c r="AC318" s="33" t="s">
        <v>25</v>
      </c>
      <c r="AD318" s="33" t="s">
        <v>4184</v>
      </c>
      <c r="AE318" s="33"/>
      <c r="AF318" s="33" t="s">
        <v>5315</v>
      </c>
      <c r="AP318" s="83"/>
      <c r="AQ318" s="85"/>
      <c r="AR318" s="86"/>
      <c r="AS318" s="87"/>
      <c r="AV318" s="85"/>
      <c r="AW318" s="93"/>
      <c r="AX318" s="94"/>
      <c r="AY318" s="90"/>
      <c r="BB318" s="91"/>
    </row>
    <row r="319" spans="1:59" ht="15" customHeight="1">
      <c r="A319" s="33" t="s">
        <v>5157</v>
      </c>
      <c r="B319" s="33" t="s">
        <v>5316</v>
      </c>
      <c r="C319" s="33" t="s">
        <v>5161</v>
      </c>
      <c r="D319" s="33">
        <v>41</v>
      </c>
      <c r="E319" s="33">
        <v>1</v>
      </c>
      <c r="F319" s="33" t="s">
        <v>5317</v>
      </c>
      <c r="G319" s="33" t="s">
        <v>5317</v>
      </c>
      <c r="J319" s="33" t="s">
        <v>4472</v>
      </c>
      <c r="N319" s="83"/>
      <c r="O319" s="85"/>
      <c r="P319" s="86"/>
      <c r="Q319" s="87"/>
      <c r="U319" s="85"/>
      <c r="V319" s="88"/>
      <c r="W319" s="89"/>
      <c r="X319" s="90"/>
      <c r="AA319" s="91"/>
      <c r="AE319" s="33"/>
      <c r="AF319" s="33" t="s">
        <v>5318</v>
      </c>
      <c r="AI319" s="33" t="s">
        <v>5317</v>
      </c>
      <c r="AL319" s="33" t="s">
        <v>4472</v>
      </c>
      <c r="AP319" s="83"/>
      <c r="AQ319" s="85"/>
      <c r="AR319" s="86"/>
      <c r="AS319" s="87"/>
      <c r="AV319" s="85"/>
      <c r="AW319" s="93"/>
      <c r="AX319" s="94"/>
      <c r="AY319" s="90"/>
      <c r="BB319" s="91"/>
      <c r="BG319" s="33" t="s">
        <v>5319</v>
      </c>
    </row>
    <row r="320" spans="1:59" ht="15" customHeight="1">
      <c r="A320" s="33" t="s">
        <v>5157</v>
      </c>
      <c r="B320" s="33" t="s">
        <v>5320</v>
      </c>
      <c r="C320" s="33" t="s">
        <v>5161</v>
      </c>
      <c r="D320" s="33">
        <v>42</v>
      </c>
      <c r="E320" s="33">
        <v>1</v>
      </c>
      <c r="F320" s="33" t="s">
        <v>5317</v>
      </c>
      <c r="G320" s="33" t="s">
        <v>5321</v>
      </c>
      <c r="J320" s="33" t="s">
        <v>4473</v>
      </c>
      <c r="L320" s="33">
        <v>1</v>
      </c>
      <c r="N320" s="83"/>
      <c r="O320" s="85"/>
      <c r="P320" s="86"/>
      <c r="Q320" s="87"/>
      <c r="U320" s="85"/>
      <c r="V320" s="88"/>
      <c r="W320" s="89"/>
      <c r="X320" s="90"/>
      <c r="Z320" s="78">
        <v>7</v>
      </c>
      <c r="AA320" s="91"/>
      <c r="AE320" s="33"/>
      <c r="AI320" s="33" t="s">
        <v>5321</v>
      </c>
      <c r="AL320" s="33" t="s">
        <v>4473</v>
      </c>
      <c r="AN320" s="33">
        <v>1</v>
      </c>
      <c r="AP320" s="83"/>
      <c r="AQ320" s="85"/>
      <c r="AR320" s="86"/>
      <c r="AS320" s="87"/>
      <c r="AV320" s="85"/>
      <c r="AW320" s="93"/>
      <c r="AX320" s="94"/>
      <c r="AY320" s="90"/>
      <c r="BB320" s="91"/>
      <c r="BG320" s="33" t="s">
        <v>5322</v>
      </c>
    </row>
    <row r="321" spans="1:59" ht="15" customHeight="1">
      <c r="A321" s="33" t="s">
        <v>5157</v>
      </c>
      <c r="B321" s="33" t="s">
        <v>5323</v>
      </c>
      <c r="C321" s="33" t="s">
        <v>5161</v>
      </c>
      <c r="D321" s="33">
        <v>43</v>
      </c>
      <c r="E321" s="33">
        <v>1</v>
      </c>
      <c r="F321" s="33" t="s">
        <v>5317</v>
      </c>
      <c r="G321" s="33" t="s">
        <v>5324</v>
      </c>
      <c r="J321" s="33" t="s">
        <v>4473</v>
      </c>
      <c r="L321" s="33">
        <v>2</v>
      </c>
      <c r="N321" s="83"/>
      <c r="O321" s="85"/>
      <c r="P321" s="86"/>
      <c r="Q321" s="87"/>
      <c r="U321" s="85"/>
      <c r="V321" s="88"/>
      <c r="W321" s="89"/>
      <c r="X321" s="90"/>
      <c r="Z321" s="78">
        <v>3</v>
      </c>
      <c r="AA321" s="91"/>
      <c r="AE321" s="33"/>
      <c r="AF321" s="33" t="s">
        <v>5325</v>
      </c>
      <c r="AI321" s="33" t="s">
        <v>5324</v>
      </c>
      <c r="AL321" s="33" t="s">
        <v>4473</v>
      </c>
      <c r="AN321" s="33">
        <v>2</v>
      </c>
      <c r="AP321" s="83"/>
      <c r="AQ321" s="85"/>
      <c r="AR321" s="86"/>
      <c r="AS321" s="87"/>
      <c r="AV321" s="85"/>
      <c r="AW321" s="93"/>
      <c r="AX321" s="94"/>
      <c r="AY321" s="90"/>
      <c r="BB321" s="91"/>
      <c r="BG321" s="33" t="s">
        <v>5326</v>
      </c>
    </row>
    <row r="322" spans="1:59" ht="15" customHeight="1">
      <c r="A322" s="33" t="s">
        <v>5157</v>
      </c>
      <c r="B322" s="33" t="s">
        <v>5327</v>
      </c>
      <c r="C322" s="33" t="s">
        <v>5161</v>
      </c>
      <c r="D322" s="33">
        <v>44</v>
      </c>
      <c r="E322" s="33">
        <v>1</v>
      </c>
      <c r="F322" s="33" t="s">
        <v>5317</v>
      </c>
      <c r="G322" s="33" t="s">
        <v>5328</v>
      </c>
      <c r="J322" s="33" t="s">
        <v>4473</v>
      </c>
      <c r="L322" s="33">
        <v>3</v>
      </c>
      <c r="N322" s="83"/>
      <c r="O322" s="85"/>
      <c r="P322" s="86"/>
      <c r="Q322" s="87"/>
      <c r="U322" s="85"/>
      <c r="V322" s="88"/>
      <c r="W322" s="89"/>
      <c r="X322" s="90"/>
      <c r="Z322" s="78">
        <v>2</v>
      </c>
      <c r="AA322" s="91"/>
      <c r="AE322" s="33"/>
      <c r="AF322" s="33" t="s">
        <v>5329</v>
      </c>
      <c r="AI322" s="33" t="s">
        <v>5328</v>
      </c>
      <c r="AL322" s="33" t="s">
        <v>4473</v>
      </c>
      <c r="AN322" s="33">
        <v>3</v>
      </c>
      <c r="AP322" s="83"/>
      <c r="AQ322" s="85"/>
      <c r="AR322" s="86"/>
      <c r="AS322" s="87"/>
      <c r="AV322" s="85"/>
      <c r="AW322" s="93"/>
      <c r="AX322" s="94"/>
      <c r="AY322" s="90"/>
      <c r="BB322" s="91"/>
      <c r="BG322" s="33" t="s">
        <v>5330</v>
      </c>
    </row>
    <row r="323" spans="1:59" ht="15" customHeight="1">
      <c r="A323" s="33" t="s">
        <v>5157</v>
      </c>
      <c r="B323" s="33" t="s">
        <v>5331</v>
      </c>
      <c r="C323" s="33" t="s">
        <v>5161</v>
      </c>
      <c r="D323" s="33">
        <v>45</v>
      </c>
      <c r="E323" s="33">
        <v>1</v>
      </c>
      <c r="F323" s="33" t="s">
        <v>5317</v>
      </c>
      <c r="G323" s="33" t="s">
        <v>5332</v>
      </c>
      <c r="J323" s="33" t="s">
        <v>4475</v>
      </c>
      <c r="L323" s="33">
        <v>1</v>
      </c>
      <c r="N323" s="83"/>
      <c r="O323" s="85"/>
      <c r="P323" s="86"/>
      <c r="Q323" s="87"/>
      <c r="U323" s="85"/>
      <c r="V323" s="88"/>
      <c r="W323" s="89"/>
      <c r="X323" s="90"/>
      <c r="Y323" s="76" t="s">
        <v>5550</v>
      </c>
      <c r="AA323" s="91"/>
      <c r="AE323" s="33"/>
      <c r="AI323" s="33" t="s">
        <v>5332</v>
      </c>
      <c r="AL323" s="33" t="s">
        <v>4475</v>
      </c>
      <c r="AN323" s="33">
        <v>1</v>
      </c>
      <c r="AP323" s="83"/>
      <c r="AQ323" s="85"/>
      <c r="AR323" s="86"/>
      <c r="AS323" s="87"/>
      <c r="AV323" s="85"/>
      <c r="AW323" s="93"/>
      <c r="AX323" s="94"/>
      <c r="AY323" s="90"/>
      <c r="BB323" s="91"/>
      <c r="BG323" s="33" t="s">
        <v>5333</v>
      </c>
    </row>
    <row r="324" spans="1:59" ht="15" customHeight="1">
      <c r="A324" s="33" t="s">
        <v>5157</v>
      </c>
      <c r="B324" s="33" t="s">
        <v>5334</v>
      </c>
      <c r="C324" s="33" t="s">
        <v>5161</v>
      </c>
      <c r="D324" s="33">
        <v>46</v>
      </c>
      <c r="E324" s="33">
        <v>1</v>
      </c>
      <c r="F324" s="33" t="s">
        <v>5317</v>
      </c>
      <c r="G324" s="33" t="s">
        <v>5335</v>
      </c>
      <c r="J324" s="33" t="s">
        <v>4475</v>
      </c>
      <c r="L324" s="33">
        <v>2</v>
      </c>
      <c r="N324" s="83"/>
      <c r="O324" s="85"/>
      <c r="P324" s="86"/>
      <c r="Q324" s="87"/>
      <c r="U324" s="85"/>
      <c r="V324" s="88"/>
      <c r="W324" s="89"/>
      <c r="X324" s="90"/>
      <c r="Y324" s="76">
        <v>0</v>
      </c>
      <c r="AA324" s="91"/>
      <c r="AE324" s="33"/>
      <c r="AF324" s="33" t="s">
        <v>5336</v>
      </c>
      <c r="AI324" s="33" t="s">
        <v>5335</v>
      </c>
      <c r="AL324" s="33" t="s">
        <v>4475</v>
      </c>
      <c r="AN324" s="33">
        <v>2</v>
      </c>
      <c r="AP324" s="83"/>
      <c r="AQ324" s="85"/>
      <c r="AR324" s="86"/>
      <c r="AS324" s="87"/>
      <c r="AV324" s="85"/>
      <c r="AW324" s="93"/>
      <c r="AX324" s="94"/>
      <c r="AY324" s="90"/>
      <c r="BB324" s="91"/>
      <c r="BG324" s="33" t="s">
        <v>5337</v>
      </c>
    </row>
    <row r="325" spans="1:59" ht="15" customHeight="1">
      <c r="A325" s="33" t="s">
        <v>5157</v>
      </c>
      <c r="B325" s="33" t="s">
        <v>5338</v>
      </c>
      <c r="C325" s="33" t="s">
        <v>5161</v>
      </c>
      <c r="D325" s="33">
        <v>47</v>
      </c>
      <c r="E325" s="33">
        <v>1</v>
      </c>
      <c r="F325" s="33" t="s">
        <v>5317</v>
      </c>
      <c r="G325" s="33" t="s">
        <v>5339</v>
      </c>
      <c r="J325" s="33" t="s">
        <v>4475</v>
      </c>
      <c r="L325" s="33">
        <v>3</v>
      </c>
      <c r="N325" s="83"/>
      <c r="O325" s="85"/>
      <c r="P325" s="86"/>
      <c r="Q325" s="87"/>
      <c r="U325" s="85"/>
      <c r="V325" s="88"/>
      <c r="W325" s="89"/>
      <c r="X325" s="90"/>
      <c r="Y325" s="76">
        <v>0</v>
      </c>
      <c r="AA325" s="91"/>
      <c r="AE325" s="33"/>
      <c r="AF325" s="33" t="s">
        <v>5340</v>
      </c>
      <c r="AI325" s="33" t="s">
        <v>5339</v>
      </c>
      <c r="AL325" s="33" t="s">
        <v>4475</v>
      </c>
      <c r="AN325" s="33">
        <v>3</v>
      </c>
      <c r="AP325" s="83"/>
      <c r="AQ325" s="85"/>
      <c r="AR325" s="86"/>
      <c r="AS325" s="87"/>
      <c r="AV325" s="85"/>
      <c r="AW325" s="93"/>
      <c r="AX325" s="94"/>
      <c r="AY325" s="90"/>
      <c r="BB325" s="91"/>
      <c r="BG325" s="33" t="s">
        <v>5341</v>
      </c>
    </row>
    <row r="326" spans="1:59" ht="15" customHeight="1">
      <c r="A326" s="33" t="s">
        <v>5157</v>
      </c>
      <c r="B326" s="33" t="s">
        <v>5342</v>
      </c>
      <c r="C326" s="33" t="s">
        <v>5161</v>
      </c>
      <c r="D326" s="33">
        <v>48</v>
      </c>
      <c r="E326" s="33">
        <v>1</v>
      </c>
      <c r="F326" s="33" t="s">
        <v>5317</v>
      </c>
      <c r="G326" s="33" t="s">
        <v>5343</v>
      </c>
      <c r="J326" s="33" t="s">
        <v>31</v>
      </c>
      <c r="N326" s="83"/>
      <c r="O326" s="85"/>
      <c r="P326" s="86"/>
      <c r="Q326" s="87"/>
      <c r="U326" s="85"/>
      <c r="V326" s="88"/>
      <c r="W326" s="89"/>
      <c r="X326" s="90"/>
      <c r="AA326" s="91"/>
      <c r="AD326" s="33" t="s">
        <v>4096</v>
      </c>
      <c r="AE326" s="33"/>
      <c r="AI326" s="33" t="s">
        <v>5343</v>
      </c>
      <c r="AL326" s="33" t="s">
        <v>31</v>
      </c>
      <c r="AP326" s="83"/>
      <c r="AQ326" s="85"/>
      <c r="AR326" s="86"/>
      <c r="AS326" s="87"/>
      <c r="AV326" s="85"/>
      <c r="AW326" s="93"/>
      <c r="AX326" s="94"/>
      <c r="AY326" s="90">
        <v>3</v>
      </c>
      <c r="AZ326" s="76">
        <v>0</v>
      </c>
      <c r="BB326" s="91"/>
      <c r="BE326" s="33" t="s">
        <v>4096</v>
      </c>
      <c r="BG326" s="33" t="s">
        <v>5344</v>
      </c>
    </row>
    <row r="327" spans="1:59" ht="15" customHeight="1">
      <c r="A327" s="33" t="s">
        <v>5157</v>
      </c>
      <c r="B327" s="33" t="s">
        <v>5345</v>
      </c>
      <c r="C327" s="33" t="s">
        <v>5161</v>
      </c>
      <c r="D327" s="33">
        <v>49</v>
      </c>
      <c r="E327" s="33">
        <v>1</v>
      </c>
      <c r="F327" s="33" t="s">
        <v>5317</v>
      </c>
      <c r="G327" s="33" t="s">
        <v>5346</v>
      </c>
      <c r="J327" s="33" t="s">
        <v>31</v>
      </c>
      <c r="N327" s="83"/>
      <c r="O327" s="85"/>
      <c r="P327" s="86"/>
      <c r="Q327" s="87"/>
      <c r="U327" s="85"/>
      <c r="V327" s="88"/>
      <c r="W327" s="89"/>
      <c r="X327" s="90"/>
      <c r="AA327" s="91"/>
      <c r="AD327" s="33" t="s">
        <v>4096</v>
      </c>
      <c r="AE327" s="33"/>
      <c r="AI327" s="33" t="s">
        <v>5346</v>
      </c>
      <c r="AL327" s="33" t="s">
        <v>31</v>
      </c>
      <c r="AP327" s="83"/>
      <c r="AQ327" s="85"/>
      <c r="AR327" s="86"/>
      <c r="AS327" s="87"/>
      <c r="AV327" s="85"/>
      <c r="AW327" s="93"/>
      <c r="AX327" s="94"/>
      <c r="AY327" s="90">
        <v>3</v>
      </c>
      <c r="AZ327" s="76" t="s">
        <v>5551</v>
      </c>
      <c r="BB327" s="91"/>
      <c r="BE327" s="33" t="s">
        <v>4096</v>
      </c>
      <c r="BG327" s="33" t="s">
        <v>5347</v>
      </c>
    </row>
    <row r="328" spans="1:59" ht="15" customHeight="1">
      <c r="A328" s="33" t="s">
        <v>5157</v>
      </c>
      <c r="B328" s="33" t="s">
        <v>5348</v>
      </c>
      <c r="C328" s="33" t="s">
        <v>5161</v>
      </c>
      <c r="D328" s="33">
        <v>50</v>
      </c>
      <c r="E328" s="33">
        <v>1</v>
      </c>
      <c r="F328" s="33" t="s">
        <v>5317</v>
      </c>
      <c r="G328" s="33" t="s">
        <v>5349</v>
      </c>
      <c r="J328" s="33" t="s">
        <v>31</v>
      </c>
      <c r="N328" s="83"/>
      <c r="O328" s="85"/>
      <c r="P328" s="86"/>
      <c r="Q328" s="87"/>
      <c r="U328" s="85"/>
      <c r="V328" s="88"/>
      <c r="W328" s="89"/>
      <c r="X328" s="90"/>
      <c r="AA328" s="91"/>
      <c r="AD328" s="33" t="s">
        <v>4096</v>
      </c>
      <c r="AE328" s="33"/>
      <c r="AI328" s="33" t="s">
        <v>5349</v>
      </c>
      <c r="AL328" s="33" t="s">
        <v>31</v>
      </c>
      <c r="AP328" s="83"/>
      <c r="AQ328" s="85"/>
      <c r="AR328" s="86"/>
      <c r="AS328" s="87"/>
      <c r="AV328" s="85"/>
      <c r="AW328" s="93"/>
      <c r="AX328" s="94"/>
      <c r="AY328" s="90">
        <v>3</v>
      </c>
      <c r="AZ328" s="76" t="s">
        <v>4925</v>
      </c>
      <c r="BB328" s="91">
        <v>1</v>
      </c>
      <c r="BE328" s="33" t="s">
        <v>4096</v>
      </c>
      <c r="BG328" s="33" t="s">
        <v>5350</v>
      </c>
    </row>
    <row r="329" spans="1:59" ht="15" customHeight="1">
      <c r="A329" s="33" t="s">
        <v>5157</v>
      </c>
      <c r="B329" s="33" t="s">
        <v>5351</v>
      </c>
      <c r="C329" s="33" t="s">
        <v>5161</v>
      </c>
      <c r="D329" s="33">
        <v>51</v>
      </c>
      <c r="E329" s="33">
        <v>1</v>
      </c>
      <c r="F329" s="33" t="s">
        <v>5317</v>
      </c>
      <c r="G329" s="33" t="s">
        <v>5352</v>
      </c>
      <c r="J329" s="33" t="s">
        <v>31</v>
      </c>
      <c r="N329" s="83"/>
      <c r="O329" s="85"/>
      <c r="P329" s="86"/>
      <c r="Q329" s="87"/>
      <c r="U329" s="85"/>
      <c r="V329" s="88"/>
      <c r="W329" s="89"/>
      <c r="X329" s="90"/>
      <c r="AA329" s="91"/>
      <c r="AD329" s="33" t="s">
        <v>4096</v>
      </c>
      <c r="AE329" s="33"/>
      <c r="AI329" s="33" t="s">
        <v>5352</v>
      </c>
      <c r="AL329" s="33" t="s">
        <v>31</v>
      </c>
      <c r="AP329" s="83"/>
      <c r="AQ329" s="85"/>
      <c r="AR329" s="86"/>
      <c r="AS329" s="87"/>
      <c r="AV329" s="85"/>
      <c r="AW329" s="93"/>
      <c r="AX329" s="94"/>
      <c r="AY329" s="90">
        <v>1</v>
      </c>
      <c r="AZ329" s="76">
        <v>2</v>
      </c>
      <c r="BB329" s="91"/>
      <c r="BE329" s="33" t="s">
        <v>4096</v>
      </c>
      <c r="BG329" s="33" t="s">
        <v>5353</v>
      </c>
    </row>
    <row r="330" spans="1:59" ht="15" customHeight="1">
      <c r="A330" s="33" t="s">
        <v>5157</v>
      </c>
      <c r="B330" s="33" t="s">
        <v>5354</v>
      </c>
      <c r="C330" s="33" t="s">
        <v>5161</v>
      </c>
      <c r="D330" s="33">
        <v>52</v>
      </c>
      <c r="E330" s="33">
        <v>1</v>
      </c>
      <c r="F330" s="33" t="s">
        <v>5317</v>
      </c>
      <c r="G330" s="33" t="s">
        <v>5355</v>
      </c>
      <c r="J330" s="33" t="s">
        <v>31</v>
      </c>
      <c r="N330" s="83"/>
      <c r="O330" s="85"/>
      <c r="P330" s="86"/>
      <c r="Q330" s="87"/>
      <c r="U330" s="85"/>
      <c r="V330" s="88"/>
      <c r="W330" s="89"/>
      <c r="X330" s="90"/>
      <c r="AA330" s="91"/>
      <c r="AD330" s="33" t="s">
        <v>4096</v>
      </c>
      <c r="AE330" s="33"/>
      <c r="AF330" s="33" t="s">
        <v>5356</v>
      </c>
      <c r="AI330" s="33" t="s">
        <v>5355</v>
      </c>
      <c r="AL330" s="33" t="s">
        <v>31</v>
      </c>
      <c r="AP330" s="83"/>
      <c r="AQ330" s="85"/>
      <c r="AR330" s="86"/>
      <c r="AS330" s="87"/>
      <c r="AV330" s="85"/>
      <c r="AW330" s="93"/>
      <c r="AX330" s="94"/>
      <c r="AY330" s="90">
        <v>1</v>
      </c>
      <c r="AZ330" s="76" t="s">
        <v>5550</v>
      </c>
      <c r="BB330" s="91">
        <v>1</v>
      </c>
      <c r="BE330" s="33" t="s">
        <v>4096</v>
      </c>
      <c r="BG330" s="33" t="s">
        <v>5357</v>
      </c>
    </row>
    <row r="331" spans="1:59" ht="15" customHeight="1">
      <c r="A331" s="33" t="s">
        <v>5157</v>
      </c>
      <c r="B331" s="33" t="s">
        <v>5358</v>
      </c>
      <c r="C331" s="33" t="s">
        <v>5161</v>
      </c>
      <c r="D331" s="33">
        <v>53</v>
      </c>
      <c r="E331" s="33">
        <v>1</v>
      </c>
      <c r="F331" s="33" t="s">
        <v>5317</v>
      </c>
      <c r="G331" s="33" t="s">
        <v>5554</v>
      </c>
      <c r="J331" s="33" t="s">
        <v>31</v>
      </c>
      <c r="N331" s="83"/>
      <c r="O331" s="85"/>
      <c r="P331" s="86"/>
      <c r="Q331" s="87"/>
      <c r="U331" s="85"/>
      <c r="V331" s="88"/>
      <c r="W331" s="89"/>
      <c r="X331" s="90"/>
      <c r="AA331" s="91"/>
      <c r="AD331" s="33" t="s">
        <v>4096</v>
      </c>
      <c r="AE331" s="33"/>
      <c r="AI331" s="33" t="s">
        <v>5554</v>
      </c>
      <c r="AL331" s="33" t="s">
        <v>31</v>
      </c>
      <c r="AP331" s="83"/>
      <c r="AQ331" s="85"/>
      <c r="AR331" s="86"/>
      <c r="AS331" s="87"/>
      <c r="AV331" s="85"/>
      <c r="AW331" s="93"/>
      <c r="AX331" s="94"/>
      <c r="AY331" s="90">
        <v>4</v>
      </c>
      <c r="AZ331" s="76" t="s">
        <v>4925</v>
      </c>
      <c r="BB331" s="91"/>
      <c r="BE331" s="33" t="s">
        <v>4096</v>
      </c>
      <c r="BG331" s="33" t="s">
        <v>5359</v>
      </c>
    </row>
    <row r="332" spans="1:59" ht="15" customHeight="1">
      <c r="A332" s="33" t="s">
        <v>5157</v>
      </c>
      <c r="B332" s="33" t="s">
        <v>5360</v>
      </c>
      <c r="C332" s="33" t="s">
        <v>5161</v>
      </c>
      <c r="D332" s="33">
        <v>54</v>
      </c>
      <c r="E332" s="33">
        <v>1</v>
      </c>
      <c r="F332" s="33" t="s">
        <v>5317</v>
      </c>
      <c r="G332" s="33" t="s">
        <v>5361</v>
      </c>
      <c r="J332" s="33" t="s">
        <v>31</v>
      </c>
      <c r="N332" s="83"/>
      <c r="O332" s="85"/>
      <c r="P332" s="86"/>
      <c r="Q332" s="87"/>
      <c r="U332" s="85"/>
      <c r="V332" s="88"/>
      <c r="W332" s="89"/>
      <c r="X332" s="90"/>
      <c r="AA332" s="91"/>
      <c r="AD332" s="33" t="s">
        <v>4096</v>
      </c>
      <c r="AE332" s="33"/>
      <c r="AF332" s="33" t="s">
        <v>5362</v>
      </c>
      <c r="AI332" s="33" t="s">
        <v>5361</v>
      </c>
      <c r="AJ332" s="33" t="s">
        <v>5363</v>
      </c>
      <c r="AL332" s="33" t="s">
        <v>31</v>
      </c>
      <c r="AP332" s="83"/>
      <c r="AQ332" s="85"/>
      <c r="AR332" s="86"/>
      <c r="AS332" s="87"/>
      <c r="AV332" s="85"/>
      <c r="AW332" s="93"/>
      <c r="AX332" s="94"/>
      <c r="AY332" s="90">
        <v>2</v>
      </c>
      <c r="AZ332" s="76" t="s">
        <v>5551</v>
      </c>
      <c r="BB332" s="91">
        <v>1</v>
      </c>
      <c r="BE332" s="33" t="s">
        <v>4096</v>
      </c>
      <c r="BG332" s="33" t="s">
        <v>5364</v>
      </c>
    </row>
    <row r="333" spans="1:59" ht="15" customHeight="1">
      <c r="A333" s="33" t="s">
        <v>5157</v>
      </c>
      <c r="B333" s="33" t="s">
        <v>5365</v>
      </c>
      <c r="C333" s="33" t="s">
        <v>5161</v>
      </c>
      <c r="D333" s="33">
        <v>55</v>
      </c>
      <c r="E333" s="33">
        <v>1</v>
      </c>
      <c r="F333" s="33" t="s">
        <v>5317</v>
      </c>
      <c r="G333" s="33" t="s">
        <v>5361</v>
      </c>
      <c r="J333" s="33" t="s">
        <v>31</v>
      </c>
      <c r="N333" s="83"/>
      <c r="O333" s="85"/>
      <c r="P333" s="86"/>
      <c r="Q333" s="87"/>
      <c r="U333" s="85"/>
      <c r="V333" s="88"/>
      <c r="W333" s="89"/>
      <c r="X333" s="90"/>
      <c r="AA333" s="91"/>
      <c r="AD333" s="33" t="s">
        <v>4096</v>
      </c>
      <c r="AE333" s="33"/>
      <c r="AF333" s="33" t="s">
        <v>5362</v>
      </c>
      <c r="AI333" s="33" t="s">
        <v>5361</v>
      </c>
      <c r="AJ333" s="33" t="s">
        <v>5366</v>
      </c>
      <c r="AL333" s="33" t="s">
        <v>31</v>
      </c>
      <c r="AP333" s="83"/>
      <c r="AQ333" s="85"/>
      <c r="AR333" s="86"/>
      <c r="AS333" s="87"/>
      <c r="AV333" s="85"/>
      <c r="AW333" s="93"/>
      <c r="AX333" s="94"/>
      <c r="AY333" s="90">
        <v>2</v>
      </c>
      <c r="AZ333" s="76">
        <v>0</v>
      </c>
      <c r="BB333" s="91"/>
      <c r="BE333" s="33" t="s">
        <v>4096</v>
      </c>
    </row>
    <row r="334" spans="1:59" ht="15" customHeight="1">
      <c r="A334" s="33" t="s">
        <v>5157</v>
      </c>
      <c r="B334" s="33" t="s">
        <v>5367</v>
      </c>
      <c r="C334" s="33" t="s">
        <v>5161</v>
      </c>
      <c r="D334" s="33">
        <v>56</v>
      </c>
      <c r="E334" s="33">
        <v>1</v>
      </c>
      <c r="F334" s="33" t="s">
        <v>5317</v>
      </c>
      <c r="G334" s="33" t="s">
        <v>5368</v>
      </c>
      <c r="J334" s="33" t="s">
        <v>31</v>
      </c>
      <c r="N334" s="83"/>
      <c r="O334" s="85"/>
      <c r="P334" s="86"/>
      <c r="Q334" s="87"/>
      <c r="U334" s="85"/>
      <c r="V334" s="88"/>
      <c r="W334" s="89"/>
      <c r="X334" s="90"/>
      <c r="AA334" s="91"/>
      <c r="AD334" s="33" t="s">
        <v>4096</v>
      </c>
      <c r="AE334" s="33"/>
      <c r="AI334" s="33" t="s">
        <v>5368</v>
      </c>
      <c r="AL334" s="33" t="s">
        <v>31</v>
      </c>
      <c r="AP334" s="83"/>
      <c r="AQ334" s="85"/>
      <c r="AR334" s="86"/>
      <c r="AS334" s="87"/>
      <c r="AV334" s="85"/>
      <c r="AW334" s="93"/>
      <c r="AX334" s="94"/>
      <c r="AY334" s="90">
        <v>2</v>
      </c>
      <c r="AZ334" s="76" t="s">
        <v>4925</v>
      </c>
      <c r="BB334" s="91"/>
      <c r="BE334" s="33" t="s">
        <v>4096</v>
      </c>
      <c r="BG334" s="33" t="s">
        <v>5369</v>
      </c>
    </row>
    <row r="335" spans="1:59" ht="15" customHeight="1">
      <c r="A335" s="33" t="s">
        <v>5157</v>
      </c>
      <c r="B335" s="33" t="s">
        <v>5370</v>
      </c>
      <c r="C335" s="33" t="s">
        <v>5161</v>
      </c>
      <c r="D335" s="33">
        <v>57</v>
      </c>
      <c r="E335" s="33">
        <v>1</v>
      </c>
      <c r="F335" s="33" t="s">
        <v>5317</v>
      </c>
      <c r="G335" s="33" t="s">
        <v>5371</v>
      </c>
      <c r="J335" s="33" t="s">
        <v>31</v>
      </c>
      <c r="N335" s="83"/>
      <c r="O335" s="85"/>
      <c r="P335" s="86"/>
      <c r="Q335" s="87"/>
      <c r="U335" s="85"/>
      <c r="V335" s="88"/>
      <c r="W335" s="89"/>
      <c r="X335" s="90"/>
      <c r="AA335" s="91"/>
      <c r="AD335" s="33" t="s">
        <v>4096</v>
      </c>
      <c r="AE335" s="33"/>
      <c r="AF335" s="33" t="s">
        <v>5372</v>
      </c>
      <c r="AI335" s="33" t="s">
        <v>5371</v>
      </c>
      <c r="AL335" s="33" t="s">
        <v>31</v>
      </c>
      <c r="AP335" s="83"/>
      <c r="AQ335" s="85"/>
      <c r="AR335" s="86"/>
      <c r="AS335" s="87"/>
      <c r="AV335" s="85"/>
      <c r="AW335" s="93"/>
      <c r="AX335" s="94"/>
      <c r="AY335" s="90">
        <v>5</v>
      </c>
      <c r="AZ335" s="76">
        <v>0</v>
      </c>
      <c r="BB335" s="91"/>
      <c r="BE335" s="33" t="s">
        <v>4096</v>
      </c>
      <c r="BG335" s="33" t="s">
        <v>5373</v>
      </c>
    </row>
    <row r="336" spans="1:59" ht="15" customHeight="1">
      <c r="A336" s="33" t="s">
        <v>5157</v>
      </c>
      <c r="B336" s="33" t="s">
        <v>5374</v>
      </c>
      <c r="C336" s="33" t="s">
        <v>5161</v>
      </c>
      <c r="D336" s="33">
        <v>58</v>
      </c>
      <c r="E336" s="33">
        <v>1</v>
      </c>
      <c r="F336" s="33" t="s">
        <v>5317</v>
      </c>
      <c r="G336" s="33" t="s">
        <v>5375</v>
      </c>
      <c r="H336" s="33" t="s">
        <v>5376</v>
      </c>
      <c r="I336" s="33" t="s">
        <v>4077</v>
      </c>
      <c r="J336" s="33" t="s">
        <v>29</v>
      </c>
      <c r="N336" s="83"/>
      <c r="O336" s="85"/>
      <c r="P336" s="86"/>
      <c r="Q336" s="87">
        <v>4</v>
      </c>
      <c r="R336" s="76">
        <v>2</v>
      </c>
      <c r="T336" s="78">
        <v>7</v>
      </c>
      <c r="U336" s="85"/>
      <c r="V336" s="88">
        <v>2</v>
      </c>
      <c r="W336" s="89">
        <v>2</v>
      </c>
      <c r="X336" s="90"/>
      <c r="AA336" s="91">
        <v>2</v>
      </c>
      <c r="AD336" s="33" t="s">
        <v>5377</v>
      </c>
      <c r="AE336" s="33"/>
      <c r="AF336" s="33" t="s">
        <v>5378</v>
      </c>
      <c r="AP336" s="83"/>
      <c r="AQ336" s="85"/>
      <c r="AR336" s="86"/>
      <c r="AS336" s="87"/>
      <c r="AV336" s="85"/>
      <c r="AW336" s="93"/>
      <c r="AX336" s="94"/>
      <c r="AY336" s="90"/>
      <c r="BB336" s="91"/>
    </row>
    <row r="337" spans="1:62" ht="15" customHeight="1">
      <c r="A337" s="33" t="s">
        <v>5157</v>
      </c>
      <c r="B337" s="33" t="s">
        <v>5379</v>
      </c>
      <c r="C337" s="33" t="s">
        <v>5161</v>
      </c>
      <c r="D337" s="33">
        <v>59</v>
      </c>
      <c r="E337" s="33">
        <v>1</v>
      </c>
      <c r="F337" s="33" t="s">
        <v>5317</v>
      </c>
      <c r="G337" s="33" t="s">
        <v>5380</v>
      </c>
      <c r="J337" s="33" t="s">
        <v>4111</v>
      </c>
      <c r="K337" s="33" t="s">
        <v>26</v>
      </c>
      <c r="N337" s="83"/>
      <c r="O337" s="85"/>
      <c r="P337" s="86"/>
      <c r="Q337" s="87"/>
      <c r="U337" s="85"/>
      <c r="V337" s="88"/>
      <c r="W337" s="89"/>
      <c r="X337" s="90"/>
      <c r="AA337" s="91"/>
      <c r="AD337" s="33" t="s">
        <v>5252</v>
      </c>
      <c r="AE337" s="33"/>
      <c r="AF337" s="33" t="s">
        <v>5381</v>
      </c>
      <c r="AP337" s="83"/>
      <c r="AQ337" s="85"/>
      <c r="AR337" s="86"/>
      <c r="AS337" s="87"/>
      <c r="AV337" s="85"/>
      <c r="AW337" s="93"/>
      <c r="AX337" s="94"/>
      <c r="AY337" s="90"/>
      <c r="BB337" s="91"/>
      <c r="BJ337" s="33" t="s">
        <v>5836</v>
      </c>
    </row>
    <row r="338" spans="1:62" ht="15" customHeight="1">
      <c r="A338" s="33" t="s">
        <v>5157</v>
      </c>
      <c r="B338" s="33" t="s">
        <v>5382</v>
      </c>
      <c r="C338" s="33" t="s">
        <v>5161</v>
      </c>
      <c r="D338" s="33">
        <v>60</v>
      </c>
      <c r="E338" s="33">
        <v>1</v>
      </c>
      <c r="F338" s="33" t="s">
        <v>5317</v>
      </c>
      <c r="G338" s="33" t="s">
        <v>5383</v>
      </c>
      <c r="H338" s="33" t="s">
        <v>5384</v>
      </c>
      <c r="I338" s="33" t="s">
        <v>4077</v>
      </c>
      <c r="J338" s="33" t="s">
        <v>4111</v>
      </c>
      <c r="K338" s="33" t="s">
        <v>26</v>
      </c>
      <c r="N338" s="83"/>
      <c r="O338" s="85"/>
      <c r="P338" s="86"/>
      <c r="Q338" s="87"/>
      <c r="T338" s="78">
        <v>2</v>
      </c>
      <c r="U338" s="85">
        <v>2</v>
      </c>
      <c r="V338" s="88"/>
      <c r="W338" s="89"/>
      <c r="X338" s="90"/>
      <c r="AA338" s="91"/>
      <c r="AD338" s="33" t="s">
        <v>4184</v>
      </c>
      <c r="AE338" s="33"/>
      <c r="AF338" s="33" t="s">
        <v>5385</v>
      </c>
      <c r="AP338" s="83"/>
      <c r="AQ338" s="85"/>
      <c r="AR338" s="86"/>
      <c r="AS338" s="87"/>
      <c r="AV338" s="85"/>
      <c r="AW338" s="93"/>
      <c r="AX338" s="94"/>
      <c r="AY338" s="90"/>
      <c r="BB338" s="91"/>
      <c r="BJ338" s="33" t="s">
        <v>5836</v>
      </c>
    </row>
    <row r="339" spans="1:62" ht="15" customHeight="1">
      <c r="A339" s="33" t="s">
        <v>5157</v>
      </c>
      <c r="B339" s="33" t="s">
        <v>5386</v>
      </c>
      <c r="C339" s="33" t="s">
        <v>5161</v>
      </c>
      <c r="D339" s="33">
        <v>61</v>
      </c>
      <c r="E339" s="33">
        <v>1</v>
      </c>
      <c r="F339" s="33" t="s">
        <v>5317</v>
      </c>
      <c r="G339" s="33" t="s">
        <v>5387</v>
      </c>
      <c r="H339" s="33" t="s">
        <v>5388</v>
      </c>
      <c r="I339" s="33" t="s">
        <v>4077</v>
      </c>
      <c r="J339" s="33" t="s">
        <v>4111</v>
      </c>
      <c r="K339" s="33" t="s">
        <v>26</v>
      </c>
      <c r="N339" s="83">
        <v>3</v>
      </c>
      <c r="O339" s="85"/>
      <c r="P339" s="86">
        <v>1</v>
      </c>
      <c r="Q339" s="87"/>
      <c r="S339" s="123">
        <v>1</v>
      </c>
      <c r="T339" s="78">
        <v>2</v>
      </c>
      <c r="U339" s="85">
        <v>3</v>
      </c>
      <c r="V339" s="88"/>
      <c r="W339" s="89"/>
      <c r="X339" s="90"/>
      <c r="AA339" s="91"/>
      <c r="AB339" s="33" t="s">
        <v>5032</v>
      </c>
      <c r="AC339" s="33" t="s">
        <v>25</v>
      </c>
      <c r="AD339" s="33" t="s">
        <v>4184</v>
      </c>
      <c r="AE339" s="33"/>
      <c r="AF339" s="33" t="s">
        <v>5389</v>
      </c>
      <c r="AP339" s="83"/>
      <c r="AQ339" s="85"/>
      <c r="AR339" s="86"/>
      <c r="AS339" s="87"/>
      <c r="AV339" s="85"/>
      <c r="AW339" s="93"/>
      <c r="AX339" s="94"/>
      <c r="AY339" s="90"/>
      <c r="BB339" s="91"/>
    </row>
    <row r="340" spans="1:62" ht="15" customHeight="1">
      <c r="A340" s="33" t="s">
        <v>5157</v>
      </c>
      <c r="B340" s="33" t="s">
        <v>5390</v>
      </c>
      <c r="C340" s="33" t="s">
        <v>5161</v>
      </c>
      <c r="D340" s="33">
        <v>62</v>
      </c>
      <c r="E340" s="33">
        <v>1</v>
      </c>
      <c r="F340" s="33" t="s">
        <v>5391</v>
      </c>
      <c r="G340" s="33" t="s">
        <v>5391</v>
      </c>
      <c r="J340" s="33" t="s">
        <v>4472</v>
      </c>
      <c r="N340" s="83"/>
      <c r="O340" s="85"/>
      <c r="P340" s="86"/>
      <c r="Q340" s="87"/>
      <c r="U340" s="85"/>
      <c r="V340" s="88"/>
      <c r="W340" s="89"/>
      <c r="X340" s="90"/>
      <c r="AA340" s="91"/>
      <c r="AE340" s="33"/>
      <c r="AF340" s="33" t="s">
        <v>5392</v>
      </c>
      <c r="AI340" s="33" t="s">
        <v>5391</v>
      </c>
      <c r="AL340" s="33" t="s">
        <v>4472</v>
      </c>
      <c r="AP340" s="83"/>
      <c r="AQ340" s="85"/>
      <c r="AR340" s="86"/>
      <c r="AS340" s="87"/>
      <c r="AV340" s="85"/>
      <c r="AW340" s="93"/>
      <c r="AX340" s="94"/>
      <c r="AY340" s="90"/>
      <c r="BB340" s="91"/>
      <c r="BG340" s="33" t="s">
        <v>5393</v>
      </c>
    </row>
    <row r="341" spans="1:62" ht="15" customHeight="1">
      <c r="A341" s="33" t="s">
        <v>5157</v>
      </c>
      <c r="B341" s="33" t="s">
        <v>5394</v>
      </c>
      <c r="C341" s="33" t="s">
        <v>5161</v>
      </c>
      <c r="D341" s="33">
        <v>63</v>
      </c>
      <c r="E341" s="33">
        <v>1</v>
      </c>
      <c r="F341" s="33" t="s">
        <v>5391</v>
      </c>
      <c r="G341" s="33" t="s">
        <v>5395</v>
      </c>
      <c r="J341" s="33" t="s">
        <v>4473</v>
      </c>
      <c r="L341" s="33">
        <v>1</v>
      </c>
      <c r="N341" s="83"/>
      <c r="O341" s="85"/>
      <c r="P341" s="86"/>
      <c r="Q341" s="87"/>
      <c r="U341" s="85"/>
      <c r="V341" s="88"/>
      <c r="W341" s="89"/>
      <c r="X341" s="90"/>
      <c r="Z341" s="78">
        <v>4</v>
      </c>
      <c r="AA341" s="91"/>
      <c r="AE341" s="33"/>
      <c r="AF341" s="33" t="s">
        <v>5396</v>
      </c>
      <c r="AI341" s="33" t="s">
        <v>5555</v>
      </c>
      <c r="AL341" s="33" t="s">
        <v>4473</v>
      </c>
      <c r="AN341" s="33">
        <v>1</v>
      </c>
      <c r="AP341" s="83"/>
      <c r="AQ341" s="85"/>
      <c r="AR341" s="86"/>
      <c r="AS341" s="87"/>
      <c r="AV341" s="85"/>
      <c r="AW341" s="93"/>
      <c r="AX341" s="94"/>
      <c r="AY341" s="90"/>
      <c r="BB341" s="91"/>
      <c r="BG341" s="33" t="s">
        <v>5397</v>
      </c>
    </row>
    <row r="342" spans="1:62" ht="15" customHeight="1">
      <c r="A342" s="33" t="s">
        <v>5157</v>
      </c>
      <c r="B342" s="33" t="s">
        <v>5398</v>
      </c>
      <c r="C342" s="33" t="s">
        <v>5161</v>
      </c>
      <c r="D342" s="33">
        <v>64</v>
      </c>
      <c r="E342" s="33">
        <v>1</v>
      </c>
      <c r="F342" s="33" t="s">
        <v>5391</v>
      </c>
      <c r="G342" s="33" t="s">
        <v>5399</v>
      </c>
      <c r="J342" s="33" t="s">
        <v>4473</v>
      </c>
      <c r="L342" s="33">
        <v>2</v>
      </c>
      <c r="N342" s="83"/>
      <c r="O342" s="85"/>
      <c r="P342" s="86"/>
      <c r="Q342" s="87"/>
      <c r="U342" s="85"/>
      <c r="V342" s="88"/>
      <c r="W342" s="89"/>
      <c r="X342" s="90"/>
      <c r="Z342" s="78">
        <v>3</v>
      </c>
      <c r="AA342" s="91"/>
      <c r="AE342" s="33"/>
      <c r="AI342" s="33" t="s">
        <v>5556</v>
      </c>
      <c r="AL342" s="33" t="s">
        <v>4473</v>
      </c>
      <c r="AN342" s="33">
        <v>2</v>
      </c>
      <c r="AP342" s="83"/>
      <c r="AQ342" s="85"/>
      <c r="AR342" s="86"/>
      <c r="AS342" s="87"/>
      <c r="AV342" s="85"/>
      <c r="AW342" s="93"/>
      <c r="AX342" s="94"/>
      <c r="AY342" s="90"/>
      <c r="BB342" s="91"/>
      <c r="BG342" s="33" t="s">
        <v>5400</v>
      </c>
    </row>
    <row r="343" spans="1:62" ht="15" customHeight="1">
      <c r="A343" s="33" t="s">
        <v>5157</v>
      </c>
      <c r="B343" s="33" t="s">
        <v>5401</v>
      </c>
      <c r="C343" s="33" t="s">
        <v>5161</v>
      </c>
      <c r="D343" s="33">
        <v>65</v>
      </c>
      <c r="E343" s="33">
        <v>1</v>
      </c>
      <c r="F343" s="33" t="s">
        <v>5391</v>
      </c>
      <c r="G343" s="33" t="s">
        <v>5402</v>
      </c>
      <c r="J343" s="33" t="s">
        <v>4473</v>
      </c>
      <c r="L343" s="33">
        <v>3</v>
      </c>
      <c r="N343" s="83"/>
      <c r="O343" s="85"/>
      <c r="P343" s="86"/>
      <c r="Q343" s="87"/>
      <c r="U343" s="85"/>
      <c r="V343" s="88"/>
      <c r="W343" s="89"/>
      <c r="X343" s="90"/>
      <c r="Z343" s="78">
        <v>7</v>
      </c>
      <c r="AA343" s="91"/>
      <c r="AE343" s="33"/>
      <c r="AF343" s="33" t="s">
        <v>5403</v>
      </c>
      <c r="AI343" s="33" t="s">
        <v>5557</v>
      </c>
      <c r="AL343" s="33" t="s">
        <v>4473</v>
      </c>
      <c r="AN343" s="33">
        <v>3</v>
      </c>
      <c r="AP343" s="83"/>
      <c r="AQ343" s="85"/>
      <c r="AR343" s="86"/>
      <c r="AS343" s="87"/>
      <c r="AV343" s="85"/>
      <c r="AW343" s="93"/>
      <c r="AX343" s="94"/>
      <c r="AY343" s="90"/>
      <c r="BB343" s="91"/>
      <c r="BG343" s="33" t="s">
        <v>5404</v>
      </c>
    </row>
    <row r="344" spans="1:62" ht="15" customHeight="1">
      <c r="A344" s="33" t="s">
        <v>5157</v>
      </c>
      <c r="B344" s="33" t="s">
        <v>5405</v>
      </c>
      <c r="C344" s="33" t="s">
        <v>5161</v>
      </c>
      <c r="D344" s="33">
        <v>66</v>
      </c>
      <c r="E344" s="33">
        <v>1</v>
      </c>
      <c r="F344" s="33" t="s">
        <v>5391</v>
      </c>
      <c r="G344" s="33" t="s">
        <v>5406</v>
      </c>
      <c r="J344" s="33" t="s">
        <v>4475</v>
      </c>
      <c r="L344" s="33">
        <v>1</v>
      </c>
      <c r="N344" s="83"/>
      <c r="O344" s="85"/>
      <c r="P344" s="86"/>
      <c r="Q344" s="87"/>
      <c r="U344" s="85"/>
      <c r="V344" s="88"/>
      <c r="W344" s="89"/>
      <c r="X344" s="90"/>
      <c r="Y344" s="76" t="s">
        <v>5552</v>
      </c>
      <c r="AA344" s="91"/>
      <c r="AE344" s="33"/>
      <c r="AF344" s="33" t="s">
        <v>5407</v>
      </c>
      <c r="AI344" s="33" t="s">
        <v>5558</v>
      </c>
      <c r="AL344" s="33" t="s">
        <v>4475</v>
      </c>
      <c r="AN344" s="33">
        <v>1</v>
      </c>
      <c r="AP344" s="83"/>
      <c r="AQ344" s="85"/>
      <c r="AR344" s="86"/>
      <c r="AS344" s="87"/>
      <c r="AV344" s="85"/>
      <c r="AW344" s="93"/>
      <c r="AX344" s="94"/>
      <c r="AY344" s="90"/>
      <c r="BB344" s="91"/>
      <c r="BG344" s="33" t="s">
        <v>5408</v>
      </c>
    </row>
    <row r="345" spans="1:62" ht="15" customHeight="1">
      <c r="A345" s="33" t="s">
        <v>5157</v>
      </c>
      <c r="B345" s="33" t="s">
        <v>5409</v>
      </c>
      <c r="C345" s="33" t="s">
        <v>5161</v>
      </c>
      <c r="D345" s="33">
        <v>67</v>
      </c>
      <c r="E345" s="33">
        <v>1</v>
      </c>
      <c r="F345" s="33" t="s">
        <v>5391</v>
      </c>
      <c r="G345" s="33" t="s">
        <v>5410</v>
      </c>
      <c r="J345" s="33" t="s">
        <v>4475</v>
      </c>
      <c r="L345" s="33">
        <v>2</v>
      </c>
      <c r="N345" s="83"/>
      <c r="O345" s="85"/>
      <c r="P345" s="86"/>
      <c r="Q345" s="87"/>
      <c r="U345" s="85"/>
      <c r="V345" s="88"/>
      <c r="W345" s="89"/>
      <c r="X345" s="90"/>
      <c r="Y345" s="76" t="s">
        <v>5551</v>
      </c>
      <c r="AA345" s="91"/>
      <c r="AE345" s="33"/>
      <c r="AF345" s="33" t="s">
        <v>5411</v>
      </c>
      <c r="AI345" s="33" t="s">
        <v>5559</v>
      </c>
      <c r="AL345" s="33" t="s">
        <v>4475</v>
      </c>
      <c r="AN345" s="33">
        <v>2</v>
      </c>
      <c r="AP345" s="83"/>
      <c r="AQ345" s="85"/>
      <c r="AR345" s="86"/>
      <c r="AS345" s="87"/>
      <c r="AV345" s="85"/>
      <c r="AW345" s="93"/>
      <c r="AX345" s="94"/>
      <c r="AY345" s="90"/>
      <c r="BB345" s="91"/>
      <c r="BG345" s="33" t="s">
        <v>5412</v>
      </c>
    </row>
    <row r="346" spans="1:62" ht="15" customHeight="1">
      <c r="A346" s="33" t="s">
        <v>5157</v>
      </c>
      <c r="B346" s="33" t="s">
        <v>5413</v>
      </c>
      <c r="C346" s="33" t="s">
        <v>5161</v>
      </c>
      <c r="D346" s="33">
        <v>68</v>
      </c>
      <c r="E346" s="33">
        <v>1</v>
      </c>
      <c r="F346" s="33" t="s">
        <v>5391</v>
      </c>
      <c r="G346" s="33" t="s">
        <v>5414</v>
      </c>
      <c r="J346" s="33" t="s">
        <v>4475</v>
      </c>
      <c r="L346" s="33">
        <v>3</v>
      </c>
      <c r="N346" s="83"/>
      <c r="O346" s="85"/>
      <c r="P346" s="86"/>
      <c r="Q346" s="87"/>
      <c r="U346" s="85"/>
      <c r="V346" s="88"/>
      <c r="W346" s="89"/>
      <c r="X346" s="90"/>
      <c r="Y346" s="76">
        <v>0</v>
      </c>
      <c r="AA346" s="91"/>
      <c r="AE346" s="33"/>
      <c r="AF346" s="33" t="s">
        <v>5415</v>
      </c>
      <c r="AI346" s="33" t="s">
        <v>5560</v>
      </c>
      <c r="AL346" s="33" t="s">
        <v>4475</v>
      </c>
      <c r="AN346" s="33">
        <v>3</v>
      </c>
      <c r="AP346" s="83"/>
      <c r="AQ346" s="85"/>
      <c r="AR346" s="86"/>
      <c r="AS346" s="87"/>
      <c r="AV346" s="85"/>
      <c r="AW346" s="93"/>
      <c r="AX346" s="94"/>
      <c r="AY346" s="90"/>
      <c r="BB346" s="91"/>
      <c r="BG346" s="33" t="s">
        <v>5416</v>
      </c>
    </row>
    <row r="347" spans="1:62" ht="15" customHeight="1">
      <c r="A347" s="33" t="s">
        <v>5157</v>
      </c>
      <c r="B347" s="33" t="s">
        <v>5417</v>
      </c>
      <c r="C347" s="33" t="s">
        <v>5161</v>
      </c>
      <c r="D347" s="33">
        <v>69</v>
      </c>
      <c r="E347" s="33">
        <v>1</v>
      </c>
      <c r="F347" s="33" t="s">
        <v>5391</v>
      </c>
      <c r="G347" s="33" t="s">
        <v>5418</v>
      </c>
      <c r="J347" s="33" t="s">
        <v>4475</v>
      </c>
      <c r="L347" s="33">
        <v>3</v>
      </c>
      <c r="N347" s="83"/>
      <c r="O347" s="85"/>
      <c r="P347" s="86"/>
      <c r="Q347" s="87"/>
      <c r="U347" s="85"/>
      <c r="V347" s="88"/>
      <c r="W347" s="89"/>
      <c r="X347" s="90"/>
      <c r="Y347" s="76">
        <v>0</v>
      </c>
      <c r="AA347" s="91"/>
      <c r="AE347" s="33"/>
      <c r="AF347" s="33" t="s">
        <v>5419</v>
      </c>
      <c r="AI347" s="33" t="s">
        <v>5561</v>
      </c>
      <c r="AL347" s="33" t="s">
        <v>4475</v>
      </c>
      <c r="AN347" s="33">
        <v>3</v>
      </c>
      <c r="AP347" s="83"/>
      <c r="AQ347" s="85"/>
      <c r="AR347" s="86"/>
      <c r="AS347" s="87"/>
      <c r="AV347" s="85"/>
      <c r="AW347" s="93"/>
      <c r="AX347" s="94"/>
      <c r="AY347" s="90"/>
      <c r="BB347" s="91"/>
      <c r="BG347" s="33" t="s">
        <v>5420</v>
      </c>
    </row>
    <row r="348" spans="1:62" ht="15" customHeight="1">
      <c r="A348" s="33" t="s">
        <v>5157</v>
      </c>
      <c r="B348" s="33" t="s">
        <v>5421</v>
      </c>
      <c r="C348" s="33" t="s">
        <v>5161</v>
      </c>
      <c r="D348" s="34">
        <v>70</v>
      </c>
      <c r="E348" s="33">
        <v>1</v>
      </c>
      <c r="F348" s="33" t="s">
        <v>5391</v>
      </c>
      <c r="G348" s="33" t="s">
        <v>5422</v>
      </c>
      <c r="J348" s="33" t="s">
        <v>31</v>
      </c>
      <c r="AD348" s="33" t="s">
        <v>4317</v>
      </c>
      <c r="AI348" s="33" t="s">
        <v>5422</v>
      </c>
      <c r="AL348" s="33" t="s">
        <v>31</v>
      </c>
      <c r="AP348" s="83"/>
      <c r="AQ348" s="85"/>
      <c r="AR348" s="86"/>
      <c r="AS348" s="87"/>
      <c r="AV348" s="85"/>
      <c r="AW348" s="93"/>
      <c r="AX348" s="94"/>
      <c r="AY348" s="90">
        <v>2</v>
      </c>
      <c r="AZ348" s="76" t="s">
        <v>4925</v>
      </c>
      <c r="BB348" s="91"/>
      <c r="BE348" s="33" t="s">
        <v>4317</v>
      </c>
      <c r="BG348" s="33" t="s">
        <v>5423</v>
      </c>
    </row>
    <row r="349" spans="1:62" ht="15" customHeight="1">
      <c r="A349" s="33" t="s">
        <v>5157</v>
      </c>
      <c r="B349" s="33" t="s">
        <v>5424</v>
      </c>
      <c r="C349" s="33" t="s">
        <v>5161</v>
      </c>
      <c r="D349" s="34">
        <v>71</v>
      </c>
      <c r="E349" s="33">
        <v>1</v>
      </c>
      <c r="F349" s="33" t="s">
        <v>5391</v>
      </c>
      <c r="G349" s="33" t="s">
        <v>5425</v>
      </c>
      <c r="J349" s="33" t="s">
        <v>31</v>
      </c>
      <c r="AD349" s="33" t="s">
        <v>5426</v>
      </c>
      <c r="AI349" s="33" t="s">
        <v>5425</v>
      </c>
      <c r="AL349" s="33" t="s">
        <v>31</v>
      </c>
      <c r="AP349" s="83"/>
      <c r="AQ349" s="85"/>
      <c r="AR349" s="86"/>
      <c r="AS349" s="87"/>
      <c r="AV349" s="85"/>
      <c r="AW349" s="93"/>
      <c r="AX349" s="94"/>
      <c r="AY349" s="90">
        <v>2</v>
      </c>
      <c r="AZ349" s="76">
        <v>0</v>
      </c>
      <c r="BB349" s="91"/>
      <c r="BE349" s="33" t="s">
        <v>5426</v>
      </c>
      <c r="BG349" s="33" t="s">
        <v>5427</v>
      </c>
    </row>
    <row r="350" spans="1:62" ht="15" customHeight="1">
      <c r="A350" s="33" t="s">
        <v>5157</v>
      </c>
      <c r="B350" s="33" t="s">
        <v>5428</v>
      </c>
      <c r="C350" s="33" t="s">
        <v>5161</v>
      </c>
      <c r="D350" s="34">
        <v>72</v>
      </c>
      <c r="E350" s="33">
        <v>1</v>
      </c>
      <c r="F350" s="33" t="s">
        <v>5391</v>
      </c>
      <c r="G350" s="33" t="s">
        <v>5429</v>
      </c>
      <c r="J350" s="33" t="s">
        <v>31</v>
      </c>
      <c r="AD350" s="33" t="s">
        <v>5426</v>
      </c>
      <c r="AI350" s="33" t="s">
        <v>5429</v>
      </c>
      <c r="AL350" s="33" t="s">
        <v>31</v>
      </c>
      <c r="AP350" s="83"/>
      <c r="AQ350" s="85"/>
      <c r="AR350" s="86"/>
      <c r="AS350" s="87"/>
      <c r="AV350" s="85"/>
      <c r="AW350" s="93"/>
      <c r="AX350" s="94"/>
      <c r="AY350" s="90">
        <v>3</v>
      </c>
      <c r="AZ350" s="76">
        <v>0</v>
      </c>
      <c r="BB350" s="91"/>
      <c r="BE350" s="33" t="s">
        <v>5426</v>
      </c>
      <c r="BG350" s="33" t="s">
        <v>5430</v>
      </c>
    </row>
    <row r="351" spans="1:62" ht="15" customHeight="1">
      <c r="A351" s="33" t="s">
        <v>5157</v>
      </c>
      <c r="B351" s="33" t="s">
        <v>5431</v>
      </c>
      <c r="C351" s="33" t="s">
        <v>5161</v>
      </c>
      <c r="D351" s="34">
        <v>73</v>
      </c>
      <c r="E351" s="33">
        <v>1</v>
      </c>
      <c r="F351" s="33" t="s">
        <v>5391</v>
      </c>
      <c r="G351" s="33" t="s">
        <v>5432</v>
      </c>
      <c r="J351" s="33" t="s">
        <v>31</v>
      </c>
      <c r="AD351" s="33" t="s">
        <v>5426</v>
      </c>
      <c r="AI351" s="33" t="s">
        <v>5432</v>
      </c>
      <c r="AL351" s="33" t="s">
        <v>31</v>
      </c>
      <c r="AP351" s="83"/>
      <c r="AQ351" s="85"/>
      <c r="AR351" s="86"/>
      <c r="AS351" s="87"/>
      <c r="AV351" s="85"/>
      <c r="AW351" s="93"/>
      <c r="AX351" s="94"/>
      <c r="AY351" s="90">
        <v>3</v>
      </c>
      <c r="AZ351" s="76">
        <v>0</v>
      </c>
      <c r="BB351" s="91"/>
      <c r="BE351" s="33" t="s">
        <v>5426</v>
      </c>
      <c r="BG351" s="33" t="s">
        <v>5433</v>
      </c>
    </row>
    <row r="352" spans="1:62" ht="15" customHeight="1">
      <c r="A352" s="33" t="s">
        <v>5157</v>
      </c>
      <c r="B352" s="33" t="s">
        <v>5434</v>
      </c>
      <c r="C352" s="33" t="s">
        <v>5161</v>
      </c>
      <c r="D352" s="34">
        <v>74</v>
      </c>
      <c r="E352" s="33">
        <v>1</v>
      </c>
      <c r="F352" s="33" t="s">
        <v>5391</v>
      </c>
      <c r="G352" s="33" t="s">
        <v>5435</v>
      </c>
      <c r="J352" s="33" t="s">
        <v>31</v>
      </c>
      <c r="AD352" s="33" t="s">
        <v>5426</v>
      </c>
      <c r="AI352" s="33" t="s">
        <v>5435</v>
      </c>
      <c r="AL352" s="33" t="s">
        <v>31</v>
      </c>
      <c r="AP352" s="83"/>
      <c r="AQ352" s="85"/>
      <c r="AR352" s="86"/>
      <c r="AS352" s="87"/>
      <c r="AV352" s="85"/>
      <c r="AW352" s="93"/>
      <c r="AX352" s="94"/>
      <c r="AY352" s="90">
        <v>4</v>
      </c>
      <c r="AZ352" s="76">
        <v>0</v>
      </c>
      <c r="BB352" s="91"/>
      <c r="BE352" s="33" t="s">
        <v>5426</v>
      </c>
      <c r="BG352" s="33" t="s">
        <v>5436</v>
      </c>
    </row>
    <row r="353" spans="1:62" ht="15" customHeight="1">
      <c r="A353" s="33" t="s">
        <v>5157</v>
      </c>
      <c r="B353" s="33" t="s">
        <v>5437</v>
      </c>
      <c r="C353" s="33" t="s">
        <v>5161</v>
      </c>
      <c r="D353" s="34">
        <v>75</v>
      </c>
      <c r="E353" s="33">
        <v>1</v>
      </c>
      <c r="F353" s="33" t="s">
        <v>5391</v>
      </c>
      <c r="G353" s="33" t="s">
        <v>5553</v>
      </c>
      <c r="J353" s="33" t="s">
        <v>31</v>
      </c>
      <c r="AD353" s="33" t="s">
        <v>5426</v>
      </c>
      <c r="AI353" s="33" t="s">
        <v>5438</v>
      </c>
      <c r="AL353" s="33" t="s">
        <v>31</v>
      </c>
      <c r="AP353" s="83"/>
      <c r="AQ353" s="85"/>
      <c r="AR353" s="86"/>
      <c r="AS353" s="87"/>
      <c r="AV353" s="85"/>
      <c r="AW353" s="93"/>
      <c r="AX353" s="94"/>
      <c r="AY353" s="90">
        <v>2</v>
      </c>
      <c r="AZ353" s="76" t="s">
        <v>4925</v>
      </c>
      <c r="BB353" s="91">
        <v>1</v>
      </c>
      <c r="BE353" s="33" t="s">
        <v>5426</v>
      </c>
      <c r="BG353" s="33" t="s">
        <v>5439</v>
      </c>
    </row>
    <row r="354" spans="1:62" ht="15" customHeight="1">
      <c r="A354" s="33" t="s">
        <v>5157</v>
      </c>
      <c r="B354" s="33" t="s">
        <v>5440</v>
      </c>
      <c r="C354" s="33" t="s">
        <v>5161</v>
      </c>
      <c r="D354" s="34">
        <v>76</v>
      </c>
      <c r="E354" s="33">
        <v>1</v>
      </c>
      <c r="F354" s="33" t="s">
        <v>5391</v>
      </c>
      <c r="G354" s="33" t="s">
        <v>5553</v>
      </c>
      <c r="J354" s="33" t="s">
        <v>31</v>
      </c>
      <c r="AD354" s="33" t="s">
        <v>5426</v>
      </c>
      <c r="AI354" s="33" t="s">
        <v>5441</v>
      </c>
      <c r="AL354" s="33" t="s">
        <v>31</v>
      </c>
      <c r="AP354" s="83"/>
      <c r="AQ354" s="85"/>
      <c r="AR354" s="86"/>
      <c r="AS354" s="87"/>
      <c r="AV354" s="85"/>
      <c r="AW354" s="93"/>
      <c r="AX354" s="94"/>
      <c r="AY354" s="90">
        <v>3</v>
      </c>
      <c r="AZ354" s="76" t="s">
        <v>4925</v>
      </c>
      <c r="BB354" s="91">
        <v>1</v>
      </c>
      <c r="BE354" s="33" t="s">
        <v>5426</v>
      </c>
      <c r="BG354" s="33" t="s">
        <v>5442</v>
      </c>
    </row>
    <row r="355" spans="1:62" ht="15" customHeight="1">
      <c r="A355" s="33" t="s">
        <v>5157</v>
      </c>
      <c r="B355" s="33" t="s">
        <v>5443</v>
      </c>
      <c r="C355" s="33" t="s">
        <v>5161</v>
      </c>
      <c r="D355" s="34">
        <v>77</v>
      </c>
      <c r="E355" s="33">
        <v>1</v>
      </c>
      <c r="F355" s="33" t="s">
        <v>5391</v>
      </c>
      <c r="G355" s="33" t="s">
        <v>5553</v>
      </c>
      <c r="J355" s="33" t="s">
        <v>31</v>
      </c>
      <c r="AD355" s="33" t="s">
        <v>5426</v>
      </c>
      <c r="AI355" s="33" t="s">
        <v>5444</v>
      </c>
      <c r="AL355" s="33" t="s">
        <v>31</v>
      </c>
      <c r="AP355" s="83"/>
      <c r="AQ355" s="85"/>
      <c r="AR355" s="86"/>
      <c r="AS355" s="87"/>
      <c r="AV355" s="85"/>
      <c r="AW355" s="93"/>
      <c r="AX355" s="94"/>
      <c r="AY355" s="90">
        <v>1</v>
      </c>
      <c r="AZ355" s="76" t="s">
        <v>4925</v>
      </c>
      <c r="BB355" s="91">
        <v>1</v>
      </c>
      <c r="BE355" s="33" t="s">
        <v>5426</v>
      </c>
      <c r="BG355" s="33" t="s">
        <v>5445</v>
      </c>
    </row>
    <row r="356" spans="1:62" ht="15" customHeight="1">
      <c r="A356" s="33" t="s">
        <v>5157</v>
      </c>
      <c r="B356" s="33" t="s">
        <v>5446</v>
      </c>
      <c r="C356" s="33" t="s">
        <v>5161</v>
      </c>
      <c r="D356" s="34">
        <v>78</v>
      </c>
      <c r="E356" s="33">
        <v>1</v>
      </c>
      <c r="F356" s="33" t="s">
        <v>5391</v>
      </c>
      <c r="G356" s="33" t="s">
        <v>5447</v>
      </c>
      <c r="J356" s="33" t="s">
        <v>29</v>
      </c>
      <c r="Q356" s="75">
        <v>3</v>
      </c>
      <c r="R356" s="76">
        <v>3</v>
      </c>
      <c r="T356" s="78">
        <v>4</v>
      </c>
      <c r="V356" s="79">
        <v>2</v>
      </c>
      <c r="W356" s="80">
        <v>0</v>
      </c>
      <c r="AA356" s="82">
        <v>1</v>
      </c>
      <c r="AD356" s="33" t="s">
        <v>5448</v>
      </c>
      <c r="AF356" s="33" t="s">
        <v>5449</v>
      </c>
      <c r="AP356" s="83"/>
      <c r="AQ356" s="85"/>
      <c r="AR356" s="86"/>
      <c r="AS356" s="87"/>
      <c r="AV356" s="85"/>
      <c r="AW356" s="93"/>
      <c r="AX356" s="94"/>
      <c r="AY356" s="90"/>
      <c r="BB356" s="91"/>
    </row>
    <row r="357" spans="1:62" ht="15" customHeight="1">
      <c r="A357" s="33" t="s">
        <v>5157</v>
      </c>
      <c r="B357" s="33" t="s">
        <v>5450</v>
      </c>
      <c r="C357" s="33" t="s">
        <v>5161</v>
      </c>
      <c r="D357" s="34">
        <v>79</v>
      </c>
      <c r="E357" s="33">
        <v>1</v>
      </c>
      <c r="F357" s="33" t="s">
        <v>5391</v>
      </c>
      <c r="G357" s="33" t="s">
        <v>5451</v>
      </c>
      <c r="H357" s="33" t="s">
        <v>5452</v>
      </c>
      <c r="I357" s="33" t="s">
        <v>4077</v>
      </c>
      <c r="J357" s="33" t="s">
        <v>4111</v>
      </c>
      <c r="K357" s="33" t="s">
        <v>26</v>
      </c>
      <c r="T357" s="78">
        <v>3</v>
      </c>
      <c r="U357" s="73">
        <v>2</v>
      </c>
      <c r="AD357" s="33" t="s">
        <v>5453</v>
      </c>
      <c r="AF357" s="33" t="s">
        <v>5454</v>
      </c>
      <c r="AP357" s="83"/>
      <c r="AQ357" s="85"/>
      <c r="AR357" s="86"/>
      <c r="AS357" s="87"/>
      <c r="AV357" s="85"/>
      <c r="AW357" s="93"/>
      <c r="AX357" s="94"/>
      <c r="AY357" s="90"/>
      <c r="BB357" s="91"/>
      <c r="BJ357" s="33" t="s">
        <v>5836</v>
      </c>
    </row>
    <row r="358" spans="1:62" ht="15" customHeight="1">
      <c r="A358" s="33" t="s">
        <v>5157</v>
      </c>
      <c r="B358" s="33" t="s">
        <v>5455</v>
      </c>
      <c r="C358" s="33" t="s">
        <v>5161</v>
      </c>
      <c r="D358" s="34">
        <v>80</v>
      </c>
      <c r="E358" s="33">
        <v>1</v>
      </c>
      <c r="F358" s="33" t="s">
        <v>5391</v>
      </c>
      <c r="G358" s="33" t="s">
        <v>5456</v>
      </c>
      <c r="H358" s="33" t="s">
        <v>5457</v>
      </c>
      <c r="I358" s="33" t="s">
        <v>4077</v>
      </c>
      <c r="J358" s="33" t="s">
        <v>4111</v>
      </c>
      <c r="K358" s="33" t="s">
        <v>26</v>
      </c>
      <c r="N358" s="72">
        <v>3</v>
      </c>
      <c r="Q358" s="75">
        <v>1</v>
      </c>
      <c r="S358" s="123">
        <v>1</v>
      </c>
      <c r="T358" s="78">
        <v>4</v>
      </c>
      <c r="U358" s="73">
        <v>1</v>
      </c>
      <c r="AB358" s="33" t="s">
        <v>4947</v>
      </c>
      <c r="AC358" s="33" t="s">
        <v>25</v>
      </c>
      <c r="AD358" s="33" t="s">
        <v>4184</v>
      </c>
      <c r="AF358" s="33" t="s">
        <v>5458</v>
      </c>
      <c r="AP358" s="83"/>
      <c r="AQ358" s="85"/>
      <c r="AR358" s="86"/>
      <c r="AS358" s="87"/>
      <c r="AV358" s="85"/>
      <c r="AW358" s="93"/>
      <c r="AX358" s="94"/>
      <c r="AY358" s="90"/>
      <c r="BB358" s="91"/>
    </row>
    <row r="359" spans="1:62" ht="15" customHeight="1">
      <c r="A359" s="33" t="s">
        <v>5157</v>
      </c>
      <c r="B359" s="33" t="s">
        <v>5459</v>
      </c>
      <c r="C359" s="33" t="s">
        <v>5161</v>
      </c>
      <c r="D359" s="34">
        <v>81</v>
      </c>
      <c r="E359" s="33">
        <v>2</v>
      </c>
      <c r="F359" s="33" t="s">
        <v>5391</v>
      </c>
      <c r="G359" s="33" t="s">
        <v>5460</v>
      </c>
      <c r="J359" s="33" t="s">
        <v>28</v>
      </c>
      <c r="AD359" s="33" t="s">
        <v>5461</v>
      </c>
      <c r="AF359" s="33" t="s">
        <v>5462</v>
      </c>
      <c r="AP359" s="83"/>
      <c r="AQ359" s="85"/>
      <c r="AR359" s="86"/>
      <c r="AS359" s="87"/>
      <c r="AV359" s="85"/>
      <c r="AW359" s="93"/>
      <c r="AX359" s="94"/>
      <c r="AY359" s="90"/>
      <c r="BB359" s="91"/>
    </row>
    <row r="360" spans="1:62" ht="15" customHeight="1">
      <c r="A360" s="33" t="s">
        <v>5157</v>
      </c>
      <c r="B360" s="33" t="s">
        <v>5463</v>
      </c>
      <c r="C360" s="33" t="s">
        <v>5161</v>
      </c>
      <c r="D360" s="34">
        <v>82</v>
      </c>
      <c r="E360" s="33">
        <v>2</v>
      </c>
      <c r="F360" s="33" t="s">
        <v>5391</v>
      </c>
      <c r="G360" s="33" t="s">
        <v>5464</v>
      </c>
      <c r="J360" s="33" t="s">
        <v>28</v>
      </c>
      <c r="AF360" s="33" t="s">
        <v>5465</v>
      </c>
      <c r="AP360" s="83"/>
      <c r="AQ360" s="85"/>
      <c r="AR360" s="86"/>
      <c r="AS360" s="87"/>
      <c r="AV360" s="85"/>
      <c r="AW360" s="93"/>
      <c r="AX360" s="94"/>
      <c r="AY360" s="90"/>
      <c r="BB360" s="91"/>
    </row>
    <row r="361" spans="1:62" ht="15" customHeight="1">
      <c r="A361" s="33" t="s">
        <v>5157</v>
      </c>
      <c r="B361" s="33" t="s">
        <v>5466</v>
      </c>
      <c r="C361" s="33" t="s">
        <v>5161</v>
      </c>
      <c r="D361" s="34">
        <v>83</v>
      </c>
      <c r="E361" s="33">
        <v>3</v>
      </c>
      <c r="F361" s="33" t="s">
        <v>5467</v>
      </c>
      <c r="G361" s="33" t="s">
        <v>5468</v>
      </c>
      <c r="J361" s="33" t="s">
        <v>28</v>
      </c>
      <c r="AD361" s="33" t="s">
        <v>4340</v>
      </c>
      <c r="AF361" s="33" t="s">
        <v>5469</v>
      </c>
      <c r="AP361" s="83"/>
      <c r="AQ361" s="85"/>
      <c r="AR361" s="86"/>
      <c r="AS361" s="87"/>
      <c r="AV361" s="85"/>
      <c r="AW361" s="93"/>
      <c r="AX361" s="94"/>
      <c r="AY361" s="90"/>
      <c r="BB361" s="91"/>
    </row>
    <row r="362" spans="1:62" ht="15" customHeight="1">
      <c r="A362" s="33" t="s">
        <v>5157</v>
      </c>
      <c r="B362" s="33" t="s">
        <v>5470</v>
      </c>
      <c r="C362" s="33" t="s">
        <v>5161</v>
      </c>
      <c r="D362" s="34">
        <v>84</v>
      </c>
      <c r="E362" s="33">
        <v>3</v>
      </c>
      <c r="F362" s="33" t="s">
        <v>5467</v>
      </c>
      <c r="G362" s="33" t="s">
        <v>5471</v>
      </c>
      <c r="J362" s="33" t="s">
        <v>28</v>
      </c>
      <c r="AD362" s="33" t="s">
        <v>4340</v>
      </c>
      <c r="AF362" s="33" t="s">
        <v>5472</v>
      </c>
      <c r="AP362" s="83"/>
      <c r="AQ362" s="85"/>
      <c r="AR362" s="86"/>
      <c r="AS362" s="87"/>
      <c r="AV362" s="85"/>
      <c r="AW362" s="93"/>
      <c r="AX362" s="94"/>
      <c r="AY362" s="90"/>
      <c r="BB362" s="91"/>
    </row>
    <row r="363" spans="1:62" ht="15" customHeight="1">
      <c r="A363" s="33" t="s">
        <v>5157</v>
      </c>
      <c r="B363" s="33" t="s">
        <v>5473</v>
      </c>
      <c r="C363" s="33" t="s">
        <v>5161</v>
      </c>
      <c r="D363" s="34">
        <v>85</v>
      </c>
      <c r="E363" s="33">
        <v>2</v>
      </c>
      <c r="F363" s="33" t="s">
        <v>5474</v>
      </c>
      <c r="G363" s="33" t="s">
        <v>5475</v>
      </c>
      <c r="J363" s="33" t="s">
        <v>28</v>
      </c>
      <c r="AD363" s="33" t="s">
        <v>5476</v>
      </c>
      <c r="AF363" s="33" t="s">
        <v>5477</v>
      </c>
      <c r="AP363" s="83"/>
      <c r="AQ363" s="85"/>
      <c r="AR363" s="86"/>
      <c r="AS363" s="87"/>
      <c r="AV363" s="85"/>
      <c r="AW363" s="93"/>
      <c r="AX363" s="94"/>
      <c r="AY363" s="90"/>
      <c r="BB363" s="91"/>
    </row>
    <row r="364" spans="1:62" ht="15" customHeight="1">
      <c r="A364" s="33" t="s">
        <v>5157</v>
      </c>
      <c r="B364" s="33" t="s">
        <v>5478</v>
      </c>
      <c r="C364" s="33" t="s">
        <v>5161</v>
      </c>
      <c r="D364" s="34">
        <v>86</v>
      </c>
      <c r="E364" s="33">
        <v>3</v>
      </c>
      <c r="F364" s="33" t="s">
        <v>5474</v>
      </c>
      <c r="G364" s="33" t="s">
        <v>5479</v>
      </c>
      <c r="J364" s="33" t="s">
        <v>29</v>
      </c>
      <c r="Q364" s="75">
        <v>2</v>
      </c>
      <c r="R364" s="76">
        <v>2</v>
      </c>
      <c r="T364" s="78">
        <v>2</v>
      </c>
      <c r="V364" s="79">
        <v>1</v>
      </c>
      <c r="W364" s="80">
        <v>1</v>
      </c>
      <c r="AD364" s="33" t="s">
        <v>5480</v>
      </c>
      <c r="AF364" s="33" t="s">
        <v>5481</v>
      </c>
      <c r="AP364" s="83"/>
      <c r="AQ364" s="85"/>
      <c r="AR364" s="86"/>
      <c r="AS364" s="87"/>
      <c r="AV364" s="85"/>
      <c r="AW364" s="93"/>
      <c r="AX364" s="94"/>
      <c r="AY364" s="90"/>
      <c r="BB364" s="91"/>
    </row>
    <row r="365" spans="1:62" ht="15" customHeight="1">
      <c r="A365" s="33" t="s">
        <v>5157</v>
      </c>
      <c r="B365" s="33" t="s">
        <v>5482</v>
      </c>
      <c r="C365" s="33" t="s">
        <v>5161</v>
      </c>
      <c r="D365" s="34">
        <v>87</v>
      </c>
      <c r="E365" s="33">
        <v>1</v>
      </c>
      <c r="F365" s="33" t="s">
        <v>5474</v>
      </c>
      <c r="G365" s="33" t="s">
        <v>5483</v>
      </c>
      <c r="J365" s="33" t="s">
        <v>29</v>
      </c>
      <c r="Q365" s="75">
        <v>4</v>
      </c>
      <c r="R365" s="76">
        <v>3</v>
      </c>
      <c r="T365" s="78">
        <v>3</v>
      </c>
      <c r="V365" s="79">
        <v>1</v>
      </c>
      <c r="W365" s="80">
        <v>2</v>
      </c>
      <c r="AA365" s="82">
        <v>1</v>
      </c>
      <c r="AD365" s="33" t="s">
        <v>5484</v>
      </c>
      <c r="AF365" s="33" t="s">
        <v>5485</v>
      </c>
      <c r="AP365" s="83"/>
      <c r="AQ365" s="85"/>
      <c r="AR365" s="86"/>
      <c r="AS365" s="87"/>
      <c r="AV365" s="85"/>
      <c r="AW365" s="93"/>
      <c r="AX365" s="94"/>
      <c r="AY365" s="90"/>
      <c r="BB365" s="91"/>
    </row>
    <row r="366" spans="1:62" ht="15" customHeight="1">
      <c r="A366" s="33" t="s">
        <v>5157</v>
      </c>
      <c r="B366" s="33" t="s">
        <v>5486</v>
      </c>
      <c r="C366" s="33" t="s">
        <v>5161</v>
      </c>
      <c r="D366" s="34">
        <v>88</v>
      </c>
      <c r="E366" s="33">
        <v>2</v>
      </c>
      <c r="F366" s="33" t="s">
        <v>5487</v>
      </c>
      <c r="G366" s="33" t="s">
        <v>5488</v>
      </c>
      <c r="J366" s="33" t="s">
        <v>28</v>
      </c>
      <c r="AD366" s="33" t="s">
        <v>4335</v>
      </c>
      <c r="AF366" s="33" t="s">
        <v>5489</v>
      </c>
      <c r="AP366" s="83"/>
      <c r="AQ366" s="85"/>
      <c r="AR366" s="86"/>
      <c r="AS366" s="87"/>
      <c r="AV366" s="85"/>
      <c r="AW366" s="93"/>
      <c r="AX366" s="94"/>
      <c r="AY366" s="90"/>
      <c r="BB366" s="91"/>
    </row>
    <row r="367" spans="1:62" ht="15" customHeight="1">
      <c r="A367" s="33" t="s">
        <v>5157</v>
      </c>
      <c r="B367" s="33" t="s">
        <v>5490</v>
      </c>
      <c r="C367" s="33" t="s">
        <v>5161</v>
      </c>
      <c r="D367" s="34">
        <v>89</v>
      </c>
      <c r="E367" s="33">
        <v>2</v>
      </c>
      <c r="F367" s="33" t="s">
        <v>5487</v>
      </c>
      <c r="G367" s="33" t="s">
        <v>5491</v>
      </c>
      <c r="J367" s="33" t="s">
        <v>28</v>
      </c>
      <c r="AD367" s="33" t="s">
        <v>4335</v>
      </c>
      <c r="AF367" s="33" t="s">
        <v>5492</v>
      </c>
      <c r="AP367" s="83"/>
      <c r="AQ367" s="85"/>
      <c r="AR367" s="86"/>
      <c r="AS367" s="87"/>
      <c r="AV367" s="85"/>
      <c r="AW367" s="93"/>
      <c r="AX367" s="94"/>
      <c r="AY367" s="90"/>
      <c r="BB367" s="91"/>
    </row>
    <row r="368" spans="1:62" ht="15" customHeight="1">
      <c r="A368" s="33" t="s">
        <v>5157</v>
      </c>
      <c r="B368" s="33" t="s">
        <v>5493</v>
      </c>
      <c r="C368" s="33" t="s">
        <v>5161</v>
      </c>
      <c r="D368" s="34">
        <v>90</v>
      </c>
      <c r="E368" s="33">
        <v>3</v>
      </c>
      <c r="F368" s="33" t="s">
        <v>5494</v>
      </c>
      <c r="G368" s="33" t="s">
        <v>5495</v>
      </c>
      <c r="J368" s="33" t="s">
        <v>29</v>
      </c>
      <c r="Q368" s="75">
        <v>2</v>
      </c>
      <c r="R368" s="76">
        <v>4</v>
      </c>
      <c r="T368" s="78">
        <v>1</v>
      </c>
      <c r="V368" s="79">
        <v>0</v>
      </c>
      <c r="W368" s="80">
        <v>1</v>
      </c>
      <c r="AD368" s="33" t="s">
        <v>30</v>
      </c>
      <c r="AF368" s="33" t="s">
        <v>5496</v>
      </c>
      <c r="AP368" s="83"/>
      <c r="AQ368" s="85"/>
      <c r="AR368" s="86"/>
      <c r="AS368" s="87"/>
      <c r="AV368" s="85"/>
      <c r="AW368" s="93"/>
      <c r="AX368" s="94"/>
      <c r="AY368" s="90"/>
      <c r="BB368" s="91"/>
    </row>
    <row r="369" spans="1:54" ht="15" customHeight="1">
      <c r="A369" s="33" t="s">
        <v>5157</v>
      </c>
      <c r="B369" s="33" t="s">
        <v>5497</v>
      </c>
      <c r="C369" s="33" t="s">
        <v>5161</v>
      </c>
      <c r="D369" s="34">
        <v>91</v>
      </c>
      <c r="E369" s="33">
        <v>2</v>
      </c>
      <c r="F369" s="33" t="s">
        <v>5494</v>
      </c>
      <c r="G369" s="33" t="s">
        <v>5498</v>
      </c>
      <c r="J369" s="33" t="s">
        <v>28</v>
      </c>
      <c r="AD369" s="33" t="s">
        <v>4346</v>
      </c>
      <c r="AF369" s="33" t="s">
        <v>5499</v>
      </c>
      <c r="AP369" s="83"/>
      <c r="AQ369" s="85"/>
      <c r="AR369" s="86"/>
      <c r="AS369" s="87"/>
      <c r="AV369" s="85"/>
      <c r="AW369" s="93"/>
      <c r="AX369" s="94"/>
      <c r="AY369" s="90"/>
      <c r="BB369" s="91"/>
    </row>
    <row r="370" spans="1:54" ht="15" customHeight="1">
      <c r="A370" s="33" t="s">
        <v>5157</v>
      </c>
      <c r="B370" s="33" t="s">
        <v>5500</v>
      </c>
      <c r="C370" s="33" t="s">
        <v>5161</v>
      </c>
      <c r="D370" s="34">
        <v>92</v>
      </c>
      <c r="E370" s="33">
        <v>3</v>
      </c>
      <c r="F370" s="33" t="s">
        <v>5501</v>
      </c>
      <c r="G370" s="33" t="s">
        <v>5502</v>
      </c>
      <c r="J370" s="33" t="s">
        <v>28</v>
      </c>
      <c r="AD370" s="33" t="s">
        <v>4346</v>
      </c>
      <c r="AF370" s="33" t="s">
        <v>5503</v>
      </c>
      <c r="AP370" s="83"/>
      <c r="AQ370" s="85"/>
      <c r="AR370" s="86"/>
      <c r="AS370" s="87"/>
      <c r="AV370" s="85"/>
      <c r="AW370" s="93"/>
      <c r="AX370" s="94"/>
      <c r="AY370" s="90"/>
      <c r="BB370" s="91"/>
    </row>
    <row r="371" spans="1:54" ht="15" customHeight="1">
      <c r="A371" s="33" t="s">
        <v>5157</v>
      </c>
      <c r="B371" s="33" t="s">
        <v>5504</v>
      </c>
      <c r="C371" s="33" t="s">
        <v>5161</v>
      </c>
      <c r="D371" s="34">
        <v>93</v>
      </c>
      <c r="E371" s="33">
        <v>3</v>
      </c>
      <c r="F371" s="33" t="s">
        <v>5501</v>
      </c>
      <c r="G371" s="33" t="s">
        <v>5505</v>
      </c>
      <c r="J371" s="33" t="s">
        <v>28</v>
      </c>
      <c r="AD371" s="33" t="s">
        <v>4346</v>
      </c>
      <c r="AF371" s="33" t="s">
        <v>5506</v>
      </c>
      <c r="AP371" s="83"/>
      <c r="AQ371" s="85"/>
      <c r="AR371" s="86"/>
      <c r="AS371" s="87"/>
      <c r="AV371" s="85"/>
      <c r="AW371" s="93"/>
      <c r="AX371" s="94"/>
      <c r="AY371" s="90"/>
      <c r="BB371" s="91"/>
    </row>
    <row r="372" spans="1:54" ht="15" customHeight="1">
      <c r="A372" s="33" t="s">
        <v>5157</v>
      </c>
      <c r="B372" s="33" t="s">
        <v>5507</v>
      </c>
      <c r="C372" s="33" t="s">
        <v>5161</v>
      </c>
      <c r="D372" s="34">
        <v>94</v>
      </c>
      <c r="E372" s="33">
        <v>2</v>
      </c>
      <c r="F372" s="33" t="s">
        <v>5508</v>
      </c>
      <c r="G372" s="33" t="s">
        <v>5509</v>
      </c>
      <c r="J372" s="33" t="s">
        <v>29</v>
      </c>
      <c r="Q372" s="75">
        <v>5</v>
      </c>
      <c r="R372" s="76">
        <v>3</v>
      </c>
      <c r="T372" s="78">
        <v>4</v>
      </c>
      <c r="V372" s="79">
        <v>1</v>
      </c>
      <c r="W372" s="80">
        <v>1</v>
      </c>
      <c r="AD372" s="33" t="s">
        <v>5510</v>
      </c>
      <c r="AF372" s="33" t="s">
        <v>5511</v>
      </c>
      <c r="AP372" s="83"/>
      <c r="AQ372" s="85"/>
      <c r="AR372" s="86"/>
      <c r="AS372" s="87"/>
      <c r="AV372" s="85"/>
      <c r="AW372" s="93"/>
      <c r="AX372" s="94"/>
      <c r="AY372" s="90"/>
      <c r="BB372" s="91"/>
    </row>
    <row r="373" spans="1:54" ht="15" customHeight="1">
      <c r="A373" s="33" t="s">
        <v>5157</v>
      </c>
      <c r="B373" s="33" t="s">
        <v>5512</v>
      </c>
      <c r="C373" s="33" t="s">
        <v>5161</v>
      </c>
      <c r="D373" s="34">
        <v>95</v>
      </c>
      <c r="E373" s="33">
        <v>2</v>
      </c>
      <c r="F373" s="33" t="s">
        <v>5508</v>
      </c>
      <c r="G373" s="33" t="s">
        <v>5513</v>
      </c>
      <c r="J373" s="33" t="s">
        <v>29</v>
      </c>
      <c r="Q373" s="75">
        <v>4</v>
      </c>
      <c r="R373" s="76">
        <v>4</v>
      </c>
      <c r="T373" s="78">
        <v>3</v>
      </c>
      <c r="V373" s="79">
        <v>1</v>
      </c>
      <c r="W373" s="80">
        <v>1</v>
      </c>
      <c r="AD373" s="33" t="s">
        <v>5510</v>
      </c>
      <c r="AF373" s="33" t="s">
        <v>5514</v>
      </c>
      <c r="AP373" s="83"/>
      <c r="AQ373" s="85"/>
      <c r="AR373" s="86"/>
      <c r="AS373" s="87"/>
      <c r="AV373" s="85"/>
      <c r="AW373" s="93"/>
      <c r="AX373" s="94"/>
      <c r="AY373" s="90"/>
      <c r="BB373" s="91"/>
    </row>
    <row r="374" spans="1:54" ht="15" customHeight="1">
      <c r="A374" s="33" t="s">
        <v>5157</v>
      </c>
      <c r="B374" s="33" t="s">
        <v>5515</v>
      </c>
      <c r="C374" s="33" t="s">
        <v>5161</v>
      </c>
      <c r="D374" s="34">
        <v>96</v>
      </c>
      <c r="E374" s="33">
        <v>2</v>
      </c>
      <c r="F374" s="33" t="s">
        <v>5508</v>
      </c>
      <c r="G374" s="33" t="s">
        <v>5516</v>
      </c>
      <c r="J374" s="33" t="s">
        <v>28</v>
      </c>
      <c r="AD374" s="33" t="s">
        <v>5517</v>
      </c>
      <c r="AF374" s="33" t="s">
        <v>5518</v>
      </c>
      <c r="AP374" s="83"/>
      <c r="AQ374" s="85"/>
      <c r="AR374" s="86"/>
      <c r="AS374" s="87"/>
      <c r="AV374" s="85"/>
      <c r="AW374" s="93"/>
      <c r="AX374" s="94"/>
      <c r="AY374" s="90"/>
      <c r="BB374" s="91"/>
    </row>
    <row r="375" spans="1:54" ht="15" customHeight="1">
      <c r="A375" s="33" t="s">
        <v>5157</v>
      </c>
      <c r="B375" s="33" t="s">
        <v>5519</v>
      </c>
      <c r="C375" s="33" t="s">
        <v>5161</v>
      </c>
      <c r="D375" s="34">
        <v>97</v>
      </c>
      <c r="E375" s="33">
        <v>2</v>
      </c>
      <c r="F375" s="33" t="s">
        <v>5520</v>
      </c>
      <c r="G375" s="33" t="s">
        <v>5521</v>
      </c>
      <c r="J375" s="33" t="s">
        <v>29</v>
      </c>
      <c r="Q375" s="75">
        <v>4</v>
      </c>
      <c r="R375" s="76">
        <v>2</v>
      </c>
      <c r="T375" s="78">
        <v>2</v>
      </c>
      <c r="V375" s="79">
        <v>2</v>
      </c>
      <c r="W375" s="80">
        <v>0</v>
      </c>
      <c r="AD375" s="33" t="s">
        <v>5522</v>
      </c>
      <c r="AF375" s="33" t="s">
        <v>5523</v>
      </c>
      <c r="AP375" s="83"/>
      <c r="AQ375" s="85"/>
      <c r="AR375" s="86"/>
      <c r="AS375" s="87"/>
      <c r="AV375" s="85"/>
      <c r="AW375" s="93"/>
      <c r="AX375" s="94"/>
      <c r="AY375" s="90"/>
      <c r="BB375" s="91"/>
    </row>
    <row r="376" spans="1:54" ht="15" customHeight="1">
      <c r="A376" s="33" t="s">
        <v>5157</v>
      </c>
      <c r="B376" s="33" t="s">
        <v>5524</v>
      </c>
      <c r="C376" s="33" t="s">
        <v>5161</v>
      </c>
      <c r="D376" s="34">
        <v>98</v>
      </c>
      <c r="E376" s="33">
        <v>2</v>
      </c>
      <c r="F376" s="33" t="s">
        <v>5520</v>
      </c>
      <c r="G376" s="33" t="s">
        <v>5525</v>
      </c>
      <c r="J376" s="33" t="s">
        <v>29</v>
      </c>
      <c r="Q376" s="75">
        <v>2</v>
      </c>
      <c r="R376" s="76">
        <v>2</v>
      </c>
      <c r="T376" s="78">
        <v>2</v>
      </c>
      <c r="V376" s="79">
        <v>1</v>
      </c>
      <c r="W376" s="80">
        <v>0</v>
      </c>
      <c r="AD376" s="33" t="s">
        <v>5522</v>
      </c>
      <c r="AF376" s="33" t="s">
        <v>5526</v>
      </c>
      <c r="AP376" s="83"/>
      <c r="AQ376" s="85"/>
      <c r="AR376" s="86"/>
      <c r="AS376" s="87"/>
      <c r="AV376" s="85"/>
      <c r="AW376" s="93"/>
      <c r="AX376" s="94"/>
      <c r="AY376" s="90"/>
      <c r="BB376" s="91"/>
    </row>
    <row r="377" spans="1:54" ht="15" customHeight="1">
      <c r="A377" s="33" t="s">
        <v>5157</v>
      </c>
      <c r="B377" s="33" t="s">
        <v>5527</v>
      </c>
      <c r="C377" s="33" t="s">
        <v>5161</v>
      </c>
      <c r="D377" s="34">
        <v>99</v>
      </c>
      <c r="E377" s="33">
        <v>2</v>
      </c>
      <c r="F377" s="33" t="s">
        <v>5520</v>
      </c>
      <c r="G377" s="33" t="s">
        <v>5528</v>
      </c>
      <c r="J377" s="33" t="s">
        <v>28</v>
      </c>
      <c r="AD377" s="33" t="s">
        <v>4161</v>
      </c>
      <c r="AF377" s="33" t="s">
        <v>5529</v>
      </c>
      <c r="AP377" s="83"/>
      <c r="AQ377" s="85"/>
      <c r="AR377" s="86"/>
      <c r="AS377" s="87"/>
      <c r="AV377" s="85"/>
      <c r="AW377" s="93"/>
      <c r="AX377" s="94"/>
      <c r="AY377" s="90"/>
      <c r="BB377" s="91"/>
    </row>
    <row r="378" spans="1:54" ht="15" customHeight="1">
      <c r="A378" s="33" t="s">
        <v>5157</v>
      </c>
      <c r="B378" s="33" t="s">
        <v>5530</v>
      </c>
      <c r="C378" s="33" t="s">
        <v>5161</v>
      </c>
      <c r="D378" s="34">
        <v>100</v>
      </c>
      <c r="E378" s="33">
        <v>2</v>
      </c>
      <c r="F378" s="33" t="s">
        <v>5531</v>
      </c>
      <c r="G378" s="33" t="s">
        <v>5532</v>
      </c>
      <c r="J378" s="33" t="s">
        <v>28</v>
      </c>
      <c r="AD378" s="33" t="s">
        <v>4340</v>
      </c>
      <c r="AF378" s="33" t="s">
        <v>5533</v>
      </c>
      <c r="AP378" s="83"/>
      <c r="AQ378" s="85"/>
      <c r="AR378" s="86"/>
      <c r="AS378" s="87"/>
      <c r="AV378" s="85"/>
      <c r="AW378" s="93"/>
      <c r="AX378" s="94"/>
      <c r="AY378" s="90"/>
      <c r="BB378" s="91"/>
    </row>
    <row r="379" spans="1:54" ht="15" customHeight="1">
      <c r="A379" s="33" t="s">
        <v>5157</v>
      </c>
      <c r="B379" s="33" t="s">
        <v>5534</v>
      </c>
      <c r="C379" s="33" t="s">
        <v>5161</v>
      </c>
      <c r="D379" s="34">
        <v>101</v>
      </c>
      <c r="E379" s="33">
        <v>2</v>
      </c>
      <c r="F379" s="33" t="s">
        <v>5531</v>
      </c>
      <c r="G379" s="33" t="s">
        <v>5535</v>
      </c>
      <c r="J379" s="33" t="s">
        <v>28</v>
      </c>
      <c r="AD379" s="33" t="s">
        <v>5536</v>
      </c>
      <c r="AF379" s="33" t="s">
        <v>5537</v>
      </c>
      <c r="AP379" s="83"/>
      <c r="AQ379" s="85"/>
      <c r="AR379" s="86"/>
      <c r="AS379" s="87"/>
      <c r="AV379" s="85"/>
      <c r="AW379" s="93"/>
      <c r="AX379" s="94"/>
      <c r="AY379" s="90"/>
      <c r="BB379" s="91"/>
    </row>
    <row r="380" spans="1:54" ht="15" customHeight="1">
      <c r="A380" s="33" t="s">
        <v>5157</v>
      </c>
      <c r="B380" s="33" t="s">
        <v>5538</v>
      </c>
      <c r="C380" s="33" t="s">
        <v>5161</v>
      </c>
      <c r="D380" s="34">
        <v>102</v>
      </c>
      <c r="E380" s="33">
        <v>2</v>
      </c>
      <c r="F380" s="33" t="s">
        <v>5531</v>
      </c>
      <c r="G380" s="33" t="s">
        <v>5539</v>
      </c>
      <c r="J380" s="33" t="s">
        <v>28</v>
      </c>
      <c r="AD380" s="33" t="s">
        <v>5540</v>
      </c>
      <c r="AF380" s="33" t="s">
        <v>5541</v>
      </c>
      <c r="AP380" s="83"/>
      <c r="AQ380" s="85"/>
      <c r="AR380" s="86"/>
      <c r="AS380" s="87"/>
      <c r="AV380" s="85"/>
      <c r="AW380" s="93"/>
      <c r="AX380" s="94"/>
      <c r="AY380" s="90"/>
      <c r="BB380" s="91"/>
    </row>
    <row r="381" spans="1:54" ht="15" customHeight="1">
      <c r="A381" s="33" t="s">
        <v>5157</v>
      </c>
      <c r="B381" s="33" t="s">
        <v>5542</v>
      </c>
      <c r="C381" s="33" t="s">
        <v>5161</v>
      </c>
      <c r="D381" s="34">
        <v>103</v>
      </c>
      <c r="E381" s="33">
        <v>2</v>
      </c>
      <c r="F381" s="33" t="s">
        <v>5543</v>
      </c>
      <c r="G381" s="33" t="s">
        <v>5544</v>
      </c>
      <c r="J381" s="33" t="s">
        <v>29</v>
      </c>
      <c r="Q381" s="75">
        <v>1</v>
      </c>
      <c r="R381" s="76">
        <v>4</v>
      </c>
      <c r="T381" s="78">
        <v>6</v>
      </c>
      <c r="V381" s="79">
        <v>1</v>
      </c>
      <c r="W381" s="80">
        <v>1</v>
      </c>
      <c r="AD381" s="33" t="s">
        <v>5545</v>
      </c>
      <c r="AF381" s="33" t="s">
        <v>5546</v>
      </c>
      <c r="AP381" s="83"/>
      <c r="AQ381" s="85"/>
      <c r="AR381" s="86"/>
      <c r="AS381" s="87"/>
      <c r="AV381" s="85"/>
      <c r="AW381" s="93"/>
      <c r="AX381" s="94"/>
      <c r="AY381" s="90"/>
      <c r="BB381" s="91"/>
    </row>
    <row r="382" spans="1:54" ht="15" customHeight="1">
      <c r="A382" s="33" t="s">
        <v>5157</v>
      </c>
      <c r="B382" s="33" t="s">
        <v>5547</v>
      </c>
      <c r="C382" s="33" t="s">
        <v>5161</v>
      </c>
      <c r="D382" s="34">
        <v>104</v>
      </c>
      <c r="E382" s="33">
        <v>1</v>
      </c>
      <c r="F382" s="33" t="s">
        <v>5543</v>
      </c>
      <c r="G382" s="33" t="s">
        <v>5548</v>
      </c>
      <c r="J382" s="33" t="s">
        <v>29</v>
      </c>
      <c r="Q382" s="75">
        <v>4</v>
      </c>
      <c r="R382" s="76">
        <v>2</v>
      </c>
      <c r="T382" s="78">
        <v>5</v>
      </c>
      <c r="V382" s="79">
        <v>2</v>
      </c>
      <c r="W382" s="80">
        <v>2</v>
      </c>
      <c r="AA382" s="82">
        <v>1</v>
      </c>
      <c r="AD382" s="33" t="s">
        <v>5545</v>
      </c>
      <c r="AF382" s="33" t="s">
        <v>5549</v>
      </c>
      <c r="AP382" s="83"/>
      <c r="AQ382" s="85"/>
      <c r="AR382" s="86"/>
      <c r="AS382" s="87"/>
      <c r="AV382" s="85"/>
      <c r="AW382" s="93"/>
      <c r="AX382" s="94"/>
      <c r="AY382" s="90"/>
      <c r="BB382" s="91"/>
    </row>
    <row r="383" spans="1:54" ht="15" customHeight="1">
      <c r="A383" s="33" t="s">
        <v>5157</v>
      </c>
      <c r="B383" s="38" t="s">
        <v>5562</v>
      </c>
      <c r="C383" s="38" t="s">
        <v>5161</v>
      </c>
      <c r="D383" s="41">
        <v>995</v>
      </c>
      <c r="E383" s="38">
        <v>1</v>
      </c>
      <c r="F383" s="38"/>
      <c r="G383" s="33" t="s">
        <v>5162</v>
      </c>
      <c r="J383" s="33" t="s">
        <v>4715</v>
      </c>
      <c r="K383" s="33" t="s">
        <v>4052</v>
      </c>
      <c r="N383" s="83"/>
      <c r="O383" s="85"/>
      <c r="P383" s="86"/>
      <c r="Q383" s="87"/>
      <c r="U383" s="85"/>
      <c r="V383" s="93"/>
      <c r="W383" s="94"/>
      <c r="X383" s="90"/>
      <c r="AA383" s="91"/>
      <c r="AB383" s="52"/>
      <c r="AE383" s="33"/>
      <c r="AI383" s="33" t="s">
        <v>5162</v>
      </c>
      <c r="AL383" s="33" t="s">
        <v>4715</v>
      </c>
      <c r="AP383" s="83"/>
      <c r="AQ383" s="85"/>
      <c r="AR383" s="86"/>
      <c r="AS383" s="87"/>
      <c r="AV383" s="85"/>
      <c r="AW383" s="93"/>
      <c r="AX383" s="94"/>
      <c r="AY383" s="90"/>
      <c r="BB383" s="91"/>
    </row>
    <row r="384" spans="1:54" ht="15" customHeight="1">
      <c r="A384" s="33" t="s">
        <v>5157</v>
      </c>
      <c r="B384" s="33" t="s">
        <v>5563</v>
      </c>
      <c r="C384" s="33" t="s">
        <v>5161</v>
      </c>
      <c r="D384" s="34">
        <v>996</v>
      </c>
      <c r="E384" s="33">
        <v>1</v>
      </c>
      <c r="G384" s="33" t="s">
        <v>5169</v>
      </c>
      <c r="J384" s="33" t="s">
        <v>4715</v>
      </c>
      <c r="K384" s="33" t="s">
        <v>4053</v>
      </c>
      <c r="N384" s="83"/>
      <c r="O384" s="85"/>
      <c r="P384" s="86"/>
      <c r="Q384" s="87"/>
      <c r="U384" s="85"/>
      <c r="V384" s="93"/>
      <c r="W384" s="94"/>
      <c r="X384" s="90"/>
      <c r="AA384" s="91"/>
      <c r="AB384" s="52"/>
      <c r="AE384" s="33"/>
      <c r="AI384" s="33" t="s">
        <v>5169</v>
      </c>
      <c r="AL384" s="33" t="s">
        <v>4715</v>
      </c>
      <c r="AP384" s="83"/>
      <c r="AQ384" s="85"/>
      <c r="AR384" s="86"/>
      <c r="AS384" s="87"/>
      <c r="AV384" s="85"/>
      <c r="AW384" s="93"/>
      <c r="AX384" s="94"/>
      <c r="AY384" s="90"/>
      <c r="BB384" s="91"/>
    </row>
    <row r="385" spans="1:68" ht="15" customHeight="1">
      <c r="A385" s="33" t="s">
        <v>5157</v>
      </c>
      <c r="B385" s="33" t="s">
        <v>5564</v>
      </c>
      <c r="C385" s="33" t="s">
        <v>5161</v>
      </c>
      <c r="D385" s="34">
        <v>997</v>
      </c>
      <c r="E385" s="33">
        <v>1</v>
      </c>
      <c r="G385" s="33" t="s">
        <v>5176</v>
      </c>
      <c r="J385" s="33" t="s">
        <v>4715</v>
      </c>
      <c r="K385" s="33" t="s">
        <v>4055</v>
      </c>
      <c r="N385" s="83"/>
      <c r="O385" s="85"/>
      <c r="P385" s="86"/>
      <c r="Q385" s="87"/>
      <c r="U385" s="85"/>
      <c r="V385" s="93"/>
      <c r="W385" s="94"/>
      <c r="X385" s="90"/>
      <c r="AA385" s="91"/>
      <c r="AB385" s="52"/>
      <c r="AE385" s="33"/>
      <c r="AI385" s="33" t="s">
        <v>5176</v>
      </c>
      <c r="AL385" s="33" t="s">
        <v>4715</v>
      </c>
      <c r="AP385" s="83"/>
      <c r="AQ385" s="85"/>
      <c r="AR385" s="86"/>
      <c r="AS385" s="87"/>
      <c r="AV385" s="85"/>
      <c r="AW385" s="93"/>
      <c r="AX385" s="94"/>
      <c r="AY385" s="90"/>
      <c r="BB385" s="91"/>
    </row>
    <row r="386" spans="1:68" ht="15" customHeight="1">
      <c r="A386" s="33" t="s">
        <v>5157</v>
      </c>
      <c r="B386" s="40" t="s">
        <v>5565</v>
      </c>
      <c r="C386" s="33" t="s">
        <v>5161</v>
      </c>
      <c r="D386" s="34">
        <v>998</v>
      </c>
      <c r="E386" s="33">
        <v>1</v>
      </c>
      <c r="G386" s="33" t="s">
        <v>5182</v>
      </c>
      <c r="J386" s="33" t="s">
        <v>4715</v>
      </c>
      <c r="K386" s="33" t="s">
        <v>4054</v>
      </c>
      <c r="N386" s="83"/>
      <c r="O386" s="85"/>
      <c r="P386" s="86"/>
      <c r="Q386" s="87"/>
      <c r="U386" s="85"/>
      <c r="V386" s="93"/>
      <c r="W386" s="94"/>
      <c r="X386" s="90"/>
      <c r="AA386" s="91"/>
      <c r="AB386" s="52"/>
      <c r="AE386" s="33"/>
      <c r="AI386" s="33" t="s">
        <v>5182</v>
      </c>
      <c r="AL386" s="33" t="s">
        <v>4715</v>
      </c>
      <c r="AP386" s="83"/>
      <c r="AQ386" s="85"/>
      <c r="AR386" s="86"/>
      <c r="AS386" s="87"/>
      <c r="AV386" s="85"/>
      <c r="AW386" s="93"/>
      <c r="AX386" s="94"/>
      <c r="AY386" s="90"/>
      <c r="BB386" s="91"/>
    </row>
    <row r="387" spans="1:68" s="42" customFormat="1" ht="15" customHeight="1">
      <c r="A387" s="33" t="s">
        <v>5157</v>
      </c>
      <c r="B387" s="42" t="s">
        <v>5566</v>
      </c>
      <c r="C387" s="42" t="s">
        <v>5161</v>
      </c>
      <c r="D387" s="42">
        <v>999</v>
      </c>
      <c r="E387" s="42">
        <v>1</v>
      </c>
      <c r="G387" s="33" t="s">
        <v>5188</v>
      </c>
      <c r="J387" s="42" t="s">
        <v>4715</v>
      </c>
      <c r="K387" s="42" t="s">
        <v>4056</v>
      </c>
      <c r="N387" s="95"/>
      <c r="O387" s="96"/>
      <c r="P387" s="97"/>
      <c r="Q387" s="98"/>
      <c r="R387" s="99"/>
      <c r="S387" s="123"/>
      <c r="T387" s="100"/>
      <c r="U387" s="96"/>
      <c r="V387" s="101"/>
      <c r="W387" s="102"/>
      <c r="X387" s="103"/>
      <c r="Y387" s="99"/>
      <c r="Z387" s="100"/>
      <c r="AA387" s="104"/>
      <c r="AI387" s="33" t="s">
        <v>5188</v>
      </c>
      <c r="AL387" s="42" t="s">
        <v>4715</v>
      </c>
      <c r="AP387" s="95"/>
      <c r="AQ387" s="96"/>
      <c r="AR387" s="97"/>
      <c r="AS387" s="98"/>
      <c r="AT387" s="99"/>
      <c r="AU387" s="100"/>
      <c r="AV387" s="96"/>
      <c r="AW387" s="101"/>
      <c r="AX387" s="102"/>
      <c r="AY387" s="103"/>
      <c r="AZ387" s="99"/>
      <c r="BA387" s="100"/>
      <c r="BB387" s="104"/>
      <c r="BF387" s="35"/>
    </row>
    <row r="388" spans="1:68" ht="15" customHeight="1">
      <c r="A388" s="51" t="s">
        <v>5568</v>
      </c>
      <c r="B388" s="51" t="s">
        <v>5750</v>
      </c>
      <c r="C388" s="51" t="s">
        <v>5829</v>
      </c>
      <c r="D388" s="63">
        <v>105</v>
      </c>
      <c r="E388" s="64">
        <v>2</v>
      </c>
      <c r="F388" s="64"/>
      <c r="G388" s="64" t="s">
        <v>5574</v>
      </c>
      <c r="H388" s="43"/>
      <c r="I388" s="43"/>
      <c r="J388" s="43" t="s">
        <v>27</v>
      </c>
      <c r="K388" s="43" t="s">
        <v>4052</v>
      </c>
      <c r="L388" s="43"/>
      <c r="M388" s="43"/>
      <c r="N388" s="114">
        <v>2</v>
      </c>
      <c r="O388" s="115"/>
      <c r="P388" s="116"/>
      <c r="Q388" s="117"/>
      <c r="R388" s="77"/>
      <c r="U388" s="115"/>
      <c r="V388" s="118"/>
      <c r="W388" s="119"/>
      <c r="X388" s="120"/>
      <c r="Y388" s="77"/>
      <c r="AA388" s="121"/>
      <c r="AB388" s="62" t="s">
        <v>4943</v>
      </c>
      <c r="AC388" s="43"/>
      <c r="AD388" s="43" t="s">
        <v>5575</v>
      </c>
      <c r="AF388" s="33" t="s">
        <v>5576</v>
      </c>
      <c r="AH388" s="43"/>
      <c r="AI388" s="43"/>
      <c r="AJ388" s="43"/>
      <c r="AK388" s="43"/>
      <c r="AL388" s="43"/>
      <c r="AM388" s="43"/>
      <c r="AN388" s="43"/>
      <c r="AO388" s="43"/>
      <c r="AP388" s="122"/>
      <c r="AQ388" s="115"/>
      <c r="AR388" s="116"/>
      <c r="AS388" s="117"/>
      <c r="AT388" s="77"/>
      <c r="AV388" s="115"/>
      <c r="AW388" s="118"/>
      <c r="AX388" s="119"/>
      <c r="AY388" s="120"/>
      <c r="AZ388" s="77"/>
      <c r="BB388" s="121"/>
      <c r="BC388" s="43"/>
      <c r="BD388" s="43"/>
      <c r="BE388" s="43"/>
      <c r="BI388" s="43"/>
      <c r="BJ388" s="43"/>
      <c r="BK388" s="43"/>
      <c r="BL388" s="43"/>
      <c r="BM388" s="43"/>
      <c r="BN388" s="43"/>
      <c r="BO388" s="43"/>
      <c r="BP388" s="43"/>
    </row>
    <row r="389" spans="1:68" ht="15" customHeight="1">
      <c r="A389" s="33" t="s">
        <v>5568</v>
      </c>
      <c r="B389" s="33" t="s">
        <v>5751</v>
      </c>
      <c r="C389" s="33" t="s">
        <v>5829</v>
      </c>
      <c r="D389" s="65">
        <v>106</v>
      </c>
      <c r="E389" s="43">
        <v>2</v>
      </c>
      <c r="F389" s="43"/>
      <c r="G389" s="43" t="s">
        <v>5577</v>
      </c>
      <c r="H389" s="43"/>
      <c r="I389" s="43" t="s">
        <v>4077</v>
      </c>
      <c r="J389" s="43" t="s">
        <v>4111</v>
      </c>
      <c r="K389" s="43" t="s">
        <v>4052</v>
      </c>
      <c r="L389" s="43">
        <v>1</v>
      </c>
      <c r="M389" s="43"/>
      <c r="N389" s="114">
        <v>5</v>
      </c>
      <c r="O389" s="115"/>
      <c r="P389" s="116"/>
      <c r="Q389" s="117"/>
      <c r="R389" s="77"/>
      <c r="T389" s="78">
        <v>3</v>
      </c>
      <c r="U389" s="115">
        <v>3</v>
      </c>
      <c r="V389" s="118"/>
      <c r="W389" s="119"/>
      <c r="X389" s="120"/>
      <c r="Y389" s="77"/>
      <c r="AA389" s="121"/>
      <c r="AB389" s="62" t="s">
        <v>4058</v>
      </c>
      <c r="AC389" s="43" t="s">
        <v>25</v>
      </c>
      <c r="AD389" s="43" t="s">
        <v>5578</v>
      </c>
      <c r="AF389" s="33" t="s">
        <v>5579</v>
      </c>
      <c r="AH389" s="43"/>
      <c r="AI389" s="43"/>
      <c r="AJ389" s="43"/>
      <c r="AK389" s="43"/>
      <c r="AL389" s="43"/>
      <c r="AM389" s="43"/>
      <c r="AN389" s="43"/>
      <c r="AO389" s="43"/>
      <c r="AP389" s="122"/>
      <c r="AQ389" s="115"/>
      <c r="AR389" s="116"/>
      <c r="AS389" s="117"/>
      <c r="AT389" s="77"/>
      <c r="AV389" s="115"/>
      <c r="AW389" s="118"/>
      <c r="AX389" s="119"/>
      <c r="AY389" s="120"/>
      <c r="AZ389" s="77"/>
      <c r="BB389" s="121"/>
      <c r="BC389" s="43"/>
      <c r="BD389" s="43"/>
      <c r="BE389" s="43"/>
      <c r="BI389" s="43"/>
      <c r="BJ389" s="43"/>
      <c r="BK389" s="43"/>
      <c r="BL389" s="43"/>
      <c r="BM389" s="43"/>
      <c r="BN389" s="43"/>
      <c r="BO389" s="43"/>
      <c r="BP389" s="43"/>
    </row>
    <row r="390" spans="1:68" ht="15" customHeight="1">
      <c r="A390" s="33" t="s">
        <v>5568</v>
      </c>
      <c r="B390" s="33" t="s">
        <v>5752</v>
      </c>
      <c r="C390" s="33" t="s">
        <v>5829</v>
      </c>
      <c r="D390" s="65">
        <v>107</v>
      </c>
      <c r="E390" s="43">
        <v>2</v>
      </c>
      <c r="F390" s="43"/>
      <c r="G390" s="43" t="s">
        <v>5580</v>
      </c>
      <c r="H390" s="43"/>
      <c r="I390" s="43"/>
      <c r="J390" s="43" t="s">
        <v>27</v>
      </c>
      <c r="K390" s="43" t="s">
        <v>4053</v>
      </c>
      <c r="L390" s="43"/>
      <c r="M390" s="43"/>
      <c r="N390" s="114">
        <v>3</v>
      </c>
      <c r="O390" s="115"/>
      <c r="P390" s="116"/>
      <c r="Q390" s="117"/>
      <c r="R390" s="77"/>
      <c r="U390" s="115"/>
      <c r="V390" s="118"/>
      <c r="W390" s="119"/>
      <c r="X390" s="120"/>
      <c r="Y390" s="77"/>
      <c r="AA390" s="121"/>
      <c r="AB390" s="62" t="s">
        <v>4945</v>
      </c>
      <c r="AC390" s="43"/>
      <c r="AD390" s="43" t="s">
        <v>4198</v>
      </c>
      <c r="AF390" s="33" t="s">
        <v>5581</v>
      </c>
      <c r="AH390" s="43"/>
      <c r="AI390" s="43"/>
      <c r="AJ390" s="43"/>
      <c r="AK390" s="43"/>
      <c r="AL390" s="43"/>
      <c r="AM390" s="43"/>
      <c r="AN390" s="43"/>
      <c r="AO390" s="43"/>
      <c r="AP390" s="122"/>
      <c r="AQ390" s="115"/>
      <c r="AR390" s="116"/>
      <c r="AS390" s="117"/>
      <c r="AT390" s="77"/>
      <c r="AV390" s="115"/>
      <c r="AW390" s="118"/>
      <c r="AX390" s="119"/>
      <c r="AY390" s="120"/>
      <c r="AZ390" s="77"/>
      <c r="BB390" s="121"/>
      <c r="BC390" s="43"/>
      <c r="BD390" s="43"/>
      <c r="BE390" s="43"/>
      <c r="BI390" s="43"/>
      <c r="BJ390" s="43"/>
      <c r="BK390" s="43"/>
      <c r="BL390" s="43"/>
      <c r="BM390" s="43"/>
      <c r="BN390" s="43"/>
      <c r="BO390" s="43"/>
      <c r="BP390" s="43"/>
    </row>
    <row r="391" spans="1:68" ht="15" customHeight="1">
      <c r="A391" s="33" t="s">
        <v>5568</v>
      </c>
      <c r="B391" s="33" t="s">
        <v>5753</v>
      </c>
      <c r="C391" s="33" t="s">
        <v>5829</v>
      </c>
      <c r="D391" s="65">
        <v>108</v>
      </c>
      <c r="E391" s="43">
        <v>2</v>
      </c>
      <c r="F391" s="43"/>
      <c r="G391" s="43" t="s">
        <v>5582</v>
      </c>
      <c r="H391" s="43"/>
      <c r="I391" s="43"/>
      <c r="J391" s="43" t="s">
        <v>4111</v>
      </c>
      <c r="K391" s="43" t="s">
        <v>4053</v>
      </c>
      <c r="L391" s="43">
        <v>1</v>
      </c>
      <c r="M391" s="43"/>
      <c r="N391" s="114">
        <v>3</v>
      </c>
      <c r="O391" s="115"/>
      <c r="P391" s="116"/>
      <c r="Q391" s="117"/>
      <c r="R391" s="77"/>
      <c r="U391" s="115"/>
      <c r="V391" s="118"/>
      <c r="W391" s="119"/>
      <c r="X391" s="120"/>
      <c r="Y391" s="77"/>
      <c r="AA391" s="121"/>
      <c r="AB391" s="62" t="s">
        <v>4061</v>
      </c>
      <c r="AC391" s="43"/>
      <c r="AD391" s="43" t="s">
        <v>4143</v>
      </c>
      <c r="AF391" s="33" t="s">
        <v>5583</v>
      </c>
      <c r="AH391" s="43"/>
      <c r="AI391" s="43"/>
      <c r="AJ391" s="43"/>
      <c r="AK391" s="43"/>
      <c r="AL391" s="43"/>
      <c r="AM391" s="43"/>
      <c r="AN391" s="43"/>
      <c r="AO391" s="43"/>
      <c r="AP391" s="122"/>
      <c r="AQ391" s="115"/>
      <c r="AR391" s="116"/>
      <c r="AS391" s="117"/>
      <c r="AT391" s="77"/>
      <c r="AV391" s="115"/>
      <c r="AW391" s="118"/>
      <c r="AX391" s="119"/>
      <c r="AY391" s="120"/>
      <c r="AZ391" s="77"/>
      <c r="BB391" s="121"/>
      <c r="BC391" s="43"/>
      <c r="BD391" s="43"/>
      <c r="BE391" s="43"/>
      <c r="BI391" s="43"/>
      <c r="BJ391" s="43"/>
      <c r="BK391" s="43"/>
      <c r="BL391" s="43"/>
      <c r="BM391" s="43"/>
      <c r="BN391" s="43"/>
      <c r="BO391" s="43"/>
      <c r="BP391" s="43"/>
    </row>
    <row r="392" spans="1:68" ht="15" customHeight="1">
      <c r="A392" s="33" t="s">
        <v>5568</v>
      </c>
      <c r="B392" s="33" t="s">
        <v>5754</v>
      </c>
      <c r="C392" s="33" t="s">
        <v>5829</v>
      </c>
      <c r="D392" s="65">
        <v>109</v>
      </c>
      <c r="E392" s="43">
        <v>2</v>
      </c>
      <c r="F392" s="43"/>
      <c r="G392" s="43" t="s">
        <v>5584</v>
      </c>
      <c r="H392" s="43"/>
      <c r="I392" s="43"/>
      <c r="J392" s="43" t="s">
        <v>27</v>
      </c>
      <c r="K392" s="43" t="s">
        <v>4055</v>
      </c>
      <c r="L392" s="43"/>
      <c r="M392" s="43"/>
      <c r="N392" s="114">
        <v>4</v>
      </c>
      <c r="O392" s="115"/>
      <c r="P392" s="116"/>
      <c r="Q392" s="117"/>
      <c r="R392" s="77"/>
      <c r="U392" s="115"/>
      <c r="V392" s="118"/>
      <c r="W392" s="119"/>
      <c r="X392" s="120"/>
      <c r="Y392" s="77"/>
      <c r="AA392" s="121"/>
      <c r="AB392" s="62" t="s">
        <v>4946</v>
      </c>
      <c r="AC392" s="43"/>
      <c r="AD392" s="43" t="s">
        <v>5585</v>
      </c>
      <c r="AF392" s="33" t="s">
        <v>5586</v>
      </c>
      <c r="AH392" s="43"/>
      <c r="AI392" s="43"/>
      <c r="AJ392" s="43"/>
      <c r="AK392" s="43"/>
      <c r="AL392" s="43"/>
      <c r="AM392" s="43"/>
      <c r="AN392" s="43"/>
      <c r="AO392" s="43"/>
      <c r="AP392" s="122"/>
      <c r="AQ392" s="115"/>
      <c r="AR392" s="116"/>
      <c r="AS392" s="117"/>
      <c r="AT392" s="77"/>
      <c r="AV392" s="115"/>
      <c r="AW392" s="118"/>
      <c r="AX392" s="119"/>
      <c r="AY392" s="120"/>
      <c r="AZ392" s="77"/>
      <c r="BB392" s="121"/>
      <c r="BC392" s="43"/>
      <c r="BD392" s="43"/>
      <c r="BE392" s="43"/>
      <c r="BI392" s="43"/>
      <c r="BJ392" s="43"/>
      <c r="BK392" s="43"/>
      <c r="BL392" s="43"/>
      <c r="BM392" s="43"/>
      <c r="BN392" s="43"/>
      <c r="BO392" s="43"/>
      <c r="BP392" s="43"/>
    </row>
    <row r="393" spans="1:68" ht="15" customHeight="1">
      <c r="A393" s="33" t="s">
        <v>5568</v>
      </c>
      <c r="B393" s="33" t="s">
        <v>5755</v>
      </c>
      <c r="C393" s="33" t="s">
        <v>5829</v>
      </c>
      <c r="D393" s="65">
        <v>110</v>
      </c>
      <c r="E393" s="43">
        <v>2</v>
      </c>
      <c r="F393" s="43"/>
      <c r="G393" s="43" t="s">
        <v>5587</v>
      </c>
      <c r="H393" s="43"/>
      <c r="I393" s="43"/>
      <c r="J393" s="43" t="s">
        <v>4111</v>
      </c>
      <c r="K393" s="43" t="s">
        <v>4055</v>
      </c>
      <c r="L393" s="43">
        <v>1</v>
      </c>
      <c r="M393" s="43"/>
      <c r="N393" s="114" t="s">
        <v>38</v>
      </c>
      <c r="O393" s="115"/>
      <c r="P393" s="116"/>
      <c r="Q393" s="117"/>
      <c r="R393" s="77"/>
      <c r="U393" s="115"/>
      <c r="V393" s="118"/>
      <c r="W393" s="119"/>
      <c r="X393" s="120"/>
      <c r="Y393" s="77"/>
      <c r="AA393" s="121"/>
      <c r="AB393" s="62"/>
      <c r="AC393" s="43"/>
      <c r="AD393" s="43" t="s">
        <v>4143</v>
      </c>
      <c r="AE393" s="34" t="s">
        <v>5832</v>
      </c>
      <c r="AF393" s="33" t="s">
        <v>6232</v>
      </c>
      <c r="AH393" s="43"/>
      <c r="AI393" s="43"/>
      <c r="AJ393" s="43"/>
      <c r="AK393" s="43"/>
      <c r="AL393" s="43"/>
      <c r="AM393" s="43"/>
      <c r="AN393" s="43"/>
      <c r="AO393" s="43"/>
      <c r="AP393" s="122"/>
      <c r="AQ393" s="115"/>
      <c r="AR393" s="116"/>
      <c r="AS393" s="117"/>
      <c r="AT393" s="77"/>
      <c r="AV393" s="115"/>
      <c r="AW393" s="118"/>
      <c r="AX393" s="119"/>
      <c r="AY393" s="120"/>
      <c r="AZ393" s="77"/>
      <c r="BB393" s="121"/>
      <c r="BC393" s="43"/>
      <c r="BD393" s="43"/>
      <c r="BE393" s="43"/>
      <c r="BI393" s="43"/>
      <c r="BJ393" s="43"/>
      <c r="BK393" s="43"/>
      <c r="BL393" s="43"/>
      <c r="BM393" s="43"/>
      <c r="BN393" s="43"/>
      <c r="BO393" s="43"/>
      <c r="BP393" s="43"/>
    </row>
    <row r="394" spans="1:68" ht="15" customHeight="1">
      <c r="A394" s="33" t="s">
        <v>5568</v>
      </c>
      <c r="B394" s="33" t="s">
        <v>5756</v>
      </c>
      <c r="C394" s="33" t="s">
        <v>5829</v>
      </c>
      <c r="D394" s="65">
        <v>111</v>
      </c>
      <c r="E394" s="43">
        <v>2</v>
      </c>
      <c r="F394" s="43"/>
      <c r="G394" s="43" t="s">
        <v>5588</v>
      </c>
      <c r="H394" s="43"/>
      <c r="I394" s="43"/>
      <c r="J394" s="43" t="s">
        <v>27</v>
      </c>
      <c r="K394" s="43" t="s">
        <v>4054</v>
      </c>
      <c r="L394" s="43"/>
      <c r="M394" s="43"/>
      <c r="N394" s="114">
        <v>1</v>
      </c>
      <c r="O394" s="115"/>
      <c r="P394" s="116"/>
      <c r="Q394" s="117"/>
      <c r="R394" s="77"/>
      <c r="U394" s="115"/>
      <c r="V394" s="118"/>
      <c r="W394" s="119"/>
      <c r="X394" s="120"/>
      <c r="Y394" s="77"/>
      <c r="AA394" s="121">
        <v>1</v>
      </c>
      <c r="AB394" s="62"/>
      <c r="AC394" s="43"/>
      <c r="AD394" s="43" t="s">
        <v>4194</v>
      </c>
      <c r="AF394" s="33" t="s">
        <v>5589</v>
      </c>
      <c r="AH394" s="43"/>
      <c r="AI394" s="43"/>
      <c r="AJ394" s="43"/>
      <c r="AK394" s="43"/>
      <c r="AL394" s="43"/>
      <c r="AM394" s="43"/>
      <c r="AN394" s="43"/>
      <c r="AO394" s="43"/>
      <c r="AP394" s="122"/>
      <c r="AQ394" s="115"/>
      <c r="AR394" s="116"/>
      <c r="AS394" s="117"/>
      <c r="AT394" s="77"/>
      <c r="AV394" s="115"/>
      <c r="AW394" s="118"/>
      <c r="AX394" s="119"/>
      <c r="AY394" s="120"/>
      <c r="AZ394" s="77"/>
      <c r="BB394" s="121"/>
      <c r="BC394" s="43"/>
      <c r="BD394" s="43"/>
      <c r="BE394" s="43"/>
      <c r="BI394" s="43"/>
      <c r="BJ394" s="43"/>
      <c r="BK394" s="43"/>
      <c r="BL394" s="43"/>
      <c r="BM394" s="43"/>
      <c r="BN394" s="43"/>
      <c r="BO394" s="43"/>
      <c r="BP394" s="43"/>
    </row>
    <row r="395" spans="1:68" ht="15" customHeight="1">
      <c r="A395" s="33" t="s">
        <v>5568</v>
      </c>
      <c r="B395" s="33" t="s">
        <v>5757</v>
      </c>
      <c r="C395" s="33" t="s">
        <v>5829</v>
      </c>
      <c r="D395" s="65">
        <v>112</v>
      </c>
      <c r="E395" s="43">
        <v>2</v>
      </c>
      <c r="F395" s="43"/>
      <c r="G395" s="43" t="s">
        <v>5590</v>
      </c>
      <c r="H395" s="43"/>
      <c r="I395" s="43"/>
      <c r="J395" s="43" t="s">
        <v>4111</v>
      </c>
      <c r="K395" s="43" t="s">
        <v>4054</v>
      </c>
      <c r="L395" s="43">
        <v>2</v>
      </c>
      <c r="M395" s="43"/>
      <c r="N395" s="114">
        <v>2</v>
      </c>
      <c r="O395" s="115"/>
      <c r="P395" s="116"/>
      <c r="Q395" s="117"/>
      <c r="R395" s="77"/>
      <c r="U395" s="115"/>
      <c r="V395" s="118"/>
      <c r="W395" s="119"/>
      <c r="X395" s="120"/>
      <c r="Y395" s="77"/>
      <c r="AA395" s="121"/>
      <c r="AB395" s="62" t="s">
        <v>4058</v>
      </c>
      <c r="AC395" s="43" t="s">
        <v>4232</v>
      </c>
      <c r="AD395" s="43" t="s">
        <v>4973</v>
      </c>
      <c r="AF395" s="33" t="s">
        <v>5591</v>
      </c>
      <c r="AH395" s="43"/>
      <c r="AI395" s="43"/>
      <c r="AJ395" s="43"/>
      <c r="AK395" s="43"/>
      <c r="AL395" s="43"/>
      <c r="AM395" s="43"/>
      <c r="AN395" s="43"/>
      <c r="AO395" s="43"/>
      <c r="AP395" s="122"/>
      <c r="AQ395" s="115"/>
      <c r="AR395" s="116"/>
      <c r="AS395" s="117"/>
      <c r="AT395" s="77"/>
      <c r="AV395" s="115"/>
      <c r="AW395" s="118"/>
      <c r="AX395" s="119"/>
      <c r="AY395" s="120"/>
      <c r="AZ395" s="77"/>
      <c r="BB395" s="121"/>
      <c r="BC395" s="43"/>
      <c r="BD395" s="43"/>
      <c r="BE395" s="43"/>
      <c r="BI395" s="43"/>
      <c r="BJ395" s="43"/>
      <c r="BK395" s="43"/>
      <c r="BL395" s="43"/>
      <c r="BM395" s="43"/>
      <c r="BN395" s="43"/>
      <c r="BO395" s="43"/>
      <c r="BP395" s="43"/>
    </row>
    <row r="396" spans="1:68" ht="15" customHeight="1">
      <c r="A396" s="33" t="s">
        <v>5568</v>
      </c>
      <c r="B396" s="33" t="s">
        <v>5758</v>
      </c>
      <c r="C396" s="33" t="s">
        <v>5829</v>
      </c>
      <c r="D396" s="65">
        <v>113</v>
      </c>
      <c r="E396" s="43">
        <v>2</v>
      </c>
      <c r="F396" s="43"/>
      <c r="G396" s="43" t="s">
        <v>5592</v>
      </c>
      <c r="H396" s="43"/>
      <c r="I396" s="43"/>
      <c r="J396" s="43" t="s">
        <v>27</v>
      </c>
      <c r="K396" s="43" t="s">
        <v>4056</v>
      </c>
      <c r="L396" s="43"/>
      <c r="M396" s="43"/>
      <c r="N396" s="114">
        <v>2</v>
      </c>
      <c r="O396" s="115"/>
      <c r="P396" s="116"/>
      <c r="Q396" s="117"/>
      <c r="R396" s="77"/>
      <c r="U396" s="115"/>
      <c r="V396" s="118"/>
      <c r="W396" s="119"/>
      <c r="X396" s="120"/>
      <c r="Y396" s="77"/>
      <c r="AA396" s="121"/>
      <c r="AB396" s="62" t="s">
        <v>4942</v>
      </c>
      <c r="AC396" s="43"/>
      <c r="AD396" s="43" t="s">
        <v>4226</v>
      </c>
      <c r="AF396" s="33" t="s">
        <v>5593</v>
      </c>
      <c r="AH396" s="43"/>
      <c r="AI396" s="43"/>
      <c r="AJ396" s="43"/>
      <c r="AK396" s="43"/>
      <c r="AL396" s="43"/>
      <c r="AM396" s="43"/>
      <c r="AN396" s="43"/>
      <c r="AO396" s="43"/>
      <c r="AP396" s="122"/>
      <c r="AQ396" s="115"/>
      <c r="AR396" s="116"/>
      <c r="AS396" s="117"/>
      <c r="AT396" s="77"/>
      <c r="AV396" s="115"/>
      <c r="AW396" s="118"/>
      <c r="AX396" s="119"/>
      <c r="AY396" s="120"/>
      <c r="AZ396" s="77"/>
      <c r="BB396" s="121"/>
      <c r="BC396" s="43"/>
      <c r="BD396" s="43"/>
      <c r="BE396" s="43"/>
      <c r="BI396" s="43"/>
      <c r="BJ396" s="43"/>
      <c r="BK396" s="43"/>
      <c r="BL396" s="43"/>
      <c r="BM396" s="43"/>
      <c r="BN396" s="43"/>
      <c r="BO396" s="43"/>
      <c r="BP396" s="43"/>
    </row>
    <row r="397" spans="1:68" ht="15" customHeight="1">
      <c r="A397" s="33" t="s">
        <v>5568</v>
      </c>
      <c r="B397" s="33" t="s">
        <v>5759</v>
      </c>
      <c r="C397" s="33" t="s">
        <v>5829</v>
      </c>
      <c r="D397" s="65">
        <v>114</v>
      </c>
      <c r="E397" s="43">
        <v>2</v>
      </c>
      <c r="F397" s="43"/>
      <c r="G397" s="43" t="s">
        <v>5594</v>
      </c>
      <c r="H397" s="43"/>
      <c r="I397" s="43"/>
      <c r="J397" s="43" t="s">
        <v>4111</v>
      </c>
      <c r="K397" s="43" t="s">
        <v>4056</v>
      </c>
      <c r="L397" s="43">
        <v>1</v>
      </c>
      <c r="M397" s="43"/>
      <c r="N397" s="114">
        <v>2</v>
      </c>
      <c r="O397" s="115"/>
      <c r="P397" s="116"/>
      <c r="Q397" s="117"/>
      <c r="R397" s="77"/>
      <c r="U397" s="115"/>
      <c r="V397" s="118"/>
      <c r="W397" s="119"/>
      <c r="X397" s="120"/>
      <c r="Y397" s="77"/>
      <c r="AA397" s="121"/>
      <c r="AB397" s="62" t="s">
        <v>4061</v>
      </c>
      <c r="AC397" s="43" t="s">
        <v>4112</v>
      </c>
      <c r="AD397" s="43" t="s">
        <v>5595</v>
      </c>
      <c r="AF397" s="33" t="s">
        <v>5596</v>
      </c>
      <c r="AH397" s="43"/>
      <c r="AI397" s="43"/>
      <c r="AJ397" s="43"/>
      <c r="AK397" s="43"/>
      <c r="AL397" s="43"/>
      <c r="AM397" s="43"/>
      <c r="AN397" s="43"/>
      <c r="AO397" s="43"/>
      <c r="AP397" s="122"/>
      <c r="AQ397" s="115"/>
      <c r="AR397" s="116"/>
      <c r="AS397" s="117"/>
      <c r="AT397" s="77"/>
      <c r="AV397" s="115"/>
      <c r="AW397" s="118"/>
      <c r="AX397" s="119"/>
      <c r="AY397" s="120"/>
      <c r="AZ397" s="77"/>
      <c r="BB397" s="121"/>
      <c r="BC397" s="43"/>
      <c r="BD397" s="43"/>
      <c r="BE397" s="43"/>
      <c r="BI397" s="43"/>
      <c r="BJ397" s="43"/>
      <c r="BK397" s="43"/>
      <c r="BL397" s="43"/>
      <c r="BM397" s="43"/>
      <c r="BN397" s="43"/>
      <c r="BO397" s="43"/>
      <c r="BP397" s="43"/>
    </row>
    <row r="398" spans="1:68" ht="15" customHeight="1">
      <c r="A398" s="33" t="s">
        <v>5568</v>
      </c>
      <c r="B398" s="33" t="s">
        <v>5760</v>
      </c>
      <c r="C398" s="33" t="s">
        <v>5829</v>
      </c>
      <c r="D398" s="65">
        <v>115</v>
      </c>
      <c r="E398" s="43">
        <v>2</v>
      </c>
      <c r="F398" s="43"/>
      <c r="G398" s="43" t="s">
        <v>5597</v>
      </c>
      <c r="H398" s="43"/>
      <c r="I398" s="43"/>
      <c r="J398" s="43" t="s">
        <v>27</v>
      </c>
      <c r="K398" s="43" t="s">
        <v>4056</v>
      </c>
      <c r="L398" s="43">
        <v>1</v>
      </c>
      <c r="M398" s="43"/>
      <c r="N398" s="114">
        <v>2</v>
      </c>
      <c r="O398" s="115"/>
      <c r="P398" s="116"/>
      <c r="Q398" s="117"/>
      <c r="R398" s="77"/>
      <c r="U398" s="115"/>
      <c r="V398" s="118"/>
      <c r="W398" s="119"/>
      <c r="X398" s="120"/>
      <c r="Y398" s="77"/>
      <c r="AA398" s="121"/>
      <c r="AB398" s="62" t="s">
        <v>4062</v>
      </c>
      <c r="AC398" s="43"/>
      <c r="AD398" s="43" t="s">
        <v>4161</v>
      </c>
      <c r="AF398" s="33" t="s">
        <v>5598</v>
      </c>
      <c r="AH398" s="43"/>
      <c r="AI398" s="43"/>
      <c r="AJ398" s="43"/>
      <c r="AK398" s="43"/>
      <c r="AL398" s="43"/>
      <c r="AM398" s="43"/>
      <c r="AN398" s="43"/>
      <c r="AO398" s="43"/>
      <c r="AP398" s="122"/>
      <c r="AQ398" s="115"/>
      <c r="AR398" s="116"/>
      <c r="AS398" s="117"/>
      <c r="AT398" s="77"/>
      <c r="AV398" s="115"/>
      <c r="AW398" s="118"/>
      <c r="AX398" s="119"/>
      <c r="AY398" s="120"/>
      <c r="AZ398" s="77"/>
      <c r="BB398" s="121"/>
      <c r="BC398" s="43"/>
      <c r="BD398" s="43"/>
      <c r="BE398" s="43"/>
      <c r="BI398" s="43"/>
      <c r="BJ398" s="43"/>
      <c r="BK398" s="43"/>
      <c r="BL398" s="43"/>
      <c r="BM398" s="43"/>
      <c r="BN398" s="43"/>
      <c r="BO398" s="43"/>
      <c r="BP398" s="43"/>
    </row>
    <row r="399" spans="1:68" ht="15" customHeight="1">
      <c r="A399" s="33" t="s">
        <v>5568</v>
      </c>
      <c r="B399" s="33" t="s">
        <v>5761</v>
      </c>
      <c r="C399" s="33" t="s">
        <v>5829</v>
      </c>
      <c r="D399" s="65">
        <v>116</v>
      </c>
      <c r="E399" s="43">
        <v>2</v>
      </c>
      <c r="F399" s="43"/>
      <c r="G399" s="43" t="s">
        <v>5599</v>
      </c>
      <c r="H399" s="43"/>
      <c r="I399" s="43"/>
      <c r="J399" s="43" t="s">
        <v>4111</v>
      </c>
      <c r="K399" s="43" t="s">
        <v>26</v>
      </c>
      <c r="L399" s="43">
        <v>0</v>
      </c>
      <c r="M399" s="43"/>
      <c r="N399" s="114">
        <v>1</v>
      </c>
      <c r="O399" s="115"/>
      <c r="P399" s="116"/>
      <c r="Q399" s="117"/>
      <c r="R399" s="77"/>
      <c r="U399" s="115"/>
      <c r="V399" s="118"/>
      <c r="W399" s="119"/>
      <c r="X399" s="120"/>
      <c r="Y399" s="77"/>
      <c r="AA399" s="121"/>
      <c r="AB399" s="62" t="s">
        <v>4058</v>
      </c>
      <c r="AC399" s="43"/>
      <c r="AD399" s="43" t="s">
        <v>4119</v>
      </c>
      <c r="AF399" s="33" t="s">
        <v>5600</v>
      </c>
      <c r="AH399" s="43"/>
      <c r="AI399" s="43"/>
      <c r="AJ399" s="43"/>
      <c r="AK399" s="43"/>
      <c r="AL399" s="43"/>
      <c r="AM399" s="43"/>
      <c r="AN399" s="43"/>
      <c r="AO399" s="43"/>
      <c r="AP399" s="122"/>
      <c r="AQ399" s="115"/>
      <c r="AR399" s="116"/>
      <c r="AS399" s="117"/>
      <c r="AT399" s="77"/>
      <c r="AV399" s="115"/>
      <c r="AW399" s="118"/>
      <c r="AX399" s="119"/>
      <c r="AY399" s="120"/>
      <c r="AZ399" s="77"/>
      <c r="BB399" s="121"/>
      <c r="BC399" s="43"/>
      <c r="BD399" s="43"/>
      <c r="BE399" s="43"/>
      <c r="BI399" s="43"/>
      <c r="BJ399" s="43"/>
      <c r="BK399" s="43"/>
      <c r="BL399" s="43"/>
      <c r="BM399" s="43"/>
      <c r="BN399" s="43"/>
      <c r="BO399" s="43"/>
      <c r="BP399" s="43"/>
    </row>
    <row r="400" spans="1:68" ht="15" customHeight="1">
      <c r="A400" s="33" t="s">
        <v>5568</v>
      </c>
      <c r="B400" s="33" t="s">
        <v>5762</v>
      </c>
      <c r="C400" s="33" t="s">
        <v>5829</v>
      </c>
      <c r="D400" s="65">
        <v>117</v>
      </c>
      <c r="E400" s="43">
        <v>2</v>
      </c>
      <c r="F400" s="43"/>
      <c r="G400" s="43" t="s">
        <v>5601</v>
      </c>
      <c r="H400" s="43"/>
      <c r="I400" s="43"/>
      <c r="J400" s="43" t="s">
        <v>4111</v>
      </c>
      <c r="K400" s="43" t="s">
        <v>26</v>
      </c>
      <c r="L400" s="43">
        <v>0</v>
      </c>
      <c r="M400" s="43"/>
      <c r="N400" s="114">
        <v>1</v>
      </c>
      <c r="O400" s="115"/>
      <c r="P400" s="116"/>
      <c r="Q400" s="117"/>
      <c r="R400" s="77"/>
      <c r="U400" s="115"/>
      <c r="V400" s="118"/>
      <c r="W400" s="119"/>
      <c r="X400" s="120"/>
      <c r="Y400" s="77"/>
      <c r="AA400" s="121"/>
      <c r="AB400" s="62" t="s">
        <v>4058</v>
      </c>
      <c r="AC400" s="43"/>
      <c r="AD400" s="43" t="s">
        <v>4119</v>
      </c>
      <c r="AF400" s="33" t="s">
        <v>5602</v>
      </c>
      <c r="AH400" s="43"/>
      <c r="AI400" s="43"/>
      <c r="AJ400" s="43"/>
      <c r="AK400" s="43"/>
      <c r="AL400" s="43"/>
      <c r="AM400" s="43"/>
      <c r="AN400" s="43"/>
      <c r="AO400" s="43"/>
      <c r="AP400" s="122"/>
      <c r="AQ400" s="115"/>
      <c r="AR400" s="116"/>
      <c r="AS400" s="117"/>
      <c r="AT400" s="77"/>
      <c r="AV400" s="115"/>
      <c r="AW400" s="118"/>
      <c r="AX400" s="119"/>
      <c r="AY400" s="120"/>
      <c r="AZ400" s="77"/>
      <c r="BB400" s="121"/>
      <c r="BC400" s="43"/>
      <c r="BD400" s="43"/>
      <c r="BE400" s="43"/>
      <c r="BI400" s="43"/>
      <c r="BJ400" s="43"/>
      <c r="BK400" s="43"/>
      <c r="BL400" s="43"/>
      <c r="BM400" s="43"/>
      <c r="BN400" s="43"/>
      <c r="BO400" s="43"/>
      <c r="BP400" s="43"/>
    </row>
    <row r="401" spans="1:68" ht="15" customHeight="1">
      <c r="A401" s="33" t="s">
        <v>5568</v>
      </c>
      <c r="B401" s="33" t="s">
        <v>5763</v>
      </c>
      <c r="C401" s="33" t="s">
        <v>5829</v>
      </c>
      <c r="D401" s="65">
        <v>118</v>
      </c>
      <c r="E401" s="43">
        <v>1</v>
      </c>
      <c r="F401" s="43" t="s">
        <v>5569</v>
      </c>
      <c r="G401" s="43" t="s">
        <v>5569</v>
      </c>
      <c r="H401" s="43" t="s">
        <v>4563</v>
      </c>
      <c r="I401" s="43"/>
      <c r="J401" s="43" t="s">
        <v>4472</v>
      </c>
      <c r="K401" s="43"/>
      <c r="L401" s="43"/>
      <c r="N401" s="114"/>
      <c r="O401" s="115"/>
      <c r="P401" s="116"/>
      <c r="Q401" s="117"/>
      <c r="R401" s="77"/>
      <c r="U401" s="115"/>
      <c r="V401" s="118"/>
      <c r="W401" s="119"/>
      <c r="X401" s="120"/>
      <c r="Y401" s="77"/>
      <c r="AA401" s="121"/>
      <c r="AB401" s="62"/>
      <c r="AC401" s="43"/>
      <c r="AD401" s="43"/>
      <c r="AF401" s="33" t="s">
        <v>5603</v>
      </c>
      <c r="AH401" s="43"/>
      <c r="AI401" s="43" t="s">
        <v>5569</v>
      </c>
      <c r="AJ401" s="43" t="s">
        <v>4564</v>
      </c>
      <c r="AK401" s="43"/>
      <c r="AL401" s="43" t="s">
        <v>4472</v>
      </c>
      <c r="AM401" s="43"/>
      <c r="AN401" s="43"/>
      <c r="AO401" s="43"/>
      <c r="AP401" s="122"/>
      <c r="AQ401" s="115"/>
      <c r="AR401" s="116"/>
      <c r="AS401" s="117"/>
      <c r="AT401" s="77"/>
      <c r="AV401" s="115"/>
      <c r="AW401" s="118"/>
      <c r="AX401" s="119"/>
      <c r="AY401" s="120"/>
      <c r="AZ401" s="77"/>
      <c r="BB401" s="121"/>
      <c r="BC401" s="43"/>
      <c r="BD401" s="43"/>
      <c r="BE401" s="43"/>
      <c r="BG401" s="33" t="s">
        <v>5716</v>
      </c>
      <c r="BI401" s="43"/>
      <c r="BJ401" s="43"/>
      <c r="BK401" s="43"/>
      <c r="BL401" s="43"/>
      <c r="BM401" s="43"/>
      <c r="BN401" s="43"/>
      <c r="BO401" s="43"/>
      <c r="BP401" s="43"/>
    </row>
    <row r="402" spans="1:68" ht="15" customHeight="1">
      <c r="A402" s="33" t="s">
        <v>5568</v>
      </c>
      <c r="B402" s="33" t="s">
        <v>5764</v>
      </c>
      <c r="C402" s="33" t="s">
        <v>5829</v>
      </c>
      <c r="D402" s="65">
        <v>119</v>
      </c>
      <c r="E402" s="43">
        <v>1</v>
      </c>
      <c r="F402" s="43" t="s">
        <v>5569</v>
      </c>
      <c r="G402" s="43" t="s">
        <v>5604</v>
      </c>
      <c r="H402" s="43"/>
      <c r="I402" s="43"/>
      <c r="J402" s="43" t="s">
        <v>4473</v>
      </c>
      <c r="K402" s="43"/>
      <c r="L402" s="43">
        <v>1</v>
      </c>
      <c r="M402" s="43"/>
      <c r="N402" s="114"/>
      <c r="O402" s="115"/>
      <c r="P402" s="116"/>
      <c r="Q402" s="117"/>
      <c r="R402" s="77"/>
      <c r="U402" s="115"/>
      <c r="V402" s="118"/>
      <c r="W402" s="119"/>
      <c r="X402" s="120"/>
      <c r="Y402" s="77"/>
      <c r="Z402" s="78">
        <v>5</v>
      </c>
      <c r="AA402" s="121"/>
      <c r="AB402" s="62"/>
      <c r="AC402" s="43"/>
      <c r="AD402" s="43"/>
      <c r="AF402" s="33" t="s">
        <v>5605</v>
      </c>
      <c r="AH402" s="43"/>
      <c r="AI402" s="43" t="s">
        <v>5717</v>
      </c>
      <c r="AJ402" s="43"/>
      <c r="AK402" s="43"/>
      <c r="AL402" s="43" t="s">
        <v>4473</v>
      </c>
      <c r="AM402" s="43"/>
      <c r="AN402" s="43">
        <v>1</v>
      </c>
      <c r="AO402" s="43"/>
      <c r="AP402" s="122"/>
      <c r="AQ402" s="115"/>
      <c r="AR402" s="116"/>
      <c r="AS402" s="117"/>
      <c r="AT402" s="77"/>
      <c r="AV402" s="115"/>
      <c r="AW402" s="118"/>
      <c r="AX402" s="119"/>
      <c r="AY402" s="120"/>
      <c r="AZ402" s="77"/>
      <c r="BB402" s="121"/>
      <c r="BC402" s="43"/>
      <c r="BD402" s="43"/>
      <c r="BE402" s="43"/>
      <c r="BG402" s="33" t="s">
        <v>5718</v>
      </c>
      <c r="BI402" s="43"/>
      <c r="BJ402" s="43"/>
      <c r="BK402" s="43"/>
      <c r="BL402" s="43"/>
      <c r="BM402" s="43"/>
      <c r="BN402" s="43"/>
      <c r="BO402" s="43"/>
      <c r="BP402" s="43"/>
    </row>
    <row r="403" spans="1:68" ht="15" customHeight="1">
      <c r="A403" s="33" t="s">
        <v>5568</v>
      </c>
      <c r="B403" s="33" t="s">
        <v>5765</v>
      </c>
      <c r="C403" s="33" t="s">
        <v>5829</v>
      </c>
      <c r="D403" s="65">
        <v>120</v>
      </c>
      <c r="E403" s="43">
        <v>1</v>
      </c>
      <c r="F403" s="43" t="s">
        <v>5569</v>
      </c>
      <c r="G403" s="43" t="s">
        <v>5606</v>
      </c>
      <c r="H403" s="43"/>
      <c r="I403" s="43"/>
      <c r="J403" s="43" t="s">
        <v>4473</v>
      </c>
      <c r="K403" s="43"/>
      <c r="L403" s="43">
        <v>2</v>
      </c>
      <c r="M403" s="43"/>
      <c r="N403" s="114"/>
      <c r="O403" s="115"/>
      <c r="P403" s="116"/>
      <c r="Q403" s="117"/>
      <c r="R403" s="77"/>
      <c r="U403" s="115"/>
      <c r="V403" s="118"/>
      <c r="W403" s="119"/>
      <c r="X403" s="120"/>
      <c r="Y403" s="77"/>
      <c r="Z403" s="78">
        <v>7</v>
      </c>
      <c r="AA403" s="121"/>
      <c r="AB403" s="62"/>
      <c r="AC403" s="43"/>
      <c r="AD403" s="43"/>
      <c r="AF403" s="33" t="s">
        <v>5605</v>
      </c>
      <c r="AH403" s="43"/>
      <c r="AI403" s="43" t="s">
        <v>5528</v>
      </c>
      <c r="AJ403" s="43"/>
      <c r="AK403" s="43"/>
      <c r="AL403" s="43" t="s">
        <v>4473</v>
      </c>
      <c r="AM403" s="43"/>
      <c r="AN403" s="43">
        <v>2</v>
      </c>
      <c r="AO403" s="43"/>
      <c r="AP403" s="122"/>
      <c r="AQ403" s="115"/>
      <c r="AR403" s="116"/>
      <c r="AS403" s="117"/>
      <c r="AT403" s="77"/>
      <c r="AV403" s="115"/>
      <c r="AW403" s="118"/>
      <c r="AX403" s="119"/>
      <c r="AY403" s="120"/>
      <c r="AZ403" s="77"/>
      <c r="BB403" s="121"/>
      <c r="BC403" s="43"/>
      <c r="BD403" s="43"/>
      <c r="BE403" s="43"/>
      <c r="BG403" s="33" t="s">
        <v>5718</v>
      </c>
      <c r="BI403" s="43"/>
      <c r="BJ403" s="43"/>
      <c r="BK403" s="43"/>
      <c r="BL403" s="43"/>
      <c r="BM403" s="43"/>
      <c r="BN403" s="43"/>
      <c r="BO403" s="43"/>
      <c r="BP403" s="43"/>
    </row>
    <row r="404" spans="1:68" ht="15" customHeight="1">
      <c r="A404" s="33" t="s">
        <v>5568</v>
      </c>
      <c r="B404" s="33" t="s">
        <v>5766</v>
      </c>
      <c r="C404" s="33" t="s">
        <v>5829</v>
      </c>
      <c r="D404" s="65">
        <v>121</v>
      </c>
      <c r="E404" s="43">
        <v>1</v>
      </c>
      <c r="F404" s="43" t="s">
        <v>5569</v>
      </c>
      <c r="G404" s="43" t="s">
        <v>5607</v>
      </c>
      <c r="H404" s="43"/>
      <c r="I404" s="43"/>
      <c r="J404" s="43" t="s">
        <v>4473</v>
      </c>
      <c r="K404" s="43"/>
      <c r="L404" s="43">
        <v>3</v>
      </c>
      <c r="M404" s="43"/>
      <c r="N404" s="114"/>
      <c r="O404" s="115"/>
      <c r="P404" s="116"/>
      <c r="Q404" s="117"/>
      <c r="R404" s="77"/>
      <c r="U404" s="115"/>
      <c r="V404" s="118"/>
      <c r="W404" s="119"/>
      <c r="X404" s="120"/>
      <c r="Y404" s="77"/>
      <c r="Z404" s="78">
        <v>7</v>
      </c>
      <c r="AA404" s="121"/>
      <c r="AB404" s="62"/>
      <c r="AC404" s="43"/>
      <c r="AD404" s="43"/>
      <c r="AF404" s="33" t="s">
        <v>5605</v>
      </c>
      <c r="AH404" s="43"/>
      <c r="AI404" s="43" t="s">
        <v>5720</v>
      </c>
      <c r="AJ404" s="43"/>
      <c r="AK404" s="43"/>
      <c r="AL404" s="43" t="s">
        <v>4473</v>
      </c>
      <c r="AM404" s="43"/>
      <c r="AN404" s="43">
        <v>3</v>
      </c>
      <c r="AO404" s="43"/>
      <c r="AP404" s="122"/>
      <c r="AQ404" s="115"/>
      <c r="AR404" s="116"/>
      <c r="AS404" s="117"/>
      <c r="AT404" s="77"/>
      <c r="AV404" s="115"/>
      <c r="AW404" s="118"/>
      <c r="AX404" s="119"/>
      <c r="AY404" s="120"/>
      <c r="AZ404" s="77"/>
      <c r="BB404" s="121"/>
      <c r="BC404" s="43"/>
      <c r="BD404" s="43"/>
      <c r="BE404" s="43"/>
      <c r="BG404" s="33" t="s">
        <v>5721</v>
      </c>
      <c r="BI404" s="43"/>
      <c r="BJ404" s="43"/>
      <c r="BK404" s="43"/>
      <c r="BL404" s="43"/>
      <c r="BM404" s="43"/>
      <c r="BN404" s="43"/>
      <c r="BO404" s="43"/>
      <c r="BP404" s="43"/>
    </row>
    <row r="405" spans="1:68" ht="15" customHeight="1">
      <c r="A405" s="33" t="s">
        <v>5568</v>
      </c>
      <c r="B405" s="33" t="s">
        <v>5767</v>
      </c>
      <c r="C405" s="33" t="s">
        <v>5829</v>
      </c>
      <c r="D405" s="65">
        <v>122</v>
      </c>
      <c r="E405" s="43">
        <v>1</v>
      </c>
      <c r="F405" s="43" t="s">
        <v>5569</v>
      </c>
      <c r="G405" s="43" t="s">
        <v>5608</v>
      </c>
      <c r="H405" s="43"/>
      <c r="I405" s="43"/>
      <c r="J405" s="43" t="s">
        <v>4475</v>
      </c>
      <c r="K405" s="43"/>
      <c r="L405" s="43">
        <v>1</v>
      </c>
      <c r="M405" s="43"/>
      <c r="N405" s="114"/>
      <c r="O405" s="115"/>
      <c r="P405" s="116"/>
      <c r="Q405" s="117"/>
      <c r="R405" s="77"/>
      <c r="U405" s="115"/>
      <c r="V405" s="118"/>
      <c r="W405" s="119"/>
      <c r="X405" s="120"/>
      <c r="Y405" s="77">
        <v>2</v>
      </c>
      <c r="AA405" s="121"/>
      <c r="AB405" s="62"/>
      <c r="AC405" s="43"/>
      <c r="AD405" s="43"/>
      <c r="AH405" s="43"/>
      <c r="AI405" s="43" t="s">
        <v>5719</v>
      </c>
      <c r="AJ405" s="43"/>
      <c r="AK405" s="43"/>
      <c r="AL405" s="43" t="s">
        <v>4475</v>
      </c>
      <c r="AM405" s="43"/>
      <c r="AN405" s="43">
        <v>1</v>
      </c>
      <c r="AO405" s="43"/>
      <c r="AP405" s="122"/>
      <c r="AQ405" s="115"/>
      <c r="AR405" s="116"/>
      <c r="AS405" s="117"/>
      <c r="AT405" s="77"/>
      <c r="AV405" s="115"/>
      <c r="AW405" s="118"/>
      <c r="AX405" s="119"/>
      <c r="AY405" s="120"/>
      <c r="AZ405" s="77"/>
      <c r="BB405" s="121"/>
      <c r="BC405" s="43"/>
      <c r="BD405" s="43"/>
      <c r="BE405" s="43"/>
      <c r="BG405" s="33" t="s">
        <v>5722</v>
      </c>
      <c r="BI405" s="43"/>
      <c r="BJ405" s="43"/>
      <c r="BK405" s="43"/>
      <c r="BL405" s="43"/>
      <c r="BM405" s="43"/>
      <c r="BN405" s="43"/>
      <c r="BO405" s="43"/>
      <c r="BP405" s="43"/>
    </row>
    <row r="406" spans="1:68" ht="15" customHeight="1">
      <c r="A406" s="33" t="s">
        <v>5568</v>
      </c>
      <c r="B406" s="33" t="s">
        <v>5768</v>
      </c>
      <c r="C406" s="33" t="s">
        <v>5829</v>
      </c>
      <c r="D406" s="65">
        <v>123</v>
      </c>
      <c r="E406" s="43">
        <v>1</v>
      </c>
      <c r="F406" s="43" t="s">
        <v>5569</v>
      </c>
      <c r="G406" s="43" t="s">
        <v>5609</v>
      </c>
      <c r="H406" s="43"/>
      <c r="I406" s="43"/>
      <c r="J406" s="43" t="s">
        <v>4475</v>
      </c>
      <c r="K406" s="43"/>
      <c r="L406" s="43">
        <v>2</v>
      </c>
      <c r="M406" s="43"/>
      <c r="N406" s="114"/>
      <c r="O406" s="115"/>
      <c r="P406" s="116"/>
      <c r="Q406" s="117"/>
      <c r="R406" s="77"/>
      <c r="U406" s="115"/>
      <c r="V406" s="118"/>
      <c r="W406" s="119"/>
      <c r="X406" s="120"/>
      <c r="Y406" s="77" t="s">
        <v>38</v>
      </c>
      <c r="AA406" s="121"/>
      <c r="AB406" s="62"/>
      <c r="AC406" s="43"/>
      <c r="AD406" s="43"/>
      <c r="AF406" s="33" t="s">
        <v>5610</v>
      </c>
      <c r="AH406" s="43"/>
      <c r="AI406" s="43" t="s">
        <v>5723</v>
      </c>
      <c r="AJ406" s="43"/>
      <c r="AK406" s="43"/>
      <c r="AL406" s="43" t="s">
        <v>4475</v>
      </c>
      <c r="AM406" s="43"/>
      <c r="AN406" s="43">
        <v>2</v>
      </c>
      <c r="AO406" s="43"/>
      <c r="AP406" s="122"/>
      <c r="AQ406" s="115"/>
      <c r="AR406" s="116"/>
      <c r="AS406" s="117"/>
      <c r="AT406" s="77"/>
      <c r="AV406" s="115"/>
      <c r="AW406" s="118"/>
      <c r="AX406" s="119"/>
      <c r="AY406" s="120"/>
      <c r="AZ406" s="77"/>
      <c r="BB406" s="121"/>
      <c r="BC406" s="43"/>
      <c r="BD406" s="43"/>
      <c r="BE406" s="43"/>
      <c r="BG406" s="33" t="s">
        <v>5724</v>
      </c>
      <c r="BI406" s="43"/>
      <c r="BJ406" s="43"/>
      <c r="BK406" s="43"/>
      <c r="BL406" s="43"/>
      <c r="BM406" s="43"/>
      <c r="BN406" s="43"/>
      <c r="BO406" s="43"/>
      <c r="BP406" s="43"/>
    </row>
    <row r="407" spans="1:68" ht="15" customHeight="1">
      <c r="A407" s="33" t="s">
        <v>5568</v>
      </c>
      <c r="B407" s="33" t="s">
        <v>5769</v>
      </c>
      <c r="C407" s="33" t="s">
        <v>5829</v>
      </c>
      <c r="D407" s="65">
        <v>124</v>
      </c>
      <c r="E407" s="43">
        <v>1</v>
      </c>
      <c r="F407" s="43" t="s">
        <v>5569</v>
      </c>
      <c r="G407" s="43" t="s">
        <v>5611</v>
      </c>
      <c r="H407" s="43"/>
      <c r="I407" s="43"/>
      <c r="J407" s="43" t="s">
        <v>4475</v>
      </c>
      <c r="K407" s="43"/>
      <c r="L407" s="43">
        <v>2</v>
      </c>
      <c r="M407" s="43"/>
      <c r="N407" s="114"/>
      <c r="O407" s="115"/>
      <c r="P407" s="116"/>
      <c r="Q407" s="117"/>
      <c r="R407" s="77"/>
      <c r="U407" s="115"/>
      <c r="V407" s="118"/>
      <c r="W407" s="119"/>
      <c r="X407" s="120"/>
      <c r="Y407" s="77" t="s">
        <v>38</v>
      </c>
      <c r="AA407" s="121"/>
      <c r="AB407" s="62"/>
      <c r="AC407" s="43"/>
      <c r="AD407" s="43"/>
      <c r="AF407" s="33" t="s">
        <v>5610</v>
      </c>
      <c r="AH407" s="43"/>
      <c r="AI407" s="43" t="s">
        <v>5725</v>
      </c>
      <c r="AJ407" s="43"/>
      <c r="AK407" s="43"/>
      <c r="AL407" s="43" t="s">
        <v>4475</v>
      </c>
      <c r="AM407" s="43"/>
      <c r="AN407" s="43">
        <v>2</v>
      </c>
      <c r="AO407" s="43"/>
      <c r="AP407" s="122"/>
      <c r="AQ407" s="115"/>
      <c r="AR407" s="116"/>
      <c r="AS407" s="117"/>
      <c r="AT407" s="77"/>
      <c r="AV407" s="115"/>
      <c r="AW407" s="118"/>
      <c r="AX407" s="119"/>
      <c r="AY407" s="120"/>
      <c r="AZ407" s="77"/>
      <c r="BB407" s="121"/>
      <c r="BC407" s="43"/>
      <c r="BD407" s="43"/>
      <c r="BE407" s="43"/>
      <c r="BG407" s="33" t="s">
        <v>5726</v>
      </c>
      <c r="BI407" s="43"/>
      <c r="BJ407" s="43"/>
      <c r="BK407" s="43"/>
      <c r="BL407" s="43"/>
      <c r="BM407" s="43"/>
      <c r="BN407" s="43"/>
      <c r="BO407" s="43"/>
      <c r="BP407" s="43"/>
    </row>
    <row r="408" spans="1:68" ht="15" customHeight="1">
      <c r="A408" s="33" t="s">
        <v>5568</v>
      </c>
      <c r="B408" s="33" t="s">
        <v>5770</v>
      </c>
      <c r="C408" s="33" t="s">
        <v>5829</v>
      </c>
      <c r="D408" s="65">
        <v>125</v>
      </c>
      <c r="E408" s="43">
        <v>1</v>
      </c>
      <c r="F408" s="43" t="s">
        <v>5569</v>
      </c>
      <c r="G408" s="43" t="s">
        <v>5612</v>
      </c>
      <c r="H408" s="43"/>
      <c r="I408" s="43"/>
      <c r="J408" s="43" t="s">
        <v>4475</v>
      </c>
      <c r="K408" s="43"/>
      <c r="L408" s="43">
        <v>3</v>
      </c>
      <c r="M408" s="43"/>
      <c r="N408" s="114"/>
      <c r="O408" s="115"/>
      <c r="P408" s="116"/>
      <c r="Q408" s="117"/>
      <c r="R408" s="77"/>
      <c r="U408" s="115"/>
      <c r="V408" s="118"/>
      <c r="W408" s="119"/>
      <c r="X408" s="120"/>
      <c r="Y408" s="77" t="s">
        <v>38</v>
      </c>
      <c r="AA408" s="121"/>
      <c r="AB408" s="62"/>
      <c r="AC408" s="43"/>
      <c r="AD408" s="43"/>
      <c r="AF408" s="33" t="s">
        <v>5613</v>
      </c>
      <c r="AH408" s="43"/>
      <c r="AI408" s="43" t="s">
        <v>4121</v>
      </c>
      <c r="AJ408" s="43"/>
      <c r="AK408" s="43"/>
      <c r="AL408" s="43" t="s">
        <v>4475</v>
      </c>
      <c r="AM408" s="43"/>
      <c r="AN408" s="43">
        <v>3</v>
      </c>
      <c r="AO408" s="43"/>
      <c r="AP408" s="122"/>
      <c r="AQ408" s="115"/>
      <c r="AR408" s="116"/>
      <c r="AS408" s="117"/>
      <c r="AT408" s="77"/>
      <c r="AV408" s="115"/>
      <c r="AW408" s="118"/>
      <c r="AX408" s="119"/>
      <c r="AY408" s="120"/>
      <c r="AZ408" s="77"/>
      <c r="BB408" s="121"/>
      <c r="BC408" s="43"/>
      <c r="BD408" s="43"/>
      <c r="BE408" s="43"/>
      <c r="BG408" s="33" t="s">
        <v>5727</v>
      </c>
      <c r="BI408" s="43"/>
      <c r="BJ408" s="43"/>
      <c r="BK408" s="43"/>
      <c r="BL408" s="43"/>
      <c r="BM408" s="43"/>
      <c r="BN408" s="43"/>
      <c r="BO408" s="43"/>
      <c r="BP408" s="43"/>
    </row>
    <row r="409" spans="1:68" ht="15" customHeight="1">
      <c r="A409" s="33" t="s">
        <v>5568</v>
      </c>
      <c r="B409" s="33" t="s">
        <v>5771</v>
      </c>
      <c r="C409" s="33" t="s">
        <v>5829</v>
      </c>
      <c r="D409" s="65">
        <v>126</v>
      </c>
      <c r="E409" s="43">
        <v>1</v>
      </c>
      <c r="F409" s="43" t="s">
        <v>5569</v>
      </c>
      <c r="G409" s="43" t="s">
        <v>5614</v>
      </c>
      <c r="H409" s="43"/>
      <c r="I409" s="43"/>
      <c r="J409" s="43" t="s">
        <v>31</v>
      </c>
      <c r="K409" s="43"/>
      <c r="L409" s="43"/>
      <c r="M409" s="43"/>
      <c r="N409" s="114"/>
      <c r="O409" s="115"/>
      <c r="P409" s="116"/>
      <c r="Q409" s="117"/>
      <c r="R409" s="77"/>
      <c r="U409" s="115"/>
      <c r="V409" s="118"/>
      <c r="W409" s="119"/>
      <c r="X409" s="120"/>
      <c r="Y409" s="77"/>
      <c r="AA409" s="121"/>
      <c r="AB409" s="62"/>
      <c r="AC409" s="43"/>
      <c r="AD409" s="43" t="s">
        <v>4096</v>
      </c>
      <c r="AH409" s="43"/>
      <c r="AI409" s="43" t="s">
        <v>5614</v>
      </c>
      <c r="AJ409" s="43"/>
      <c r="AK409" s="43"/>
      <c r="AL409" s="43" t="s">
        <v>31</v>
      </c>
      <c r="AM409" s="43"/>
      <c r="AN409" s="43"/>
      <c r="AO409" s="43"/>
      <c r="AP409" s="122"/>
      <c r="AQ409" s="115"/>
      <c r="AR409" s="116"/>
      <c r="AS409" s="117"/>
      <c r="AT409" s="77"/>
      <c r="AV409" s="115"/>
      <c r="AW409" s="118"/>
      <c r="AX409" s="119"/>
      <c r="AY409" s="120">
        <v>3</v>
      </c>
      <c r="AZ409" s="77">
        <v>2</v>
      </c>
      <c r="BB409" s="121"/>
      <c r="BC409" s="43"/>
      <c r="BD409" s="43"/>
      <c r="BE409" s="43" t="s">
        <v>4096</v>
      </c>
      <c r="BG409" s="33" t="s">
        <v>5615</v>
      </c>
      <c r="BI409" s="43"/>
      <c r="BJ409" s="43"/>
      <c r="BK409" s="43"/>
      <c r="BL409" s="43"/>
      <c r="BM409" s="43"/>
      <c r="BN409" s="43"/>
      <c r="BO409" s="43"/>
      <c r="BP409" s="43"/>
    </row>
    <row r="410" spans="1:68" ht="15" customHeight="1">
      <c r="A410" s="33" t="s">
        <v>5568</v>
      </c>
      <c r="B410" s="33" t="s">
        <v>5772</v>
      </c>
      <c r="C410" s="33" t="s">
        <v>5829</v>
      </c>
      <c r="D410" s="65">
        <v>127</v>
      </c>
      <c r="E410" s="43">
        <v>1</v>
      </c>
      <c r="F410" s="43" t="s">
        <v>5569</v>
      </c>
      <c r="G410" s="43" t="s">
        <v>5616</v>
      </c>
      <c r="H410" s="43"/>
      <c r="I410" s="43"/>
      <c r="J410" s="43" t="s">
        <v>31</v>
      </c>
      <c r="K410" s="43"/>
      <c r="L410" s="43"/>
      <c r="M410" s="43"/>
      <c r="N410" s="114"/>
      <c r="O410" s="115"/>
      <c r="P410" s="116"/>
      <c r="Q410" s="117"/>
      <c r="R410" s="77"/>
      <c r="U410" s="115"/>
      <c r="V410" s="118"/>
      <c r="W410" s="119"/>
      <c r="X410" s="120"/>
      <c r="Y410" s="77"/>
      <c r="AA410" s="121"/>
      <c r="AB410" s="62"/>
      <c r="AC410" s="43"/>
      <c r="AD410" s="43" t="s">
        <v>4096</v>
      </c>
      <c r="AH410" s="43"/>
      <c r="AI410" s="43" t="s">
        <v>5616</v>
      </c>
      <c r="AJ410" s="43"/>
      <c r="AK410" s="43"/>
      <c r="AL410" s="43" t="s">
        <v>31</v>
      </c>
      <c r="AM410" s="43"/>
      <c r="AN410" s="43"/>
      <c r="AO410" s="43"/>
      <c r="AP410" s="122"/>
      <c r="AQ410" s="115"/>
      <c r="AR410" s="116"/>
      <c r="AS410" s="117"/>
      <c r="AT410" s="77"/>
      <c r="AV410" s="115"/>
      <c r="AW410" s="118"/>
      <c r="AX410" s="119"/>
      <c r="AY410" s="120">
        <v>2</v>
      </c>
      <c r="AZ410" s="77">
        <v>0</v>
      </c>
      <c r="BB410" s="121"/>
      <c r="BC410" s="43"/>
      <c r="BD410" s="43"/>
      <c r="BE410" s="43" t="s">
        <v>4096</v>
      </c>
      <c r="BG410" s="33" t="s">
        <v>5617</v>
      </c>
      <c r="BI410" s="43"/>
      <c r="BJ410" s="43"/>
      <c r="BK410" s="43"/>
      <c r="BL410" s="43"/>
      <c r="BM410" s="43"/>
      <c r="BN410" s="43"/>
      <c r="BO410" s="43"/>
      <c r="BP410" s="43"/>
    </row>
    <row r="411" spans="1:68" ht="15" customHeight="1">
      <c r="A411" s="33" t="s">
        <v>5568</v>
      </c>
      <c r="B411" s="33" t="s">
        <v>5773</v>
      </c>
      <c r="C411" s="33" t="s">
        <v>5829</v>
      </c>
      <c r="D411" s="65">
        <v>128</v>
      </c>
      <c r="E411" s="43">
        <v>1</v>
      </c>
      <c r="F411" s="43" t="s">
        <v>5569</v>
      </c>
      <c r="G411" s="43" t="s">
        <v>5618</v>
      </c>
      <c r="H411" s="43"/>
      <c r="I411" s="43"/>
      <c r="J411" s="43" t="s">
        <v>31</v>
      </c>
      <c r="K411" s="43"/>
      <c r="L411" s="43"/>
      <c r="M411" s="43"/>
      <c r="N411" s="114"/>
      <c r="O411" s="115"/>
      <c r="P411" s="116"/>
      <c r="Q411" s="117"/>
      <c r="R411" s="77"/>
      <c r="U411" s="115"/>
      <c r="V411" s="118"/>
      <c r="W411" s="119"/>
      <c r="X411" s="120"/>
      <c r="Y411" s="77"/>
      <c r="AA411" s="121"/>
      <c r="AB411" s="62"/>
      <c r="AC411" s="43"/>
      <c r="AD411" s="43" t="s">
        <v>4096</v>
      </c>
      <c r="AH411" s="43"/>
      <c r="AI411" s="43" t="s">
        <v>5618</v>
      </c>
      <c r="AJ411" s="43"/>
      <c r="AK411" s="43"/>
      <c r="AL411" s="43" t="s">
        <v>31</v>
      </c>
      <c r="AM411" s="43"/>
      <c r="AN411" s="43"/>
      <c r="AO411" s="43"/>
      <c r="AP411" s="122"/>
      <c r="AQ411" s="115"/>
      <c r="AR411" s="116"/>
      <c r="AS411" s="117"/>
      <c r="AT411" s="77"/>
      <c r="AV411" s="115"/>
      <c r="AW411" s="118"/>
      <c r="AX411" s="119"/>
      <c r="AY411" s="120">
        <v>2</v>
      </c>
      <c r="AZ411" s="39" t="s">
        <v>4927</v>
      </c>
      <c r="BB411" s="121"/>
      <c r="BC411" s="43"/>
      <c r="BD411" s="43"/>
      <c r="BE411" s="43" t="s">
        <v>4096</v>
      </c>
      <c r="BG411" s="33" t="s">
        <v>5619</v>
      </c>
      <c r="BI411" s="43"/>
      <c r="BJ411" s="43"/>
      <c r="BK411" s="43"/>
      <c r="BL411" s="43"/>
      <c r="BM411" s="43"/>
      <c r="BN411" s="43"/>
      <c r="BO411" s="43"/>
      <c r="BP411" s="43"/>
    </row>
    <row r="412" spans="1:68" ht="15" customHeight="1">
      <c r="A412" s="33" t="s">
        <v>5568</v>
      </c>
      <c r="B412" s="33" t="s">
        <v>5774</v>
      </c>
      <c r="C412" s="33" t="s">
        <v>5829</v>
      </c>
      <c r="D412" s="65">
        <v>129</v>
      </c>
      <c r="E412" s="43">
        <v>1</v>
      </c>
      <c r="F412" s="43" t="s">
        <v>5569</v>
      </c>
      <c r="G412" s="43" t="s">
        <v>5618</v>
      </c>
      <c r="H412" s="43"/>
      <c r="I412" s="43"/>
      <c r="J412" s="43" t="s">
        <v>31</v>
      </c>
      <c r="K412" s="43"/>
      <c r="L412" s="43"/>
      <c r="M412" s="43"/>
      <c r="N412" s="114"/>
      <c r="O412" s="115"/>
      <c r="P412" s="116"/>
      <c r="Q412" s="117"/>
      <c r="R412" s="77"/>
      <c r="U412" s="115"/>
      <c r="V412" s="118"/>
      <c r="W412" s="119"/>
      <c r="X412" s="120"/>
      <c r="Y412" s="77"/>
      <c r="AA412" s="121"/>
      <c r="AB412" s="62"/>
      <c r="AC412" s="43"/>
      <c r="AD412" s="43" t="s">
        <v>4096</v>
      </c>
      <c r="AH412" s="43"/>
      <c r="AI412" s="43" t="s">
        <v>5618</v>
      </c>
      <c r="AJ412" s="43"/>
      <c r="AK412" s="43"/>
      <c r="AL412" s="43" t="s">
        <v>31</v>
      </c>
      <c r="AM412" s="43"/>
      <c r="AN412" s="43"/>
      <c r="AO412" s="43"/>
      <c r="AP412" s="122"/>
      <c r="AQ412" s="115"/>
      <c r="AR412" s="116"/>
      <c r="AS412" s="117"/>
      <c r="AT412" s="77"/>
      <c r="AV412" s="115"/>
      <c r="AW412" s="118"/>
      <c r="AX412" s="119"/>
      <c r="AY412" s="120">
        <v>3</v>
      </c>
      <c r="AZ412" s="77" t="s">
        <v>4965</v>
      </c>
      <c r="BB412" s="121"/>
      <c r="BC412" s="43"/>
      <c r="BD412" s="43"/>
      <c r="BE412" s="43" t="s">
        <v>4096</v>
      </c>
      <c r="BG412" s="33" t="s">
        <v>5620</v>
      </c>
      <c r="BI412" s="43"/>
      <c r="BJ412" s="43"/>
      <c r="BK412" s="43"/>
      <c r="BL412" s="43"/>
      <c r="BM412" s="43"/>
      <c r="BN412" s="43"/>
      <c r="BO412" s="43"/>
      <c r="BP412" s="43"/>
    </row>
    <row r="413" spans="1:68" ht="15" customHeight="1">
      <c r="A413" s="33" t="s">
        <v>5568</v>
      </c>
      <c r="B413" s="33" t="s">
        <v>5775</v>
      </c>
      <c r="C413" s="33" t="s">
        <v>5829</v>
      </c>
      <c r="D413" s="65">
        <v>130</v>
      </c>
      <c r="E413" s="43">
        <v>1</v>
      </c>
      <c r="F413" s="43" t="s">
        <v>5569</v>
      </c>
      <c r="G413" s="43" t="s">
        <v>5621</v>
      </c>
      <c r="H413" s="43"/>
      <c r="I413" s="43"/>
      <c r="J413" s="43" t="s">
        <v>31</v>
      </c>
      <c r="K413" s="43"/>
      <c r="L413" s="43"/>
      <c r="M413" s="43"/>
      <c r="N413" s="114"/>
      <c r="O413" s="115"/>
      <c r="P413" s="116"/>
      <c r="Q413" s="117"/>
      <c r="R413" s="77"/>
      <c r="U413" s="115"/>
      <c r="V413" s="118"/>
      <c r="W413" s="119"/>
      <c r="X413" s="120"/>
      <c r="Y413" s="77"/>
      <c r="AA413" s="121"/>
      <c r="AB413" s="62"/>
      <c r="AC413" s="43"/>
      <c r="AD413" s="43" t="s">
        <v>4096</v>
      </c>
      <c r="AH413" s="43"/>
      <c r="AI413" s="43" t="s">
        <v>5621</v>
      </c>
      <c r="AJ413" s="43"/>
      <c r="AK413" s="43"/>
      <c r="AL413" s="43" t="s">
        <v>31</v>
      </c>
      <c r="AM413" s="43"/>
      <c r="AN413" s="43"/>
      <c r="AO413" s="43"/>
      <c r="AP413" s="122"/>
      <c r="AQ413" s="115"/>
      <c r="AR413" s="116"/>
      <c r="AS413" s="117"/>
      <c r="AT413" s="77"/>
      <c r="AV413" s="115"/>
      <c r="AW413" s="118"/>
      <c r="AX413" s="119"/>
      <c r="AY413" s="120">
        <v>1</v>
      </c>
      <c r="AZ413" s="39" t="s">
        <v>4927</v>
      </c>
      <c r="BB413" s="121"/>
      <c r="BC413" s="43"/>
      <c r="BD413" s="43"/>
      <c r="BE413" s="43" t="s">
        <v>4096</v>
      </c>
      <c r="BG413" s="33" t="s">
        <v>5622</v>
      </c>
      <c r="BI413" s="43"/>
      <c r="BJ413" s="43"/>
      <c r="BK413" s="43"/>
      <c r="BL413" s="43"/>
      <c r="BM413" s="43"/>
      <c r="BN413" s="43"/>
      <c r="BO413" s="43"/>
      <c r="BP413" s="43"/>
    </row>
    <row r="414" spans="1:68" ht="15" customHeight="1">
      <c r="A414" s="33" t="s">
        <v>5568</v>
      </c>
      <c r="B414" s="33" t="s">
        <v>5776</v>
      </c>
      <c r="C414" s="33" t="s">
        <v>5829</v>
      </c>
      <c r="D414" s="65">
        <v>131</v>
      </c>
      <c r="E414" s="43">
        <v>1</v>
      </c>
      <c r="F414" s="43" t="s">
        <v>5569</v>
      </c>
      <c r="G414" s="43" t="s">
        <v>5621</v>
      </c>
      <c r="H414" s="43"/>
      <c r="I414" s="43"/>
      <c r="J414" s="43" t="s">
        <v>31</v>
      </c>
      <c r="K414" s="43"/>
      <c r="L414" s="43"/>
      <c r="M414" s="43"/>
      <c r="N414" s="114"/>
      <c r="O414" s="115"/>
      <c r="P414" s="116"/>
      <c r="Q414" s="117"/>
      <c r="R414" s="77"/>
      <c r="U414" s="115"/>
      <c r="V414" s="118"/>
      <c r="W414" s="119"/>
      <c r="X414" s="120"/>
      <c r="Y414" s="77"/>
      <c r="AA414" s="121"/>
      <c r="AB414" s="62"/>
      <c r="AC414" s="43"/>
      <c r="AD414" s="43" t="s">
        <v>4096</v>
      </c>
      <c r="AH414" s="43"/>
      <c r="AI414" s="43" t="s">
        <v>5621</v>
      </c>
      <c r="AJ414" s="43"/>
      <c r="AK414" s="43"/>
      <c r="AL414" s="43" t="s">
        <v>31</v>
      </c>
      <c r="AM414" s="43"/>
      <c r="AN414" s="43"/>
      <c r="AO414" s="43"/>
      <c r="AP414" s="122"/>
      <c r="AQ414" s="115"/>
      <c r="AR414" s="116"/>
      <c r="AS414" s="117"/>
      <c r="AT414" s="77"/>
      <c r="AV414" s="115"/>
      <c r="AW414" s="118"/>
      <c r="AX414" s="119"/>
      <c r="AY414" s="120">
        <v>2</v>
      </c>
      <c r="AZ414" s="77" t="s">
        <v>4965</v>
      </c>
      <c r="BB414" s="121"/>
      <c r="BC414" s="43"/>
      <c r="BD414" s="43"/>
      <c r="BE414" s="43" t="s">
        <v>4096</v>
      </c>
      <c r="BG414" s="33" t="s">
        <v>5623</v>
      </c>
      <c r="BI414" s="43"/>
      <c r="BJ414" s="43"/>
      <c r="BK414" s="43"/>
      <c r="BL414" s="43"/>
      <c r="BM414" s="43"/>
      <c r="BN414" s="43"/>
      <c r="BO414" s="43"/>
      <c r="BP414" s="43"/>
    </row>
    <row r="415" spans="1:68" ht="15" customHeight="1">
      <c r="A415" s="33" t="s">
        <v>5568</v>
      </c>
      <c r="B415" s="33" t="s">
        <v>5777</v>
      </c>
      <c r="C415" s="33" t="s">
        <v>5829</v>
      </c>
      <c r="D415" s="65">
        <v>132</v>
      </c>
      <c r="E415" s="43">
        <v>1</v>
      </c>
      <c r="F415" s="43" t="s">
        <v>5569</v>
      </c>
      <c r="G415" s="43" t="s">
        <v>5624</v>
      </c>
      <c r="I415" s="43"/>
      <c r="J415" s="43" t="s">
        <v>31</v>
      </c>
      <c r="K415" s="43"/>
      <c r="L415" s="43"/>
      <c r="M415" s="43"/>
      <c r="N415" s="114"/>
      <c r="O415" s="115"/>
      <c r="P415" s="116"/>
      <c r="Q415" s="117"/>
      <c r="R415" s="77"/>
      <c r="U415" s="115"/>
      <c r="V415" s="118"/>
      <c r="W415" s="119"/>
      <c r="X415" s="120"/>
      <c r="Y415" s="77"/>
      <c r="AA415" s="121"/>
      <c r="AB415" s="62"/>
      <c r="AC415" s="43"/>
      <c r="AD415" s="43" t="s">
        <v>5626</v>
      </c>
      <c r="AH415" s="43"/>
      <c r="AI415" s="43" t="s">
        <v>5624</v>
      </c>
      <c r="AJ415" s="43" t="s">
        <v>5625</v>
      </c>
      <c r="AK415" s="43"/>
      <c r="AL415" s="43" t="s">
        <v>31</v>
      </c>
      <c r="AM415" s="43"/>
      <c r="AN415" s="43"/>
      <c r="AO415" s="43"/>
      <c r="AP415" s="122"/>
      <c r="AQ415" s="115"/>
      <c r="AR415" s="116"/>
      <c r="AS415" s="117"/>
      <c r="AT415" s="77"/>
      <c r="AV415" s="115"/>
      <c r="AW415" s="118"/>
      <c r="AX415" s="119"/>
      <c r="AY415" s="120">
        <v>1</v>
      </c>
      <c r="AZ415" s="77">
        <v>0</v>
      </c>
      <c r="BB415" s="121"/>
      <c r="BC415" s="43"/>
      <c r="BD415" s="43"/>
      <c r="BE415" s="43" t="s">
        <v>5626</v>
      </c>
      <c r="BG415" s="33" t="s">
        <v>5627</v>
      </c>
      <c r="BI415" s="43"/>
      <c r="BJ415" s="43"/>
      <c r="BK415" s="43"/>
      <c r="BL415" s="43"/>
      <c r="BM415" s="43"/>
      <c r="BN415" s="43"/>
      <c r="BO415" s="43"/>
      <c r="BP415" s="43"/>
    </row>
    <row r="416" spans="1:68" ht="15" customHeight="1">
      <c r="A416" s="33" t="s">
        <v>5568</v>
      </c>
      <c r="B416" s="33" t="s">
        <v>5778</v>
      </c>
      <c r="C416" s="33" t="s">
        <v>5829</v>
      </c>
      <c r="D416" s="65">
        <v>133</v>
      </c>
      <c r="E416" s="43">
        <v>1</v>
      </c>
      <c r="F416" s="43" t="s">
        <v>5569</v>
      </c>
      <c r="G416" s="43" t="s">
        <v>5624</v>
      </c>
      <c r="I416" s="43"/>
      <c r="J416" s="43" t="s">
        <v>31</v>
      </c>
      <c r="K416" s="43"/>
      <c r="L416" s="43"/>
      <c r="M416" s="43"/>
      <c r="N416" s="114"/>
      <c r="O416" s="115"/>
      <c r="P416" s="116"/>
      <c r="Q416" s="117"/>
      <c r="R416" s="77"/>
      <c r="U416" s="115"/>
      <c r="V416" s="118"/>
      <c r="W416" s="119"/>
      <c r="X416" s="120"/>
      <c r="Y416" s="77"/>
      <c r="AA416" s="121"/>
      <c r="AB416" s="62"/>
      <c r="AC416" s="43"/>
      <c r="AD416" s="43" t="s">
        <v>5626</v>
      </c>
      <c r="AH416" s="43"/>
      <c r="AI416" s="43" t="s">
        <v>5624</v>
      </c>
      <c r="AJ416" s="43" t="s">
        <v>5628</v>
      </c>
      <c r="AK416" s="43"/>
      <c r="AL416" s="43" t="s">
        <v>31</v>
      </c>
      <c r="AM416" s="43"/>
      <c r="AN416" s="43"/>
      <c r="AO416" s="43"/>
      <c r="AP416" s="122"/>
      <c r="AQ416" s="115"/>
      <c r="AR416" s="116"/>
      <c r="AS416" s="117"/>
      <c r="AT416" s="77"/>
      <c r="AV416" s="115"/>
      <c r="AW416" s="118"/>
      <c r="AX416" s="119"/>
      <c r="AY416" s="120">
        <v>2</v>
      </c>
      <c r="AZ416" s="39" t="s">
        <v>4927</v>
      </c>
      <c r="BB416" s="121">
        <v>1</v>
      </c>
      <c r="BC416" s="43"/>
      <c r="BD416" s="43"/>
      <c r="BE416" s="43" t="s">
        <v>5626</v>
      </c>
      <c r="BG416" s="33" t="s">
        <v>5629</v>
      </c>
      <c r="BI416" s="43"/>
      <c r="BJ416" s="43"/>
      <c r="BK416" s="43"/>
      <c r="BL416" s="43"/>
      <c r="BM416" s="43"/>
      <c r="BN416" s="43"/>
      <c r="BO416" s="43"/>
      <c r="BP416" s="43"/>
    </row>
    <row r="417" spans="1:68" ht="15" customHeight="1">
      <c r="A417" s="33" t="s">
        <v>5568</v>
      </c>
      <c r="B417" s="33" t="s">
        <v>5779</v>
      </c>
      <c r="C417" s="33" t="s">
        <v>5829</v>
      </c>
      <c r="D417" s="65">
        <v>134</v>
      </c>
      <c r="E417" s="43">
        <v>1</v>
      </c>
      <c r="F417" s="43" t="s">
        <v>5569</v>
      </c>
      <c r="G417" s="43" t="s">
        <v>5624</v>
      </c>
      <c r="I417" s="43"/>
      <c r="J417" s="43" t="s">
        <v>31</v>
      </c>
      <c r="K417" s="43"/>
      <c r="L417" s="43"/>
      <c r="M417" s="43"/>
      <c r="N417" s="114"/>
      <c r="O417" s="115"/>
      <c r="P417" s="116"/>
      <c r="Q417" s="117"/>
      <c r="R417" s="77"/>
      <c r="U417" s="115"/>
      <c r="V417" s="118"/>
      <c r="W417" s="119"/>
      <c r="X417" s="120"/>
      <c r="Y417" s="77"/>
      <c r="AA417" s="121"/>
      <c r="AB417" s="62"/>
      <c r="AC417" s="43"/>
      <c r="AD417" s="43" t="s">
        <v>5626</v>
      </c>
      <c r="AH417" s="43"/>
      <c r="AI417" s="43" t="s">
        <v>5624</v>
      </c>
      <c r="AJ417" s="43" t="s">
        <v>5630</v>
      </c>
      <c r="AK417" s="43"/>
      <c r="AL417" s="43" t="s">
        <v>31</v>
      </c>
      <c r="AM417" s="43"/>
      <c r="AN417" s="43"/>
      <c r="AO417" s="43"/>
      <c r="AP417" s="122"/>
      <c r="AQ417" s="115"/>
      <c r="AR417" s="116"/>
      <c r="AS417" s="117"/>
      <c r="AT417" s="77"/>
      <c r="AV417" s="115"/>
      <c r="AW417" s="118"/>
      <c r="AX417" s="119"/>
      <c r="AY417" s="120">
        <v>4</v>
      </c>
      <c r="AZ417" s="39" t="s">
        <v>4927</v>
      </c>
      <c r="BB417" s="121">
        <v>1</v>
      </c>
      <c r="BC417" s="43"/>
      <c r="BD417" s="43"/>
      <c r="BE417" s="43" t="s">
        <v>5626</v>
      </c>
      <c r="BG417" s="33" t="s">
        <v>5631</v>
      </c>
      <c r="BI417" s="43"/>
      <c r="BJ417" s="43"/>
      <c r="BK417" s="43"/>
      <c r="BL417" s="43"/>
      <c r="BM417" s="43"/>
      <c r="BN417" s="43"/>
      <c r="BO417" s="43"/>
      <c r="BP417" s="43"/>
    </row>
    <row r="418" spans="1:68" ht="15" customHeight="1">
      <c r="A418" s="33" t="s">
        <v>5568</v>
      </c>
      <c r="B418" s="33" t="s">
        <v>5780</v>
      </c>
      <c r="C418" s="33" t="s">
        <v>5829</v>
      </c>
      <c r="D418" s="65">
        <v>135</v>
      </c>
      <c r="E418" s="43">
        <v>1</v>
      </c>
      <c r="F418" s="43" t="s">
        <v>5569</v>
      </c>
      <c r="G418" s="43" t="s">
        <v>5624</v>
      </c>
      <c r="I418" s="43"/>
      <c r="J418" s="43" t="s">
        <v>31</v>
      </c>
      <c r="K418" s="43"/>
      <c r="L418" s="43"/>
      <c r="M418" s="43"/>
      <c r="N418" s="114"/>
      <c r="O418" s="115"/>
      <c r="P418" s="116"/>
      <c r="Q418" s="117"/>
      <c r="R418" s="77"/>
      <c r="U418" s="115"/>
      <c r="V418" s="118"/>
      <c r="W418" s="119"/>
      <c r="X418" s="120"/>
      <c r="Y418" s="77"/>
      <c r="AA418" s="121"/>
      <c r="AB418" s="62"/>
      <c r="AC418" s="43"/>
      <c r="AD418" s="43" t="s">
        <v>5626</v>
      </c>
      <c r="AH418" s="43"/>
      <c r="AI418" s="43" t="s">
        <v>5624</v>
      </c>
      <c r="AJ418" s="43" t="s">
        <v>5632</v>
      </c>
      <c r="AK418" s="43"/>
      <c r="AL418" s="43" t="s">
        <v>31</v>
      </c>
      <c r="AM418" s="43"/>
      <c r="AN418" s="43"/>
      <c r="AO418" s="43"/>
      <c r="AP418" s="122"/>
      <c r="AQ418" s="115"/>
      <c r="AR418" s="116"/>
      <c r="AS418" s="117"/>
      <c r="AT418" s="77"/>
      <c r="AV418" s="115"/>
      <c r="AW418" s="118"/>
      <c r="AX418" s="119"/>
      <c r="AY418" s="120">
        <v>3</v>
      </c>
      <c r="AZ418" s="77" t="s">
        <v>4965</v>
      </c>
      <c r="BB418" s="121">
        <v>1</v>
      </c>
      <c r="BC418" s="43"/>
      <c r="BD418" s="43"/>
      <c r="BE418" s="43" t="s">
        <v>5626</v>
      </c>
      <c r="BG418" s="33" t="s">
        <v>5633</v>
      </c>
      <c r="BI418" s="43"/>
      <c r="BJ418" s="43"/>
      <c r="BK418" s="43"/>
      <c r="BL418" s="43"/>
      <c r="BM418" s="43"/>
      <c r="BN418" s="43"/>
      <c r="BO418" s="43"/>
      <c r="BP418" s="43"/>
    </row>
    <row r="419" spans="1:68" ht="15" customHeight="1">
      <c r="A419" s="33" t="s">
        <v>5568</v>
      </c>
      <c r="B419" s="33" t="s">
        <v>5781</v>
      </c>
      <c r="C419" s="33" t="s">
        <v>5829</v>
      </c>
      <c r="D419" s="65">
        <v>136</v>
      </c>
      <c r="E419" s="43">
        <v>1</v>
      </c>
      <c r="F419" s="43" t="s">
        <v>5569</v>
      </c>
      <c r="G419" s="43" t="s">
        <v>5624</v>
      </c>
      <c r="I419" s="43"/>
      <c r="J419" s="43" t="s">
        <v>31</v>
      </c>
      <c r="K419" s="43"/>
      <c r="L419" s="43"/>
      <c r="M419" s="43"/>
      <c r="N419" s="114"/>
      <c r="O419" s="115"/>
      <c r="P419" s="116"/>
      <c r="Q419" s="117"/>
      <c r="R419" s="77"/>
      <c r="U419" s="115"/>
      <c r="V419" s="118"/>
      <c r="W419" s="119"/>
      <c r="X419" s="120"/>
      <c r="Y419" s="77"/>
      <c r="AA419" s="121"/>
      <c r="AB419" s="62"/>
      <c r="AC419" s="43"/>
      <c r="AD419" s="43" t="s">
        <v>5626</v>
      </c>
      <c r="AH419" s="43"/>
      <c r="AI419" s="43" t="s">
        <v>5624</v>
      </c>
      <c r="AJ419" s="43" t="s">
        <v>5634</v>
      </c>
      <c r="AK419" s="43"/>
      <c r="AL419" s="43" t="s">
        <v>31</v>
      </c>
      <c r="AM419" s="43"/>
      <c r="AN419" s="43"/>
      <c r="AO419" s="43"/>
      <c r="AP419" s="122"/>
      <c r="AQ419" s="115"/>
      <c r="AR419" s="116"/>
      <c r="AS419" s="117"/>
      <c r="AT419" s="77"/>
      <c r="AV419" s="115"/>
      <c r="AW419" s="118"/>
      <c r="AX419" s="119"/>
      <c r="AY419" s="120">
        <v>3</v>
      </c>
      <c r="AZ419" s="77" t="s">
        <v>4965</v>
      </c>
      <c r="BB419" s="121">
        <v>1</v>
      </c>
      <c r="BC419" s="43"/>
      <c r="BD419" s="43"/>
      <c r="BE419" s="43" t="s">
        <v>5626</v>
      </c>
      <c r="BG419" s="33" t="s">
        <v>5635</v>
      </c>
      <c r="BI419" s="43"/>
      <c r="BJ419" s="43"/>
      <c r="BK419" s="43"/>
      <c r="BL419" s="43"/>
      <c r="BM419" s="43"/>
      <c r="BN419" s="43"/>
      <c r="BO419" s="43"/>
      <c r="BP419" s="43"/>
    </row>
    <row r="420" spans="1:68" ht="15" customHeight="1">
      <c r="A420" s="33" t="s">
        <v>5568</v>
      </c>
      <c r="B420" s="33" t="s">
        <v>5782</v>
      </c>
      <c r="C420" s="33" t="s">
        <v>5829</v>
      </c>
      <c r="D420" s="65">
        <v>137</v>
      </c>
      <c r="E420" s="43">
        <v>1</v>
      </c>
      <c r="F420" s="43" t="s">
        <v>5569</v>
      </c>
      <c r="G420" s="43" t="s">
        <v>5624</v>
      </c>
      <c r="I420" s="43"/>
      <c r="J420" s="43" t="s">
        <v>31</v>
      </c>
      <c r="K420" s="43"/>
      <c r="L420" s="43"/>
      <c r="M420" s="43"/>
      <c r="N420" s="114"/>
      <c r="O420" s="115"/>
      <c r="P420" s="116"/>
      <c r="Q420" s="117"/>
      <c r="R420" s="77"/>
      <c r="U420" s="115"/>
      <c r="V420" s="118"/>
      <c r="W420" s="119"/>
      <c r="X420" s="120"/>
      <c r="Y420" s="77"/>
      <c r="AA420" s="121"/>
      <c r="AB420" s="62"/>
      <c r="AC420" s="43"/>
      <c r="AD420" s="43" t="s">
        <v>5626</v>
      </c>
      <c r="AH420" s="43"/>
      <c r="AI420" s="43" t="s">
        <v>5624</v>
      </c>
      <c r="AJ420" s="43" t="s">
        <v>5636</v>
      </c>
      <c r="AK420" s="43"/>
      <c r="AL420" s="43" t="s">
        <v>31</v>
      </c>
      <c r="AM420" s="43"/>
      <c r="AN420" s="43"/>
      <c r="AO420" s="43"/>
      <c r="AP420" s="122"/>
      <c r="AQ420" s="115"/>
      <c r="AR420" s="116"/>
      <c r="AS420" s="117"/>
      <c r="AT420" s="77"/>
      <c r="AV420" s="115"/>
      <c r="AW420" s="118"/>
      <c r="AX420" s="119"/>
      <c r="AY420" s="120">
        <v>3</v>
      </c>
      <c r="AZ420" s="77" t="s">
        <v>4965</v>
      </c>
      <c r="BB420" s="121">
        <v>1</v>
      </c>
      <c r="BC420" s="43"/>
      <c r="BD420" s="43"/>
      <c r="BE420" s="43" t="s">
        <v>5626</v>
      </c>
      <c r="BG420" s="33" t="s">
        <v>5637</v>
      </c>
      <c r="BI420" s="43"/>
      <c r="BJ420" s="43"/>
      <c r="BK420" s="43"/>
      <c r="BL420" s="43"/>
      <c r="BM420" s="43"/>
      <c r="BN420" s="43"/>
      <c r="BO420" s="43"/>
      <c r="BP420" s="43"/>
    </row>
    <row r="421" spans="1:68" ht="15" customHeight="1">
      <c r="A421" s="33" t="s">
        <v>5568</v>
      </c>
      <c r="B421" s="33" t="s">
        <v>5783</v>
      </c>
      <c r="C421" s="33" t="s">
        <v>5829</v>
      </c>
      <c r="D421" s="65">
        <v>138</v>
      </c>
      <c r="E421" s="43">
        <v>1</v>
      </c>
      <c r="F421" s="43" t="s">
        <v>5569</v>
      </c>
      <c r="G421" s="43" t="s">
        <v>5638</v>
      </c>
      <c r="H421" s="43" t="s">
        <v>5639</v>
      </c>
      <c r="I421" s="43" t="s">
        <v>4077</v>
      </c>
      <c r="J421" s="43" t="s">
        <v>4111</v>
      </c>
      <c r="K421" s="43" t="s">
        <v>26</v>
      </c>
      <c r="L421" s="43"/>
      <c r="M421" s="43"/>
      <c r="N421" s="114">
        <v>0</v>
      </c>
      <c r="O421" s="115"/>
      <c r="P421" s="116">
        <v>1</v>
      </c>
      <c r="Q421" s="117"/>
      <c r="R421" s="77"/>
      <c r="T421" s="78">
        <v>1</v>
      </c>
      <c r="U421" s="115">
        <v>1</v>
      </c>
      <c r="V421" s="118"/>
      <c r="W421" s="119"/>
      <c r="X421" s="120"/>
      <c r="Y421" s="77"/>
      <c r="AA421" s="121"/>
      <c r="AB421" s="62"/>
      <c r="AC421" s="43"/>
      <c r="AD421" s="43" t="s">
        <v>4184</v>
      </c>
      <c r="AF421" s="33" t="s">
        <v>5640</v>
      </c>
      <c r="AH421" s="43"/>
      <c r="AI421" s="43"/>
      <c r="AJ421" s="43"/>
      <c r="AK421" s="43"/>
      <c r="AL421" s="43"/>
      <c r="AM421" s="43"/>
      <c r="AN421" s="43"/>
      <c r="AO421" s="43"/>
      <c r="AP421" s="122"/>
      <c r="AQ421" s="115"/>
      <c r="AR421" s="116"/>
      <c r="AS421" s="117"/>
      <c r="AT421" s="77"/>
      <c r="AV421" s="115"/>
      <c r="AW421" s="118"/>
      <c r="AX421" s="119"/>
      <c r="AY421" s="120"/>
      <c r="AZ421" s="77"/>
      <c r="BB421" s="121"/>
      <c r="BC421" s="43"/>
      <c r="BD421" s="43"/>
      <c r="BE421" s="43"/>
      <c r="BI421" s="43"/>
      <c r="BJ421" s="33" t="s">
        <v>5836</v>
      </c>
      <c r="BK421" s="43"/>
      <c r="BL421" s="43"/>
      <c r="BM421" s="43"/>
      <c r="BN421" s="43"/>
      <c r="BO421" s="43"/>
      <c r="BP421" s="43"/>
    </row>
    <row r="422" spans="1:68" ht="15" customHeight="1">
      <c r="A422" s="33" t="s">
        <v>5568</v>
      </c>
      <c r="B422" s="33" t="s">
        <v>5784</v>
      </c>
      <c r="C422" s="33" t="s">
        <v>5829</v>
      </c>
      <c r="D422" s="65">
        <v>139</v>
      </c>
      <c r="E422" s="43">
        <v>1</v>
      </c>
      <c r="F422" s="43" t="s">
        <v>5569</v>
      </c>
      <c r="G422" s="43" t="s">
        <v>5641</v>
      </c>
      <c r="H422" s="43" t="s">
        <v>5642</v>
      </c>
      <c r="I422" s="43" t="s">
        <v>4077</v>
      </c>
      <c r="J422" s="43" t="s">
        <v>4111</v>
      </c>
      <c r="K422" s="43" t="s">
        <v>26</v>
      </c>
      <c r="L422" s="43"/>
      <c r="M422" s="43"/>
      <c r="N422" s="114">
        <v>0</v>
      </c>
      <c r="O422" s="115"/>
      <c r="P422" s="116">
        <v>1</v>
      </c>
      <c r="Q422" s="117"/>
      <c r="R422" s="77">
        <v>1</v>
      </c>
      <c r="T422" s="78">
        <v>1</v>
      </c>
      <c r="U422" s="115">
        <v>1</v>
      </c>
      <c r="V422" s="118"/>
      <c r="W422" s="119"/>
      <c r="X422" s="120"/>
      <c r="Y422" s="77"/>
      <c r="AA422" s="121"/>
      <c r="AB422" s="62"/>
      <c r="AC422" s="43"/>
      <c r="AD422" s="43" t="s">
        <v>4184</v>
      </c>
      <c r="AF422" s="33" t="s">
        <v>5643</v>
      </c>
      <c r="AH422" s="43"/>
      <c r="AI422" s="43"/>
      <c r="AJ422" s="43"/>
      <c r="AK422" s="43"/>
      <c r="AL422" s="43"/>
      <c r="AM422" s="43"/>
      <c r="AN422" s="43"/>
      <c r="AO422" s="43"/>
      <c r="AP422" s="122"/>
      <c r="AQ422" s="115"/>
      <c r="AR422" s="116"/>
      <c r="AS422" s="117"/>
      <c r="AT422" s="77"/>
      <c r="AV422" s="115"/>
      <c r="AW422" s="118"/>
      <c r="AX422" s="119"/>
      <c r="AY422" s="120"/>
      <c r="AZ422" s="77"/>
      <c r="BB422" s="121"/>
      <c r="BC422" s="43"/>
      <c r="BD422" s="43"/>
      <c r="BE422" s="43"/>
      <c r="BI422" s="43"/>
      <c r="BJ422" s="33" t="s">
        <v>5836</v>
      </c>
      <c r="BK422" s="43"/>
      <c r="BL422" s="43"/>
      <c r="BM422" s="43"/>
      <c r="BN422" s="43"/>
      <c r="BO422" s="43"/>
      <c r="BP422" s="43"/>
    </row>
    <row r="423" spans="1:68" ht="15" customHeight="1">
      <c r="A423" s="33" t="s">
        <v>5568</v>
      </c>
      <c r="B423" s="33" t="s">
        <v>5785</v>
      </c>
      <c r="C423" s="33" t="s">
        <v>5829</v>
      </c>
      <c r="D423" s="65">
        <v>140</v>
      </c>
      <c r="E423" s="43">
        <v>1</v>
      </c>
      <c r="F423" s="43" t="s">
        <v>5569</v>
      </c>
      <c r="G423" s="43" t="s">
        <v>4121</v>
      </c>
      <c r="H423" s="43" t="s">
        <v>5644</v>
      </c>
      <c r="I423" s="43"/>
      <c r="J423" s="43" t="s">
        <v>4111</v>
      </c>
      <c r="K423" s="43" t="s">
        <v>26</v>
      </c>
      <c r="L423" s="43"/>
      <c r="M423" s="43"/>
      <c r="N423" s="114">
        <v>2</v>
      </c>
      <c r="O423" s="115"/>
      <c r="P423" s="116">
        <v>1</v>
      </c>
      <c r="Q423" s="117">
        <v>1</v>
      </c>
      <c r="R423" s="77"/>
      <c r="U423" s="115"/>
      <c r="V423" s="118"/>
      <c r="W423" s="119"/>
      <c r="X423" s="120"/>
      <c r="Y423" s="77"/>
      <c r="AA423" s="121"/>
      <c r="AB423" s="62" t="s">
        <v>4059</v>
      </c>
      <c r="AC423" s="43" t="s">
        <v>4112</v>
      </c>
      <c r="AD423" s="43" t="s">
        <v>4123</v>
      </c>
      <c r="AF423" s="33" t="s">
        <v>5645</v>
      </c>
      <c r="AH423" s="43"/>
      <c r="AI423" s="43"/>
      <c r="AJ423" s="43"/>
      <c r="AK423" s="43"/>
      <c r="AL423" s="43"/>
      <c r="AM423" s="43"/>
      <c r="AN423" s="43"/>
      <c r="AO423" s="43"/>
      <c r="AP423" s="122"/>
      <c r="AQ423" s="115"/>
      <c r="AR423" s="116"/>
      <c r="AS423" s="117"/>
      <c r="AT423" s="77"/>
      <c r="AV423" s="115"/>
      <c r="AW423" s="118"/>
      <c r="AX423" s="119"/>
      <c r="AY423" s="120"/>
      <c r="AZ423" s="77"/>
      <c r="BB423" s="121"/>
      <c r="BC423" s="43"/>
      <c r="BD423" s="43"/>
      <c r="BE423" s="43"/>
      <c r="BI423" s="43"/>
      <c r="BJ423" s="43"/>
      <c r="BK423" s="43"/>
      <c r="BL423" s="43"/>
      <c r="BM423" s="43"/>
      <c r="BN423" s="43"/>
      <c r="BO423" s="43"/>
      <c r="BP423" s="43"/>
    </row>
    <row r="424" spans="1:68" ht="15" customHeight="1">
      <c r="A424" s="33" t="s">
        <v>5568</v>
      </c>
      <c r="B424" s="33" t="s">
        <v>5786</v>
      </c>
      <c r="C424" s="33" t="s">
        <v>5829</v>
      </c>
      <c r="D424" s="65">
        <v>141</v>
      </c>
      <c r="E424" s="43">
        <v>1</v>
      </c>
      <c r="F424" s="43" t="s">
        <v>5569</v>
      </c>
      <c r="G424" s="43" t="s">
        <v>5646</v>
      </c>
      <c r="H424" s="43" t="s">
        <v>5647</v>
      </c>
      <c r="I424" s="43"/>
      <c r="J424" s="43" t="s">
        <v>29</v>
      </c>
      <c r="K424" s="43"/>
      <c r="L424" s="43"/>
      <c r="M424" s="43"/>
      <c r="N424" s="114"/>
      <c r="O424" s="115"/>
      <c r="P424" s="116"/>
      <c r="Q424" s="117">
        <v>2</v>
      </c>
      <c r="R424" s="77">
        <v>2</v>
      </c>
      <c r="T424" s="78">
        <v>3</v>
      </c>
      <c r="U424" s="115"/>
      <c r="V424" s="118">
        <v>1</v>
      </c>
      <c r="W424" s="119">
        <v>1</v>
      </c>
      <c r="X424" s="120"/>
      <c r="Y424" s="77"/>
      <c r="AA424" s="121"/>
      <c r="AB424" s="62"/>
      <c r="AC424" s="43"/>
      <c r="AD424" s="43" t="s">
        <v>5648</v>
      </c>
      <c r="AE424" s="34" t="s">
        <v>4707</v>
      </c>
      <c r="AF424" s="33" t="s">
        <v>5835</v>
      </c>
      <c r="AH424" s="43"/>
      <c r="AI424" s="43"/>
      <c r="AJ424" s="43"/>
      <c r="AK424" s="43"/>
      <c r="AL424" s="43"/>
      <c r="AM424" s="43"/>
      <c r="AN424" s="43"/>
      <c r="AO424" s="43"/>
      <c r="AP424" s="122"/>
      <c r="AQ424" s="115"/>
      <c r="AR424" s="116"/>
      <c r="AS424" s="117"/>
      <c r="AT424" s="77"/>
      <c r="AV424" s="115"/>
      <c r="AW424" s="118"/>
      <c r="AX424" s="119"/>
      <c r="AY424" s="120"/>
      <c r="AZ424" s="77"/>
      <c r="BB424" s="121"/>
      <c r="BC424" s="43"/>
      <c r="BD424" s="43"/>
      <c r="BE424" s="43"/>
      <c r="BI424" s="43"/>
      <c r="BJ424" s="43"/>
      <c r="BK424" s="43"/>
      <c r="BL424" s="43"/>
      <c r="BM424" s="43"/>
      <c r="BN424" s="43"/>
      <c r="BO424" s="43"/>
      <c r="BP424" s="43"/>
    </row>
    <row r="425" spans="1:68" ht="15" customHeight="1">
      <c r="A425" s="33" t="s">
        <v>5568</v>
      </c>
      <c r="B425" s="33" t="s">
        <v>5787</v>
      </c>
      <c r="C425" s="33" t="s">
        <v>5829</v>
      </c>
      <c r="D425" s="65">
        <v>142</v>
      </c>
      <c r="E425" s="43">
        <v>1</v>
      </c>
      <c r="F425" s="43" t="s">
        <v>5569</v>
      </c>
      <c r="G425" s="43" t="s">
        <v>5649</v>
      </c>
      <c r="H425" s="43"/>
      <c r="I425" s="43"/>
      <c r="J425" s="43" t="s">
        <v>28</v>
      </c>
      <c r="K425" s="43"/>
      <c r="L425" s="43"/>
      <c r="M425" s="43"/>
      <c r="N425" s="114"/>
      <c r="O425" s="115"/>
      <c r="P425" s="116"/>
      <c r="Q425" s="117"/>
      <c r="R425" s="77"/>
      <c r="U425" s="115"/>
      <c r="V425" s="118"/>
      <c r="W425" s="119"/>
      <c r="X425" s="120"/>
      <c r="Y425" s="77"/>
      <c r="AA425" s="121"/>
      <c r="AB425" s="62"/>
      <c r="AC425" s="43"/>
      <c r="AD425" s="43" t="s">
        <v>5517</v>
      </c>
      <c r="AF425" s="33" t="s">
        <v>5650</v>
      </c>
      <c r="AH425" s="43"/>
      <c r="AI425" s="43"/>
      <c r="AJ425" s="43"/>
      <c r="AK425" s="43"/>
      <c r="AL425" s="43"/>
      <c r="AM425" s="43"/>
      <c r="AN425" s="43"/>
      <c r="AO425" s="43"/>
      <c r="AP425" s="122"/>
      <c r="AQ425" s="115"/>
      <c r="AR425" s="116"/>
      <c r="AS425" s="117"/>
      <c r="AT425" s="77"/>
      <c r="AV425" s="115"/>
      <c r="AW425" s="118"/>
      <c r="AX425" s="119"/>
      <c r="AY425" s="120"/>
      <c r="AZ425" s="77"/>
      <c r="BB425" s="121"/>
      <c r="BC425" s="43"/>
      <c r="BD425" s="43"/>
      <c r="BE425" s="43"/>
      <c r="BI425" s="43"/>
      <c r="BJ425" s="43"/>
      <c r="BK425" s="43"/>
      <c r="BL425" s="43"/>
      <c r="BM425" s="43"/>
      <c r="BN425" s="43"/>
      <c r="BO425" s="43"/>
      <c r="BP425" s="43"/>
    </row>
    <row r="426" spans="1:68" ht="15" customHeight="1">
      <c r="A426" s="33" t="s">
        <v>5568</v>
      </c>
      <c r="B426" s="33" t="s">
        <v>5788</v>
      </c>
      <c r="C426" s="33" t="s">
        <v>5829</v>
      </c>
      <c r="D426" s="65">
        <v>143</v>
      </c>
      <c r="E426" s="43">
        <v>2</v>
      </c>
      <c r="F426" s="43" t="s">
        <v>5569</v>
      </c>
      <c r="G426" s="43" t="s">
        <v>5651</v>
      </c>
      <c r="H426" s="43"/>
      <c r="I426" s="43"/>
      <c r="J426" s="43" t="s">
        <v>28</v>
      </c>
      <c r="K426" s="43"/>
      <c r="L426" s="43"/>
      <c r="M426" s="43"/>
      <c r="N426" s="114"/>
      <c r="O426" s="115"/>
      <c r="P426" s="116"/>
      <c r="Q426" s="117"/>
      <c r="R426" s="77"/>
      <c r="U426" s="115"/>
      <c r="V426" s="118"/>
      <c r="W426" s="119"/>
      <c r="X426" s="120"/>
      <c r="Y426" s="77"/>
      <c r="AA426" s="121"/>
      <c r="AB426" s="62"/>
      <c r="AC426" s="43"/>
      <c r="AD426" s="43" t="s">
        <v>4161</v>
      </c>
      <c r="AF426" s="33" t="s">
        <v>5652</v>
      </c>
      <c r="AH426" s="43"/>
      <c r="AI426" s="43"/>
      <c r="AJ426" s="43"/>
      <c r="AK426" s="43"/>
      <c r="AL426" s="43"/>
      <c r="AM426" s="43"/>
      <c r="AN426" s="43"/>
      <c r="AO426" s="43"/>
      <c r="AP426" s="122"/>
      <c r="AQ426" s="115"/>
      <c r="AR426" s="116"/>
      <c r="AS426" s="117"/>
      <c r="AT426" s="77"/>
      <c r="AV426" s="115"/>
      <c r="AW426" s="118"/>
      <c r="AX426" s="119"/>
      <c r="AY426" s="120"/>
      <c r="AZ426" s="77"/>
      <c r="BB426" s="121"/>
      <c r="BC426" s="43"/>
      <c r="BD426" s="43"/>
      <c r="BE426" s="43"/>
      <c r="BI426" s="43"/>
      <c r="BJ426" s="43"/>
      <c r="BK426" s="43"/>
      <c r="BL426" s="43"/>
      <c r="BM426" s="43"/>
      <c r="BN426" s="43"/>
      <c r="BO426" s="43"/>
      <c r="BP426" s="43"/>
    </row>
    <row r="427" spans="1:68" ht="15" customHeight="1">
      <c r="A427" s="33" t="s">
        <v>5568</v>
      </c>
      <c r="B427" s="33" t="s">
        <v>5789</v>
      </c>
      <c r="C427" s="33" t="s">
        <v>5829</v>
      </c>
      <c r="D427" s="65">
        <v>144</v>
      </c>
      <c r="E427" s="43">
        <v>3</v>
      </c>
      <c r="F427" s="43" t="s">
        <v>5569</v>
      </c>
      <c r="G427" s="43" t="s">
        <v>5653</v>
      </c>
      <c r="H427" s="43"/>
      <c r="I427" s="43"/>
      <c r="J427" s="43" t="s">
        <v>28</v>
      </c>
      <c r="K427" s="43"/>
      <c r="L427" s="43"/>
      <c r="M427" s="43"/>
      <c r="N427" s="114"/>
      <c r="O427" s="115"/>
      <c r="P427" s="116"/>
      <c r="Q427" s="117"/>
      <c r="R427" s="77"/>
      <c r="U427" s="115"/>
      <c r="V427" s="118"/>
      <c r="W427" s="119"/>
      <c r="X427" s="120"/>
      <c r="Y427" s="77"/>
      <c r="AA427" s="121"/>
      <c r="AB427" s="62"/>
      <c r="AC427" s="43"/>
      <c r="AD427" s="43" t="s">
        <v>5517</v>
      </c>
      <c r="AF427" s="33" t="s">
        <v>5654</v>
      </c>
      <c r="AH427" s="43"/>
      <c r="AI427" s="43"/>
      <c r="AJ427" s="43"/>
      <c r="AK427" s="43"/>
      <c r="AL427" s="43"/>
      <c r="AM427" s="43"/>
      <c r="AN427" s="43"/>
      <c r="AO427" s="43"/>
      <c r="AP427" s="122"/>
      <c r="AQ427" s="115"/>
      <c r="AR427" s="116"/>
      <c r="AS427" s="117"/>
      <c r="AT427" s="77"/>
      <c r="AV427" s="115"/>
      <c r="AW427" s="118"/>
      <c r="AX427" s="119"/>
      <c r="AY427" s="120"/>
      <c r="AZ427" s="77"/>
      <c r="BB427" s="121"/>
      <c r="BC427" s="43"/>
      <c r="BD427" s="43"/>
      <c r="BE427" s="43"/>
      <c r="BI427" s="43"/>
      <c r="BJ427" s="43"/>
      <c r="BK427" s="43"/>
      <c r="BL427" s="43"/>
      <c r="BM427" s="43"/>
      <c r="BN427" s="43"/>
      <c r="BO427" s="43"/>
      <c r="BP427" s="43"/>
    </row>
    <row r="428" spans="1:68" ht="15" customHeight="1">
      <c r="A428" s="33" t="s">
        <v>5568</v>
      </c>
      <c r="B428" s="33" t="s">
        <v>5790</v>
      </c>
      <c r="C428" s="33" t="s">
        <v>5829</v>
      </c>
      <c r="D428" s="65">
        <v>145</v>
      </c>
      <c r="E428" s="43">
        <v>2</v>
      </c>
      <c r="F428" s="43" t="s">
        <v>5569</v>
      </c>
      <c r="G428" s="43" t="s">
        <v>5655</v>
      </c>
      <c r="H428" s="43"/>
      <c r="I428" s="43"/>
      <c r="J428" s="43" t="s">
        <v>28</v>
      </c>
      <c r="K428" s="43"/>
      <c r="L428" s="43"/>
      <c r="M428" s="43"/>
      <c r="N428" s="114"/>
      <c r="O428" s="115"/>
      <c r="P428" s="116"/>
      <c r="Q428" s="117"/>
      <c r="R428" s="77"/>
      <c r="U428" s="115"/>
      <c r="V428" s="118"/>
      <c r="W428" s="119"/>
      <c r="X428" s="120"/>
      <c r="Y428" s="77"/>
      <c r="AA428" s="121"/>
      <c r="AB428" s="62"/>
      <c r="AC428" s="43"/>
      <c r="AD428" s="43" t="s">
        <v>4335</v>
      </c>
      <c r="AF428" s="33" t="s">
        <v>5656</v>
      </c>
      <c r="AH428" s="43"/>
      <c r="AI428" s="43"/>
      <c r="AJ428" s="43"/>
      <c r="AK428" s="43"/>
      <c r="AL428" s="43"/>
      <c r="AM428" s="43"/>
      <c r="AN428" s="43"/>
      <c r="AO428" s="43"/>
      <c r="AP428" s="122"/>
      <c r="AQ428" s="115"/>
      <c r="AR428" s="116"/>
      <c r="AS428" s="117"/>
      <c r="AT428" s="77"/>
      <c r="AV428" s="115"/>
      <c r="AW428" s="118"/>
      <c r="AX428" s="119"/>
      <c r="AY428" s="120"/>
      <c r="AZ428" s="77"/>
      <c r="BB428" s="121"/>
      <c r="BC428" s="43"/>
      <c r="BD428" s="43"/>
      <c r="BE428" s="43"/>
      <c r="BI428" s="43"/>
      <c r="BJ428" s="43"/>
      <c r="BK428" s="43"/>
      <c r="BL428" s="43"/>
      <c r="BM428" s="43"/>
      <c r="BN428" s="43"/>
      <c r="BO428" s="43"/>
      <c r="BP428" s="43"/>
    </row>
    <row r="429" spans="1:68" ht="15" customHeight="1">
      <c r="A429" s="33" t="s">
        <v>5568</v>
      </c>
      <c r="B429" s="33" t="s">
        <v>5791</v>
      </c>
      <c r="C429" s="33" t="s">
        <v>5829</v>
      </c>
      <c r="D429" s="65">
        <v>146</v>
      </c>
      <c r="E429" s="43">
        <v>2</v>
      </c>
      <c r="F429" s="43" t="s">
        <v>5569</v>
      </c>
      <c r="G429" s="43" t="s">
        <v>5657</v>
      </c>
      <c r="H429" s="43"/>
      <c r="I429" s="43"/>
      <c r="J429" s="43" t="s">
        <v>28</v>
      </c>
      <c r="K429" s="43"/>
      <c r="L429" s="43"/>
      <c r="M429" s="43"/>
      <c r="N429" s="114"/>
      <c r="O429" s="115"/>
      <c r="P429" s="116"/>
      <c r="Q429" s="117"/>
      <c r="R429" s="77"/>
      <c r="U429" s="115"/>
      <c r="V429" s="118"/>
      <c r="W429" s="119"/>
      <c r="X429" s="120"/>
      <c r="Y429" s="77"/>
      <c r="AA429" s="121"/>
      <c r="AB429" s="62"/>
      <c r="AC429" s="43"/>
      <c r="AD429" s="43"/>
      <c r="AF429" s="33" t="s">
        <v>5658</v>
      </c>
      <c r="AH429" s="43"/>
      <c r="AI429" s="43"/>
      <c r="AJ429" s="43"/>
      <c r="AK429" s="43"/>
      <c r="AL429" s="43"/>
      <c r="AM429" s="43"/>
      <c r="AN429" s="43"/>
      <c r="AO429" s="43"/>
      <c r="AP429" s="122"/>
      <c r="AQ429" s="115"/>
      <c r="AR429" s="116"/>
      <c r="AS429" s="117"/>
      <c r="AT429" s="77"/>
      <c r="AV429" s="115"/>
      <c r="AW429" s="118"/>
      <c r="AX429" s="119"/>
      <c r="AY429" s="120"/>
      <c r="AZ429" s="77"/>
      <c r="BB429" s="121"/>
      <c r="BC429" s="43"/>
      <c r="BD429" s="43"/>
      <c r="BE429" s="43"/>
      <c r="BI429" s="43"/>
      <c r="BJ429" s="43"/>
      <c r="BK429" s="43"/>
      <c r="BL429" s="43"/>
      <c r="BM429" s="43"/>
      <c r="BN429" s="43"/>
      <c r="BO429" s="43"/>
      <c r="BP429" s="43"/>
    </row>
    <row r="430" spans="1:68" s="43" customFormat="1" ht="15" customHeight="1">
      <c r="A430" s="64" t="s">
        <v>5571</v>
      </c>
      <c r="B430" s="124" t="s">
        <v>5792</v>
      </c>
      <c r="C430" s="64" t="s">
        <v>5830</v>
      </c>
      <c r="D430" s="63">
        <v>147</v>
      </c>
      <c r="E430" s="64">
        <v>2</v>
      </c>
      <c r="F430" s="64"/>
      <c r="G430" s="64" t="s">
        <v>5666</v>
      </c>
      <c r="J430" s="43" t="s">
        <v>4111</v>
      </c>
      <c r="K430" s="43" t="s">
        <v>4052</v>
      </c>
      <c r="N430" s="114">
        <v>2</v>
      </c>
      <c r="O430" s="115"/>
      <c r="P430" s="116"/>
      <c r="Q430" s="117"/>
      <c r="R430" s="77"/>
      <c r="S430" s="123"/>
      <c r="T430" s="78">
        <v>1</v>
      </c>
      <c r="U430" s="115" t="s">
        <v>38</v>
      </c>
      <c r="V430" s="118"/>
      <c r="W430" s="119"/>
      <c r="X430" s="120"/>
      <c r="Y430" s="77"/>
      <c r="Z430" s="78"/>
      <c r="AA430" s="121"/>
      <c r="AB430" s="62" t="s">
        <v>4060</v>
      </c>
      <c r="AC430" s="43" t="s">
        <v>4247</v>
      </c>
      <c r="AD430" s="43" t="s">
        <v>4119</v>
      </c>
      <c r="AE430" s="34"/>
      <c r="AF430" s="33" t="s">
        <v>5693</v>
      </c>
      <c r="AG430" s="33"/>
      <c r="AP430" s="122"/>
      <c r="AQ430" s="115"/>
      <c r="AR430" s="116"/>
      <c r="AS430" s="117"/>
      <c r="AT430" s="77"/>
      <c r="AU430" s="78"/>
      <c r="AV430" s="115"/>
      <c r="AW430" s="118"/>
      <c r="AX430" s="119"/>
      <c r="AY430" s="120"/>
      <c r="AZ430" s="77"/>
      <c r="BA430" s="78"/>
      <c r="BB430" s="121"/>
      <c r="BF430" s="34"/>
      <c r="BG430" s="33"/>
      <c r="BH430" s="33"/>
    </row>
    <row r="431" spans="1:68" s="43" customFormat="1" ht="15" customHeight="1">
      <c r="A431" s="43" t="s">
        <v>5571</v>
      </c>
      <c r="B431" s="43" t="s">
        <v>5793</v>
      </c>
      <c r="C431" s="43" t="s">
        <v>5830</v>
      </c>
      <c r="D431" s="65">
        <v>148</v>
      </c>
      <c r="E431" s="43">
        <v>2</v>
      </c>
      <c r="G431" s="43" t="s">
        <v>5660</v>
      </c>
      <c r="J431" s="43" t="s">
        <v>27</v>
      </c>
      <c r="K431" s="43" t="s">
        <v>4052</v>
      </c>
      <c r="L431" s="43">
        <v>3</v>
      </c>
      <c r="N431" s="114">
        <v>0</v>
      </c>
      <c r="O431" s="115"/>
      <c r="P431" s="116"/>
      <c r="Q431" s="117"/>
      <c r="R431" s="77"/>
      <c r="S431" s="123"/>
      <c r="T431" s="78"/>
      <c r="U431" s="115"/>
      <c r="V431" s="118"/>
      <c r="W431" s="119"/>
      <c r="X431" s="120"/>
      <c r="Y431" s="77"/>
      <c r="Z431" s="78"/>
      <c r="AA431" s="121"/>
      <c r="AB431" s="62" t="s">
        <v>4948</v>
      </c>
      <c r="AD431" s="43" t="s">
        <v>5659</v>
      </c>
      <c r="AE431" s="34"/>
      <c r="AF431" s="33" t="s">
        <v>5661</v>
      </c>
      <c r="AG431" s="33"/>
      <c r="AP431" s="122"/>
      <c r="AQ431" s="115"/>
      <c r="AR431" s="116"/>
      <c r="AS431" s="117"/>
      <c r="AT431" s="77"/>
      <c r="AU431" s="78"/>
      <c r="AV431" s="115"/>
      <c r="AW431" s="118"/>
      <c r="AX431" s="119"/>
      <c r="AY431" s="120"/>
      <c r="AZ431" s="77"/>
      <c r="BA431" s="78"/>
      <c r="BB431" s="121"/>
      <c r="BF431" s="34"/>
      <c r="BG431" s="33"/>
      <c r="BH431" s="33"/>
    </row>
    <row r="432" spans="1:68" s="43" customFormat="1" ht="15" customHeight="1">
      <c r="A432" s="43" t="s">
        <v>5571</v>
      </c>
      <c r="B432" s="43" t="s">
        <v>5794</v>
      </c>
      <c r="C432" s="43" t="s">
        <v>5830</v>
      </c>
      <c r="D432" s="65">
        <v>149</v>
      </c>
      <c r="E432" s="43">
        <v>2</v>
      </c>
      <c r="G432" s="43" t="s">
        <v>5667</v>
      </c>
      <c r="J432" s="43" t="s">
        <v>4111</v>
      </c>
      <c r="K432" s="43" t="s">
        <v>4053</v>
      </c>
      <c r="N432" s="114">
        <v>2</v>
      </c>
      <c r="O432" s="115"/>
      <c r="P432" s="116"/>
      <c r="Q432" s="117"/>
      <c r="R432" s="77"/>
      <c r="S432" s="123"/>
      <c r="T432" s="78">
        <v>1</v>
      </c>
      <c r="U432" s="115">
        <v>2</v>
      </c>
      <c r="V432" s="118"/>
      <c r="W432" s="119"/>
      <c r="X432" s="120"/>
      <c r="Y432" s="77"/>
      <c r="Z432" s="78"/>
      <c r="AA432" s="121"/>
      <c r="AB432" s="62" t="s">
        <v>4938</v>
      </c>
      <c r="AC432" s="43" t="s">
        <v>25</v>
      </c>
      <c r="AD432" s="43" t="s">
        <v>4184</v>
      </c>
      <c r="AE432" s="34"/>
      <c r="AF432" s="33" t="s">
        <v>5694</v>
      </c>
      <c r="AG432" s="33"/>
      <c r="AP432" s="122"/>
      <c r="AQ432" s="115"/>
      <c r="AR432" s="116"/>
      <c r="AS432" s="117"/>
      <c r="AT432" s="77"/>
      <c r="AU432" s="78"/>
      <c r="AV432" s="115"/>
      <c r="AW432" s="118"/>
      <c r="AX432" s="119"/>
      <c r="AY432" s="120"/>
      <c r="AZ432" s="77"/>
      <c r="BA432" s="78"/>
      <c r="BB432" s="121"/>
      <c r="BF432" s="34"/>
      <c r="BG432" s="33"/>
      <c r="BH432" s="33"/>
    </row>
    <row r="433" spans="1:60" s="43" customFormat="1" ht="15" customHeight="1">
      <c r="A433" s="43" t="s">
        <v>5571</v>
      </c>
      <c r="B433" s="43" t="s">
        <v>5795</v>
      </c>
      <c r="C433" s="43" t="s">
        <v>5830</v>
      </c>
      <c r="D433" s="65">
        <v>150</v>
      </c>
      <c r="E433" s="43">
        <v>2</v>
      </c>
      <c r="G433" s="43" t="s">
        <v>4200</v>
      </c>
      <c r="J433" s="43" t="s">
        <v>4166</v>
      </c>
      <c r="K433" s="43" t="s">
        <v>4053</v>
      </c>
      <c r="L433" s="43">
        <v>2</v>
      </c>
      <c r="N433" s="114"/>
      <c r="O433" s="115"/>
      <c r="P433" s="116"/>
      <c r="Q433" s="117"/>
      <c r="R433" s="77"/>
      <c r="S433" s="123"/>
      <c r="T433" s="78"/>
      <c r="U433" s="115"/>
      <c r="V433" s="118"/>
      <c r="W433" s="119"/>
      <c r="X433" s="120"/>
      <c r="Y433" s="77"/>
      <c r="Z433" s="78"/>
      <c r="AA433" s="121"/>
      <c r="AB433" s="62" t="s">
        <v>4938</v>
      </c>
      <c r="AD433" s="43" t="s">
        <v>5668</v>
      </c>
      <c r="AE433" s="34"/>
      <c r="AF433" s="33" t="s">
        <v>5669</v>
      </c>
      <c r="AG433" s="33"/>
      <c r="AP433" s="122"/>
      <c r="AQ433" s="115"/>
      <c r="AR433" s="116"/>
      <c r="AS433" s="117"/>
      <c r="AT433" s="77"/>
      <c r="AU433" s="78"/>
      <c r="AV433" s="115"/>
      <c r="AW433" s="118"/>
      <c r="AX433" s="119"/>
      <c r="AY433" s="120"/>
      <c r="AZ433" s="77"/>
      <c r="BA433" s="78"/>
      <c r="BB433" s="121"/>
      <c r="BF433" s="34"/>
      <c r="BG433" s="33"/>
      <c r="BH433" s="33"/>
    </row>
    <row r="434" spans="1:60" s="43" customFormat="1" ht="15" customHeight="1">
      <c r="A434" s="43" t="s">
        <v>5571</v>
      </c>
      <c r="B434" s="43" t="s">
        <v>5796</v>
      </c>
      <c r="C434" s="43" t="s">
        <v>5830</v>
      </c>
      <c r="D434" s="65">
        <v>151</v>
      </c>
      <c r="E434" s="43">
        <v>2</v>
      </c>
      <c r="G434" s="43" t="s">
        <v>5662</v>
      </c>
      <c r="J434" s="43" t="s">
        <v>27</v>
      </c>
      <c r="K434" s="43" t="s">
        <v>4055</v>
      </c>
      <c r="N434" s="114">
        <v>0</v>
      </c>
      <c r="O434" s="115"/>
      <c r="P434" s="116"/>
      <c r="Q434" s="117"/>
      <c r="R434" s="77"/>
      <c r="S434" s="123"/>
      <c r="T434" s="78"/>
      <c r="U434" s="115"/>
      <c r="V434" s="118"/>
      <c r="W434" s="119"/>
      <c r="X434" s="120"/>
      <c r="Y434" s="77"/>
      <c r="Z434" s="78"/>
      <c r="AA434" s="121"/>
      <c r="AB434" s="62" t="s">
        <v>4949</v>
      </c>
      <c r="AD434" s="43" t="s">
        <v>5663</v>
      </c>
      <c r="AE434" s="34"/>
      <c r="AF434" s="33" t="s">
        <v>5664</v>
      </c>
      <c r="AG434" s="33"/>
      <c r="AP434" s="122"/>
      <c r="AQ434" s="115"/>
      <c r="AR434" s="116"/>
      <c r="AS434" s="117"/>
      <c r="AT434" s="77"/>
      <c r="AU434" s="78"/>
      <c r="AV434" s="115"/>
      <c r="AW434" s="118"/>
      <c r="AX434" s="119"/>
      <c r="AY434" s="120"/>
      <c r="AZ434" s="77"/>
      <c r="BA434" s="78"/>
      <c r="BB434" s="121"/>
      <c r="BF434" s="34"/>
      <c r="BG434" s="33"/>
      <c r="BH434" s="33"/>
    </row>
    <row r="435" spans="1:60" s="43" customFormat="1" ht="15" customHeight="1">
      <c r="A435" s="43" t="s">
        <v>5571</v>
      </c>
      <c r="B435" s="43" t="s">
        <v>5797</v>
      </c>
      <c r="C435" s="43" t="s">
        <v>5830</v>
      </c>
      <c r="D435" s="65">
        <v>152</v>
      </c>
      <c r="E435" s="43">
        <v>2</v>
      </c>
      <c r="G435" s="43" t="s">
        <v>4205</v>
      </c>
      <c r="J435" s="43" t="s">
        <v>4111</v>
      </c>
      <c r="K435" s="43" t="s">
        <v>4055</v>
      </c>
      <c r="L435" s="43">
        <v>2</v>
      </c>
      <c r="N435" s="114">
        <v>1</v>
      </c>
      <c r="O435" s="115"/>
      <c r="P435" s="116"/>
      <c r="Q435" s="117"/>
      <c r="R435" s="77"/>
      <c r="S435" s="123"/>
      <c r="T435" s="78"/>
      <c r="U435" s="115"/>
      <c r="V435" s="118"/>
      <c r="W435" s="119"/>
      <c r="X435" s="120"/>
      <c r="Y435" s="77"/>
      <c r="Z435" s="78"/>
      <c r="AA435" s="121"/>
      <c r="AB435" s="62" t="s">
        <v>4941</v>
      </c>
      <c r="AC435" s="43" t="s">
        <v>4112</v>
      </c>
      <c r="AD435" s="43" t="s">
        <v>4206</v>
      </c>
      <c r="AE435" s="34"/>
      <c r="AF435" s="33" t="s">
        <v>5695</v>
      </c>
      <c r="AG435" s="33"/>
      <c r="AP435" s="122"/>
      <c r="AQ435" s="115"/>
      <c r="AR435" s="116"/>
      <c r="AS435" s="117"/>
      <c r="AT435" s="77"/>
      <c r="AU435" s="78"/>
      <c r="AV435" s="115"/>
      <c r="AW435" s="118"/>
      <c r="AX435" s="119"/>
      <c r="AY435" s="120"/>
      <c r="AZ435" s="77"/>
      <c r="BA435" s="78"/>
      <c r="BB435" s="121"/>
      <c r="BF435" s="34"/>
      <c r="BG435" s="33"/>
      <c r="BH435" s="33"/>
    </row>
    <row r="436" spans="1:60" s="43" customFormat="1" ht="15" customHeight="1">
      <c r="A436" s="43" t="s">
        <v>5571</v>
      </c>
      <c r="B436" s="43" t="s">
        <v>5798</v>
      </c>
      <c r="C436" s="43" t="s">
        <v>5830</v>
      </c>
      <c r="D436" s="65">
        <v>153</v>
      </c>
      <c r="E436" s="43">
        <v>2</v>
      </c>
      <c r="G436" s="43" t="s">
        <v>5670</v>
      </c>
      <c r="J436" s="43" t="s">
        <v>27</v>
      </c>
      <c r="K436" s="43" t="s">
        <v>4054</v>
      </c>
      <c r="N436" s="114">
        <v>3</v>
      </c>
      <c r="O436" s="115"/>
      <c r="P436" s="116"/>
      <c r="Q436" s="117"/>
      <c r="R436" s="77"/>
      <c r="S436" s="123"/>
      <c r="T436" s="78"/>
      <c r="U436" s="115"/>
      <c r="V436" s="118"/>
      <c r="W436" s="119"/>
      <c r="X436" s="120"/>
      <c r="Y436" s="77"/>
      <c r="Z436" s="78"/>
      <c r="AA436" s="121"/>
      <c r="AB436" s="62" t="s">
        <v>4941</v>
      </c>
      <c r="AC436" s="43" t="s">
        <v>4232</v>
      </c>
      <c r="AD436" s="43" t="s">
        <v>4133</v>
      </c>
      <c r="AE436" s="34"/>
      <c r="AF436" s="33" t="s">
        <v>5696</v>
      </c>
      <c r="AG436" s="33"/>
      <c r="AP436" s="122"/>
      <c r="AQ436" s="115"/>
      <c r="AR436" s="116"/>
      <c r="AS436" s="117"/>
      <c r="AT436" s="77"/>
      <c r="AU436" s="78"/>
      <c r="AV436" s="115"/>
      <c r="AW436" s="118"/>
      <c r="AX436" s="119"/>
      <c r="AY436" s="120"/>
      <c r="AZ436" s="77"/>
      <c r="BA436" s="78"/>
      <c r="BB436" s="121"/>
      <c r="BF436" s="34"/>
      <c r="BG436" s="33"/>
      <c r="BH436" s="33"/>
    </row>
    <row r="437" spans="1:60" s="43" customFormat="1" ht="15" customHeight="1">
      <c r="A437" s="43" t="s">
        <v>5571</v>
      </c>
      <c r="B437" s="43" t="s">
        <v>5799</v>
      </c>
      <c r="C437" s="43" t="s">
        <v>5830</v>
      </c>
      <c r="D437" s="65">
        <v>154</v>
      </c>
      <c r="E437" s="43">
        <v>2</v>
      </c>
      <c r="G437" s="43" t="s">
        <v>4231</v>
      </c>
      <c r="J437" s="43" t="s">
        <v>4111</v>
      </c>
      <c r="K437" s="43" t="s">
        <v>4054</v>
      </c>
      <c r="L437" s="43">
        <v>3</v>
      </c>
      <c r="N437" s="114">
        <v>3</v>
      </c>
      <c r="O437" s="115"/>
      <c r="P437" s="116"/>
      <c r="Q437" s="117"/>
      <c r="R437" s="77"/>
      <c r="S437" s="123"/>
      <c r="T437" s="78"/>
      <c r="U437" s="115"/>
      <c r="V437" s="118"/>
      <c r="W437" s="119"/>
      <c r="X437" s="120"/>
      <c r="Y437" s="77"/>
      <c r="Z437" s="78"/>
      <c r="AA437" s="121"/>
      <c r="AB437" s="62" t="s">
        <v>4937</v>
      </c>
      <c r="AC437" s="43" t="s">
        <v>4232</v>
      </c>
      <c r="AD437" s="43" t="s">
        <v>4133</v>
      </c>
      <c r="AE437" s="34"/>
      <c r="AF437" s="33" t="s">
        <v>5697</v>
      </c>
      <c r="AG437" s="33"/>
      <c r="AP437" s="122"/>
      <c r="AQ437" s="115"/>
      <c r="AR437" s="116"/>
      <c r="AS437" s="117"/>
      <c r="AT437" s="77"/>
      <c r="AU437" s="78"/>
      <c r="AV437" s="115"/>
      <c r="AW437" s="118"/>
      <c r="AX437" s="119"/>
      <c r="AY437" s="120"/>
      <c r="AZ437" s="77"/>
      <c r="BA437" s="78"/>
      <c r="BB437" s="121"/>
      <c r="BF437" s="34"/>
      <c r="BG437" s="33"/>
      <c r="BH437" s="33"/>
    </row>
    <row r="438" spans="1:60" s="43" customFormat="1" ht="15" customHeight="1">
      <c r="A438" s="43" t="s">
        <v>5571</v>
      </c>
      <c r="B438" s="43" t="s">
        <v>5800</v>
      </c>
      <c r="C438" s="43" t="s">
        <v>5830</v>
      </c>
      <c r="D438" s="65">
        <v>155</v>
      </c>
      <c r="E438" s="43">
        <v>2</v>
      </c>
      <c r="G438" s="43" t="s">
        <v>5671</v>
      </c>
      <c r="J438" s="43" t="s">
        <v>4111</v>
      </c>
      <c r="K438" s="43" t="s">
        <v>4056</v>
      </c>
      <c r="N438" s="114">
        <v>1</v>
      </c>
      <c r="O438" s="115"/>
      <c r="P438" s="116"/>
      <c r="Q438" s="117"/>
      <c r="R438" s="77"/>
      <c r="S438" s="123"/>
      <c r="T438" s="78"/>
      <c r="U438" s="115"/>
      <c r="V438" s="118"/>
      <c r="W438" s="119"/>
      <c r="X438" s="120"/>
      <c r="Y438" s="77"/>
      <c r="Z438" s="78"/>
      <c r="AA438" s="121"/>
      <c r="AB438" s="62" t="s">
        <v>4059</v>
      </c>
      <c r="AC438" s="43" t="s">
        <v>4112</v>
      </c>
      <c r="AD438" s="43" t="s">
        <v>4119</v>
      </c>
      <c r="AE438" s="34"/>
      <c r="AF438" s="33" t="s">
        <v>5698</v>
      </c>
      <c r="AG438" s="33"/>
      <c r="AP438" s="122"/>
      <c r="AQ438" s="115"/>
      <c r="AR438" s="116"/>
      <c r="AS438" s="117"/>
      <c r="AT438" s="77"/>
      <c r="AU438" s="78"/>
      <c r="AV438" s="115"/>
      <c r="AW438" s="118"/>
      <c r="AX438" s="119"/>
      <c r="AY438" s="120"/>
      <c r="AZ438" s="77"/>
      <c r="BA438" s="78"/>
      <c r="BB438" s="121"/>
      <c r="BF438" s="34"/>
      <c r="BG438" s="33"/>
      <c r="BH438" s="33"/>
    </row>
    <row r="439" spans="1:60" s="43" customFormat="1" ht="15" customHeight="1">
      <c r="A439" s="43" t="s">
        <v>5571</v>
      </c>
      <c r="B439" s="43" t="s">
        <v>5801</v>
      </c>
      <c r="C439" s="43" t="s">
        <v>5830</v>
      </c>
      <c r="D439" s="65">
        <v>156</v>
      </c>
      <c r="E439" s="43">
        <v>2</v>
      </c>
      <c r="G439" s="43" t="s">
        <v>5672</v>
      </c>
      <c r="J439" s="43" t="s">
        <v>27</v>
      </c>
      <c r="K439" s="43" t="s">
        <v>4056</v>
      </c>
      <c r="L439" s="43">
        <v>1</v>
      </c>
      <c r="N439" s="114">
        <v>1</v>
      </c>
      <c r="O439" s="115"/>
      <c r="P439" s="116"/>
      <c r="Q439" s="117"/>
      <c r="R439" s="77"/>
      <c r="S439" s="123"/>
      <c r="T439" s="78"/>
      <c r="U439" s="115"/>
      <c r="V439" s="118"/>
      <c r="W439" s="119"/>
      <c r="X439" s="120"/>
      <c r="Y439" s="77"/>
      <c r="Z439" s="78"/>
      <c r="AA439" s="121"/>
      <c r="AB439" s="62" t="s">
        <v>4949</v>
      </c>
      <c r="AC439" s="43" t="s">
        <v>4112</v>
      </c>
      <c r="AD439" s="43" t="s">
        <v>5266</v>
      </c>
      <c r="AE439" s="34"/>
      <c r="AF439" s="33" t="s">
        <v>5699</v>
      </c>
      <c r="AG439" s="33"/>
      <c r="AP439" s="122"/>
      <c r="AQ439" s="115"/>
      <c r="AR439" s="116"/>
      <c r="AS439" s="117"/>
      <c r="AT439" s="77"/>
      <c r="AU439" s="78"/>
      <c r="AV439" s="115"/>
      <c r="AW439" s="118"/>
      <c r="AX439" s="119"/>
      <c r="AY439" s="120"/>
      <c r="AZ439" s="77"/>
      <c r="BA439" s="78"/>
      <c r="BB439" s="121"/>
      <c r="BF439" s="34"/>
      <c r="BG439" s="33"/>
      <c r="BH439" s="33"/>
    </row>
    <row r="440" spans="1:60" s="43" customFormat="1" ht="15" customHeight="1">
      <c r="A440" s="43" t="s">
        <v>5571</v>
      </c>
      <c r="B440" s="43" t="s">
        <v>5802</v>
      </c>
      <c r="C440" s="43" t="s">
        <v>5830</v>
      </c>
      <c r="D440" s="65">
        <v>157</v>
      </c>
      <c r="E440" s="43">
        <v>2</v>
      </c>
      <c r="G440" s="43" t="s">
        <v>5673</v>
      </c>
      <c r="J440" s="43" t="s">
        <v>4111</v>
      </c>
      <c r="K440" s="43" t="s">
        <v>26</v>
      </c>
      <c r="L440" s="43">
        <v>3</v>
      </c>
      <c r="N440" s="114" t="s">
        <v>38</v>
      </c>
      <c r="O440" s="115"/>
      <c r="P440" s="116"/>
      <c r="Q440" s="117"/>
      <c r="R440" s="77"/>
      <c r="S440" s="123"/>
      <c r="T440" s="78"/>
      <c r="U440" s="115"/>
      <c r="V440" s="118"/>
      <c r="W440" s="119"/>
      <c r="X440" s="120"/>
      <c r="Y440" s="77"/>
      <c r="Z440" s="78"/>
      <c r="AA440" s="121"/>
      <c r="AB440" s="62"/>
      <c r="AD440" s="43" t="s">
        <v>4143</v>
      </c>
      <c r="AE440" s="34" t="s">
        <v>5832</v>
      </c>
      <c r="AF440" s="33" t="s">
        <v>5831</v>
      </c>
      <c r="AG440" s="33"/>
      <c r="AP440" s="122"/>
      <c r="AQ440" s="115"/>
      <c r="AR440" s="116"/>
      <c r="AS440" s="117"/>
      <c r="AT440" s="77"/>
      <c r="AU440" s="78"/>
      <c r="AV440" s="115"/>
      <c r="AW440" s="118"/>
      <c r="AX440" s="119"/>
      <c r="AY440" s="120"/>
      <c r="AZ440" s="77"/>
      <c r="BA440" s="78"/>
      <c r="BB440" s="121"/>
      <c r="BF440" s="34"/>
      <c r="BG440" s="33"/>
      <c r="BH440" s="33"/>
    </row>
    <row r="441" spans="1:60" s="43" customFormat="1" ht="15" customHeight="1">
      <c r="A441" s="43" t="s">
        <v>5571</v>
      </c>
      <c r="B441" s="43" t="s">
        <v>5803</v>
      </c>
      <c r="C441" s="43" t="s">
        <v>5830</v>
      </c>
      <c r="D441" s="65">
        <v>158</v>
      </c>
      <c r="E441" s="43">
        <v>2</v>
      </c>
      <c r="G441" s="43" t="s">
        <v>5665</v>
      </c>
      <c r="J441" s="43" t="s">
        <v>4111</v>
      </c>
      <c r="K441" s="43" t="s">
        <v>26</v>
      </c>
      <c r="L441" s="43">
        <v>3</v>
      </c>
      <c r="N441" s="114" t="s">
        <v>38</v>
      </c>
      <c r="O441" s="115"/>
      <c r="P441" s="116"/>
      <c r="Q441" s="117"/>
      <c r="R441" s="77"/>
      <c r="S441" s="123"/>
      <c r="T441" s="78"/>
      <c r="U441" s="115"/>
      <c r="V441" s="118"/>
      <c r="W441" s="119"/>
      <c r="X441" s="120"/>
      <c r="Y441" s="77"/>
      <c r="Z441" s="78"/>
      <c r="AA441" s="121"/>
      <c r="AB441" s="62"/>
      <c r="AD441" s="43" t="s">
        <v>4143</v>
      </c>
      <c r="AE441" s="34" t="s">
        <v>5833</v>
      </c>
      <c r="AF441" s="33" t="s">
        <v>5834</v>
      </c>
      <c r="AG441" s="33"/>
      <c r="AP441" s="122"/>
      <c r="AQ441" s="115"/>
      <c r="AR441" s="116"/>
      <c r="AS441" s="117"/>
      <c r="AT441" s="77"/>
      <c r="AU441" s="78"/>
      <c r="AV441" s="115"/>
      <c r="AW441" s="118"/>
      <c r="AX441" s="119"/>
      <c r="AY441" s="120"/>
      <c r="AZ441" s="77"/>
      <c r="BA441" s="78"/>
      <c r="BB441" s="121"/>
      <c r="BF441" s="34"/>
      <c r="BG441" s="33"/>
      <c r="BH441" s="33"/>
    </row>
    <row r="442" spans="1:60" s="43" customFormat="1" ht="15" customHeight="1">
      <c r="A442" s="43" t="s">
        <v>5571</v>
      </c>
      <c r="B442" s="43" t="s">
        <v>5804</v>
      </c>
      <c r="C442" s="43" t="s">
        <v>5830</v>
      </c>
      <c r="D442" s="65">
        <v>159</v>
      </c>
      <c r="E442" s="43">
        <v>1</v>
      </c>
      <c r="F442" s="43" t="s">
        <v>5572</v>
      </c>
      <c r="G442" s="43" t="s">
        <v>5572</v>
      </c>
      <c r="H442" s="43" t="s">
        <v>4563</v>
      </c>
      <c r="J442" s="43" t="s">
        <v>4472</v>
      </c>
      <c r="N442" s="114"/>
      <c r="O442" s="115"/>
      <c r="P442" s="116"/>
      <c r="Q442" s="117"/>
      <c r="R442" s="77"/>
      <c r="S442" s="123"/>
      <c r="T442" s="78"/>
      <c r="U442" s="115"/>
      <c r="V442" s="118"/>
      <c r="W442" s="119"/>
      <c r="X442" s="120"/>
      <c r="Y442" s="77"/>
      <c r="Z442" s="78"/>
      <c r="AA442" s="121"/>
      <c r="AB442" s="62"/>
      <c r="AE442" s="34"/>
      <c r="AF442" s="33" t="s">
        <v>5700</v>
      </c>
      <c r="AG442" s="33"/>
      <c r="AI442" s="43" t="s">
        <v>5572</v>
      </c>
      <c r="AJ442" s="43" t="s">
        <v>4564</v>
      </c>
      <c r="AL442" s="43" t="s">
        <v>4472</v>
      </c>
      <c r="AP442" s="122"/>
      <c r="AQ442" s="115"/>
      <c r="AR442" s="116"/>
      <c r="AS442" s="117"/>
      <c r="AT442" s="77"/>
      <c r="AU442" s="78"/>
      <c r="AV442" s="115"/>
      <c r="AW442" s="118"/>
      <c r="AX442" s="119"/>
      <c r="AY442" s="120"/>
      <c r="AZ442" s="77"/>
      <c r="BA442" s="78"/>
      <c r="BB442" s="121"/>
      <c r="BF442" s="34"/>
      <c r="BG442" s="33" t="s">
        <v>5728</v>
      </c>
      <c r="BH442" s="33"/>
    </row>
    <row r="443" spans="1:60" s="43" customFormat="1" ht="15" customHeight="1">
      <c r="A443" s="43" t="s">
        <v>5571</v>
      </c>
      <c r="B443" s="43" t="s">
        <v>5805</v>
      </c>
      <c r="C443" s="43" t="s">
        <v>5830</v>
      </c>
      <c r="D443" s="65">
        <v>160</v>
      </c>
      <c r="E443" s="43">
        <v>1</v>
      </c>
      <c r="F443" s="43" t="s">
        <v>5572</v>
      </c>
      <c r="G443" s="43" t="s">
        <v>5674</v>
      </c>
      <c r="J443" s="43" t="s">
        <v>4473</v>
      </c>
      <c r="L443" s="43">
        <v>1</v>
      </c>
      <c r="N443" s="114"/>
      <c r="O443" s="115"/>
      <c r="P443" s="116"/>
      <c r="Q443" s="117"/>
      <c r="R443" s="77"/>
      <c r="S443" s="123"/>
      <c r="T443" s="78"/>
      <c r="U443" s="115"/>
      <c r="V443" s="118"/>
      <c r="W443" s="119"/>
      <c r="X443" s="120"/>
      <c r="Y443" s="77"/>
      <c r="Z443" s="78">
        <v>4</v>
      </c>
      <c r="AA443" s="121"/>
      <c r="AB443" s="62"/>
      <c r="AE443" s="34"/>
      <c r="AF443" s="33"/>
      <c r="AG443" s="33"/>
      <c r="AI443" s="43" t="s">
        <v>5729</v>
      </c>
      <c r="AL443" s="43" t="s">
        <v>4473</v>
      </c>
      <c r="AN443" s="43">
        <v>1</v>
      </c>
      <c r="AP443" s="122"/>
      <c r="AQ443" s="115"/>
      <c r="AR443" s="116"/>
      <c r="AS443" s="117"/>
      <c r="AT443" s="77"/>
      <c r="AU443" s="78"/>
      <c r="AV443" s="115"/>
      <c r="AW443" s="118"/>
      <c r="AX443" s="119"/>
      <c r="AY443" s="120"/>
      <c r="AZ443" s="77"/>
      <c r="BA443" s="78"/>
      <c r="BB443" s="121"/>
      <c r="BF443" s="34"/>
      <c r="BG443" s="33" t="s">
        <v>5730</v>
      </c>
      <c r="BH443" s="33"/>
    </row>
    <row r="444" spans="1:60" s="43" customFormat="1" ht="15" customHeight="1">
      <c r="A444" s="43" t="s">
        <v>5571</v>
      </c>
      <c r="B444" s="43" t="s">
        <v>5806</v>
      </c>
      <c r="C444" s="43" t="s">
        <v>5830</v>
      </c>
      <c r="D444" s="65">
        <v>161</v>
      </c>
      <c r="E444" s="43">
        <v>1</v>
      </c>
      <c r="F444" s="43" t="s">
        <v>5572</v>
      </c>
      <c r="G444" s="43" t="s">
        <v>5675</v>
      </c>
      <c r="J444" s="43" t="s">
        <v>4473</v>
      </c>
      <c r="L444" s="43">
        <v>2</v>
      </c>
      <c r="N444" s="114"/>
      <c r="O444" s="115"/>
      <c r="P444" s="116"/>
      <c r="Q444" s="117"/>
      <c r="R444" s="77"/>
      <c r="S444" s="123"/>
      <c r="T444" s="78"/>
      <c r="U444" s="115"/>
      <c r="V444" s="118"/>
      <c r="W444" s="119"/>
      <c r="X444" s="120"/>
      <c r="Y444" s="77"/>
      <c r="Z444" s="78">
        <v>3</v>
      </c>
      <c r="AA444" s="121"/>
      <c r="AB444" s="62"/>
      <c r="AE444" s="34"/>
      <c r="AF444" s="33"/>
      <c r="AG444" s="33"/>
      <c r="AI444" s="43" t="s">
        <v>5731</v>
      </c>
      <c r="AL444" s="43" t="s">
        <v>4473</v>
      </c>
      <c r="AN444" s="43">
        <v>2</v>
      </c>
      <c r="AP444" s="122"/>
      <c r="AQ444" s="115"/>
      <c r="AR444" s="116"/>
      <c r="AS444" s="117"/>
      <c r="AT444" s="77"/>
      <c r="AU444" s="78"/>
      <c r="AV444" s="115"/>
      <c r="AW444" s="118"/>
      <c r="AX444" s="119"/>
      <c r="AY444" s="120"/>
      <c r="AZ444" s="77"/>
      <c r="BA444" s="78"/>
      <c r="BB444" s="121"/>
      <c r="BF444" s="34"/>
      <c r="BG444" s="33" t="s">
        <v>5730</v>
      </c>
      <c r="BH444" s="33"/>
    </row>
    <row r="445" spans="1:60" s="43" customFormat="1" ht="15" customHeight="1">
      <c r="A445" s="43" t="s">
        <v>5571</v>
      </c>
      <c r="B445" s="43" t="s">
        <v>5807</v>
      </c>
      <c r="C445" s="43" t="s">
        <v>5830</v>
      </c>
      <c r="D445" s="65">
        <v>162</v>
      </c>
      <c r="E445" s="43">
        <v>1</v>
      </c>
      <c r="F445" s="43" t="s">
        <v>5572</v>
      </c>
      <c r="G445" s="43" t="s">
        <v>5676</v>
      </c>
      <c r="J445" s="43" t="s">
        <v>4473</v>
      </c>
      <c r="L445" s="43">
        <v>3</v>
      </c>
      <c r="N445" s="114"/>
      <c r="O445" s="115"/>
      <c r="P445" s="116"/>
      <c r="Q445" s="117"/>
      <c r="R445" s="77"/>
      <c r="S445" s="123"/>
      <c r="T445" s="78"/>
      <c r="U445" s="115"/>
      <c r="V445" s="118"/>
      <c r="W445" s="119"/>
      <c r="X445" s="120"/>
      <c r="Y445" s="77"/>
      <c r="Z445" s="78">
        <v>4</v>
      </c>
      <c r="AA445" s="121"/>
      <c r="AB445" s="62"/>
      <c r="AE445" s="34"/>
      <c r="AF445" s="33"/>
      <c r="AG445" s="33"/>
      <c r="AI445" s="43" t="s">
        <v>5732</v>
      </c>
      <c r="AL445" s="43" t="s">
        <v>4473</v>
      </c>
      <c r="AN445" s="43">
        <v>3</v>
      </c>
      <c r="AP445" s="122"/>
      <c r="AQ445" s="115"/>
      <c r="AR445" s="116"/>
      <c r="AS445" s="117"/>
      <c r="AT445" s="77"/>
      <c r="AU445" s="78"/>
      <c r="AV445" s="115"/>
      <c r="AW445" s="118"/>
      <c r="AX445" s="119"/>
      <c r="AY445" s="120"/>
      <c r="AZ445" s="77"/>
      <c r="BA445" s="78"/>
      <c r="BB445" s="121"/>
      <c r="BF445" s="34"/>
      <c r="BG445" s="33" t="s">
        <v>5733</v>
      </c>
      <c r="BH445" s="33"/>
    </row>
    <row r="446" spans="1:60" s="43" customFormat="1" ht="15" customHeight="1">
      <c r="A446" s="43" t="s">
        <v>5571</v>
      </c>
      <c r="B446" s="43" t="s">
        <v>5808</v>
      </c>
      <c r="C446" s="43" t="s">
        <v>5830</v>
      </c>
      <c r="D446" s="65">
        <v>163</v>
      </c>
      <c r="E446" s="43">
        <v>1</v>
      </c>
      <c r="F446" s="43" t="s">
        <v>5572</v>
      </c>
      <c r="G446" s="43" t="s">
        <v>5677</v>
      </c>
      <c r="J446" s="43" t="s">
        <v>4473</v>
      </c>
      <c r="L446" s="43">
        <v>4</v>
      </c>
      <c r="N446" s="114"/>
      <c r="O446" s="115"/>
      <c r="P446" s="116"/>
      <c r="Q446" s="117"/>
      <c r="R446" s="77"/>
      <c r="S446" s="123"/>
      <c r="T446" s="78"/>
      <c r="U446" s="115"/>
      <c r="V446" s="118"/>
      <c r="W446" s="119"/>
      <c r="X446" s="120"/>
      <c r="Y446" s="77"/>
      <c r="Z446" s="78">
        <v>3</v>
      </c>
      <c r="AA446" s="121"/>
      <c r="AB446" s="62"/>
      <c r="AE446" s="34"/>
      <c r="AF446" s="33"/>
      <c r="AG446" s="33"/>
      <c r="AI446" s="43" t="s">
        <v>5734</v>
      </c>
      <c r="AL446" s="43" t="s">
        <v>4473</v>
      </c>
      <c r="AN446" s="43">
        <v>4</v>
      </c>
      <c r="AP446" s="122"/>
      <c r="AQ446" s="115"/>
      <c r="AR446" s="116"/>
      <c r="AS446" s="117"/>
      <c r="AT446" s="77"/>
      <c r="AU446" s="78"/>
      <c r="AV446" s="115"/>
      <c r="AW446" s="118"/>
      <c r="AX446" s="119"/>
      <c r="AY446" s="120"/>
      <c r="AZ446" s="77"/>
      <c r="BA446" s="78"/>
      <c r="BB446" s="121"/>
      <c r="BF446" s="34"/>
      <c r="BG446" s="33" t="s">
        <v>5733</v>
      </c>
      <c r="BH446" s="33"/>
    </row>
    <row r="447" spans="1:60" s="43" customFormat="1" ht="15" customHeight="1">
      <c r="A447" s="43" t="s">
        <v>5571</v>
      </c>
      <c r="B447" s="43" t="s">
        <v>5809</v>
      </c>
      <c r="C447" s="43" t="s">
        <v>5830</v>
      </c>
      <c r="D447" s="65">
        <v>164</v>
      </c>
      <c r="E447" s="43">
        <v>1</v>
      </c>
      <c r="F447" s="43" t="s">
        <v>5572</v>
      </c>
      <c r="G447" s="43" t="s">
        <v>5678</v>
      </c>
      <c r="J447" s="43" t="s">
        <v>4473</v>
      </c>
      <c r="L447" s="43">
        <v>5</v>
      </c>
      <c r="N447" s="114"/>
      <c r="O447" s="115"/>
      <c r="P447" s="116"/>
      <c r="Q447" s="117"/>
      <c r="R447" s="77"/>
      <c r="S447" s="123"/>
      <c r="T447" s="78"/>
      <c r="U447" s="115"/>
      <c r="V447" s="118"/>
      <c r="W447" s="119"/>
      <c r="X447" s="120"/>
      <c r="Y447" s="77"/>
      <c r="Z447" s="78">
        <v>3</v>
      </c>
      <c r="AA447" s="121"/>
      <c r="AB447" s="62"/>
      <c r="AE447" s="34"/>
      <c r="AF447" s="33"/>
      <c r="AG447" s="33"/>
      <c r="AI447" s="43" t="s">
        <v>5735</v>
      </c>
      <c r="AL447" s="43" t="s">
        <v>4473</v>
      </c>
      <c r="AN447" s="43">
        <v>5</v>
      </c>
      <c r="AP447" s="122"/>
      <c r="AQ447" s="115"/>
      <c r="AR447" s="116"/>
      <c r="AS447" s="117"/>
      <c r="AT447" s="77"/>
      <c r="AU447" s="78"/>
      <c r="AV447" s="115"/>
      <c r="AW447" s="118"/>
      <c r="AX447" s="119"/>
      <c r="AY447" s="120"/>
      <c r="AZ447" s="77"/>
      <c r="BA447" s="78"/>
      <c r="BB447" s="121"/>
      <c r="BF447" s="34"/>
      <c r="BG447" s="33" t="s">
        <v>5736</v>
      </c>
      <c r="BH447" s="33"/>
    </row>
    <row r="448" spans="1:60" s="43" customFormat="1" ht="15" customHeight="1">
      <c r="A448" s="43" t="s">
        <v>5571</v>
      </c>
      <c r="B448" s="43" t="s">
        <v>5810</v>
      </c>
      <c r="C448" s="43" t="s">
        <v>5830</v>
      </c>
      <c r="D448" s="65">
        <v>165</v>
      </c>
      <c r="E448" s="43">
        <v>1</v>
      </c>
      <c r="F448" s="43" t="s">
        <v>5572</v>
      </c>
      <c r="G448" s="43" t="s">
        <v>5679</v>
      </c>
      <c r="J448" s="43" t="s">
        <v>4475</v>
      </c>
      <c r="L448" s="43">
        <v>1</v>
      </c>
      <c r="N448" s="114"/>
      <c r="O448" s="115"/>
      <c r="P448" s="116"/>
      <c r="Q448" s="117"/>
      <c r="R448" s="77"/>
      <c r="S448" s="123"/>
      <c r="T448" s="78"/>
      <c r="U448" s="115"/>
      <c r="V448" s="118"/>
      <c r="W448" s="119"/>
      <c r="X448" s="120"/>
      <c r="Y448" s="77" t="s">
        <v>38</v>
      </c>
      <c r="Z448" s="78"/>
      <c r="AA448" s="121"/>
      <c r="AB448" s="62"/>
      <c r="AE448" s="34"/>
      <c r="AF448" s="33" t="s">
        <v>5701</v>
      </c>
      <c r="AG448" s="33"/>
      <c r="AI448" s="43" t="s">
        <v>5737</v>
      </c>
      <c r="AL448" s="43" t="s">
        <v>4475</v>
      </c>
      <c r="AN448" s="43">
        <v>1</v>
      </c>
      <c r="AP448" s="122"/>
      <c r="AQ448" s="115"/>
      <c r="AR448" s="116"/>
      <c r="AS448" s="117"/>
      <c r="AT448" s="77"/>
      <c r="AU448" s="78"/>
      <c r="AV448" s="115"/>
      <c r="AW448" s="118"/>
      <c r="AX448" s="119"/>
      <c r="AY448" s="120"/>
      <c r="AZ448" s="77"/>
      <c r="BA448" s="78"/>
      <c r="BB448" s="121"/>
      <c r="BF448" s="34"/>
      <c r="BG448" s="33" t="s">
        <v>5738</v>
      </c>
      <c r="BH448" s="33"/>
    </row>
    <row r="449" spans="1:62" s="43" customFormat="1" ht="15" customHeight="1">
      <c r="A449" s="43" t="s">
        <v>5571</v>
      </c>
      <c r="B449" s="43" t="s">
        <v>5811</v>
      </c>
      <c r="C449" s="43" t="s">
        <v>5830</v>
      </c>
      <c r="D449" s="65">
        <v>166</v>
      </c>
      <c r="E449" s="43">
        <v>1</v>
      </c>
      <c r="F449" s="43" t="s">
        <v>5572</v>
      </c>
      <c r="G449" s="43" t="s">
        <v>5680</v>
      </c>
      <c r="J449" s="43" t="s">
        <v>4475</v>
      </c>
      <c r="L449" s="43">
        <v>2</v>
      </c>
      <c r="N449" s="114"/>
      <c r="O449" s="115"/>
      <c r="P449" s="116"/>
      <c r="Q449" s="117"/>
      <c r="R449" s="77"/>
      <c r="S449" s="123"/>
      <c r="T449" s="78"/>
      <c r="U449" s="115"/>
      <c r="V449" s="118"/>
      <c r="W449" s="119"/>
      <c r="X449" s="120"/>
      <c r="Y449" s="77" t="s">
        <v>38</v>
      </c>
      <c r="Z449" s="78"/>
      <c r="AA449" s="121"/>
      <c r="AB449" s="62"/>
      <c r="AE449" s="34"/>
      <c r="AF449" s="33" t="s">
        <v>5702</v>
      </c>
      <c r="AG449" s="33"/>
      <c r="AI449" s="43" t="s">
        <v>5739</v>
      </c>
      <c r="AL449" s="43" t="s">
        <v>4475</v>
      </c>
      <c r="AN449" s="43">
        <v>2</v>
      </c>
      <c r="AP449" s="122"/>
      <c r="AQ449" s="115"/>
      <c r="AR449" s="116"/>
      <c r="AS449" s="117"/>
      <c r="AT449" s="77"/>
      <c r="AU449" s="78"/>
      <c r="AV449" s="115"/>
      <c r="AW449" s="118"/>
      <c r="AX449" s="119"/>
      <c r="AY449" s="120"/>
      <c r="AZ449" s="77"/>
      <c r="BA449" s="78"/>
      <c r="BB449" s="121"/>
      <c r="BF449" s="34"/>
      <c r="BG449" s="33" t="s">
        <v>5740</v>
      </c>
      <c r="BH449" s="33"/>
    </row>
    <row r="450" spans="1:62" s="43" customFormat="1" ht="15" customHeight="1">
      <c r="A450" s="43" t="s">
        <v>5571</v>
      </c>
      <c r="B450" s="43" t="s">
        <v>5812</v>
      </c>
      <c r="C450" s="43" t="s">
        <v>5830</v>
      </c>
      <c r="D450" s="65">
        <v>167</v>
      </c>
      <c r="E450" s="43">
        <v>1</v>
      </c>
      <c r="F450" s="43" t="s">
        <v>5572</v>
      </c>
      <c r="G450" s="43" t="s">
        <v>5681</v>
      </c>
      <c r="J450" s="43" t="s">
        <v>31</v>
      </c>
      <c r="N450" s="114"/>
      <c r="O450" s="115"/>
      <c r="P450" s="116"/>
      <c r="Q450" s="117"/>
      <c r="R450" s="77"/>
      <c r="S450" s="123"/>
      <c r="T450" s="78"/>
      <c r="U450" s="115"/>
      <c r="V450" s="118"/>
      <c r="W450" s="119"/>
      <c r="X450" s="120"/>
      <c r="Y450" s="77"/>
      <c r="Z450" s="78"/>
      <c r="AA450" s="121"/>
      <c r="AB450" s="62"/>
      <c r="AD450" s="43" t="s">
        <v>5682</v>
      </c>
      <c r="AE450" s="34"/>
      <c r="AF450" s="33" t="s">
        <v>5741</v>
      </c>
      <c r="AG450" s="33"/>
      <c r="AI450" s="43" t="s">
        <v>5742</v>
      </c>
      <c r="AL450" s="43" t="s">
        <v>31</v>
      </c>
      <c r="AP450" s="122"/>
      <c r="AQ450" s="115"/>
      <c r="AR450" s="116"/>
      <c r="AS450" s="117"/>
      <c r="AT450" s="77"/>
      <c r="AU450" s="78"/>
      <c r="AV450" s="115"/>
      <c r="AW450" s="118"/>
      <c r="AX450" s="119"/>
      <c r="AY450" s="120">
        <v>1</v>
      </c>
      <c r="AZ450" s="77" t="s">
        <v>4966</v>
      </c>
      <c r="BA450" s="78"/>
      <c r="BB450" s="121"/>
      <c r="BF450" s="34"/>
      <c r="BG450" s="33" t="s">
        <v>5703</v>
      </c>
      <c r="BH450" s="33"/>
    </row>
    <row r="451" spans="1:62" s="43" customFormat="1" ht="15" customHeight="1">
      <c r="A451" s="43" t="s">
        <v>5571</v>
      </c>
      <c r="B451" s="125" t="s">
        <v>5813</v>
      </c>
      <c r="C451" s="43" t="s">
        <v>5830</v>
      </c>
      <c r="D451" s="65">
        <v>168</v>
      </c>
      <c r="E451" s="43">
        <v>1</v>
      </c>
      <c r="F451" s="43" t="s">
        <v>5572</v>
      </c>
      <c r="G451" s="43" t="s">
        <v>5681</v>
      </c>
      <c r="J451" s="43" t="s">
        <v>31</v>
      </c>
      <c r="N451" s="114"/>
      <c r="O451" s="115"/>
      <c r="P451" s="116"/>
      <c r="Q451" s="117"/>
      <c r="R451" s="77"/>
      <c r="S451" s="123"/>
      <c r="T451" s="78"/>
      <c r="U451" s="115"/>
      <c r="V451" s="118"/>
      <c r="W451" s="119"/>
      <c r="X451" s="120"/>
      <c r="Y451" s="77"/>
      <c r="Z451" s="78"/>
      <c r="AA451" s="121"/>
      <c r="AB451" s="62"/>
      <c r="AD451" s="43" t="s">
        <v>5682</v>
      </c>
      <c r="AE451" s="34"/>
      <c r="AF451" s="33" t="s">
        <v>5741</v>
      </c>
      <c r="AG451" s="33"/>
      <c r="AI451" s="43" t="s">
        <v>5742</v>
      </c>
      <c r="AL451" s="43" t="s">
        <v>31</v>
      </c>
      <c r="AP451" s="122"/>
      <c r="AQ451" s="115"/>
      <c r="AR451" s="116"/>
      <c r="AS451" s="117"/>
      <c r="AT451" s="77"/>
      <c r="AU451" s="78"/>
      <c r="AV451" s="115"/>
      <c r="AW451" s="118"/>
      <c r="AX451" s="119"/>
      <c r="AY451" s="120">
        <v>4</v>
      </c>
      <c r="AZ451" s="39" t="s">
        <v>4927</v>
      </c>
      <c r="BA451" s="78"/>
      <c r="BB451" s="121"/>
      <c r="BF451" s="34"/>
      <c r="BG451" s="33" t="s">
        <v>5704</v>
      </c>
      <c r="BH451" s="33"/>
    </row>
    <row r="452" spans="1:62" s="43" customFormat="1" ht="15" customHeight="1">
      <c r="A452" s="43" t="s">
        <v>5571</v>
      </c>
      <c r="B452" s="43" t="s">
        <v>5814</v>
      </c>
      <c r="C452" s="43" t="s">
        <v>5830</v>
      </c>
      <c r="D452" s="65">
        <v>169</v>
      </c>
      <c r="E452" s="43">
        <v>1</v>
      </c>
      <c r="F452" s="43" t="s">
        <v>5572</v>
      </c>
      <c r="G452" s="43" t="s">
        <v>5681</v>
      </c>
      <c r="J452" s="43" t="s">
        <v>31</v>
      </c>
      <c r="N452" s="114"/>
      <c r="O452" s="115"/>
      <c r="P452" s="116"/>
      <c r="Q452" s="117"/>
      <c r="R452" s="77"/>
      <c r="S452" s="123"/>
      <c r="T452" s="78"/>
      <c r="U452" s="115"/>
      <c r="V452" s="118"/>
      <c r="W452" s="119"/>
      <c r="X452" s="120"/>
      <c r="Y452" s="77"/>
      <c r="Z452" s="78"/>
      <c r="AA452" s="121"/>
      <c r="AB452" s="62"/>
      <c r="AD452" s="43" t="s">
        <v>5682</v>
      </c>
      <c r="AE452" s="34"/>
      <c r="AF452" s="33" t="s">
        <v>5741</v>
      </c>
      <c r="AG452" s="33"/>
      <c r="AI452" s="43" t="s">
        <v>5742</v>
      </c>
      <c r="AL452" s="43" t="s">
        <v>31</v>
      </c>
      <c r="AP452" s="122"/>
      <c r="AQ452" s="115"/>
      <c r="AR452" s="116"/>
      <c r="AS452" s="117"/>
      <c r="AT452" s="77"/>
      <c r="AU452" s="78"/>
      <c r="AV452" s="115"/>
      <c r="AW452" s="118"/>
      <c r="AX452" s="119"/>
      <c r="AY452" s="120">
        <v>2</v>
      </c>
      <c r="AZ452" s="77" t="s">
        <v>4965</v>
      </c>
      <c r="BA452" s="78"/>
      <c r="BB452" s="121"/>
      <c r="BF452" s="34"/>
      <c r="BG452" s="33" t="s">
        <v>5705</v>
      </c>
      <c r="BH452" s="33"/>
    </row>
    <row r="453" spans="1:62" s="43" customFormat="1" ht="15" customHeight="1">
      <c r="A453" s="43" t="s">
        <v>5571</v>
      </c>
      <c r="B453" s="43" t="s">
        <v>5815</v>
      </c>
      <c r="C453" s="43" t="s">
        <v>5830</v>
      </c>
      <c r="D453" s="65">
        <v>170</v>
      </c>
      <c r="E453" s="43">
        <v>1</v>
      </c>
      <c r="F453" s="43" t="s">
        <v>5572</v>
      </c>
      <c r="G453" s="43" t="s">
        <v>5681</v>
      </c>
      <c r="J453" s="43" t="s">
        <v>31</v>
      </c>
      <c r="N453" s="114"/>
      <c r="O453" s="115"/>
      <c r="P453" s="116"/>
      <c r="Q453" s="117"/>
      <c r="R453" s="77"/>
      <c r="S453" s="123"/>
      <c r="T453" s="78"/>
      <c r="U453" s="115"/>
      <c r="V453" s="118"/>
      <c r="W453" s="119"/>
      <c r="X453" s="120"/>
      <c r="Y453" s="77"/>
      <c r="Z453" s="78"/>
      <c r="AA453" s="121"/>
      <c r="AB453" s="62"/>
      <c r="AD453" s="43" t="s">
        <v>5682</v>
      </c>
      <c r="AE453" s="34"/>
      <c r="AF453" s="33" t="s">
        <v>5741</v>
      </c>
      <c r="AG453" s="33"/>
      <c r="AI453" s="43" t="s">
        <v>5742</v>
      </c>
      <c r="AL453" s="43" t="s">
        <v>31</v>
      </c>
      <c r="AP453" s="122"/>
      <c r="AQ453" s="115"/>
      <c r="AR453" s="116"/>
      <c r="AS453" s="117"/>
      <c r="AT453" s="77"/>
      <c r="AU453" s="78"/>
      <c r="AV453" s="115"/>
      <c r="AW453" s="118"/>
      <c r="AX453" s="119"/>
      <c r="AY453" s="120">
        <v>3</v>
      </c>
      <c r="AZ453" s="77" t="s">
        <v>4965</v>
      </c>
      <c r="BA453" s="78"/>
      <c r="BB453" s="121"/>
      <c r="BF453" s="34"/>
      <c r="BG453" s="33" t="s">
        <v>5706</v>
      </c>
      <c r="BH453" s="33"/>
    </row>
    <row r="454" spans="1:62" s="43" customFormat="1" ht="15" customHeight="1">
      <c r="A454" s="43" t="s">
        <v>5571</v>
      </c>
      <c r="B454" s="43" t="s">
        <v>5816</v>
      </c>
      <c r="C454" s="43" t="s">
        <v>5830</v>
      </c>
      <c r="D454" s="65">
        <v>171</v>
      </c>
      <c r="E454" s="43">
        <v>1</v>
      </c>
      <c r="F454" s="43" t="s">
        <v>5572</v>
      </c>
      <c r="G454" s="43" t="s">
        <v>5681</v>
      </c>
      <c r="J454" s="43" t="s">
        <v>31</v>
      </c>
      <c r="N454" s="114"/>
      <c r="O454" s="115"/>
      <c r="P454" s="116"/>
      <c r="Q454" s="117"/>
      <c r="R454" s="77"/>
      <c r="S454" s="123"/>
      <c r="T454" s="78"/>
      <c r="U454" s="115"/>
      <c r="V454" s="118"/>
      <c r="W454" s="119"/>
      <c r="X454" s="120"/>
      <c r="Y454" s="77"/>
      <c r="Z454" s="78"/>
      <c r="AA454" s="121"/>
      <c r="AB454" s="62"/>
      <c r="AD454" s="43" t="s">
        <v>5682</v>
      </c>
      <c r="AE454" s="34"/>
      <c r="AF454" s="33" t="s">
        <v>5741</v>
      </c>
      <c r="AG454" s="33"/>
      <c r="AI454" s="43" t="s">
        <v>5742</v>
      </c>
      <c r="AL454" s="43" t="s">
        <v>31</v>
      </c>
      <c r="AP454" s="122"/>
      <c r="AQ454" s="115"/>
      <c r="AR454" s="116"/>
      <c r="AS454" s="117"/>
      <c r="AT454" s="77"/>
      <c r="AU454" s="78"/>
      <c r="AV454" s="115"/>
      <c r="AW454" s="118"/>
      <c r="AX454" s="119"/>
      <c r="AY454" s="120">
        <v>1</v>
      </c>
      <c r="AZ454" s="77" t="s">
        <v>4927</v>
      </c>
      <c r="BA454" s="78"/>
      <c r="BB454" s="121"/>
      <c r="BF454" s="34"/>
      <c r="BG454" s="33" t="s">
        <v>5743</v>
      </c>
      <c r="BH454" s="33"/>
    </row>
    <row r="455" spans="1:62" s="43" customFormat="1" ht="15" customHeight="1">
      <c r="A455" s="43" t="s">
        <v>5571</v>
      </c>
      <c r="B455" s="43" t="s">
        <v>5817</v>
      </c>
      <c r="C455" s="43" t="s">
        <v>5830</v>
      </c>
      <c r="D455" s="65">
        <v>172</v>
      </c>
      <c r="E455" s="43">
        <v>1</v>
      </c>
      <c r="F455" s="43" t="s">
        <v>5572</v>
      </c>
      <c r="G455" s="43" t="s">
        <v>5681</v>
      </c>
      <c r="J455" s="43" t="s">
        <v>31</v>
      </c>
      <c r="N455" s="114"/>
      <c r="O455" s="115"/>
      <c r="P455" s="116"/>
      <c r="Q455" s="117"/>
      <c r="R455" s="77"/>
      <c r="S455" s="123"/>
      <c r="T455" s="78"/>
      <c r="U455" s="115"/>
      <c r="V455" s="118"/>
      <c r="W455" s="119"/>
      <c r="X455" s="120"/>
      <c r="Y455" s="77"/>
      <c r="Z455" s="78"/>
      <c r="AA455" s="121"/>
      <c r="AB455" s="62"/>
      <c r="AD455" s="43" t="s">
        <v>5682</v>
      </c>
      <c r="AE455" s="34"/>
      <c r="AF455" s="33" t="s">
        <v>5741</v>
      </c>
      <c r="AG455" s="33"/>
      <c r="AI455" s="43" t="s">
        <v>5744</v>
      </c>
      <c r="AL455" s="43" t="s">
        <v>31</v>
      </c>
      <c r="AP455" s="122"/>
      <c r="AQ455" s="115"/>
      <c r="AR455" s="116"/>
      <c r="AS455" s="117"/>
      <c r="AT455" s="77"/>
      <c r="AU455" s="78"/>
      <c r="AV455" s="115"/>
      <c r="AW455" s="118"/>
      <c r="AX455" s="119"/>
      <c r="AY455" s="120">
        <v>4</v>
      </c>
      <c r="AZ455" s="77">
        <v>1</v>
      </c>
      <c r="BA455" s="78"/>
      <c r="BB455" s="121"/>
      <c r="BF455" s="34"/>
      <c r="BG455" s="33" t="s">
        <v>5707</v>
      </c>
      <c r="BH455" s="33"/>
    </row>
    <row r="456" spans="1:62" s="43" customFormat="1" ht="15" customHeight="1">
      <c r="A456" s="43" t="s">
        <v>5571</v>
      </c>
      <c r="B456" s="43" t="s">
        <v>5818</v>
      </c>
      <c r="C456" s="43" t="s">
        <v>5830</v>
      </c>
      <c r="D456" s="65">
        <v>173</v>
      </c>
      <c r="E456" s="43">
        <v>1</v>
      </c>
      <c r="F456" s="43" t="s">
        <v>5572</v>
      </c>
      <c r="G456" s="43" t="s">
        <v>5681</v>
      </c>
      <c r="J456" s="43" t="s">
        <v>31</v>
      </c>
      <c r="N456" s="114"/>
      <c r="O456" s="115"/>
      <c r="P456" s="116"/>
      <c r="Q456" s="117"/>
      <c r="R456" s="77"/>
      <c r="S456" s="123"/>
      <c r="T456" s="78"/>
      <c r="U456" s="115"/>
      <c r="V456" s="118"/>
      <c r="W456" s="119"/>
      <c r="X456" s="120"/>
      <c r="Y456" s="77"/>
      <c r="Z456" s="78"/>
      <c r="AA456" s="121"/>
      <c r="AB456" s="62"/>
      <c r="AD456" s="43" t="s">
        <v>5682</v>
      </c>
      <c r="AE456" s="34"/>
      <c r="AF456" s="33" t="s">
        <v>5741</v>
      </c>
      <c r="AG456" s="33"/>
      <c r="AI456" s="43" t="s">
        <v>5745</v>
      </c>
      <c r="AL456" s="43" t="s">
        <v>31</v>
      </c>
      <c r="AP456" s="122"/>
      <c r="AQ456" s="115"/>
      <c r="AR456" s="116"/>
      <c r="AS456" s="117"/>
      <c r="AT456" s="77"/>
      <c r="AU456" s="78"/>
      <c r="AV456" s="115"/>
      <c r="AW456" s="118"/>
      <c r="AX456" s="119"/>
      <c r="AY456" s="120">
        <v>2</v>
      </c>
      <c r="AZ456" s="77">
        <v>0</v>
      </c>
      <c r="BA456" s="78"/>
      <c r="BB456" s="121"/>
      <c r="BF456" s="34"/>
      <c r="BG456" s="33" t="s">
        <v>5708</v>
      </c>
      <c r="BH456" s="33"/>
    </row>
    <row r="457" spans="1:62" s="43" customFormat="1" ht="15" customHeight="1">
      <c r="A457" s="43" t="s">
        <v>5571</v>
      </c>
      <c r="B457" s="43" t="s">
        <v>5819</v>
      </c>
      <c r="C457" s="43" t="s">
        <v>5830</v>
      </c>
      <c r="D457" s="65">
        <v>174</v>
      </c>
      <c r="E457" s="43">
        <v>1</v>
      </c>
      <c r="F457" s="43" t="s">
        <v>5572</v>
      </c>
      <c r="G457" s="43" t="s">
        <v>5681</v>
      </c>
      <c r="J457" s="43" t="s">
        <v>31</v>
      </c>
      <c r="N457" s="114"/>
      <c r="O457" s="115"/>
      <c r="P457" s="116"/>
      <c r="Q457" s="117"/>
      <c r="R457" s="77"/>
      <c r="S457" s="123"/>
      <c r="T457" s="78"/>
      <c r="U457" s="115"/>
      <c r="V457" s="118"/>
      <c r="W457" s="119"/>
      <c r="X457" s="120"/>
      <c r="Y457" s="77"/>
      <c r="Z457" s="78"/>
      <c r="AA457" s="121"/>
      <c r="AB457" s="62"/>
      <c r="AD457" s="43" t="s">
        <v>5682</v>
      </c>
      <c r="AE457" s="34"/>
      <c r="AF457" s="33" t="s">
        <v>5741</v>
      </c>
      <c r="AG457" s="33"/>
      <c r="AI457" s="43" t="s">
        <v>5746</v>
      </c>
      <c r="AL457" s="43" t="s">
        <v>31</v>
      </c>
      <c r="AP457" s="122"/>
      <c r="AQ457" s="115"/>
      <c r="AR457" s="116"/>
      <c r="AS457" s="117"/>
      <c r="AT457" s="77"/>
      <c r="AU457" s="78"/>
      <c r="AV457" s="115"/>
      <c r="AW457" s="118"/>
      <c r="AX457" s="119"/>
      <c r="AY457" s="120">
        <v>3</v>
      </c>
      <c r="AZ457" s="77" t="s">
        <v>4927</v>
      </c>
      <c r="BA457" s="78"/>
      <c r="BB457" s="121">
        <v>1</v>
      </c>
      <c r="BF457" s="34"/>
      <c r="BG457" s="33" t="s">
        <v>5709</v>
      </c>
      <c r="BH457" s="33"/>
    </row>
    <row r="458" spans="1:62" s="43" customFormat="1" ht="15" customHeight="1">
      <c r="A458" s="43" t="s">
        <v>5571</v>
      </c>
      <c r="B458" s="43" t="s">
        <v>5820</v>
      </c>
      <c r="C458" s="43" t="s">
        <v>5830</v>
      </c>
      <c r="D458" s="65">
        <v>175</v>
      </c>
      <c r="E458" s="43">
        <v>1</v>
      </c>
      <c r="F458" s="43" t="s">
        <v>5572</v>
      </c>
      <c r="G458" s="43" t="s">
        <v>5683</v>
      </c>
      <c r="J458" s="43" t="s">
        <v>31</v>
      </c>
      <c r="N458" s="114"/>
      <c r="O458" s="115"/>
      <c r="P458" s="116"/>
      <c r="Q458" s="117"/>
      <c r="R458" s="77"/>
      <c r="S458" s="123"/>
      <c r="T458" s="78"/>
      <c r="U458" s="115"/>
      <c r="V458" s="118"/>
      <c r="W458" s="119"/>
      <c r="X458" s="120"/>
      <c r="Y458" s="77"/>
      <c r="Z458" s="78"/>
      <c r="AA458" s="121"/>
      <c r="AB458" s="62"/>
      <c r="AD458" s="43" t="s">
        <v>5682</v>
      </c>
      <c r="AE458" s="34"/>
      <c r="AF458" s="33" t="s">
        <v>5747</v>
      </c>
      <c r="AG458" s="33"/>
      <c r="AI458" s="43" t="s">
        <v>5683</v>
      </c>
      <c r="AL458" s="43" t="s">
        <v>31</v>
      </c>
      <c r="AP458" s="122"/>
      <c r="AQ458" s="115"/>
      <c r="AR458" s="116"/>
      <c r="AS458" s="117"/>
      <c r="AT458" s="77"/>
      <c r="AU458" s="78"/>
      <c r="AV458" s="115"/>
      <c r="AW458" s="118"/>
      <c r="AX458" s="119"/>
      <c r="AY458" s="120">
        <v>4</v>
      </c>
      <c r="AZ458" s="77" t="s">
        <v>4965</v>
      </c>
      <c r="BA458" s="78"/>
      <c r="BB458" s="121">
        <v>1</v>
      </c>
      <c r="BF458" s="34"/>
      <c r="BG458" s="33" t="s">
        <v>5684</v>
      </c>
      <c r="BH458" s="33"/>
    </row>
    <row r="459" spans="1:62" s="43" customFormat="1" ht="15" customHeight="1">
      <c r="A459" s="43" t="s">
        <v>5571</v>
      </c>
      <c r="B459" s="43" t="s">
        <v>5821</v>
      </c>
      <c r="C459" s="43" t="s">
        <v>5830</v>
      </c>
      <c r="D459" s="65">
        <v>176</v>
      </c>
      <c r="E459" s="43">
        <v>1</v>
      </c>
      <c r="F459" s="43" t="s">
        <v>5572</v>
      </c>
      <c r="G459" s="43" t="s">
        <v>5683</v>
      </c>
      <c r="J459" s="43" t="s">
        <v>31</v>
      </c>
      <c r="N459" s="114"/>
      <c r="O459" s="115"/>
      <c r="P459" s="116"/>
      <c r="Q459" s="117"/>
      <c r="R459" s="77"/>
      <c r="S459" s="123"/>
      <c r="T459" s="78"/>
      <c r="U459" s="115"/>
      <c r="V459" s="118"/>
      <c r="W459" s="119"/>
      <c r="X459" s="120"/>
      <c r="Y459" s="77"/>
      <c r="Z459" s="78"/>
      <c r="AA459" s="121"/>
      <c r="AB459" s="62"/>
      <c r="AD459" s="43" t="s">
        <v>5682</v>
      </c>
      <c r="AE459" s="34"/>
      <c r="AF459" s="33" t="s">
        <v>5747</v>
      </c>
      <c r="AG459" s="33"/>
      <c r="AI459" s="43" t="s">
        <v>5683</v>
      </c>
      <c r="AL459" s="43" t="s">
        <v>31</v>
      </c>
      <c r="AP459" s="122"/>
      <c r="AQ459" s="115"/>
      <c r="AR459" s="116"/>
      <c r="AS459" s="117"/>
      <c r="AT459" s="77"/>
      <c r="AU459" s="78"/>
      <c r="AV459" s="115"/>
      <c r="AW459" s="118"/>
      <c r="AX459" s="119"/>
      <c r="AY459" s="120">
        <v>2</v>
      </c>
      <c r="AZ459" s="77" t="s">
        <v>4965</v>
      </c>
      <c r="BA459" s="78"/>
      <c r="BB459" s="121">
        <v>1</v>
      </c>
      <c r="BF459" s="34"/>
      <c r="BG459" s="33" t="s">
        <v>5710</v>
      </c>
      <c r="BH459" s="33"/>
    </row>
    <row r="460" spans="1:62" s="43" customFormat="1" ht="15" customHeight="1">
      <c r="A460" s="43" t="s">
        <v>5571</v>
      </c>
      <c r="B460" s="43" t="s">
        <v>5822</v>
      </c>
      <c r="C460" s="43" t="s">
        <v>5830</v>
      </c>
      <c r="D460" s="65">
        <v>177</v>
      </c>
      <c r="E460" s="43">
        <v>1</v>
      </c>
      <c r="F460" s="43" t="s">
        <v>5572</v>
      </c>
      <c r="G460" s="43" t="s">
        <v>5683</v>
      </c>
      <c r="J460" s="43" t="s">
        <v>31</v>
      </c>
      <c r="N460" s="114"/>
      <c r="O460" s="115"/>
      <c r="P460" s="116"/>
      <c r="Q460" s="117"/>
      <c r="R460" s="77"/>
      <c r="S460" s="123"/>
      <c r="T460" s="78"/>
      <c r="U460" s="115"/>
      <c r="V460" s="118"/>
      <c r="W460" s="119"/>
      <c r="X460" s="120"/>
      <c r="Y460" s="77"/>
      <c r="Z460" s="78"/>
      <c r="AA460" s="121"/>
      <c r="AB460" s="62"/>
      <c r="AD460" s="43" t="s">
        <v>5682</v>
      </c>
      <c r="AE460" s="34"/>
      <c r="AF460" s="33" t="s">
        <v>5747</v>
      </c>
      <c r="AG460" s="33"/>
      <c r="AI460" s="43" t="s">
        <v>5683</v>
      </c>
      <c r="AL460" s="43" t="s">
        <v>31</v>
      </c>
      <c r="AP460" s="122"/>
      <c r="AQ460" s="115"/>
      <c r="AR460" s="116"/>
      <c r="AS460" s="117"/>
      <c r="AT460" s="77"/>
      <c r="AU460" s="78"/>
      <c r="AV460" s="115"/>
      <c r="AW460" s="118"/>
      <c r="AX460" s="119"/>
      <c r="AY460" s="120">
        <v>1</v>
      </c>
      <c r="AZ460" s="77" t="s">
        <v>4965</v>
      </c>
      <c r="BA460" s="78"/>
      <c r="BB460" s="121">
        <v>1</v>
      </c>
      <c r="BF460" s="34"/>
      <c r="BG460" s="33" t="s">
        <v>5711</v>
      </c>
      <c r="BH460" s="33"/>
    </row>
    <row r="461" spans="1:62" s="43" customFormat="1" ht="15" customHeight="1">
      <c r="A461" s="43" t="s">
        <v>5571</v>
      </c>
      <c r="B461" s="43" t="s">
        <v>5823</v>
      </c>
      <c r="C461" s="43" t="s">
        <v>5830</v>
      </c>
      <c r="D461" s="65">
        <v>178</v>
      </c>
      <c r="E461" s="43">
        <v>4</v>
      </c>
      <c r="F461" s="43" t="s">
        <v>5572</v>
      </c>
      <c r="G461" s="43" t="s">
        <v>5685</v>
      </c>
      <c r="J461" s="43" t="s">
        <v>28</v>
      </c>
      <c r="K461" s="43" t="s">
        <v>26</v>
      </c>
      <c r="M461" s="43" t="s">
        <v>4502</v>
      </c>
      <c r="N461" s="114"/>
      <c r="O461" s="115"/>
      <c r="P461" s="116"/>
      <c r="Q461" s="117"/>
      <c r="R461" s="77"/>
      <c r="S461" s="123"/>
      <c r="T461" s="78"/>
      <c r="U461" s="115"/>
      <c r="V461" s="118"/>
      <c r="W461" s="119"/>
      <c r="X461" s="120"/>
      <c r="Y461" s="77"/>
      <c r="Z461" s="78"/>
      <c r="AA461" s="121"/>
      <c r="AB461" s="62"/>
      <c r="AD461" s="43" t="s">
        <v>4138</v>
      </c>
      <c r="AE461" s="34"/>
      <c r="AF461" s="33" t="s">
        <v>5712</v>
      </c>
      <c r="AG461" s="33"/>
      <c r="AP461" s="122"/>
      <c r="AQ461" s="115"/>
      <c r="AR461" s="116"/>
      <c r="AS461" s="117"/>
      <c r="AT461" s="77"/>
      <c r="AU461" s="78"/>
      <c r="AV461" s="115"/>
      <c r="AW461" s="118"/>
      <c r="AX461" s="119"/>
      <c r="AY461" s="120"/>
      <c r="AZ461" s="77"/>
      <c r="BA461" s="78"/>
      <c r="BB461" s="121"/>
      <c r="BF461" s="34"/>
      <c r="BG461" s="33"/>
      <c r="BH461" s="33"/>
    </row>
    <row r="462" spans="1:62" s="43" customFormat="1" ht="15" customHeight="1">
      <c r="A462" s="43" t="s">
        <v>5571</v>
      </c>
      <c r="B462" s="43" t="s">
        <v>5824</v>
      </c>
      <c r="C462" s="43" t="s">
        <v>5830</v>
      </c>
      <c r="D462" s="65">
        <v>179</v>
      </c>
      <c r="E462" s="43">
        <v>3</v>
      </c>
      <c r="F462" s="43" t="s">
        <v>5572</v>
      </c>
      <c r="G462" s="43" t="s">
        <v>5686</v>
      </c>
      <c r="J462" s="43" t="s">
        <v>4111</v>
      </c>
      <c r="K462" s="43" t="s">
        <v>26</v>
      </c>
      <c r="N462" s="114">
        <v>0</v>
      </c>
      <c r="O462" s="115"/>
      <c r="P462" s="116"/>
      <c r="Q462" s="117"/>
      <c r="R462" s="77"/>
      <c r="S462" s="123"/>
      <c r="T462" s="78">
        <v>1</v>
      </c>
      <c r="U462" s="115">
        <v>1</v>
      </c>
      <c r="V462" s="118"/>
      <c r="W462" s="119"/>
      <c r="X462" s="120"/>
      <c r="Y462" s="77"/>
      <c r="Z462" s="78"/>
      <c r="AA462" s="121"/>
      <c r="AB462" s="62"/>
      <c r="AD462" s="43" t="s">
        <v>5687</v>
      </c>
      <c r="AE462" s="34" t="s">
        <v>5749</v>
      </c>
      <c r="AF462" s="33" t="s">
        <v>5748</v>
      </c>
      <c r="AG462" s="33"/>
      <c r="AP462" s="122"/>
      <c r="AQ462" s="115"/>
      <c r="AR462" s="116"/>
      <c r="AS462" s="117"/>
      <c r="AT462" s="77"/>
      <c r="AU462" s="78"/>
      <c r="AV462" s="115"/>
      <c r="AW462" s="118"/>
      <c r="AX462" s="119"/>
      <c r="AY462" s="120"/>
      <c r="AZ462" s="77"/>
      <c r="BA462" s="78"/>
      <c r="BB462" s="121"/>
      <c r="BF462" s="34"/>
      <c r="BG462" s="33"/>
      <c r="BH462" s="33"/>
      <c r="BJ462" s="43" t="s">
        <v>5836</v>
      </c>
    </row>
    <row r="463" spans="1:62" s="43" customFormat="1" ht="15" customHeight="1">
      <c r="A463" s="43" t="s">
        <v>5571</v>
      </c>
      <c r="B463" s="43" t="s">
        <v>5825</v>
      </c>
      <c r="C463" s="43" t="s">
        <v>5830</v>
      </c>
      <c r="D463" s="65">
        <v>180</v>
      </c>
      <c r="E463" s="43">
        <v>3</v>
      </c>
      <c r="F463" s="43" t="s">
        <v>5572</v>
      </c>
      <c r="G463" s="43" t="s">
        <v>5688</v>
      </c>
      <c r="J463" s="43" t="s">
        <v>28</v>
      </c>
      <c r="N463" s="114"/>
      <c r="O463" s="115"/>
      <c r="P463" s="116"/>
      <c r="Q463" s="117"/>
      <c r="R463" s="77"/>
      <c r="S463" s="123"/>
      <c r="T463" s="78"/>
      <c r="U463" s="115"/>
      <c r="V463" s="118"/>
      <c r="W463" s="119"/>
      <c r="X463" s="120"/>
      <c r="Y463" s="77"/>
      <c r="Z463" s="78"/>
      <c r="AA463" s="121"/>
      <c r="AB463" s="62"/>
      <c r="AD463" s="43" t="s">
        <v>5517</v>
      </c>
      <c r="AE463" s="34"/>
      <c r="AF463" s="33" t="s">
        <v>5713</v>
      </c>
      <c r="AG463" s="33"/>
      <c r="AP463" s="122"/>
      <c r="AQ463" s="115"/>
      <c r="AR463" s="116"/>
      <c r="AS463" s="117"/>
      <c r="AT463" s="77"/>
      <c r="AU463" s="78"/>
      <c r="AV463" s="115"/>
      <c r="AW463" s="118"/>
      <c r="AX463" s="119"/>
      <c r="AY463" s="120"/>
      <c r="AZ463" s="77"/>
      <c r="BA463" s="78"/>
      <c r="BB463" s="121"/>
      <c r="BF463" s="34"/>
      <c r="BG463" s="33"/>
      <c r="BH463" s="33"/>
    </row>
    <row r="464" spans="1:62" s="43" customFormat="1" ht="15" customHeight="1">
      <c r="A464" s="43" t="s">
        <v>5571</v>
      </c>
      <c r="B464" s="43" t="s">
        <v>5826</v>
      </c>
      <c r="C464" s="43" t="s">
        <v>5830</v>
      </c>
      <c r="D464" s="65">
        <v>181</v>
      </c>
      <c r="E464" s="43">
        <v>3</v>
      </c>
      <c r="F464" s="43" t="s">
        <v>5572</v>
      </c>
      <c r="G464" s="43" t="s">
        <v>5689</v>
      </c>
      <c r="J464" s="43" t="s">
        <v>28</v>
      </c>
      <c r="N464" s="114"/>
      <c r="O464" s="115"/>
      <c r="P464" s="116"/>
      <c r="Q464" s="117"/>
      <c r="R464" s="77"/>
      <c r="S464" s="123"/>
      <c r="T464" s="78"/>
      <c r="U464" s="115"/>
      <c r="V464" s="118"/>
      <c r="W464" s="119"/>
      <c r="X464" s="120"/>
      <c r="Y464" s="77"/>
      <c r="Z464" s="78"/>
      <c r="AA464" s="121"/>
      <c r="AB464" s="62"/>
      <c r="AD464" s="43" t="s">
        <v>4333</v>
      </c>
      <c r="AE464" s="34"/>
      <c r="AF464" s="33" t="s">
        <v>5714</v>
      </c>
      <c r="AG464" s="33"/>
      <c r="AP464" s="122"/>
      <c r="AQ464" s="115"/>
      <c r="AR464" s="116"/>
      <c r="AS464" s="117"/>
      <c r="AT464" s="77"/>
      <c r="AU464" s="78"/>
      <c r="AV464" s="115"/>
      <c r="AW464" s="118"/>
      <c r="AX464" s="119"/>
      <c r="AY464" s="120"/>
      <c r="AZ464" s="77"/>
      <c r="BA464" s="78"/>
      <c r="BB464" s="121"/>
      <c r="BF464" s="34"/>
      <c r="BG464" s="33"/>
      <c r="BH464" s="33"/>
    </row>
    <row r="465" spans="1:60" s="43" customFormat="1" ht="15" customHeight="1">
      <c r="A465" s="43" t="s">
        <v>5571</v>
      </c>
      <c r="B465" s="43" t="s">
        <v>5827</v>
      </c>
      <c r="C465" s="43" t="s">
        <v>5830</v>
      </c>
      <c r="D465" s="65">
        <v>182</v>
      </c>
      <c r="E465" s="43">
        <v>2</v>
      </c>
      <c r="F465" s="43" t="s">
        <v>5572</v>
      </c>
      <c r="G465" s="43" t="s">
        <v>5690</v>
      </c>
      <c r="J465" s="43" t="s">
        <v>29</v>
      </c>
      <c r="N465" s="114"/>
      <c r="O465" s="115"/>
      <c r="P465" s="116"/>
      <c r="Q465" s="117">
        <v>3</v>
      </c>
      <c r="R465" s="77">
        <v>2</v>
      </c>
      <c r="S465" s="123"/>
      <c r="T465" s="78">
        <v>3</v>
      </c>
      <c r="U465" s="115"/>
      <c r="V465" s="118">
        <v>1</v>
      </c>
      <c r="W465" s="119">
        <v>1</v>
      </c>
      <c r="X465" s="120"/>
      <c r="Y465" s="77"/>
      <c r="Z465" s="78"/>
      <c r="AA465" s="121"/>
      <c r="AB465" s="62"/>
      <c r="AD465" s="43" t="s">
        <v>5545</v>
      </c>
      <c r="AE465" s="34"/>
      <c r="AF465" s="33" t="s">
        <v>5691</v>
      </c>
      <c r="AG465" s="33"/>
      <c r="AP465" s="122"/>
      <c r="AQ465" s="115"/>
      <c r="AR465" s="116"/>
      <c r="AS465" s="117"/>
      <c r="AT465" s="77"/>
      <c r="AU465" s="78"/>
      <c r="AV465" s="115"/>
      <c r="AW465" s="118"/>
      <c r="AX465" s="119"/>
      <c r="AY465" s="120"/>
      <c r="AZ465" s="77"/>
      <c r="BA465" s="78"/>
      <c r="BB465" s="121"/>
      <c r="BF465" s="34"/>
      <c r="BG465" s="33"/>
      <c r="BH465" s="33"/>
    </row>
    <row r="466" spans="1:60" s="43" customFormat="1" ht="15" customHeight="1">
      <c r="A466" s="43" t="s">
        <v>5571</v>
      </c>
      <c r="B466" s="43" t="s">
        <v>5828</v>
      </c>
      <c r="C466" s="43" t="s">
        <v>5830</v>
      </c>
      <c r="D466" s="65">
        <v>183</v>
      </c>
      <c r="E466" s="43">
        <v>2</v>
      </c>
      <c r="F466" s="43" t="s">
        <v>5572</v>
      </c>
      <c r="G466" s="43" t="s">
        <v>5692</v>
      </c>
      <c r="J466" s="43" t="s">
        <v>29</v>
      </c>
      <c r="N466" s="114"/>
      <c r="O466" s="115"/>
      <c r="P466" s="116"/>
      <c r="Q466" s="117">
        <v>4</v>
      </c>
      <c r="R466" s="77">
        <v>3</v>
      </c>
      <c r="S466" s="123"/>
      <c r="T466" s="78">
        <v>5</v>
      </c>
      <c r="U466" s="115"/>
      <c r="V466" s="118">
        <v>2</v>
      </c>
      <c r="W466" s="119">
        <v>2</v>
      </c>
      <c r="X466" s="120"/>
      <c r="Y466" s="77"/>
      <c r="Z466" s="78"/>
      <c r="AA466" s="121">
        <v>1</v>
      </c>
      <c r="AB466" s="62"/>
      <c r="AD466" s="43" t="s">
        <v>5545</v>
      </c>
      <c r="AE466" s="34"/>
      <c r="AF466" s="33" t="s">
        <v>5715</v>
      </c>
      <c r="AG466" s="33"/>
      <c r="AP466" s="122"/>
      <c r="AQ466" s="115"/>
      <c r="AR466" s="116"/>
      <c r="AS466" s="117"/>
      <c r="AT466" s="77"/>
      <c r="AU466" s="78"/>
      <c r="AV466" s="115"/>
      <c r="AW466" s="118"/>
      <c r="AX466" s="119"/>
      <c r="AY466" s="120"/>
      <c r="AZ466" s="77"/>
      <c r="BA466" s="78"/>
      <c r="BB466" s="121"/>
      <c r="BF466" s="34"/>
      <c r="BG466" s="33"/>
      <c r="BH466" s="33"/>
    </row>
    <row r="467" spans="1:60" ht="15" customHeight="1">
      <c r="A467" s="51" t="s">
        <v>5899</v>
      </c>
      <c r="B467" s="51" t="s">
        <v>5900</v>
      </c>
      <c r="C467" s="51" t="s">
        <v>5941</v>
      </c>
      <c r="D467" s="126">
        <v>184</v>
      </c>
      <c r="E467" s="51">
        <v>2</v>
      </c>
      <c r="F467" s="51"/>
      <c r="G467" s="51" t="s">
        <v>5838</v>
      </c>
      <c r="J467" s="33" t="s">
        <v>27</v>
      </c>
      <c r="K467" s="33" t="s">
        <v>4052</v>
      </c>
      <c r="L467" s="33">
        <v>0</v>
      </c>
      <c r="N467" s="72">
        <v>1</v>
      </c>
      <c r="P467" s="74">
        <v>1</v>
      </c>
      <c r="Q467" s="75">
        <v>1</v>
      </c>
      <c r="AB467" s="33" t="s">
        <v>4945</v>
      </c>
      <c r="AD467" s="33" t="s">
        <v>4161</v>
      </c>
      <c r="AF467" s="33" t="s">
        <v>5839</v>
      </c>
      <c r="AP467" s="83"/>
      <c r="AQ467" s="85"/>
      <c r="AR467" s="86"/>
      <c r="AS467" s="87"/>
      <c r="AV467" s="85"/>
      <c r="AW467" s="93"/>
      <c r="AX467" s="94"/>
      <c r="AY467" s="90"/>
      <c r="BB467" s="91"/>
    </row>
    <row r="468" spans="1:60" ht="15" customHeight="1">
      <c r="A468" s="33" t="s">
        <v>5899</v>
      </c>
      <c r="B468" s="33" t="s">
        <v>5901</v>
      </c>
      <c r="C468" s="33" t="s">
        <v>5941</v>
      </c>
      <c r="D468" s="34">
        <v>185</v>
      </c>
      <c r="E468" s="33">
        <v>2</v>
      </c>
      <c r="G468" s="33" t="s">
        <v>5840</v>
      </c>
      <c r="J468" s="33" t="s">
        <v>4111</v>
      </c>
      <c r="K468" s="33" t="s">
        <v>4052</v>
      </c>
      <c r="L468" s="33">
        <v>3</v>
      </c>
      <c r="N468" s="72">
        <v>0</v>
      </c>
      <c r="AD468" s="33" t="s">
        <v>4143</v>
      </c>
      <c r="AE468" s="34" t="s">
        <v>5832</v>
      </c>
      <c r="AF468" s="33" t="s">
        <v>6233</v>
      </c>
      <c r="AP468" s="83"/>
      <c r="AQ468" s="85"/>
      <c r="AR468" s="86"/>
      <c r="AS468" s="87"/>
      <c r="AV468" s="85"/>
      <c r="AW468" s="93"/>
      <c r="AX468" s="94"/>
      <c r="AY468" s="90"/>
      <c r="BB468" s="91"/>
    </row>
    <row r="469" spans="1:60" ht="15" customHeight="1">
      <c r="A469" s="33" t="s">
        <v>5899</v>
      </c>
      <c r="B469" s="33" t="s">
        <v>5902</v>
      </c>
      <c r="C469" s="33" t="s">
        <v>5941</v>
      </c>
      <c r="D469" s="34">
        <v>186</v>
      </c>
      <c r="E469" s="33">
        <v>2</v>
      </c>
      <c r="G469" s="33" t="s">
        <v>5841</v>
      </c>
      <c r="J469" s="33" t="s">
        <v>27</v>
      </c>
      <c r="K469" s="33" t="s">
        <v>4053</v>
      </c>
      <c r="L469" s="33">
        <v>0</v>
      </c>
      <c r="N469" s="72">
        <v>2</v>
      </c>
      <c r="O469" s="73">
        <v>1</v>
      </c>
      <c r="P469" s="74">
        <v>1</v>
      </c>
      <c r="AB469" s="33" t="s">
        <v>4946</v>
      </c>
      <c r="AD469" s="33" t="s">
        <v>4194</v>
      </c>
      <c r="AF469" s="33" t="s">
        <v>5943</v>
      </c>
      <c r="AP469" s="83"/>
      <c r="AQ469" s="85"/>
      <c r="AR469" s="86"/>
      <c r="AS469" s="87"/>
      <c r="AV469" s="85"/>
      <c r="AW469" s="93"/>
      <c r="AX469" s="94"/>
      <c r="AY469" s="90"/>
      <c r="BB469" s="91"/>
    </row>
    <row r="470" spans="1:60" ht="15" customHeight="1">
      <c r="A470" s="33" t="s">
        <v>5899</v>
      </c>
      <c r="B470" s="33" t="s">
        <v>5903</v>
      </c>
      <c r="C470" s="33" t="s">
        <v>5941</v>
      </c>
      <c r="D470" s="34">
        <v>187</v>
      </c>
      <c r="E470" s="33">
        <v>2</v>
      </c>
      <c r="G470" s="33" t="s">
        <v>5842</v>
      </c>
      <c r="J470" s="33" t="s">
        <v>4111</v>
      </c>
      <c r="K470" s="33" t="s">
        <v>4053</v>
      </c>
      <c r="L470" s="33">
        <v>3</v>
      </c>
      <c r="N470" s="72">
        <v>0</v>
      </c>
      <c r="AD470" s="33" t="s">
        <v>4143</v>
      </c>
      <c r="AE470" s="34" t="s">
        <v>5832</v>
      </c>
      <c r="AF470" s="33" t="s">
        <v>6234</v>
      </c>
      <c r="AP470" s="83"/>
      <c r="AQ470" s="85"/>
      <c r="AR470" s="86"/>
      <c r="AS470" s="87"/>
      <c r="AV470" s="85"/>
      <c r="AW470" s="93"/>
      <c r="AX470" s="94"/>
      <c r="AY470" s="90"/>
      <c r="BB470" s="91"/>
    </row>
    <row r="471" spans="1:60" ht="15" customHeight="1">
      <c r="A471" s="33" t="s">
        <v>5899</v>
      </c>
      <c r="B471" s="33" t="s">
        <v>5904</v>
      </c>
      <c r="C471" s="33" t="s">
        <v>5941</v>
      </c>
      <c r="D471" s="34">
        <v>188</v>
      </c>
      <c r="E471" s="33">
        <v>2</v>
      </c>
      <c r="G471" s="33" t="s">
        <v>5843</v>
      </c>
      <c r="J471" s="33" t="s">
        <v>4111</v>
      </c>
      <c r="K471" s="33" t="s">
        <v>4055</v>
      </c>
      <c r="L471" s="33">
        <v>0</v>
      </c>
      <c r="N471" s="72">
        <v>1</v>
      </c>
      <c r="R471" s="76">
        <v>1</v>
      </c>
      <c r="AB471" s="33" t="s">
        <v>4061</v>
      </c>
      <c r="AD471" s="33" t="s">
        <v>4143</v>
      </c>
      <c r="AF471" s="33" t="s">
        <v>5944</v>
      </c>
      <c r="AP471" s="83"/>
      <c r="AQ471" s="85"/>
      <c r="AR471" s="86"/>
      <c r="AS471" s="87"/>
      <c r="AV471" s="85"/>
      <c r="AW471" s="93"/>
      <c r="AX471" s="94"/>
      <c r="AY471" s="90"/>
      <c r="BB471" s="91"/>
    </row>
    <row r="472" spans="1:60" ht="15" customHeight="1">
      <c r="A472" s="33" t="s">
        <v>5899</v>
      </c>
      <c r="B472" s="33" t="s">
        <v>5905</v>
      </c>
      <c r="C472" s="33" t="s">
        <v>5941</v>
      </c>
      <c r="D472" s="34">
        <v>189</v>
      </c>
      <c r="E472" s="33">
        <v>2</v>
      </c>
      <c r="G472" s="33" t="s">
        <v>5844</v>
      </c>
      <c r="J472" s="33" t="s">
        <v>4111</v>
      </c>
      <c r="K472" s="33" t="s">
        <v>4055</v>
      </c>
      <c r="L472" s="33">
        <v>3</v>
      </c>
      <c r="N472" s="72">
        <v>0</v>
      </c>
      <c r="AD472" s="33" t="s">
        <v>4143</v>
      </c>
      <c r="AE472" s="34" t="s">
        <v>5832</v>
      </c>
      <c r="AF472" s="33" t="s">
        <v>6235</v>
      </c>
      <c r="AP472" s="83"/>
      <c r="AQ472" s="85"/>
      <c r="AR472" s="86"/>
      <c r="AS472" s="87"/>
      <c r="AV472" s="85"/>
      <c r="AW472" s="93"/>
      <c r="AX472" s="94"/>
      <c r="AY472" s="90"/>
      <c r="BB472" s="91"/>
    </row>
    <row r="473" spans="1:60" ht="15" customHeight="1">
      <c r="A473" s="33" t="s">
        <v>5899</v>
      </c>
      <c r="B473" s="33" t="s">
        <v>5906</v>
      </c>
      <c r="C473" s="33" t="s">
        <v>5941</v>
      </c>
      <c r="D473" s="34">
        <v>190</v>
      </c>
      <c r="E473" s="33">
        <v>2</v>
      </c>
      <c r="G473" s="33" t="s">
        <v>5845</v>
      </c>
      <c r="J473" s="33" t="s">
        <v>4166</v>
      </c>
      <c r="K473" s="33" t="s">
        <v>4054</v>
      </c>
      <c r="L473" s="33">
        <v>0</v>
      </c>
      <c r="S473" s="123">
        <v>1</v>
      </c>
      <c r="AB473" s="33" t="s">
        <v>4062</v>
      </c>
      <c r="AD473" s="33" t="s">
        <v>4266</v>
      </c>
      <c r="AF473" s="33" t="s">
        <v>5846</v>
      </c>
      <c r="AP473" s="83"/>
      <c r="AQ473" s="85"/>
      <c r="AR473" s="86"/>
      <c r="AS473" s="87"/>
      <c r="AV473" s="85"/>
      <c r="AW473" s="93"/>
      <c r="AX473" s="94"/>
      <c r="AY473" s="90"/>
      <c r="BB473" s="91"/>
    </row>
    <row r="474" spans="1:60" ht="15" customHeight="1">
      <c r="A474" s="33" t="s">
        <v>5899</v>
      </c>
      <c r="B474" s="33" t="s">
        <v>5907</v>
      </c>
      <c r="C474" s="33" t="s">
        <v>5941</v>
      </c>
      <c r="D474" s="34">
        <v>191</v>
      </c>
      <c r="E474" s="33">
        <v>2</v>
      </c>
      <c r="G474" s="33" t="s">
        <v>5847</v>
      </c>
      <c r="J474" s="33" t="s">
        <v>4111</v>
      </c>
      <c r="K474" s="33" t="s">
        <v>4054</v>
      </c>
      <c r="L474" s="33">
        <v>3</v>
      </c>
      <c r="N474" s="72">
        <v>0</v>
      </c>
      <c r="AD474" s="33" t="s">
        <v>5848</v>
      </c>
      <c r="AE474" s="34" t="s">
        <v>5832</v>
      </c>
      <c r="AF474" s="33" t="s">
        <v>6236</v>
      </c>
      <c r="AP474" s="83"/>
      <c r="AQ474" s="85"/>
      <c r="AR474" s="86"/>
      <c r="AS474" s="87"/>
      <c r="AV474" s="85"/>
      <c r="AW474" s="93"/>
      <c r="AX474" s="94"/>
      <c r="AY474" s="90"/>
      <c r="BB474" s="91"/>
    </row>
    <row r="475" spans="1:60" ht="15" customHeight="1">
      <c r="A475" s="33" t="s">
        <v>5899</v>
      </c>
      <c r="B475" s="33" t="s">
        <v>5908</v>
      </c>
      <c r="C475" s="33" t="s">
        <v>5941</v>
      </c>
      <c r="D475" s="34">
        <v>192</v>
      </c>
      <c r="E475" s="33">
        <v>2</v>
      </c>
      <c r="G475" s="33" t="s">
        <v>5849</v>
      </c>
      <c r="J475" s="33" t="s">
        <v>4166</v>
      </c>
      <c r="K475" s="33" t="s">
        <v>4056</v>
      </c>
      <c r="L475" s="33">
        <v>0</v>
      </c>
      <c r="S475" s="123">
        <v>3</v>
      </c>
      <c r="AB475" s="33" t="s">
        <v>5850</v>
      </c>
      <c r="AD475" s="33" t="s">
        <v>4266</v>
      </c>
      <c r="AF475" s="33" t="s">
        <v>5851</v>
      </c>
      <c r="AP475" s="83"/>
      <c r="AQ475" s="85"/>
      <c r="AR475" s="86"/>
      <c r="AS475" s="87"/>
      <c r="AV475" s="85"/>
      <c r="AW475" s="93"/>
      <c r="AX475" s="94"/>
      <c r="AY475" s="90"/>
      <c r="BB475" s="91"/>
    </row>
    <row r="476" spans="1:60" ht="15" customHeight="1">
      <c r="A476" s="33" t="s">
        <v>5899</v>
      </c>
      <c r="B476" s="33" t="s">
        <v>5909</v>
      </c>
      <c r="C476" s="33" t="s">
        <v>5941</v>
      </c>
      <c r="D476" s="34">
        <v>193</v>
      </c>
      <c r="E476" s="33">
        <v>2</v>
      </c>
      <c r="G476" s="33" t="s">
        <v>5852</v>
      </c>
      <c r="J476" s="33" t="s">
        <v>4111</v>
      </c>
      <c r="K476" s="33" t="s">
        <v>4056</v>
      </c>
      <c r="L476" s="33">
        <v>3</v>
      </c>
      <c r="N476" s="72">
        <v>0</v>
      </c>
      <c r="AD476" s="33" t="s">
        <v>4143</v>
      </c>
      <c r="AE476" s="34" t="s">
        <v>5832</v>
      </c>
      <c r="AF476" s="33" t="s">
        <v>6237</v>
      </c>
      <c r="AP476" s="83"/>
      <c r="AQ476" s="85"/>
      <c r="AR476" s="86"/>
      <c r="AS476" s="87"/>
      <c r="AV476" s="85"/>
      <c r="AW476" s="93"/>
      <c r="AX476" s="94"/>
      <c r="AY476" s="90"/>
      <c r="BB476" s="91"/>
    </row>
    <row r="477" spans="1:60" ht="15" customHeight="1">
      <c r="A477" s="33" t="s">
        <v>5899</v>
      </c>
      <c r="B477" s="33" t="s">
        <v>5910</v>
      </c>
      <c r="C477" s="33" t="s">
        <v>5941</v>
      </c>
      <c r="D477" s="34">
        <v>194</v>
      </c>
      <c r="E477" s="33">
        <v>2</v>
      </c>
      <c r="G477" s="33" t="s">
        <v>4277</v>
      </c>
      <c r="J477" s="33" t="s">
        <v>27</v>
      </c>
      <c r="K477" s="33" t="s">
        <v>26</v>
      </c>
      <c r="L477" s="33">
        <v>2</v>
      </c>
      <c r="N477" s="72">
        <v>0</v>
      </c>
      <c r="AD477" s="33" t="s">
        <v>4170</v>
      </c>
      <c r="AF477" s="33" t="s">
        <v>5853</v>
      </c>
      <c r="AP477" s="83"/>
      <c r="AQ477" s="85"/>
      <c r="AR477" s="86"/>
      <c r="AS477" s="87"/>
      <c r="AV477" s="85"/>
      <c r="AW477" s="93"/>
      <c r="AX477" s="94"/>
      <c r="AY477" s="90"/>
      <c r="BB477" s="91"/>
    </row>
    <row r="478" spans="1:60" ht="15" customHeight="1">
      <c r="A478" s="33" t="s">
        <v>5899</v>
      </c>
      <c r="B478" s="33" t="s">
        <v>5911</v>
      </c>
      <c r="C478" s="33" t="s">
        <v>5941</v>
      </c>
      <c r="D478" s="34">
        <v>195</v>
      </c>
      <c r="E478" s="33">
        <v>1</v>
      </c>
      <c r="F478" s="33" t="s">
        <v>5837</v>
      </c>
      <c r="G478" s="33" t="s">
        <v>5837</v>
      </c>
      <c r="H478" s="33" t="s">
        <v>4563</v>
      </c>
      <c r="J478" s="33" t="s">
        <v>4472</v>
      </c>
      <c r="AF478" s="33" t="s">
        <v>5945</v>
      </c>
      <c r="AI478" s="33" t="s">
        <v>5837</v>
      </c>
      <c r="AJ478" s="33" t="s">
        <v>4564</v>
      </c>
      <c r="AL478" s="33" t="s">
        <v>4472</v>
      </c>
      <c r="AP478" s="83"/>
      <c r="AQ478" s="85"/>
      <c r="AR478" s="86"/>
      <c r="AS478" s="87"/>
      <c r="AV478" s="85"/>
      <c r="AW478" s="93"/>
      <c r="AX478" s="94"/>
      <c r="AY478" s="90"/>
      <c r="BB478" s="91"/>
      <c r="BG478" s="33" t="s">
        <v>5953</v>
      </c>
    </row>
    <row r="479" spans="1:60" ht="15" customHeight="1">
      <c r="A479" s="33" t="s">
        <v>5899</v>
      </c>
      <c r="B479" s="33" t="s">
        <v>5912</v>
      </c>
      <c r="C479" s="33" t="s">
        <v>5941</v>
      </c>
      <c r="D479" s="34">
        <v>196</v>
      </c>
      <c r="E479" s="33">
        <v>1</v>
      </c>
      <c r="F479" s="33" t="s">
        <v>5837</v>
      </c>
      <c r="G479" s="33" t="s">
        <v>5854</v>
      </c>
      <c r="J479" s="33" t="s">
        <v>4473</v>
      </c>
      <c r="L479" s="33">
        <v>1</v>
      </c>
      <c r="Z479" s="78">
        <v>6</v>
      </c>
      <c r="AI479" s="33" t="s">
        <v>5854</v>
      </c>
      <c r="AL479" s="33" t="s">
        <v>4473</v>
      </c>
      <c r="AN479" s="33">
        <v>1</v>
      </c>
      <c r="AP479" s="83"/>
      <c r="AQ479" s="85"/>
      <c r="AR479" s="86"/>
      <c r="AS479" s="87"/>
      <c r="AV479" s="85"/>
      <c r="AW479" s="93"/>
      <c r="AX479" s="94"/>
      <c r="AY479" s="90"/>
      <c r="BB479" s="91"/>
      <c r="BG479" s="33" t="s">
        <v>5855</v>
      </c>
    </row>
    <row r="480" spans="1:60" ht="15" customHeight="1">
      <c r="A480" s="33" t="s">
        <v>5899</v>
      </c>
      <c r="B480" s="33" t="s">
        <v>5913</v>
      </c>
      <c r="C480" s="33" t="s">
        <v>5941</v>
      </c>
      <c r="D480" s="34">
        <v>197</v>
      </c>
      <c r="E480" s="33">
        <v>1</v>
      </c>
      <c r="F480" s="33" t="s">
        <v>5837</v>
      </c>
      <c r="G480" s="33" t="s">
        <v>5856</v>
      </c>
      <c r="J480" s="33" t="s">
        <v>4473</v>
      </c>
      <c r="L480" s="33">
        <v>2</v>
      </c>
      <c r="Z480" s="78">
        <v>6</v>
      </c>
      <c r="AI480" s="33" t="s">
        <v>5856</v>
      </c>
      <c r="AL480" s="33" t="s">
        <v>4473</v>
      </c>
      <c r="AN480" s="33">
        <v>2</v>
      </c>
      <c r="AP480" s="83"/>
      <c r="AQ480" s="85"/>
      <c r="AR480" s="86"/>
      <c r="AS480" s="87"/>
      <c r="AV480" s="85"/>
      <c r="AW480" s="93"/>
      <c r="AX480" s="94"/>
      <c r="AY480" s="90"/>
      <c r="BB480" s="91"/>
      <c r="BG480" s="33" t="s">
        <v>5857</v>
      </c>
    </row>
    <row r="481" spans="1:59" ht="15" customHeight="1">
      <c r="A481" s="33" t="s">
        <v>5899</v>
      </c>
      <c r="B481" s="33" t="s">
        <v>5914</v>
      </c>
      <c r="C481" s="33" t="s">
        <v>5941</v>
      </c>
      <c r="D481" s="34">
        <v>198</v>
      </c>
      <c r="E481" s="33">
        <v>1</v>
      </c>
      <c r="F481" s="33" t="s">
        <v>5837</v>
      </c>
      <c r="G481" s="33" t="s">
        <v>5858</v>
      </c>
      <c r="J481" s="33" t="s">
        <v>4473</v>
      </c>
      <c r="L481" s="33">
        <v>3</v>
      </c>
      <c r="Z481" s="78">
        <v>7</v>
      </c>
      <c r="AI481" s="33" t="s">
        <v>5858</v>
      </c>
      <c r="AL481" s="33" t="s">
        <v>4473</v>
      </c>
      <c r="AN481" s="33">
        <v>3</v>
      </c>
      <c r="AP481" s="83"/>
      <c r="AQ481" s="85"/>
      <c r="AR481" s="86"/>
      <c r="AS481" s="87"/>
      <c r="AV481" s="85"/>
      <c r="AW481" s="93"/>
      <c r="AX481" s="94"/>
      <c r="AY481" s="90"/>
      <c r="BB481" s="91"/>
      <c r="BG481" s="33" t="s">
        <v>5859</v>
      </c>
    </row>
    <row r="482" spans="1:59" ht="15" customHeight="1">
      <c r="A482" s="33" t="s">
        <v>5899</v>
      </c>
      <c r="B482" s="33" t="s">
        <v>5915</v>
      </c>
      <c r="C482" s="33" t="s">
        <v>5941</v>
      </c>
      <c r="D482" s="34">
        <v>199</v>
      </c>
      <c r="E482" s="33">
        <v>1</v>
      </c>
      <c r="F482" s="33" t="s">
        <v>5837</v>
      </c>
      <c r="G482" s="33" t="s">
        <v>5860</v>
      </c>
      <c r="J482" s="33" t="s">
        <v>4475</v>
      </c>
      <c r="L482" s="33">
        <v>1</v>
      </c>
      <c r="Y482" s="76" t="s">
        <v>38</v>
      </c>
      <c r="AF482" s="33" t="s">
        <v>5861</v>
      </c>
      <c r="AI482" s="33" t="s">
        <v>5860</v>
      </c>
      <c r="AL482" s="33" t="s">
        <v>4475</v>
      </c>
      <c r="AN482" s="33">
        <v>1</v>
      </c>
      <c r="AP482" s="83"/>
      <c r="AQ482" s="85"/>
      <c r="AR482" s="86"/>
      <c r="AS482" s="87"/>
      <c r="AV482" s="85"/>
      <c r="AW482" s="93"/>
      <c r="AX482" s="94"/>
      <c r="AY482" s="90"/>
      <c r="BB482" s="91"/>
      <c r="BG482" s="33" t="s">
        <v>5954</v>
      </c>
    </row>
    <row r="483" spans="1:59" ht="15" customHeight="1">
      <c r="A483" s="33" t="s">
        <v>5899</v>
      </c>
      <c r="B483" s="33" t="s">
        <v>5916</v>
      </c>
      <c r="C483" s="33" t="s">
        <v>5941</v>
      </c>
      <c r="D483" s="34">
        <v>200</v>
      </c>
      <c r="E483" s="33">
        <v>1</v>
      </c>
      <c r="F483" s="33" t="s">
        <v>5837</v>
      </c>
      <c r="G483" s="33" t="s">
        <v>5862</v>
      </c>
      <c r="J483" s="33" t="s">
        <v>4475</v>
      </c>
      <c r="L483" s="33">
        <v>2</v>
      </c>
      <c r="Y483" s="76" t="s">
        <v>38</v>
      </c>
      <c r="AF483" s="33" t="s">
        <v>5946</v>
      </c>
      <c r="AI483" s="33" t="s">
        <v>5862</v>
      </c>
      <c r="AL483" s="33" t="s">
        <v>4475</v>
      </c>
      <c r="AN483" s="33">
        <v>2</v>
      </c>
      <c r="AP483" s="83"/>
      <c r="AQ483" s="85"/>
      <c r="AR483" s="86"/>
      <c r="AS483" s="87"/>
      <c r="AV483" s="85"/>
      <c r="AW483" s="93"/>
      <c r="AX483" s="94"/>
      <c r="AY483" s="90"/>
      <c r="BB483" s="91"/>
      <c r="BG483" s="33" t="s">
        <v>5955</v>
      </c>
    </row>
    <row r="484" spans="1:59" ht="15" customHeight="1">
      <c r="A484" s="33" t="s">
        <v>5899</v>
      </c>
      <c r="B484" s="33" t="s">
        <v>5917</v>
      </c>
      <c r="C484" s="33" t="s">
        <v>5941</v>
      </c>
      <c r="D484" s="34">
        <v>201</v>
      </c>
      <c r="E484" s="33">
        <v>1</v>
      </c>
      <c r="F484" s="33" t="s">
        <v>5837</v>
      </c>
      <c r="G484" s="33" t="s">
        <v>5863</v>
      </c>
      <c r="J484" s="33" t="s">
        <v>31</v>
      </c>
      <c r="AD484" s="33" t="s">
        <v>5864</v>
      </c>
      <c r="AI484" s="33" t="s">
        <v>5863</v>
      </c>
      <c r="AL484" s="33" t="s">
        <v>31</v>
      </c>
      <c r="AP484" s="83"/>
      <c r="AQ484" s="85"/>
      <c r="AR484" s="86"/>
      <c r="AS484" s="87"/>
      <c r="AV484" s="85"/>
      <c r="AW484" s="93"/>
      <c r="AX484" s="94"/>
      <c r="AY484" s="90"/>
      <c r="BB484" s="91"/>
      <c r="BE484" s="33" t="s">
        <v>5864</v>
      </c>
      <c r="BG484" s="33" t="s">
        <v>5865</v>
      </c>
    </row>
    <row r="485" spans="1:59" ht="15" customHeight="1">
      <c r="A485" s="33" t="s">
        <v>5899</v>
      </c>
      <c r="B485" s="33" t="s">
        <v>5918</v>
      </c>
      <c r="C485" s="33" t="s">
        <v>5941</v>
      </c>
      <c r="D485" s="34">
        <v>202</v>
      </c>
      <c r="E485" s="33">
        <v>1</v>
      </c>
      <c r="F485" s="33" t="s">
        <v>5837</v>
      </c>
      <c r="G485" s="33" t="s">
        <v>5866</v>
      </c>
      <c r="J485" s="33" t="s">
        <v>31</v>
      </c>
      <c r="AD485" s="33" t="s">
        <v>5867</v>
      </c>
      <c r="AI485" s="33" t="s">
        <v>5866</v>
      </c>
      <c r="AL485" s="33" t="s">
        <v>31</v>
      </c>
      <c r="AP485" s="83"/>
      <c r="AQ485" s="85"/>
      <c r="AR485" s="86"/>
      <c r="AS485" s="87"/>
      <c r="AV485" s="85"/>
      <c r="AW485" s="93"/>
      <c r="AX485" s="94"/>
      <c r="AY485" s="90">
        <v>3</v>
      </c>
      <c r="AZ485" s="76">
        <v>2</v>
      </c>
      <c r="BB485" s="91"/>
      <c r="BE485" s="33" t="s">
        <v>5867</v>
      </c>
      <c r="BG485" s="33" t="s">
        <v>5956</v>
      </c>
    </row>
    <row r="486" spans="1:59" ht="15" customHeight="1">
      <c r="A486" s="33" t="s">
        <v>5899</v>
      </c>
      <c r="B486" s="33" t="s">
        <v>5919</v>
      </c>
      <c r="C486" s="33" t="s">
        <v>5941</v>
      </c>
      <c r="D486" s="34">
        <v>203</v>
      </c>
      <c r="E486" s="33">
        <v>1</v>
      </c>
      <c r="F486" s="33" t="s">
        <v>5837</v>
      </c>
      <c r="G486" s="33" t="s">
        <v>5866</v>
      </c>
      <c r="J486" s="33" t="s">
        <v>31</v>
      </c>
      <c r="AD486" s="33" t="s">
        <v>5867</v>
      </c>
      <c r="AI486" s="33" t="s">
        <v>5866</v>
      </c>
      <c r="AL486" s="33" t="s">
        <v>31</v>
      </c>
      <c r="AP486" s="83"/>
      <c r="AQ486" s="85"/>
      <c r="AR486" s="86"/>
      <c r="AS486" s="87"/>
      <c r="AV486" s="85"/>
      <c r="AW486" s="93"/>
      <c r="AX486" s="94"/>
      <c r="AY486" s="90">
        <v>3</v>
      </c>
      <c r="AZ486" s="76">
        <v>2</v>
      </c>
      <c r="BB486" s="91"/>
      <c r="BE486" s="33" t="s">
        <v>5867</v>
      </c>
      <c r="BG486" s="33" t="s">
        <v>5957</v>
      </c>
    </row>
    <row r="487" spans="1:59" ht="15" customHeight="1">
      <c r="A487" s="33" t="s">
        <v>5899</v>
      </c>
      <c r="B487" s="33" t="s">
        <v>5920</v>
      </c>
      <c r="C487" s="33" t="s">
        <v>5941</v>
      </c>
      <c r="D487" s="34">
        <v>204</v>
      </c>
      <c r="E487" s="33">
        <v>1</v>
      </c>
      <c r="F487" s="33" t="s">
        <v>5837</v>
      </c>
      <c r="G487" s="33" t="s">
        <v>5868</v>
      </c>
      <c r="J487" s="33" t="s">
        <v>31</v>
      </c>
      <c r="AD487" s="33" t="s">
        <v>5867</v>
      </c>
      <c r="AI487" s="33" t="s">
        <v>5868</v>
      </c>
      <c r="AL487" s="33" t="s">
        <v>31</v>
      </c>
      <c r="AP487" s="83"/>
      <c r="AQ487" s="85"/>
      <c r="AR487" s="86"/>
      <c r="AS487" s="87"/>
      <c r="AV487" s="85"/>
      <c r="AW487" s="93"/>
      <c r="AX487" s="94"/>
      <c r="AY487" s="90">
        <v>3</v>
      </c>
      <c r="AZ487" s="76">
        <v>3</v>
      </c>
      <c r="BB487" s="91"/>
      <c r="BE487" s="33" t="s">
        <v>5867</v>
      </c>
      <c r="BG487" s="33" t="s">
        <v>5958</v>
      </c>
    </row>
    <row r="488" spans="1:59" ht="15" customHeight="1">
      <c r="A488" s="33" t="s">
        <v>5899</v>
      </c>
      <c r="B488" s="33" t="s">
        <v>5921</v>
      </c>
      <c r="C488" s="33" t="s">
        <v>5941</v>
      </c>
      <c r="D488" s="34">
        <v>205</v>
      </c>
      <c r="E488" s="33">
        <v>1</v>
      </c>
      <c r="F488" s="33" t="s">
        <v>5837</v>
      </c>
      <c r="G488" s="33" t="s">
        <v>5868</v>
      </c>
      <c r="J488" s="33" t="s">
        <v>31</v>
      </c>
      <c r="AD488" s="33" t="s">
        <v>5867</v>
      </c>
      <c r="AI488" s="33" t="s">
        <v>5868</v>
      </c>
      <c r="AL488" s="33" t="s">
        <v>31</v>
      </c>
      <c r="AP488" s="83"/>
      <c r="AQ488" s="85"/>
      <c r="AR488" s="86"/>
      <c r="AS488" s="87"/>
      <c r="AV488" s="85"/>
      <c r="AW488" s="93"/>
      <c r="AX488" s="94"/>
      <c r="AY488" s="90">
        <v>2</v>
      </c>
      <c r="AZ488" s="76">
        <v>3</v>
      </c>
      <c r="BB488" s="91"/>
      <c r="BE488" s="33" t="s">
        <v>5867</v>
      </c>
      <c r="BG488" s="33" t="s">
        <v>5959</v>
      </c>
    </row>
    <row r="489" spans="1:59" ht="15" customHeight="1">
      <c r="A489" s="33" t="s">
        <v>5899</v>
      </c>
      <c r="B489" s="33" t="s">
        <v>5922</v>
      </c>
      <c r="C489" s="33" t="s">
        <v>5941</v>
      </c>
      <c r="D489" s="34">
        <v>206</v>
      </c>
      <c r="E489" s="33">
        <v>1</v>
      </c>
      <c r="F489" s="33" t="s">
        <v>5837</v>
      </c>
      <c r="G489" s="33" t="s">
        <v>5869</v>
      </c>
      <c r="J489" s="33" t="s">
        <v>31</v>
      </c>
      <c r="AD489" s="33" t="s">
        <v>5867</v>
      </c>
      <c r="AI489" s="33" t="s">
        <v>5869</v>
      </c>
      <c r="AL489" s="33" t="s">
        <v>31</v>
      </c>
      <c r="AP489" s="83"/>
      <c r="AQ489" s="85"/>
      <c r="AR489" s="86"/>
      <c r="AS489" s="87"/>
      <c r="AV489" s="85"/>
      <c r="AW489" s="93"/>
      <c r="AX489" s="94"/>
      <c r="AY489" s="90">
        <v>2</v>
      </c>
      <c r="AZ489" s="76" t="s">
        <v>4927</v>
      </c>
      <c r="BB489" s="91"/>
      <c r="BE489" s="33" t="s">
        <v>5867</v>
      </c>
      <c r="BG489" s="33" t="s">
        <v>5960</v>
      </c>
    </row>
    <row r="490" spans="1:59" ht="15" customHeight="1">
      <c r="A490" s="33" t="s">
        <v>5899</v>
      </c>
      <c r="B490" s="33" t="s">
        <v>5923</v>
      </c>
      <c r="C490" s="33" t="s">
        <v>5941</v>
      </c>
      <c r="D490" s="34">
        <v>207</v>
      </c>
      <c r="E490" s="33">
        <v>1</v>
      </c>
      <c r="F490" s="33" t="s">
        <v>5837</v>
      </c>
      <c r="G490" s="33" t="s">
        <v>5869</v>
      </c>
      <c r="J490" s="33" t="s">
        <v>31</v>
      </c>
      <c r="AD490" s="33" t="s">
        <v>5867</v>
      </c>
      <c r="AI490" s="33" t="s">
        <v>5869</v>
      </c>
      <c r="AL490" s="33" t="s">
        <v>31</v>
      </c>
      <c r="AP490" s="83"/>
      <c r="AQ490" s="85"/>
      <c r="AR490" s="86"/>
      <c r="AS490" s="87"/>
      <c r="AV490" s="85"/>
      <c r="AW490" s="93"/>
      <c r="AX490" s="94"/>
      <c r="AY490" s="90">
        <v>3</v>
      </c>
      <c r="AZ490" s="76" t="s">
        <v>4927</v>
      </c>
      <c r="BB490" s="91"/>
      <c r="BE490" s="33" t="s">
        <v>5867</v>
      </c>
      <c r="BG490" s="33" t="s">
        <v>5961</v>
      </c>
    </row>
    <row r="491" spans="1:59" ht="15" customHeight="1">
      <c r="A491" s="33" t="s">
        <v>5899</v>
      </c>
      <c r="B491" s="33" t="s">
        <v>5924</v>
      </c>
      <c r="C491" s="33" t="s">
        <v>5941</v>
      </c>
      <c r="D491" s="34">
        <v>208</v>
      </c>
      <c r="E491" s="33">
        <v>1</v>
      </c>
      <c r="F491" s="33" t="s">
        <v>5837</v>
      </c>
      <c r="G491" s="33" t="s">
        <v>5870</v>
      </c>
      <c r="J491" s="33" t="s">
        <v>31</v>
      </c>
      <c r="AD491" s="33" t="s">
        <v>5867</v>
      </c>
      <c r="AI491" s="33" t="s">
        <v>5870</v>
      </c>
      <c r="AL491" s="33" t="s">
        <v>31</v>
      </c>
      <c r="AP491" s="83"/>
      <c r="AQ491" s="85"/>
      <c r="AR491" s="86"/>
      <c r="AS491" s="87"/>
      <c r="AV491" s="85"/>
      <c r="AW491" s="93"/>
      <c r="AX491" s="94"/>
      <c r="AY491" s="90">
        <v>1</v>
      </c>
      <c r="AZ491" s="76" t="s">
        <v>4927</v>
      </c>
      <c r="BB491" s="91"/>
      <c r="BE491" s="33" t="s">
        <v>5867</v>
      </c>
      <c r="BG491" s="33" t="s">
        <v>5962</v>
      </c>
    </row>
    <row r="492" spans="1:59" ht="15" customHeight="1">
      <c r="A492" s="33" t="s">
        <v>5899</v>
      </c>
      <c r="B492" s="33" t="s">
        <v>5925</v>
      </c>
      <c r="C492" s="33" t="s">
        <v>5941</v>
      </c>
      <c r="D492" s="34">
        <v>209</v>
      </c>
      <c r="E492" s="33">
        <v>1</v>
      </c>
      <c r="F492" s="33" t="s">
        <v>5837</v>
      </c>
      <c r="G492" s="33" t="s">
        <v>5870</v>
      </c>
      <c r="J492" s="33" t="s">
        <v>31</v>
      </c>
      <c r="AD492" s="33" t="s">
        <v>5867</v>
      </c>
      <c r="AI492" s="33" t="s">
        <v>5870</v>
      </c>
      <c r="AL492" s="33" t="s">
        <v>31</v>
      </c>
      <c r="AP492" s="83"/>
      <c r="AQ492" s="85"/>
      <c r="AR492" s="86"/>
      <c r="AS492" s="87"/>
      <c r="AV492" s="85"/>
      <c r="AW492" s="93"/>
      <c r="AX492" s="94"/>
      <c r="AY492" s="90">
        <v>2</v>
      </c>
      <c r="AZ492" s="76" t="s">
        <v>4927</v>
      </c>
      <c r="BB492" s="91"/>
      <c r="BE492" s="33" t="s">
        <v>5867</v>
      </c>
      <c r="BG492" s="33" t="s">
        <v>5963</v>
      </c>
    </row>
    <row r="493" spans="1:59" ht="15" customHeight="1">
      <c r="A493" s="33" t="s">
        <v>5899</v>
      </c>
      <c r="B493" s="33" t="s">
        <v>5926</v>
      </c>
      <c r="C493" s="33" t="s">
        <v>5941</v>
      </c>
      <c r="D493" s="34">
        <v>210</v>
      </c>
      <c r="E493" s="33">
        <v>1</v>
      </c>
      <c r="F493" s="33" t="s">
        <v>5837</v>
      </c>
      <c r="G493" s="33" t="s">
        <v>5871</v>
      </c>
      <c r="J493" s="33" t="s">
        <v>31</v>
      </c>
      <c r="AD493" s="33" t="s">
        <v>5867</v>
      </c>
      <c r="AI493" s="33" t="s">
        <v>5871</v>
      </c>
      <c r="AL493" s="33" t="s">
        <v>31</v>
      </c>
      <c r="AP493" s="83"/>
      <c r="AQ493" s="85"/>
      <c r="AR493" s="86"/>
      <c r="AS493" s="87"/>
      <c r="AV493" s="85"/>
      <c r="AW493" s="93"/>
      <c r="AX493" s="94"/>
      <c r="AY493" s="90">
        <v>2</v>
      </c>
      <c r="AZ493" s="76" t="s">
        <v>4927</v>
      </c>
      <c r="BB493" s="91"/>
      <c r="BE493" s="33" t="s">
        <v>5867</v>
      </c>
      <c r="BG493" s="33" t="s">
        <v>5964</v>
      </c>
    </row>
    <row r="494" spans="1:59" ht="15" customHeight="1">
      <c r="A494" s="33" t="s">
        <v>5899</v>
      </c>
      <c r="B494" s="33" t="s">
        <v>5927</v>
      </c>
      <c r="C494" s="33" t="s">
        <v>5941</v>
      </c>
      <c r="D494" s="34">
        <v>211</v>
      </c>
      <c r="E494" s="33">
        <v>1</v>
      </c>
      <c r="F494" s="33" t="s">
        <v>5837</v>
      </c>
      <c r="G494" s="33" t="s">
        <v>5871</v>
      </c>
      <c r="J494" s="33" t="s">
        <v>31</v>
      </c>
      <c r="AD494" s="33" t="s">
        <v>5867</v>
      </c>
      <c r="AI494" s="33" t="s">
        <v>5871</v>
      </c>
      <c r="AL494" s="33" t="s">
        <v>31</v>
      </c>
      <c r="AP494" s="83"/>
      <c r="AQ494" s="85"/>
      <c r="AR494" s="86"/>
      <c r="AS494" s="87"/>
      <c r="AV494" s="85"/>
      <c r="AW494" s="93"/>
      <c r="AX494" s="94"/>
      <c r="AY494" s="90">
        <v>1</v>
      </c>
      <c r="AZ494" s="76" t="s">
        <v>4927</v>
      </c>
      <c r="BB494" s="91"/>
      <c r="BE494" s="33" t="s">
        <v>5867</v>
      </c>
      <c r="BG494" s="33" t="s">
        <v>5965</v>
      </c>
    </row>
    <row r="495" spans="1:59" ht="15" customHeight="1">
      <c r="A495" s="33" t="s">
        <v>5899</v>
      </c>
      <c r="B495" s="33" t="s">
        <v>5928</v>
      </c>
      <c r="C495" s="33" t="s">
        <v>5941</v>
      </c>
      <c r="D495" s="34">
        <v>212</v>
      </c>
      <c r="E495" s="33">
        <v>1</v>
      </c>
      <c r="F495" s="33" t="s">
        <v>5837</v>
      </c>
      <c r="G495" s="33" t="s">
        <v>5872</v>
      </c>
      <c r="J495" s="33" t="s">
        <v>31</v>
      </c>
      <c r="AD495" s="33" t="s">
        <v>5867</v>
      </c>
      <c r="AI495" s="33" t="s">
        <v>5872</v>
      </c>
      <c r="AL495" s="33" t="s">
        <v>31</v>
      </c>
      <c r="AP495" s="83"/>
      <c r="AQ495" s="85"/>
      <c r="AR495" s="86"/>
      <c r="AS495" s="87"/>
      <c r="AV495" s="85"/>
      <c r="AW495" s="93"/>
      <c r="AX495" s="94"/>
      <c r="AY495" s="90">
        <v>4</v>
      </c>
      <c r="AZ495" s="76">
        <v>1</v>
      </c>
      <c r="BB495" s="91"/>
      <c r="BE495" s="33" t="s">
        <v>5867</v>
      </c>
      <c r="BG495" s="33" t="s">
        <v>5966</v>
      </c>
    </row>
    <row r="496" spans="1:59" ht="15" customHeight="1">
      <c r="A496" s="33" t="s">
        <v>5899</v>
      </c>
      <c r="B496" s="33" t="s">
        <v>5929</v>
      </c>
      <c r="C496" s="33" t="s">
        <v>5941</v>
      </c>
      <c r="D496" s="34">
        <v>213</v>
      </c>
      <c r="E496" s="33">
        <v>1</v>
      </c>
      <c r="F496" s="33" t="s">
        <v>5837</v>
      </c>
      <c r="G496" s="33" t="s">
        <v>5872</v>
      </c>
      <c r="J496" s="33" t="s">
        <v>31</v>
      </c>
      <c r="AD496" s="33" t="s">
        <v>5867</v>
      </c>
      <c r="AI496" s="33" t="s">
        <v>5872</v>
      </c>
      <c r="AL496" s="33" t="s">
        <v>31</v>
      </c>
      <c r="AP496" s="83"/>
      <c r="AQ496" s="85"/>
      <c r="AR496" s="86"/>
      <c r="AS496" s="87"/>
      <c r="AV496" s="85"/>
      <c r="AW496" s="93"/>
      <c r="AX496" s="94"/>
      <c r="AY496" s="90">
        <v>4</v>
      </c>
      <c r="AZ496" s="76">
        <v>1</v>
      </c>
      <c r="BB496" s="91"/>
      <c r="BE496" s="33" t="s">
        <v>5867</v>
      </c>
      <c r="BG496" s="33" t="s">
        <v>5967</v>
      </c>
    </row>
    <row r="497" spans="1:62" ht="15" customHeight="1">
      <c r="A497" s="33" t="s">
        <v>5899</v>
      </c>
      <c r="B497" s="33" t="s">
        <v>5930</v>
      </c>
      <c r="C497" s="33" t="s">
        <v>5941</v>
      </c>
      <c r="D497" s="34">
        <v>214</v>
      </c>
      <c r="E497" s="33">
        <v>1</v>
      </c>
      <c r="F497" s="33" t="s">
        <v>5837</v>
      </c>
      <c r="G497" s="33" t="s">
        <v>5873</v>
      </c>
      <c r="J497" s="33" t="s">
        <v>31</v>
      </c>
      <c r="X497" s="90">
        <v>3</v>
      </c>
      <c r="Y497" s="76">
        <v>0</v>
      </c>
      <c r="AD497" s="33" t="s">
        <v>5867</v>
      </c>
      <c r="AF497" s="33" t="s">
        <v>5968</v>
      </c>
      <c r="AP497" s="83"/>
      <c r="AQ497" s="85"/>
      <c r="AR497" s="86"/>
      <c r="AS497" s="87"/>
      <c r="AV497" s="85"/>
      <c r="AW497" s="93"/>
      <c r="AX497" s="94"/>
      <c r="AY497" s="90"/>
      <c r="BB497" s="91"/>
      <c r="BJ497" s="43" t="s">
        <v>5836</v>
      </c>
    </row>
    <row r="498" spans="1:62" ht="15" customHeight="1">
      <c r="A498" s="33" t="s">
        <v>5899</v>
      </c>
      <c r="B498" s="33" t="s">
        <v>5931</v>
      </c>
      <c r="C498" s="33" t="s">
        <v>5941</v>
      </c>
      <c r="D498" s="34">
        <v>215</v>
      </c>
      <c r="E498" s="33">
        <v>1</v>
      </c>
      <c r="F498" s="33" t="s">
        <v>5837</v>
      </c>
      <c r="G498" s="33" t="s">
        <v>5874</v>
      </c>
      <c r="J498" s="33" t="s">
        <v>4111</v>
      </c>
      <c r="AD498" s="33" t="s">
        <v>5875</v>
      </c>
      <c r="AF498" s="33" t="s">
        <v>5947</v>
      </c>
      <c r="AP498" s="83"/>
      <c r="AQ498" s="85"/>
      <c r="AR498" s="86"/>
      <c r="AS498" s="87"/>
      <c r="AV498" s="85"/>
      <c r="AW498" s="93"/>
      <c r="AX498" s="94"/>
      <c r="AY498" s="90"/>
      <c r="BB498" s="91"/>
      <c r="BJ498" s="43" t="s">
        <v>5836</v>
      </c>
    </row>
    <row r="499" spans="1:62" ht="15" customHeight="1">
      <c r="A499" s="33" t="s">
        <v>5899</v>
      </c>
      <c r="B499" s="33" t="s">
        <v>5932</v>
      </c>
      <c r="C499" s="33" t="s">
        <v>5941</v>
      </c>
      <c r="D499" s="34">
        <v>216</v>
      </c>
      <c r="E499" s="33">
        <v>1</v>
      </c>
      <c r="F499" s="33" t="s">
        <v>5837</v>
      </c>
      <c r="G499" s="33" t="s">
        <v>5876</v>
      </c>
      <c r="H499" s="33" t="s">
        <v>5877</v>
      </c>
      <c r="I499" s="33" t="s">
        <v>5878</v>
      </c>
      <c r="J499" s="33" t="s">
        <v>29</v>
      </c>
      <c r="Q499" s="75">
        <v>3</v>
      </c>
      <c r="R499" s="76">
        <v>7</v>
      </c>
      <c r="T499" s="78" t="s">
        <v>5879</v>
      </c>
      <c r="V499" s="79">
        <v>2</v>
      </c>
      <c r="W499" s="80">
        <v>2</v>
      </c>
      <c r="AA499" s="82">
        <v>2</v>
      </c>
      <c r="AD499" s="33" t="s">
        <v>5377</v>
      </c>
      <c r="AE499" s="34" t="s">
        <v>5880</v>
      </c>
      <c r="AF499" s="33" t="s">
        <v>5881</v>
      </c>
      <c r="AP499" s="83"/>
      <c r="AQ499" s="85"/>
      <c r="AR499" s="86"/>
      <c r="AS499" s="87"/>
      <c r="AV499" s="85"/>
      <c r="AW499" s="93"/>
      <c r="AX499" s="94"/>
      <c r="AY499" s="90"/>
      <c r="BB499" s="91"/>
    </row>
    <row r="500" spans="1:62" ht="15" customHeight="1">
      <c r="A500" s="33" t="s">
        <v>5899</v>
      </c>
      <c r="B500" s="33" t="s">
        <v>5933</v>
      </c>
      <c r="C500" s="33" t="s">
        <v>5941</v>
      </c>
      <c r="D500" s="34">
        <v>217</v>
      </c>
      <c r="E500" s="33">
        <v>1</v>
      </c>
      <c r="F500" s="33" t="s">
        <v>5837</v>
      </c>
      <c r="G500" s="33" t="s">
        <v>5882</v>
      </c>
      <c r="H500" s="33" t="s">
        <v>5883</v>
      </c>
      <c r="I500" s="33" t="s">
        <v>5878</v>
      </c>
      <c r="J500" s="33" t="s">
        <v>4111</v>
      </c>
      <c r="N500" s="72">
        <v>3</v>
      </c>
      <c r="O500" s="73">
        <v>1</v>
      </c>
      <c r="S500" s="123">
        <v>1</v>
      </c>
      <c r="T500" s="78">
        <v>1</v>
      </c>
      <c r="U500" s="73">
        <v>4</v>
      </c>
      <c r="AB500" s="33" t="s">
        <v>4940</v>
      </c>
      <c r="AC500" s="33" t="s">
        <v>25</v>
      </c>
      <c r="AD500" s="33" t="s">
        <v>5884</v>
      </c>
      <c r="AF500" s="33" t="s">
        <v>5948</v>
      </c>
      <c r="AP500" s="83"/>
      <c r="AQ500" s="85"/>
      <c r="AR500" s="86"/>
      <c r="AS500" s="87"/>
      <c r="AV500" s="85"/>
      <c r="AW500" s="93"/>
      <c r="AX500" s="94"/>
      <c r="AY500" s="90"/>
      <c r="BB500" s="91"/>
    </row>
    <row r="501" spans="1:62" ht="15" customHeight="1">
      <c r="A501" s="33" t="s">
        <v>5899</v>
      </c>
      <c r="B501" s="33" t="s">
        <v>5934</v>
      </c>
      <c r="C501" s="33" t="s">
        <v>5941</v>
      </c>
      <c r="D501" s="34">
        <v>218</v>
      </c>
      <c r="E501" s="33">
        <v>1</v>
      </c>
      <c r="F501" s="33" t="s">
        <v>5837</v>
      </c>
      <c r="G501" s="33" t="s">
        <v>5885</v>
      </c>
      <c r="H501" s="33" t="s">
        <v>5886</v>
      </c>
      <c r="I501" s="33" t="s">
        <v>5878</v>
      </c>
      <c r="J501" s="33" t="s">
        <v>4111</v>
      </c>
      <c r="N501" s="72">
        <v>3</v>
      </c>
      <c r="R501" s="76">
        <v>1</v>
      </c>
      <c r="S501" s="123">
        <v>1</v>
      </c>
      <c r="T501" s="78">
        <v>3</v>
      </c>
      <c r="U501" s="73">
        <v>2</v>
      </c>
      <c r="AB501" s="33" t="s">
        <v>5034</v>
      </c>
      <c r="AC501" s="33" t="s">
        <v>25</v>
      </c>
      <c r="AD501" s="33" t="s">
        <v>5884</v>
      </c>
      <c r="AF501" s="33" t="s">
        <v>5949</v>
      </c>
      <c r="AP501" s="83"/>
      <c r="AQ501" s="85"/>
      <c r="AR501" s="86"/>
      <c r="AS501" s="87"/>
      <c r="AV501" s="85"/>
      <c r="AW501" s="93"/>
      <c r="AX501" s="94"/>
      <c r="AY501" s="90"/>
      <c r="BB501" s="91"/>
    </row>
    <row r="502" spans="1:62" ht="15" customHeight="1">
      <c r="A502" s="33" t="s">
        <v>5899</v>
      </c>
      <c r="B502" s="33" t="s">
        <v>5935</v>
      </c>
      <c r="C502" s="33" t="s">
        <v>5941</v>
      </c>
      <c r="D502" s="34">
        <v>219</v>
      </c>
      <c r="E502" s="33">
        <v>1</v>
      </c>
      <c r="F502" s="33" t="s">
        <v>5837</v>
      </c>
      <c r="G502" s="33" t="s">
        <v>5887</v>
      </c>
      <c r="H502" s="33" t="s">
        <v>5888</v>
      </c>
      <c r="J502" s="33" t="s">
        <v>4111</v>
      </c>
      <c r="N502" s="72">
        <v>0</v>
      </c>
      <c r="AD502" s="33" t="s">
        <v>4119</v>
      </c>
      <c r="AF502" s="33" t="s">
        <v>5950</v>
      </c>
      <c r="AP502" s="83"/>
      <c r="AQ502" s="85"/>
      <c r="AR502" s="86"/>
      <c r="AS502" s="87"/>
      <c r="AV502" s="85"/>
      <c r="AW502" s="93"/>
      <c r="AX502" s="94"/>
      <c r="AY502" s="90"/>
      <c r="BB502" s="91"/>
    </row>
    <row r="503" spans="1:62" ht="15" customHeight="1">
      <c r="A503" s="33" t="s">
        <v>5899</v>
      </c>
      <c r="B503" s="33" t="s">
        <v>5936</v>
      </c>
      <c r="C503" s="33" t="s">
        <v>5941</v>
      </c>
      <c r="D503" s="34">
        <v>220</v>
      </c>
      <c r="E503" s="33">
        <v>3</v>
      </c>
      <c r="F503" s="33" t="s">
        <v>5837</v>
      </c>
      <c r="G503" s="33" t="s">
        <v>5889</v>
      </c>
      <c r="J503" s="33" t="s">
        <v>28</v>
      </c>
      <c r="AF503" s="33" t="s">
        <v>5951</v>
      </c>
      <c r="AP503" s="83"/>
      <c r="AQ503" s="85"/>
      <c r="AR503" s="86"/>
      <c r="AS503" s="87"/>
      <c r="AV503" s="85"/>
      <c r="AW503" s="93"/>
      <c r="AX503" s="94"/>
      <c r="AY503" s="90"/>
      <c r="BB503" s="91"/>
    </row>
    <row r="504" spans="1:62" ht="15" customHeight="1">
      <c r="A504" s="33" t="s">
        <v>5899</v>
      </c>
      <c r="B504" s="33" t="s">
        <v>5937</v>
      </c>
      <c r="C504" s="33" t="s">
        <v>5941</v>
      </c>
      <c r="D504" s="34">
        <v>221</v>
      </c>
      <c r="E504" s="33">
        <v>2</v>
      </c>
      <c r="F504" s="33" t="s">
        <v>5837</v>
      </c>
      <c r="G504" s="33" t="s">
        <v>5890</v>
      </c>
      <c r="J504" s="33" t="s">
        <v>28</v>
      </c>
      <c r="AD504" s="33" t="s">
        <v>4346</v>
      </c>
      <c r="AE504" s="34" t="s">
        <v>5891</v>
      </c>
      <c r="AF504" s="33" t="s">
        <v>5952</v>
      </c>
      <c r="AP504" s="83"/>
      <c r="AQ504" s="85"/>
      <c r="AR504" s="86"/>
      <c r="AS504" s="87"/>
      <c r="AV504" s="85"/>
      <c r="AW504" s="93"/>
      <c r="AX504" s="94"/>
      <c r="AY504" s="90"/>
      <c r="BB504" s="91"/>
    </row>
    <row r="505" spans="1:62" ht="15" customHeight="1">
      <c r="A505" s="33" t="s">
        <v>5899</v>
      </c>
      <c r="B505" s="33" t="s">
        <v>5938</v>
      </c>
      <c r="C505" s="33" t="s">
        <v>5941</v>
      </c>
      <c r="D505" s="34">
        <v>222</v>
      </c>
      <c r="E505" s="33">
        <v>2</v>
      </c>
      <c r="F505" s="33" t="s">
        <v>5837</v>
      </c>
      <c r="G505" s="33" t="s">
        <v>5892</v>
      </c>
      <c r="J505" s="33" t="s">
        <v>28</v>
      </c>
      <c r="AD505" s="33" t="s">
        <v>4346</v>
      </c>
      <c r="AF505" s="33" t="s">
        <v>5893</v>
      </c>
      <c r="AP505" s="83"/>
      <c r="AQ505" s="85"/>
      <c r="AR505" s="86"/>
      <c r="AS505" s="87"/>
      <c r="AV505" s="85"/>
      <c r="AW505" s="93"/>
      <c r="AX505" s="94"/>
      <c r="AY505" s="90"/>
      <c r="BB505" s="91"/>
    </row>
    <row r="506" spans="1:62" ht="15" customHeight="1">
      <c r="A506" s="33" t="s">
        <v>5899</v>
      </c>
      <c r="B506" s="33" t="s">
        <v>5939</v>
      </c>
      <c r="C506" s="33" t="s">
        <v>5941</v>
      </c>
      <c r="D506" s="34">
        <v>223</v>
      </c>
      <c r="E506" s="33">
        <v>3</v>
      </c>
      <c r="F506" s="33" t="s">
        <v>5837</v>
      </c>
      <c r="G506" s="33" t="s">
        <v>4334</v>
      </c>
      <c r="J506" s="33" t="s">
        <v>28</v>
      </c>
      <c r="AD506" s="33" t="s">
        <v>4335</v>
      </c>
      <c r="AF506" s="33" t="s">
        <v>5894</v>
      </c>
      <c r="AP506" s="83"/>
      <c r="AQ506" s="85"/>
      <c r="AR506" s="86"/>
      <c r="AS506" s="87"/>
      <c r="AV506" s="85"/>
      <c r="AW506" s="93"/>
      <c r="AX506" s="94"/>
      <c r="AY506" s="90"/>
      <c r="BB506" s="91"/>
    </row>
    <row r="507" spans="1:62" ht="15" customHeight="1">
      <c r="A507" s="33" t="s">
        <v>5899</v>
      </c>
      <c r="B507" s="33" t="s">
        <v>5940</v>
      </c>
      <c r="C507" s="33" t="s">
        <v>5941</v>
      </c>
      <c r="D507" s="34">
        <v>224</v>
      </c>
      <c r="E507" s="33">
        <v>3</v>
      </c>
      <c r="F507" s="33" t="s">
        <v>5837</v>
      </c>
      <c r="G507" s="33" t="s">
        <v>5895</v>
      </c>
      <c r="J507" s="33" t="s">
        <v>29</v>
      </c>
      <c r="Q507" s="75">
        <v>3</v>
      </c>
      <c r="R507" s="76">
        <v>1</v>
      </c>
      <c r="T507" s="78">
        <v>2</v>
      </c>
      <c r="V507" s="79">
        <v>2</v>
      </c>
      <c r="AD507" s="33" t="s">
        <v>5896</v>
      </c>
      <c r="AE507" s="34" t="s">
        <v>5897</v>
      </c>
      <c r="AF507" s="33" t="s">
        <v>5898</v>
      </c>
      <c r="AP507" s="83"/>
      <c r="AQ507" s="85"/>
      <c r="AR507" s="86"/>
      <c r="AS507" s="87"/>
      <c r="AV507" s="85"/>
      <c r="AW507" s="93"/>
      <c r="AX507" s="94"/>
      <c r="AY507" s="90"/>
      <c r="BB507" s="91"/>
    </row>
    <row r="508" spans="1:62" ht="15" customHeight="1">
      <c r="A508" s="51" t="s">
        <v>5970</v>
      </c>
      <c r="B508" s="51" t="s">
        <v>5973</v>
      </c>
      <c r="C508" s="51" t="s">
        <v>6214</v>
      </c>
      <c r="D508" s="126">
        <v>225</v>
      </c>
      <c r="E508" s="51">
        <v>2</v>
      </c>
      <c r="F508" s="51"/>
      <c r="G508" s="51" t="s">
        <v>5974</v>
      </c>
      <c r="J508" s="33" t="s">
        <v>27</v>
      </c>
      <c r="K508" s="33" t="s">
        <v>4052</v>
      </c>
      <c r="L508" s="33">
        <v>0</v>
      </c>
      <c r="N508" s="72">
        <v>1</v>
      </c>
      <c r="O508" s="73">
        <v>1</v>
      </c>
      <c r="Q508" s="75">
        <v>1</v>
      </c>
      <c r="AB508" s="33" t="s">
        <v>6033</v>
      </c>
      <c r="AF508" s="33" t="s">
        <v>6034</v>
      </c>
      <c r="AP508" s="83"/>
      <c r="AQ508" s="85"/>
      <c r="AR508" s="86"/>
      <c r="AS508" s="87"/>
      <c r="AV508" s="85"/>
      <c r="AW508" s="93"/>
      <c r="AX508" s="94"/>
      <c r="AY508" s="90"/>
      <c r="BB508" s="91"/>
    </row>
    <row r="509" spans="1:62" ht="15" customHeight="1">
      <c r="A509" s="33" t="s">
        <v>5970</v>
      </c>
      <c r="B509" s="33" t="s">
        <v>5975</v>
      </c>
      <c r="C509" s="33" t="s">
        <v>6214</v>
      </c>
      <c r="D509" s="34">
        <v>226</v>
      </c>
      <c r="E509" s="33">
        <v>2</v>
      </c>
      <c r="G509" s="33" t="s">
        <v>5976</v>
      </c>
      <c r="J509" s="33" t="s">
        <v>4111</v>
      </c>
      <c r="K509" s="33" t="s">
        <v>4052</v>
      </c>
      <c r="L509" s="33">
        <v>4</v>
      </c>
      <c r="N509" s="72">
        <v>4</v>
      </c>
      <c r="Q509" s="75">
        <v>1</v>
      </c>
      <c r="R509" s="76">
        <v>1</v>
      </c>
      <c r="AB509" s="33" t="s">
        <v>6035</v>
      </c>
      <c r="AC509" s="33" t="s">
        <v>6036</v>
      </c>
      <c r="AD509" s="33" t="s">
        <v>4113</v>
      </c>
      <c r="AF509" s="33" t="s">
        <v>6037</v>
      </c>
      <c r="AP509" s="83"/>
      <c r="AQ509" s="85"/>
      <c r="AR509" s="86"/>
      <c r="AS509" s="87"/>
      <c r="AV509" s="85"/>
      <c r="AW509" s="93"/>
      <c r="AX509" s="94"/>
      <c r="AY509" s="90"/>
      <c r="BB509" s="91"/>
    </row>
    <row r="510" spans="1:62" ht="15" customHeight="1">
      <c r="A510" s="33" t="s">
        <v>5970</v>
      </c>
      <c r="B510" s="33" t="s">
        <v>5977</v>
      </c>
      <c r="C510" s="33" t="s">
        <v>6214</v>
      </c>
      <c r="D510" s="34">
        <v>227</v>
      </c>
      <c r="E510" s="33">
        <v>2</v>
      </c>
      <c r="G510" s="33" t="s">
        <v>5978</v>
      </c>
      <c r="J510" s="33" t="s">
        <v>4166</v>
      </c>
      <c r="K510" s="33" t="s">
        <v>4053</v>
      </c>
      <c r="L510" s="33">
        <v>0</v>
      </c>
      <c r="S510" s="123">
        <v>3</v>
      </c>
      <c r="AB510" s="33" t="s">
        <v>5850</v>
      </c>
      <c r="AD510" s="33" t="s">
        <v>4266</v>
      </c>
      <c r="AF510" s="33" t="s">
        <v>6038</v>
      </c>
      <c r="AP510" s="83"/>
      <c r="AQ510" s="85"/>
      <c r="AR510" s="86"/>
      <c r="AS510" s="87"/>
      <c r="AV510" s="85"/>
      <c r="AW510" s="93"/>
      <c r="AX510" s="94"/>
      <c r="AY510" s="90"/>
      <c r="BB510" s="91"/>
    </row>
    <row r="511" spans="1:62" ht="15" customHeight="1">
      <c r="A511" s="33" t="s">
        <v>5970</v>
      </c>
      <c r="B511" s="33" t="s">
        <v>5979</v>
      </c>
      <c r="C511" s="33" t="s">
        <v>6214</v>
      </c>
      <c r="D511" s="34">
        <v>228</v>
      </c>
      <c r="E511" s="33">
        <v>2</v>
      </c>
      <c r="G511" s="33" t="s">
        <v>5980</v>
      </c>
      <c r="J511" s="33" t="s">
        <v>27</v>
      </c>
      <c r="K511" s="33" t="s">
        <v>4053</v>
      </c>
      <c r="L511" s="33">
        <v>1</v>
      </c>
      <c r="N511" s="72">
        <v>0</v>
      </c>
      <c r="P511" s="74">
        <v>1</v>
      </c>
      <c r="Q511" s="75">
        <v>2</v>
      </c>
      <c r="AB511" s="33" t="s">
        <v>6039</v>
      </c>
      <c r="AD511" s="33" t="s">
        <v>4194</v>
      </c>
      <c r="AF511" s="33" t="s">
        <v>6040</v>
      </c>
      <c r="AP511" s="83"/>
      <c r="AQ511" s="85"/>
      <c r="AR511" s="86"/>
      <c r="AS511" s="87"/>
      <c r="AV511" s="85"/>
      <c r="AW511" s="93"/>
      <c r="AX511" s="94"/>
      <c r="AY511" s="90"/>
      <c r="BB511" s="91"/>
    </row>
    <row r="512" spans="1:62" ht="15" customHeight="1">
      <c r="A512" s="33" t="s">
        <v>5970</v>
      </c>
      <c r="B512" s="33" t="s">
        <v>5981</v>
      </c>
      <c r="C512" s="33" t="s">
        <v>6214</v>
      </c>
      <c r="D512" s="34">
        <v>229</v>
      </c>
      <c r="E512" s="33">
        <v>2</v>
      </c>
      <c r="G512" s="33" t="s">
        <v>5982</v>
      </c>
      <c r="J512" s="33" t="s">
        <v>4166</v>
      </c>
      <c r="K512" s="33" t="s">
        <v>4055</v>
      </c>
      <c r="L512" s="33">
        <v>0</v>
      </c>
      <c r="S512" s="123">
        <v>1</v>
      </c>
      <c r="AB512" s="33" t="s">
        <v>4062</v>
      </c>
      <c r="AD512" s="33" t="s">
        <v>4266</v>
      </c>
      <c r="AF512" s="33" t="s">
        <v>6041</v>
      </c>
      <c r="AP512" s="83"/>
      <c r="AQ512" s="85"/>
      <c r="AR512" s="86"/>
      <c r="AS512" s="87"/>
      <c r="AV512" s="85"/>
      <c r="AW512" s="93"/>
      <c r="AX512" s="94"/>
      <c r="AY512" s="90"/>
      <c r="BB512" s="91"/>
    </row>
    <row r="513" spans="1:59" ht="15" customHeight="1">
      <c r="A513" s="33" t="s">
        <v>5970</v>
      </c>
      <c r="B513" s="33" t="s">
        <v>5983</v>
      </c>
      <c r="C513" s="33" t="s">
        <v>6214</v>
      </c>
      <c r="D513" s="34">
        <v>230</v>
      </c>
      <c r="E513" s="33">
        <v>2</v>
      </c>
      <c r="G513" s="33" t="s">
        <v>5984</v>
      </c>
      <c r="J513" s="33" t="s">
        <v>4111</v>
      </c>
      <c r="K513" s="33" t="s">
        <v>4055</v>
      </c>
      <c r="L513" s="33">
        <v>2</v>
      </c>
      <c r="N513" s="72">
        <v>2</v>
      </c>
      <c r="O513" s="73">
        <v>1</v>
      </c>
      <c r="R513" s="76">
        <v>1</v>
      </c>
      <c r="AB513" s="33" t="s">
        <v>6042</v>
      </c>
      <c r="AC513" s="33" t="s">
        <v>4129</v>
      </c>
      <c r="AD513" s="33" t="s">
        <v>4130</v>
      </c>
      <c r="AF513" s="33" t="s">
        <v>6043</v>
      </c>
      <c r="AP513" s="83"/>
      <c r="AQ513" s="85"/>
      <c r="AR513" s="86"/>
      <c r="AS513" s="87"/>
      <c r="AV513" s="85"/>
      <c r="AW513" s="93"/>
      <c r="AX513" s="94"/>
      <c r="AY513" s="90"/>
      <c r="BB513" s="91"/>
    </row>
    <row r="514" spans="1:59" ht="15" customHeight="1">
      <c r="A514" s="33" t="s">
        <v>5970</v>
      </c>
      <c r="B514" s="33" t="s">
        <v>5985</v>
      </c>
      <c r="C514" s="33" t="s">
        <v>6214</v>
      </c>
      <c r="D514" s="34">
        <v>231</v>
      </c>
      <c r="E514" s="33">
        <v>2</v>
      </c>
      <c r="G514" s="33" t="s">
        <v>4224</v>
      </c>
      <c r="J514" s="33" t="s">
        <v>4166</v>
      </c>
      <c r="K514" s="33" t="s">
        <v>4055</v>
      </c>
      <c r="L514" s="33">
        <v>2</v>
      </c>
      <c r="S514" s="123">
        <v>1</v>
      </c>
      <c r="AB514" s="33" t="s">
        <v>4062</v>
      </c>
      <c r="AD514" s="33" t="s">
        <v>6044</v>
      </c>
      <c r="AF514" s="33" t="s">
        <v>6045</v>
      </c>
      <c r="AP514" s="83"/>
      <c r="AQ514" s="85"/>
      <c r="AR514" s="86"/>
      <c r="AS514" s="87"/>
      <c r="AV514" s="85"/>
      <c r="AW514" s="93"/>
      <c r="AX514" s="94"/>
      <c r="AY514" s="90"/>
      <c r="BB514" s="91"/>
    </row>
    <row r="515" spans="1:59" ht="15" customHeight="1">
      <c r="A515" s="33" t="s">
        <v>5970</v>
      </c>
      <c r="B515" s="33" t="s">
        <v>5986</v>
      </c>
      <c r="C515" s="33" t="s">
        <v>6214</v>
      </c>
      <c r="D515" s="34">
        <v>232</v>
      </c>
      <c r="E515" s="33">
        <v>2</v>
      </c>
      <c r="G515" s="33" t="s">
        <v>5987</v>
      </c>
      <c r="H515" s="33" t="s">
        <v>6046</v>
      </c>
      <c r="I515" s="33" t="s">
        <v>4077</v>
      </c>
      <c r="J515" s="33" t="s">
        <v>4111</v>
      </c>
      <c r="K515" s="33" t="s">
        <v>4054</v>
      </c>
      <c r="L515" s="33">
        <v>0</v>
      </c>
      <c r="N515" s="72">
        <v>4</v>
      </c>
      <c r="P515" s="74">
        <v>1</v>
      </c>
      <c r="T515" s="78">
        <v>1</v>
      </c>
      <c r="U515" s="73">
        <v>3</v>
      </c>
      <c r="AB515" s="33" t="s">
        <v>4059</v>
      </c>
      <c r="AC515" s="33" t="s">
        <v>25</v>
      </c>
      <c r="AD515" s="33" t="s">
        <v>4524</v>
      </c>
      <c r="AF515" s="33" t="s">
        <v>6047</v>
      </c>
      <c r="AP515" s="83"/>
      <c r="AQ515" s="85"/>
      <c r="AR515" s="86"/>
      <c r="AS515" s="87"/>
      <c r="AV515" s="85"/>
      <c r="AW515" s="93"/>
      <c r="AX515" s="94"/>
      <c r="AY515" s="90"/>
      <c r="BB515" s="91"/>
    </row>
    <row r="516" spans="1:59" ht="15" customHeight="1">
      <c r="A516" s="33" t="s">
        <v>5970</v>
      </c>
      <c r="B516" s="33" t="s">
        <v>5988</v>
      </c>
      <c r="C516" s="33" t="s">
        <v>6214</v>
      </c>
      <c r="D516" s="34">
        <v>233</v>
      </c>
      <c r="E516" s="33">
        <v>2</v>
      </c>
      <c r="G516" s="33" t="s">
        <v>5275</v>
      </c>
      <c r="J516" s="33" t="s">
        <v>4111</v>
      </c>
      <c r="K516" s="33" t="s">
        <v>4054</v>
      </c>
      <c r="L516" s="33">
        <v>4</v>
      </c>
      <c r="N516" s="72">
        <v>5</v>
      </c>
      <c r="P516" s="74">
        <v>2</v>
      </c>
      <c r="AB516" s="33" t="s">
        <v>4938</v>
      </c>
      <c r="AC516" s="33" t="s">
        <v>4232</v>
      </c>
      <c r="AD516" s="33" t="s">
        <v>4133</v>
      </c>
      <c r="AF516" s="33" t="s">
        <v>6048</v>
      </c>
      <c r="AP516" s="83"/>
      <c r="AQ516" s="85"/>
      <c r="AR516" s="86"/>
      <c r="AS516" s="87"/>
      <c r="AV516" s="85"/>
      <c r="AW516" s="93"/>
      <c r="AX516" s="94"/>
      <c r="AY516" s="90"/>
      <c r="BB516" s="91"/>
    </row>
    <row r="517" spans="1:59" ht="15" customHeight="1">
      <c r="A517" s="33" t="s">
        <v>5970</v>
      </c>
      <c r="B517" s="33" t="s">
        <v>5989</v>
      </c>
      <c r="C517" s="33" t="s">
        <v>6214</v>
      </c>
      <c r="D517" s="34">
        <v>234</v>
      </c>
      <c r="E517" s="33">
        <v>2</v>
      </c>
      <c r="G517" s="33" t="s">
        <v>5990</v>
      </c>
      <c r="J517" s="33" t="s">
        <v>4111</v>
      </c>
      <c r="K517" s="33" t="s">
        <v>4056</v>
      </c>
      <c r="L517" s="33">
        <v>0</v>
      </c>
      <c r="N517" s="72">
        <v>3</v>
      </c>
      <c r="O517" s="73">
        <v>1</v>
      </c>
      <c r="AB517" s="33" t="s">
        <v>4058</v>
      </c>
      <c r="AD517" s="33" t="s">
        <v>6049</v>
      </c>
      <c r="AF517" s="33" t="s">
        <v>6050</v>
      </c>
      <c r="AP517" s="83"/>
      <c r="AQ517" s="85"/>
      <c r="AR517" s="86"/>
      <c r="AS517" s="87"/>
      <c r="AV517" s="85"/>
      <c r="AW517" s="93"/>
      <c r="AX517" s="94"/>
      <c r="AY517" s="90"/>
      <c r="BB517" s="91"/>
    </row>
    <row r="518" spans="1:59" ht="15" customHeight="1">
      <c r="A518" s="33" t="s">
        <v>5970</v>
      </c>
      <c r="B518" s="33" t="s">
        <v>5991</v>
      </c>
      <c r="C518" s="33" t="s">
        <v>6214</v>
      </c>
      <c r="D518" s="34">
        <v>235</v>
      </c>
      <c r="E518" s="33">
        <v>2</v>
      </c>
      <c r="G518" s="33" t="s">
        <v>4265</v>
      </c>
      <c r="J518" s="33" t="s">
        <v>4166</v>
      </c>
      <c r="K518" s="33" t="s">
        <v>4056</v>
      </c>
      <c r="L518" s="33">
        <v>2</v>
      </c>
      <c r="R518" s="76">
        <v>2</v>
      </c>
      <c r="AB518" s="33" t="s">
        <v>4949</v>
      </c>
      <c r="AD518" s="33" t="s">
        <v>6044</v>
      </c>
      <c r="AF518" s="33" t="s">
        <v>6051</v>
      </c>
      <c r="AP518" s="83"/>
      <c r="AQ518" s="85"/>
      <c r="AR518" s="86"/>
      <c r="AS518" s="87"/>
      <c r="AV518" s="85"/>
      <c r="AW518" s="93"/>
      <c r="AX518" s="94"/>
      <c r="AY518" s="90"/>
      <c r="BB518" s="91"/>
    </row>
    <row r="519" spans="1:59" ht="15" customHeight="1">
      <c r="A519" s="33" t="s">
        <v>5970</v>
      </c>
      <c r="B519" s="33" t="s">
        <v>5992</v>
      </c>
      <c r="C519" s="33" t="s">
        <v>6214</v>
      </c>
      <c r="D519" s="34">
        <v>236</v>
      </c>
      <c r="E519" s="33">
        <v>1</v>
      </c>
      <c r="F519" s="33" t="s">
        <v>5971</v>
      </c>
      <c r="G519" s="33" t="s">
        <v>5971</v>
      </c>
      <c r="H519" s="43" t="s">
        <v>4563</v>
      </c>
      <c r="J519" s="33" t="s">
        <v>4472</v>
      </c>
      <c r="AF519" s="33" t="s">
        <v>6052</v>
      </c>
      <c r="AI519" s="33" t="s">
        <v>5971</v>
      </c>
      <c r="AJ519" s="33" t="s">
        <v>4564</v>
      </c>
      <c r="AL519" s="33" t="s">
        <v>4472</v>
      </c>
      <c r="AP519" s="83"/>
      <c r="AQ519" s="85"/>
      <c r="AR519" s="86"/>
      <c r="AS519" s="87"/>
      <c r="AV519" s="85"/>
      <c r="AW519" s="93"/>
      <c r="AX519" s="94"/>
      <c r="AY519" s="90"/>
      <c r="BB519" s="91"/>
      <c r="BG519" s="33" t="s">
        <v>6053</v>
      </c>
    </row>
    <row r="520" spans="1:59" ht="15" customHeight="1">
      <c r="A520" s="33" t="s">
        <v>5970</v>
      </c>
      <c r="B520" s="33" t="s">
        <v>5993</v>
      </c>
      <c r="C520" s="33" t="s">
        <v>6214</v>
      </c>
      <c r="D520" s="34">
        <v>237</v>
      </c>
      <c r="E520" s="33">
        <v>1</v>
      </c>
      <c r="F520" s="33" t="s">
        <v>5971</v>
      </c>
      <c r="G520" s="33" t="s">
        <v>5994</v>
      </c>
      <c r="J520" s="33" t="s">
        <v>4473</v>
      </c>
      <c r="Z520" s="78">
        <v>5</v>
      </c>
      <c r="AF520" s="33" t="s">
        <v>6054</v>
      </c>
      <c r="AI520" s="33" t="s">
        <v>6055</v>
      </c>
      <c r="AL520" s="33" t="s">
        <v>4473</v>
      </c>
      <c r="AP520" s="83"/>
      <c r="AQ520" s="85"/>
      <c r="AR520" s="86"/>
      <c r="AS520" s="87"/>
      <c r="AV520" s="85"/>
      <c r="AW520" s="93"/>
      <c r="AX520" s="94"/>
      <c r="AY520" s="90"/>
      <c r="BB520" s="91"/>
      <c r="BG520" s="33" t="s">
        <v>6056</v>
      </c>
    </row>
    <row r="521" spans="1:59" ht="15" customHeight="1">
      <c r="A521" s="33" t="s">
        <v>5970</v>
      </c>
      <c r="B521" s="33" t="s">
        <v>5995</v>
      </c>
      <c r="C521" s="33" t="s">
        <v>6214</v>
      </c>
      <c r="D521" s="34">
        <v>238</v>
      </c>
      <c r="E521" s="33">
        <v>1</v>
      </c>
      <c r="F521" s="33" t="s">
        <v>5971</v>
      </c>
      <c r="G521" s="33" t="s">
        <v>5996</v>
      </c>
      <c r="J521" s="33" t="s">
        <v>4473</v>
      </c>
      <c r="Z521" s="78">
        <v>6</v>
      </c>
      <c r="AF521" s="33" t="s">
        <v>6054</v>
      </c>
      <c r="AI521" s="33" t="s">
        <v>6057</v>
      </c>
      <c r="AL521" s="33" t="s">
        <v>4473</v>
      </c>
      <c r="AP521" s="83"/>
      <c r="AQ521" s="85"/>
      <c r="AR521" s="86"/>
      <c r="AS521" s="87"/>
      <c r="AV521" s="85"/>
      <c r="AW521" s="93"/>
      <c r="AX521" s="94"/>
      <c r="AY521" s="90"/>
      <c r="BB521" s="91"/>
      <c r="BG521" s="33" t="s">
        <v>6058</v>
      </c>
    </row>
    <row r="522" spans="1:59" ht="15" customHeight="1">
      <c r="A522" s="33" t="s">
        <v>5970</v>
      </c>
      <c r="B522" s="33" t="s">
        <v>5997</v>
      </c>
      <c r="C522" s="33" t="s">
        <v>6214</v>
      </c>
      <c r="D522" s="34">
        <v>239</v>
      </c>
      <c r="E522" s="33">
        <v>1</v>
      </c>
      <c r="F522" s="33" t="s">
        <v>5971</v>
      </c>
      <c r="G522" s="33" t="s">
        <v>5998</v>
      </c>
      <c r="J522" s="33" t="s">
        <v>4473</v>
      </c>
      <c r="Z522" s="78">
        <v>7</v>
      </c>
      <c r="AF522" s="33" t="s">
        <v>6059</v>
      </c>
      <c r="AI522" s="33" t="s">
        <v>6060</v>
      </c>
      <c r="AL522" s="33" t="s">
        <v>4473</v>
      </c>
      <c r="AP522" s="83"/>
      <c r="AQ522" s="85"/>
      <c r="AR522" s="86"/>
      <c r="AS522" s="87"/>
      <c r="AV522" s="85"/>
      <c r="AW522" s="93"/>
      <c r="AX522" s="94"/>
      <c r="AY522" s="90"/>
      <c r="BB522" s="91"/>
      <c r="BG522" s="33" t="s">
        <v>5740</v>
      </c>
    </row>
    <row r="523" spans="1:59" ht="15" customHeight="1">
      <c r="A523" s="33" t="s">
        <v>5970</v>
      </c>
      <c r="B523" s="33" t="s">
        <v>5999</v>
      </c>
      <c r="C523" s="33" t="s">
        <v>6214</v>
      </c>
      <c r="D523" s="34">
        <v>240</v>
      </c>
      <c r="E523" s="33">
        <v>1</v>
      </c>
      <c r="F523" s="33" t="s">
        <v>5971</v>
      </c>
      <c r="G523" s="33" t="s">
        <v>6000</v>
      </c>
      <c r="J523" s="33" t="s">
        <v>4475</v>
      </c>
      <c r="Y523" s="76" t="s">
        <v>5551</v>
      </c>
      <c r="AF523" s="33" t="s">
        <v>6061</v>
      </c>
      <c r="AI523" s="33" t="s">
        <v>6062</v>
      </c>
      <c r="AL523" s="33" t="s">
        <v>4475</v>
      </c>
      <c r="AP523" s="83"/>
      <c r="AQ523" s="85"/>
      <c r="AR523" s="86"/>
      <c r="AS523" s="87"/>
      <c r="AV523" s="85"/>
      <c r="AW523" s="93"/>
      <c r="AX523" s="94"/>
      <c r="AY523" s="90"/>
      <c r="BB523" s="91"/>
      <c r="BG523" s="33" t="s">
        <v>6063</v>
      </c>
    </row>
    <row r="524" spans="1:59" ht="15" customHeight="1">
      <c r="A524" s="33" t="s">
        <v>5970</v>
      </c>
      <c r="B524" s="33" t="s">
        <v>6001</v>
      </c>
      <c r="C524" s="33" t="s">
        <v>6214</v>
      </c>
      <c r="D524" s="34">
        <v>241</v>
      </c>
      <c r="E524" s="33">
        <v>1</v>
      </c>
      <c r="F524" s="33" t="s">
        <v>5971</v>
      </c>
      <c r="G524" s="33" t="s">
        <v>6002</v>
      </c>
      <c r="J524" s="33" t="s">
        <v>4475</v>
      </c>
      <c r="Y524" s="76" t="s">
        <v>38</v>
      </c>
      <c r="AF524" s="33" t="s">
        <v>6064</v>
      </c>
      <c r="AI524" s="33" t="s">
        <v>6065</v>
      </c>
      <c r="AL524" s="33" t="s">
        <v>4475</v>
      </c>
      <c r="AP524" s="83"/>
      <c r="AQ524" s="85"/>
      <c r="AR524" s="86"/>
      <c r="AS524" s="87"/>
      <c r="AV524" s="85"/>
      <c r="AW524" s="93"/>
      <c r="AX524" s="94"/>
      <c r="AY524" s="90"/>
      <c r="BB524" s="91"/>
      <c r="BG524" s="33" t="s">
        <v>6066</v>
      </c>
    </row>
    <row r="525" spans="1:59" ht="15" customHeight="1">
      <c r="A525" s="33" t="s">
        <v>5970</v>
      </c>
      <c r="B525" s="33" t="s">
        <v>6003</v>
      </c>
      <c r="C525" s="33" t="s">
        <v>6214</v>
      </c>
      <c r="D525" s="34">
        <v>242</v>
      </c>
      <c r="E525" s="33">
        <v>1</v>
      </c>
      <c r="F525" s="33" t="s">
        <v>5971</v>
      </c>
      <c r="G525" s="33" t="s">
        <v>6004</v>
      </c>
      <c r="J525" s="33" t="s">
        <v>31</v>
      </c>
      <c r="AD525" s="33" t="s">
        <v>5867</v>
      </c>
      <c r="AI525" s="33" t="s">
        <v>6004</v>
      </c>
      <c r="AL525" s="33" t="s">
        <v>31</v>
      </c>
      <c r="AP525" s="83"/>
      <c r="AQ525" s="85"/>
      <c r="AR525" s="86"/>
      <c r="AS525" s="87"/>
      <c r="AV525" s="85"/>
      <c r="AW525" s="93"/>
      <c r="AX525" s="94"/>
      <c r="AY525" s="90">
        <v>3</v>
      </c>
      <c r="AZ525" s="76">
        <v>1</v>
      </c>
      <c r="BB525" s="91"/>
      <c r="BE525" s="33" t="s">
        <v>5867</v>
      </c>
      <c r="BG525" s="33" t="s">
        <v>6067</v>
      </c>
    </row>
    <row r="526" spans="1:59" ht="15" customHeight="1">
      <c r="A526" s="33" t="s">
        <v>5970</v>
      </c>
      <c r="B526" s="33" t="s">
        <v>6005</v>
      </c>
      <c r="C526" s="33" t="s">
        <v>6214</v>
      </c>
      <c r="D526" s="34">
        <v>243</v>
      </c>
      <c r="E526" s="33">
        <v>1</v>
      </c>
      <c r="F526" s="33" t="s">
        <v>5971</v>
      </c>
      <c r="G526" s="33" t="s">
        <v>6004</v>
      </c>
      <c r="J526" s="33" t="s">
        <v>31</v>
      </c>
      <c r="AD526" s="33" t="s">
        <v>5867</v>
      </c>
      <c r="AI526" s="33" t="s">
        <v>6004</v>
      </c>
      <c r="AL526" s="33" t="s">
        <v>31</v>
      </c>
      <c r="AP526" s="83"/>
      <c r="AQ526" s="85"/>
      <c r="AR526" s="86"/>
      <c r="AS526" s="87"/>
      <c r="AV526" s="85"/>
      <c r="AW526" s="93"/>
      <c r="AX526" s="94"/>
      <c r="AY526" s="90">
        <v>2</v>
      </c>
      <c r="AZ526" s="76">
        <v>3</v>
      </c>
      <c r="BB526" s="91"/>
      <c r="BE526" s="33" t="s">
        <v>5867</v>
      </c>
      <c r="BG526" s="33" t="s">
        <v>6068</v>
      </c>
    </row>
    <row r="527" spans="1:59" ht="15" customHeight="1">
      <c r="A527" s="33" t="s">
        <v>5970</v>
      </c>
      <c r="B527" s="33" t="s">
        <v>6006</v>
      </c>
      <c r="C527" s="33" t="s">
        <v>6214</v>
      </c>
      <c r="D527" s="34">
        <v>244</v>
      </c>
      <c r="E527" s="33">
        <v>1</v>
      </c>
      <c r="F527" s="33" t="s">
        <v>5971</v>
      </c>
      <c r="G527" s="33" t="s">
        <v>6007</v>
      </c>
      <c r="J527" s="33" t="s">
        <v>31</v>
      </c>
      <c r="AD527" s="33" t="s">
        <v>5867</v>
      </c>
      <c r="AI527" s="33" t="s">
        <v>6007</v>
      </c>
      <c r="AL527" s="33" t="s">
        <v>31</v>
      </c>
      <c r="AP527" s="83"/>
      <c r="AQ527" s="85"/>
      <c r="AR527" s="86"/>
      <c r="AS527" s="87"/>
      <c r="AV527" s="85"/>
      <c r="AW527" s="93"/>
      <c r="AX527" s="94"/>
      <c r="AY527" s="90">
        <v>3</v>
      </c>
      <c r="AZ527" s="76">
        <v>2</v>
      </c>
      <c r="BB527" s="91"/>
      <c r="BE527" s="33" t="s">
        <v>5867</v>
      </c>
      <c r="BG527" s="33" t="s">
        <v>6069</v>
      </c>
    </row>
    <row r="528" spans="1:59" ht="15" customHeight="1">
      <c r="A528" s="33" t="s">
        <v>5970</v>
      </c>
      <c r="B528" s="33" t="s">
        <v>6008</v>
      </c>
      <c r="C528" s="33" t="s">
        <v>6214</v>
      </c>
      <c r="D528" s="34">
        <v>245</v>
      </c>
      <c r="E528" s="33">
        <v>1</v>
      </c>
      <c r="F528" s="33" t="s">
        <v>5971</v>
      </c>
      <c r="G528" s="33" t="s">
        <v>6007</v>
      </c>
      <c r="J528" s="33" t="s">
        <v>31</v>
      </c>
      <c r="AD528" s="33" t="s">
        <v>5867</v>
      </c>
      <c r="AI528" s="33" t="s">
        <v>6007</v>
      </c>
      <c r="AL528" s="33" t="s">
        <v>31</v>
      </c>
      <c r="AP528" s="83"/>
      <c r="AQ528" s="85"/>
      <c r="AR528" s="86"/>
      <c r="AS528" s="87"/>
      <c r="AV528" s="85"/>
      <c r="AW528" s="93"/>
      <c r="AX528" s="94"/>
      <c r="AY528" s="90">
        <v>2</v>
      </c>
      <c r="AZ528" s="76">
        <v>0</v>
      </c>
      <c r="BB528" s="91"/>
      <c r="BE528" s="33" t="s">
        <v>5867</v>
      </c>
      <c r="BG528" s="33" t="s">
        <v>6070</v>
      </c>
    </row>
    <row r="529" spans="1:59" ht="15" customHeight="1">
      <c r="A529" s="33" t="s">
        <v>5970</v>
      </c>
      <c r="B529" s="33" t="s">
        <v>6009</v>
      </c>
      <c r="C529" s="33" t="s">
        <v>6214</v>
      </c>
      <c r="D529" s="34">
        <v>246</v>
      </c>
      <c r="E529" s="33">
        <v>1</v>
      </c>
      <c r="F529" s="33" t="s">
        <v>5971</v>
      </c>
      <c r="G529" s="33" t="s">
        <v>6010</v>
      </c>
      <c r="J529" s="33" t="s">
        <v>31</v>
      </c>
      <c r="AD529" s="33" t="s">
        <v>5867</v>
      </c>
      <c r="AI529" s="33" t="s">
        <v>6010</v>
      </c>
      <c r="AL529" s="33" t="s">
        <v>31</v>
      </c>
      <c r="AP529" s="83"/>
      <c r="AQ529" s="85"/>
      <c r="AR529" s="86"/>
      <c r="AS529" s="87"/>
      <c r="AV529" s="85"/>
      <c r="AW529" s="93"/>
      <c r="AX529" s="94"/>
      <c r="AY529" s="90">
        <v>3</v>
      </c>
      <c r="AZ529" s="76">
        <v>1</v>
      </c>
      <c r="BB529" s="91"/>
      <c r="BE529" s="33" t="s">
        <v>5867</v>
      </c>
      <c r="BG529" s="33" t="s">
        <v>6071</v>
      </c>
    </row>
    <row r="530" spans="1:59" ht="15" customHeight="1">
      <c r="A530" s="33" t="s">
        <v>5970</v>
      </c>
      <c r="B530" s="33" t="s">
        <v>6011</v>
      </c>
      <c r="C530" s="33" t="s">
        <v>6214</v>
      </c>
      <c r="D530" s="34">
        <v>247</v>
      </c>
      <c r="E530" s="33">
        <v>1</v>
      </c>
      <c r="F530" s="33" t="s">
        <v>5971</v>
      </c>
      <c r="G530" s="33" t="s">
        <v>6010</v>
      </c>
      <c r="J530" s="33" t="s">
        <v>31</v>
      </c>
      <c r="AD530" s="33" t="s">
        <v>5867</v>
      </c>
      <c r="AI530" s="33" t="s">
        <v>6010</v>
      </c>
      <c r="AL530" s="33" t="s">
        <v>31</v>
      </c>
      <c r="AP530" s="83"/>
      <c r="AQ530" s="85"/>
      <c r="AR530" s="86"/>
      <c r="AS530" s="87"/>
      <c r="AV530" s="85"/>
      <c r="AW530" s="93"/>
      <c r="AX530" s="94"/>
      <c r="AY530" s="90">
        <v>2</v>
      </c>
      <c r="AZ530" s="76">
        <v>3</v>
      </c>
      <c r="BB530" s="91"/>
      <c r="BE530" s="33" t="s">
        <v>5867</v>
      </c>
      <c r="BG530" s="33" t="s">
        <v>6072</v>
      </c>
    </row>
    <row r="531" spans="1:59" ht="15" customHeight="1">
      <c r="A531" s="33" t="s">
        <v>5970</v>
      </c>
      <c r="B531" s="33" t="s">
        <v>6012</v>
      </c>
      <c r="C531" s="33" t="s">
        <v>6214</v>
      </c>
      <c r="D531" s="34">
        <v>248</v>
      </c>
      <c r="E531" s="33">
        <v>1</v>
      </c>
      <c r="F531" s="33" t="s">
        <v>5971</v>
      </c>
      <c r="G531" s="33" t="s">
        <v>6013</v>
      </c>
      <c r="J531" s="33" t="s">
        <v>31</v>
      </c>
      <c r="AD531" s="33" t="s">
        <v>5867</v>
      </c>
      <c r="AI531" s="33" t="s">
        <v>6013</v>
      </c>
      <c r="AL531" s="33" t="s">
        <v>31</v>
      </c>
      <c r="AP531" s="83"/>
      <c r="AQ531" s="85"/>
      <c r="AR531" s="86"/>
      <c r="AS531" s="87"/>
      <c r="AV531" s="85"/>
      <c r="AW531" s="93"/>
      <c r="AX531" s="94"/>
      <c r="AY531" s="90">
        <v>4</v>
      </c>
      <c r="AZ531" s="76">
        <v>3</v>
      </c>
      <c r="BB531" s="91"/>
      <c r="BE531" s="33" t="s">
        <v>5867</v>
      </c>
      <c r="BG531" s="33" t="s">
        <v>6073</v>
      </c>
    </row>
    <row r="532" spans="1:59" ht="15" customHeight="1">
      <c r="A532" s="33" t="s">
        <v>5970</v>
      </c>
      <c r="B532" s="33" t="s">
        <v>6014</v>
      </c>
      <c r="C532" s="33" t="s">
        <v>6214</v>
      </c>
      <c r="D532" s="34">
        <v>249</v>
      </c>
      <c r="E532" s="33">
        <v>1</v>
      </c>
      <c r="F532" s="33" t="s">
        <v>5971</v>
      </c>
      <c r="G532" s="33" t="s">
        <v>6013</v>
      </c>
      <c r="J532" s="33" t="s">
        <v>31</v>
      </c>
      <c r="AD532" s="33" t="s">
        <v>5867</v>
      </c>
      <c r="AI532" s="33" t="s">
        <v>6013</v>
      </c>
      <c r="AL532" s="33" t="s">
        <v>31</v>
      </c>
      <c r="AP532" s="83"/>
      <c r="AQ532" s="85"/>
      <c r="AR532" s="86"/>
      <c r="AS532" s="87"/>
      <c r="AV532" s="85"/>
      <c r="AW532" s="93"/>
      <c r="AX532" s="94"/>
      <c r="AY532" s="90">
        <v>3</v>
      </c>
      <c r="AZ532" s="76">
        <v>2</v>
      </c>
      <c r="BB532" s="91"/>
      <c r="BE532" s="33" t="s">
        <v>5867</v>
      </c>
      <c r="BG532" s="33" t="s">
        <v>6074</v>
      </c>
    </row>
    <row r="533" spans="1:59" ht="15" customHeight="1">
      <c r="A533" s="33" t="s">
        <v>5970</v>
      </c>
      <c r="B533" s="33" t="s">
        <v>6015</v>
      </c>
      <c r="C533" s="33" t="s">
        <v>6214</v>
      </c>
      <c r="D533" s="34">
        <v>250</v>
      </c>
      <c r="E533" s="33">
        <v>1</v>
      </c>
      <c r="F533" s="33" t="s">
        <v>5971</v>
      </c>
      <c r="G533" s="33" t="s">
        <v>6016</v>
      </c>
      <c r="J533" s="33" t="s">
        <v>31</v>
      </c>
      <c r="AD533" s="33" t="s">
        <v>5867</v>
      </c>
      <c r="AI533" s="33" t="s">
        <v>6016</v>
      </c>
      <c r="AL533" s="33" t="s">
        <v>31</v>
      </c>
      <c r="AP533" s="83"/>
      <c r="AQ533" s="85"/>
      <c r="AR533" s="86"/>
      <c r="AS533" s="87"/>
      <c r="AV533" s="85"/>
      <c r="AW533" s="93"/>
      <c r="AX533" s="94"/>
      <c r="AY533" s="90">
        <v>3</v>
      </c>
      <c r="AZ533" s="76" t="s">
        <v>5551</v>
      </c>
      <c r="BB533" s="91"/>
      <c r="BE533" s="33" t="s">
        <v>5867</v>
      </c>
      <c r="BG533" s="33" t="s">
        <v>6075</v>
      </c>
    </row>
    <row r="534" spans="1:59" ht="15" customHeight="1">
      <c r="A534" s="33" t="s">
        <v>5970</v>
      </c>
      <c r="B534" s="33" t="s">
        <v>6017</v>
      </c>
      <c r="C534" s="33" t="s">
        <v>6214</v>
      </c>
      <c r="D534" s="34">
        <v>251</v>
      </c>
      <c r="E534" s="33">
        <v>1</v>
      </c>
      <c r="F534" s="33" t="s">
        <v>5971</v>
      </c>
      <c r="G534" s="33" t="s">
        <v>6016</v>
      </c>
      <c r="J534" s="33" t="s">
        <v>31</v>
      </c>
      <c r="AD534" s="33" t="s">
        <v>5867</v>
      </c>
      <c r="AI534" s="33" t="s">
        <v>6016</v>
      </c>
      <c r="AL534" s="33" t="s">
        <v>31</v>
      </c>
      <c r="AP534" s="83"/>
      <c r="AQ534" s="85"/>
      <c r="AR534" s="86"/>
      <c r="AS534" s="87"/>
      <c r="AV534" s="85"/>
      <c r="AW534" s="93"/>
      <c r="AX534" s="94"/>
      <c r="AY534" s="90">
        <v>2</v>
      </c>
      <c r="AZ534" s="76" t="s">
        <v>5551</v>
      </c>
      <c r="BB534" s="91"/>
      <c r="BE534" s="33" t="s">
        <v>5867</v>
      </c>
      <c r="BG534" s="33" t="s">
        <v>6076</v>
      </c>
    </row>
    <row r="535" spans="1:59" ht="15" customHeight="1">
      <c r="A535" s="33" t="s">
        <v>5970</v>
      </c>
      <c r="B535" s="33" t="s">
        <v>6018</v>
      </c>
      <c r="C535" s="33" t="s">
        <v>6214</v>
      </c>
      <c r="D535" s="34">
        <v>252</v>
      </c>
      <c r="E535" s="33">
        <v>1</v>
      </c>
      <c r="F535" s="33" t="s">
        <v>5971</v>
      </c>
      <c r="G535" s="33" t="s">
        <v>6019</v>
      </c>
      <c r="J535" s="33" t="s">
        <v>31</v>
      </c>
      <c r="AD535" s="33" t="s">
        <v>5867</v>
      </c>
      <c r="AI535" s="33" t="s">
        <v>6019</v>
      </c>
      <c r="AL535" s="33" t="s">
        <v>31</v>
      </c>
      <c r="AP535" s="83"/>
      <c r="AQ535" s="85"/>
      <c r="AR535" s="86"/>
      <c r="AS535" s="87"/>
      <c r="AV535" s="85"/>
      <c r="AW535" s="93"/>
      <c r="AX535" s="94"/>
      <c r="AY535" s="90">
        <v>1</v>
      </c>
      <c r="AZ535" s="76">
        <v>2</v>
      </c>
      <c r="BB535" s="91"/>
      <c r="BE535" s="33" t="s">
        <v>5867</v>
      </c>
      <c r="BG535" s="33" t="s">
        <v>6077</v>
      </c>
    </row>
    <row r="536" spans="1:59" ht="15" customHeight="1">
      <c r="A536" s="33" t="s">
        <v>5970</v>
      </c>
      <c r="B536" s="33" t="s">
        <v>6020</v>
      </c>
      <c r="C536" s="33" t="s">
        <v>6214</v>
      </c>
      <c r="D536" s="34">
        <v>253</v>
      </c>
      <c r="E536" s="33">
        <v>1</v>
      </c>
      <c r="F536" s="33" t="s">
        <v>5971</v>
      </c>
      <c r="G536" s="33" t="s">
        <v>6019</v>
      </c>
      <c r="J536" s="33" t="s">
        <v>31</v>
      </c>
      <c r="AD536" s="33" t="s">
        <v>5867</v>
      </c>
      <c r="AI536" s="33" t="s">
        <v>6019</v>
      </c>
      <c r="AL536" s="33" t="s">
        <v>31</v>
      </c>
      <c r="AP536" s="83"/>
      <c r="AQ536" s="85"/>
      <c r="AR536" s="86"/>
      <c r="AS536" s="87"/>
      <c r="AV536" s="85"/>
      <c r="AW536" s="93"/>
      <c r="AX536" s="94"/>
      <c r="AY536" s="90">
        <v>2</v>
      </c>
      <c r="AZ536" s="76" t="s">
        <v>4925</v>
      </c>
      <c r="BB536" s="91"/>
      <c r="BE536" s="33" t="s">
        <v>5867</v>
      </c>
      <c r="BG536" s="33" t="s">
        <v>6078</v>
      </c>
    </row>
    <row r="537" spans="1:59" ht="15" customHeight="1">
      <c r="A537" s="33" t="s">
        <v>5970</v>
      </c>
      <c r="B537" s="33" t="s">
        <v>6021</v>
      </c>
      <c r="C537" s="33" t="s">
        <v>6214</v>
      </c>
      <c r="D537" s="34">
        <v>254</v>
      </c>
      <c r="E537" s="33">
        <v>1</v>
      </c>
      <c r="F537" s="33" t="s">
        <v>5971</v>
      </c>
      <c r="G537" s="33" t="s">
        <v>6022</v>
      </c>
      <c r="J537" s="33" t="s">
        <v>4111</v>
      </c>
      <c r="K537" s="33" t="s">
        <v>26</v>
      </c>
      <c r="N537" s="72">
        <v>0</v>
      </c>
      <c r="AD537" s="33" t="s">
        <v>4133</v>
      </c>
      <c r="AF537" s="33" t="s">
        <v>6079</v>
      </c>
      <c r="AP537" s="83"/>
      <c r="AQ537" s="85"/>
      <c r="AR537" s="86"/>
      <c r="AS537" s="87"/>
      <c r="AV537" s="85"/>
      <c r="AW537" s="93"/>
      <c r="AX537" s="94"/>
      <c r="AY537" s="90"/>
      <c r="BB537" s="91"/>
    </row>
    <row r="538" spans="1:59" ht="15" customHeight="1">
      <c r="A538" s="33" t="s">
        <v>5970</v>
      </c>
      <c r="B538" s="33" t="s">
        <v>6023</v>
      </c>
      <c r="C538" s="33" t="s">
        <v>6214</v>
      </c>
      <c r="D538" s="34">
        <v>255</v>
      </c>
      <c r="E538" s="33">
        <v>5</v>
      </c>
      <c r="F538" s="33" t="s">
        <v>5971</v>
      </c>
      <c r="G538" s="33" t="s">
        <v>6024</v>
      </c>
      <c r="J538" s="33" t="s">
        <v>29</v>
      </c>
      <c r="Q538" s="75">
        <v>6</v>
      </c>
      <c r="R538" s="76">
        <v>3</v>
      </c>
      <c r="T538" s="78">
        <v>1</v>
      </c>
      <c r="V538" s="79">
        <v>2</v>
      </c>
      <c r="W538" s="80">
        <v>2</v>
      </c>
      <c r="AA538" s="82">
        <v>1</v>
      </c>
      <c r="AD538" s="33" t="s">
        <v>5545</v>
      </c>
      <c r="AF538" s="33" t="s">
        <v>6080</v>
      </c>
      <c r="AP538" s="83"/>
      <c r="AQ538" s="85"/>
      <c r="AR538" s="86"/>
      <c r="AS538" s="87"/>
      <c r="AV538" s="85"/>
      <c r="AW538" s="93"/>
      <c r="AX538" s="94"/>
      <c r="AY538" s="90"/>
      <c r="BB538" s="91"/>
    </row>
    <row r="539" spans="1:59" ht="15" customHeight="1">
      <c r="A539" s="33" t="s">
        <v>5970</v>
      </c>
      <c r="B539" s="33" t="s">
        <v>6025</v>
      </c>
      <c r="C539" s="33" t="s">
        <v>6214</v>
      </c>
      <c r="D539" s="34">
        <v>256</v>
      </c>
      <c r="E539" s="33">
        <v>4</v>
      </c>
      <c r="F539" s="33" t="s">
        <v>5971</v>
      </c>
      <c r="G539" s="33" t="s">
        <v>6026</v>
      </c>
      <c r="J539" s="33" t="s">
        <v>28</v>
      </c>
      <c r="AF539" s="33" t="s">
        <v>6081</v>
      </c>
      <c r="AP539" s="83"/>
      <c r="AQ539" s="85"/>
      <c r="AR539" s="86"/>
      <c r="AS539" s="87"/>
      <c r="AV539" s="85"/>
      <c r="AW539" s="93"/>
      <c r="AX539" s="94"/>
      <c r="AY539" s="90"/>
      <c r="BB539" s="91"/>
    </row>
    <row r="540" spans="1:59" ht="15" customHeight="1">
      <c r="A540" s="33" t="s">
        <v>5970</v>
      </c>
      <c r="B540" s="33" t="s">
        <v>6027</v>
      </c>
      <c r="C540" s="33" t="s">
        <v>6214</v>
      </c>
      <c r="D540" s="34">
        <v>257</v>
      </c>
      <c r="E540" s="33">
        <v>3</v>
      </c>
      <c r="F540" s="33" t="s">
        <v>5971</v>
      </c>
      <c r="G540" s="33" t="s">
        <v>6028</v>
      </c>
      <c r="J540" s="33" t="s">
        <v>28</v>
      </c>
      <c r="AD540" s="33" t="s">
        <v>4333</v>
      </c>
      <c r="AF540" s="33" t="s">
        <v>6082</v>
      </c>
      <c r="AP540" s="83"/>
      <c r="AQ540" s="85"/>
      <c r="AR540" s="86"/>
      <c r="AS540" s="87"/>
      <c r="AV540" s="85"/>
      <c r="AW540" s="93"/>
      <c r="AX540" s="94"/>
      <c r="AY540" s="90"/>
      <c r="BB540" s="91"/>
    </row>
    <row r="541" spans="1:59" ht="15" customHeight="1">
      <c r="A541" s="33" t="s">
        <v>5970</v>
      </c>
      <c r="B541" s="33" t="s">
        <v>6029</v>
      </c>
      <c r="C541" s="33" t="s">
        <v>6214</v>
      </c>
      <c r="D541" s="34">
        <v>258</v>
      </c>
      <c r="E541" s="33">
        <v>2</v>
      </c>
      <c r="F541" s="33" t="s">
        <v>5971</v>
      </c>
      <c r="G541" s="33" t="s">
        <v>6030</v>
      </c>
      <c r="J541" s="33" t="s">
        <v>28</v>
      </c>
      <c r="AF541" s="33" t="s">
        <v>6083</v>
      </c>
      <c r="AP541" s="83"/>
      <c r="AQ541" s="85"/>
      <c r="AR541" s="86"/>
      <c r="AS541" s="87"/>
      <c r="AV541" s="85"/>
      <c r="AW541" s="93"/>
      <c r="AX541" s="94"/>
      <c r="AY541" s="90"/>
      <c r="BB541" s="91"/>
    </row>
    <row r="542" spans="1:59" ht="15" customHeight="1">
      <c r="A542" s="33" t="s">
        <v>5970</v>
      </c>
      <c r="B542" s="33" t="s">
        <v>6031</v>
      </c>
      <c r="C542" s="33" t="s">
        <v>6214</v>
      </c>
      <c r="D542" s="34">
        <v>259</v>
      </c>
      <c r="E542" s="33">
        <v>2</v>
      </c>
      <c r="F542" s="33" t="s">
        <v>5971</v>
      </c>
      <c r="G542" s="33" t="s">
        <v>6032</v>
      </c>
      <c r="J542" s="33" t="s">
        <v>28</v>
      </c>
      <c r="AD542" s="33" t="s">
        <v>4335</v>
      </c>
      <c r="AF542" s="33" t="s">
        <v>6084</v>
      </c>
      <c r="AP542" s="83"/>
      <c r="AQ542" s="85"/>
      <c r="AR542" s="86"/>
      <c r="AS542" s="87"/>
      <c r="AV542" s="85"/>
      <c r="AW542" s="93"/>
      <c r="AX542" s="94"/>
      <c r="AY542" s="90"/>
      <c r="BB542" s="91"/>
    </row>
    <row r="543" spans="1:59" ht="15" customHeight="1">
      <c r="A543" s="51" t="s">
        <v>6085</v>
      </c>
      <c r="B543" s="51" t="s">
        <v>6088</v>
      </c>
      <c r="C543" s="51" t="s">
        <v>6215</v>
      </c>
      <c r="D543" s="126">
        <v>260</v>
      </c>
      <c r="E543" s="51">
        <v>2</v>
      </c>
      <c r="F543" s="51"/>
      <c r="G543" s="51" t="s">
        <v>6089</v>
      </c>
      <c r="J543" s="33" t="s">
        <v>4166</v>
      </c>
      <c r="K543" s="33" t="s">
        <v>4052</v>
      </c>
      <c r="L543" s="33">
        <v>0</v>
      </c>
      <c r="S543" s="123">
        <v>1</v>
      </c>
      <c r="AB543" s="33" t="s">
        <v>4062</v>
      </c>
      <c r="AD543" s="33" t="s">
        <v>4167</v>
      </c>
      <c r="AF543" s="33" t="s">
        <v>6163</v>
      </c>
      <c r="AP543" s="83"/>
      <c r="AQ543" s="85"/>
      <c r="AR543" s="86"/>
      <c r="AS543" s="87"/>
      <c r="AV543" s="85"/>
      <c r="AW543" s="93"/>
      <c r="AX543" s="94"/>
      <c r="AY543" s="90"/>
      <c r="BB543" s="91"/>
    </row>
    <row r="544" spans="1:59" ht="15" customHeight="1">
      <c r="A544" s="33" t="s">
        <v>6085</v>
      </c>
      <c r="B544" s="33" t="s">
        <v>6090</v>
      </c>
      <c r="C544" s="33" t="s">
        <v>6215</v>
      </c>
      <c r="D544" s="34">
        <v>261</v>
      </c>
      <c r="E544" s="33">
        <v>2</v>
      </c>
      <c r="G544" s="33" t="s">
        <v>6091</v>
      </c>
      <c r="J544" s="33" t="s">
        <v>27</v>
      </c>
      <c r="K544" s="33" t="s">
        <v>4052</v>
      </c>
      <c r="L544" s="33">
        <v>4</v>
      </c>
      <c r="N544" s="72">
        <v>0</v>
      </c>
      <c r="O544" s="73">
        <v>2</v>
      </c>
      <c r="R544" s="76">
        <v>1</v>
      </c>
      <c r="AB544" s="33" t="s">
        <v>6164</v>
      </c>
      <c r="AD544" s="33" t="s">
        <v>5659</v>
      </c>
      <c r="AF544" s="127" t="s">
        <v>6216</v>
      </c>
      <c r="AP544" s="83"/>
      <c r="AQ544" s="85"/>
      <c r="AR544" s="86"/>
      <c r="AS544" s="87"/>
      <c r="AV544" s="85"/>
      <c r="AW544" s="93"/>
      <c r="AX544" s="94"/>
      <c r="AY544" s="90"/>
      <c r="BB544" s="91"/>
    </row>
    <row r="545" spans="1:59" ht="15" customHeight="1">
      <c r="A545" s="33" t="s">
        <v>6085</v>
      </c>
      <c r="B545" s="33" t="s">
        <v>6092</v>
      </c>
      <c r="C545" s="33" t="s">
        <v>6215</v>
      </c>
      <c r="D545" s="34">
        <v>262</v>
      </c>
      <c r="E545" s="33">
        <v>2</v>
      </c>
      <c r="G545" s="33" t="s">
        <v>5250</v>
      </c>
      <c r="H545" s="33" t="s">
        <v>6165</v>
      </c>
      <c r="J545" s="33" t="s">
        <v>4111</v>
      </c>
      <c r="K545" s="33" t="s">
        <v>4053</v>
      </c>
      <c r="L545" s="33">
        <v>4</v>
      </c>
      <c r="N545" s="72">
        <v>1</v>
      </c>
      <c r="O545" s="73">
        <v>2</v>
      </c>
      <c r="AB545" s="33" t="s">
        <v>4948</v>
      </c>
      <c r="AD545" s="33" t="s">
        <v>5252</v>
      </c>
      <c r="AF545" s="33" t="s">
        <v>6217</v>
      </c>
      <c r="AP545" s="83"/>
      <c r="AQ545" s="85"/>
      <c r="AR545" s="86"/>
      <c r="AS545" s="87"/>
      <c r="AV545" s="85"/>
      <c r="AW545" s="93"/>
      <c r="AX545" s="94"/>
      <c r="AY545" s="90"/>
      <c r="BB545" s="91"/>
    </row>
    <row r="546" spans="1:59" ht="15" customHeight="1">
      <c r="A546" s="33" t="s">
        <v>6085</v>
      </c>
      <c r="B546" s="33" t="s">
        <v>6093</v>
      </c>
      <c r="C546" s="33" t="s">
        <v>6215</v>
      </c>
      <c r="D546" s="34">
        <v>263</v>
      </c>
      <c r="E546" s="33">
        <v>2</v>
      </c>
      <c r="G546" s="33" t="s">
        <v>5250</v>
      </c>
      <c r="H546" s="33" t="s">
        <v>6166</v>
      </c>
      <c r="J546" s="33" t="s">
        <v>4111</v>
      </c>
      <c r="K546" s="33" t="s">
        <v>4053</v>
      </c>
      <c r="L546" s="33">
        <v>4</v>
      </c>
      <c r="N546" s="72">
        <v>1</v>
      </c>
      <c r="Q546" s="75">
        <v>2</v>
      </c>
      <c r="AB546" s="33" t="s">
        <v>4942</v>
      </c>
      <c r="AD546" s="33" t="s">
        <v>5252</v>
      </c>
      <c r="AF546" s="33" t="s">
        <v>6218</v>
      </c>
      <c r="AP546" s="83"/>
      <c r="AQ546" s="85"/>
      <c r="AR546" s="86"/>
      <c r="AS546" s="87"/>
      <c r="AV546" s="85"/>
      <c r="AW546" s="93"/>
      <c r="AX546" s="94"/>
      <c r="AY546" s="90"/>
      <c r="BB546" s="91"/>
    </row>
    <row r="547" spans="1:59" ht="15" customHeight="1">
      <c r="A547" s="33" t="s">
        <v>6085</v>
      </c>
      <c r="B547" s="33" t="s">
        <v>6094</v>
      </c>
      <c r="C547" s="33" t="s">
        <v>6215</v>
      </c>
      <c r="D547" s="34">
        <v>264</v>
      </c>
      <c r="E547" s="33">
        <v>2</v>
      </c>
      <c r="G547" s="33" t="s">
        <v>5250</v>
      </c>
      <c r="H547" s="33" t="s">
        <v>6167</v>
      </c>
      <c r="J547" s="33" t="s">
        <v>4111</v>
      </c>
      <c r="K547" s="33" t="s">
        <v>4053</v>
      </c>
      <c r="L547" s="33">
        <v>4</v>
      </c>
      <c r="N547" s="72">
        <v>1</v>
      </c>
      <c r="R547" s="76">
        <v>2</v>
      </c>
      <c r="AB547" s="33" t="s">
        <v>4949</v>
      </c>
      <c r="AD547" s="33" t="s">
        <v>5252</v>
      </c>
      <c r="AF547" s="33" t="s">
        <v>6219</v>
      </c>
      <c r="AP547" s="83"/>
      <c r="AQ547" s="85"/>
      <c r="AR547" s="86"/>
      <c r="AS547" s="87"/>
      <c r="AV547" s="85"/>
      <c r="AW547" s="93"/>
      <c r="AX547" s="94"/>
      <c r="AY547" s="90"/>
      <c r="BB547" s="91"/>
    </row>
    <row r="548" spans="1:59" ht="15" customHeight="1">
      <c r="A548" s="33" t="s">
        <v>6085</v>
      </c>
      <c r="B548" s="33" t="s">
        <v>6095</v>
      </c>
      <c r="C548" s="33" t="s">
        <v>6215</v>
      </c>
      <c r="D548" s="34">
        <v>265</v>
      </c>
      <c r="E548" s="33">
        <v>2</v>
      </c>
      <c r="G548" s="33" t="s">
        <v>6096</v>
      </c>
      <c r="H548" s="33" t="s">
        <v>6168</v>
      </c>
      <c r="I548" s="33" t="s">
        <v>4077</v>
      </c>
      <c r="J548" s="33" t="s">
        <v>4111</v>
      </c>
      <c r="K548" s="33" t="s">
        <v>4055</v>
      </c>
      <c r="L548" s="33">
        <v>0</v>
      </c>
      <c r="N548" s="72">
        <v>4</v>
      </c>
      <c r="P548" s="74">
        <v>1</v>
      </c>
      <c r="R548" s="76">
        <v>1</v>
      </c>
      <c r="T548" s="78">
        <v>3</v>
      </c>
      <c r="U548" s="73">
        <v>2</v>
      </c>
      <c r="AB548" s="33" t="s">
        <v>6169</v>
      </c>
      <c r="AD548" s="33" t="s">
        <v>4216</v>
      </c>
      <c r="AF548" s="33" t="s">
        <v>6170</v>
      </c>
      <c r="AP548" s="83"/>
      <c r="AQ548" s="85"/>
      <c r="AR548" s="86"/>
      <c r="AS548" s="87"/>
      <c r="AV548" s="85"/>
      <c r="AW548" s="93"/>
      <c r="AX548" s="94"/>
      <c r="AY548" s="90"/>
      <c r="BB548" s="91"/>
    </row>
    <row r="549" spans="1:59" ht="15" customHeight="1">
      <c r="A549" s="33" t="s">
        <v>6085</v>
      </c>
      <c r="B549" s="33" t="s">
        <v>6097</v>
      </c>
      <c r="C549" s="33" t="s">
        <v>6215</v>
      </c>
      <c r="D549" s="34">
        <v>266</v>
      </c>
      <c r="E549" s="33">
        <v>2</v>
      </c>
      <c r="G549" s="33" t="s">
        <v>6098</v>
      </c>
      <c r="J549" s="33" t="s">
        <v>27</v>
      </c>
      <c r="K549" s="33" t="s">
        <v>4055</v>
      </c>
      <c r="L549" s="33">
        <v>3</v>
      </c>
      <c r="N549" s="72">
        <v>0</v>
      </c>
      <c r="AD549" s="33" t="s">
        <v>5266</v>
      </c>
      <c r="AF549" s="33" t="s">
        <v>6220</v>
      </c>
      <c r="AP549" s="83"/>
      <c r="AQ549" s="85"/>
      <c r="AR549" s="86"/>
      <c r="AS549" s="87"/>
      <c r="AV549" s="85"/>
      <c r="AW549" s="93"/>
      <c r="AX549" s="94"/>
      <c r="AY549" s="90"/>
      <c r="BB549" s="91"/>
    </row>
    <row r="550" spans="1:59" ht="15" customHeight="1">
      <c r="A550" s="33" t="s">
        <v>6085</v>
      </c>
      <c r="B550" s="33" t="s">
        <v>6099</v>
      </c>
      <c r="C550" s="33" t="s">
        <v>6215</v>
      </c>
      <c r="D550" s="34">
        <v>267</v>
      </c>
      <c r="E550" s="33">
        <v>2</v>
      </c>
      <c r="G550" s="33" t="s">
        <v>6100</v>
      </c>
      <c r="J550" s="33" t="s">
        <v>27</v>
      </c>
      <c r="K550" s="33" t="s">
        <v>4054</v>
      </c>
      <c r="L550" s="33">
        <v>0</v>
      </c>
      <c r="N550" s="72">
        <v>0</v>
      </c>
      <c r="P550" s="74">
        <v>1</v>
      </c>
      <c r="R550" s="76">
        <v>1</v>
      </c>
      <c r="AB550" s="33" t="s">
        <v>6169</v>
      </c>
      <c r="AD550" s="33" t="s">
        <v>6171</v>
      </c>
      <c r="AF550" s="33" t="s">
        <v>6172</v>
      </c>
      <c r="AP550" s="83"/>
      <c r="AQ550" s="85"/>
      <c r="AR550" s="86"/>
      <c r="AS550" s="87"/>
      <c r="AV550" s="85"/>
      <c r="AW550" s="93"/>
      <c r="AX550" s="94"/>
      <c r="AY550" s="90"/>
      <c r="BB550" s="91"/>
    </row>
    <row r="551" spans="1:59" ht="15" customHeight="1">
      <c r="A551" s="33" t="s">
        <v>6085</v>
      </c>
      <c r="B551" s="33" t="s">
        <v>6101</v>
      </c>
      <c r="C551" s="33" t="s">
        <v>6215</v>
      </c>
      <c r="D551" s="34">
        <v>268</v>
      </c>
      <c r="E551" s="33">
        <v>2</v>
      </c>
      <c r="G551" s="33" t="s">
        <v>4532</v>
      </c>
      <c r="J551" s="33" t="s">
        <v>4166</v>
      </c>
      <c r="K551" s="33" t="s">
        <v>4054</v>
      </c>
      <c r="L551" s="33">
        <v>2</v>
      </c>
      <c r="O551" s="73">
        <v>2</v>
      </c>
      <c r="AB551" s="33" t="s">
        <v>4948</v>
      </c>
      <c r="AD551" s="33" t="s">
        <v>6044</v>
      </c>
      <c r="AF551" s="33" t="s">
        <v>6173</v>
      </c>
      <c r="AP551" s="83"/>
      <c r="AQ551" s="85"/>
      <c r="AR551" s="86"/>
      <c r="AS551" s="87"/>
      <c r="AV551" s="85"/>
      <c r="AW551" s="93"/>
      <c r="AX551" s="94"/>
      <c r="AY551" s="90"/>
      <c r="BB551" s="91"/>
    </row>
    <row r="552" spans="1:59" ht="15" customHeight="1">
      <c r="A552" s="33" t="s">
        <v>6085</v>
      </c>
      <c r="B552" s="33" t="s">
        <v>6102</v>
      </c>
      <c r="C552" s="33" t="s">
        <v>6215</v>
      </c>
      <c r="D552" s="34">
        <v>269</v>
      </c>
      <c r="E552" s="33">
        <v>2</v>
      </c>
      <c r="G552" s="33" t="s">
        <v>6103</v>
      </c>
      <c r="H552" s="33" t="s">
        <v>6174</v>
      </c>
      <c r="I552" s="33" t="s">
        <v>4077</v>
      </c>
      <c r="J552" s="33" t="s">
        <v>4111</v>
      </c>
      <c r="K552" s="33" t="s">
        <v>4054</v>
      </c>
      <c r="L552" s="33">
        <v>3</v>
      </c>
      <c r="N552" s="72">
        <v>3</v>
      </c>
      <c r="S552" s="123">
        <v>1</v>
      </c>
      <c r="AB552" s="33" t="s">
        <v>4062</v>
      </c>
      <c r="AC552" s="33" t="s">
        <v>4129</v>
      </c>
      <c r="AD552" s="33" t="s">
        <v>4130</v>
      </c>
      <c r="AF552" s="33" t="s">
        <v>6175</v>
      </c>
      <c r="AP552" s="83"/>
      <c r="AQ552" s="85"/>
      <c r="AR552" s="86"/>
      <c r="AS552" s="87"/>
      <c r="AV552" s="85"/>
      <c r="AW552" s="93"/>
      <c r="AX552" s="94"/>
      <c r="AY552" s="90"/>
      <c r="BB552" s="91"/>
    </row>
    <row r="553" spans="1:59" ht="15" customHeight="1">
      <c r="A553" s="33" t="s">
        <v>6085</v>
      </c>
      <c r="B553" s="33" t="s">
        <v>6104</v>
      </c>
      <c r="C553" s="33" t="s">
        <v>6215</v>
      </c>
      <c r="D553" s="34">
        <v>270</v>
      </c>
      <c r="E553" s="33">
        <v>2</v>
      </c>
      <c r="G553" s="33" t="s">
        <v>6105</v>
      </c>
      <c r="J553" s="33" t="s">
        <v>27</v>
      </c>
      <c r="K553" s="33" t="s">
        <v>4056</v>
      </c>
      <c r="L553" s="33">
        <v>0</v>
      </c>
      <c r="N553" s="72">
        <v>1</v>
      </c>
      <c r="O553" s="73">
        <v>1</v>
      </c>
      <c r="P553" s="74">
        <v>1</v>
      </c>
      <c r="AB553" s="33" t="s">
        <v>6176</v>
      </c>
      <c r="AD553" s="33" t="s">
        <v>4226</v>
      </c>
      <c r="AF553" s="33" t="s">
        <v>6177</v>
      </c>
      <c r="AP553" s="83"/>
      <c r="AQ553" s="85"/>
      <c r="AR553" s="86"/>
      <c r="AS553" s="87"/>
      <c r="AV553" s="85"/>
      <c r="AW553" s="93"/>
      <c r="AX553" s="94"/>
      <c r="AY553" s="90"/>
      <c r="BB553" s="91"/>
    </row>
    <row r="554" spans="1:59" ht="15" customHeight="1">
      <c r="A554" s="33" t="s">
        <v>6085</v>
      </c>
      <c r="B554" s="33" t="s">
        <v>6106</v>
      </c>
      <c r="C554" s="33" t="s">
        <v>6215</v>
      </c>
      <c r="D554" s="34">
        <v>271</v>
      </c>
      <c r="E554" s="33">
        <v>2</v>
      </c>
      <c r="G554" s="33" t="s">
        <v>6107</v>
      </c>
      <c r="J554" s="33" t="s">
        <v>4166</v>
      </c>
      <c r="K554" s="33" t="s">
        <v>4056</v>
      </c>
      <c r="L554" s="33">
        <v>2</v>
      </c>
      <c r="S554" s="123">
        <v>1</v>
      </c>
      <c r="AB554" s="33" t="s">
        <v>4062</v>
      </c>
      <c r="AD554" s="33" t="s">
        <v>6178</v>
      </c>
      <c r="AF554" s="33" t="s">
        <v>6221</v>
      </c>
      <c r="AP554" s="83"/>
      <c r="AQ554" s="85"/>
      <c r="AR554" s="86"/>
      <c r="AS554" s="87"/>
      <c r="AV554" s="85"/>
      <c r="AW554" s="93"/>
      <c r="AX554" s="94"/>
      <c r="AY554" s="90"/>
      <c r="BB554" s="91"/>
    </row>
    <row r="555" spans="1:59" ht="15" customHeight="1">
      <c r="A555" s="33" t="s">
        <v>6085</v>
      </c>
      <c r="B555" s="33" t="s">
        <v>6108</v>
      </c>
      <c r="C555" s="33" t="s">
        <v>6215</v>
      </c>
      <c r="D555" s="34">
        <v>272</v>
      </c>
      <c r="E555" s="33">
        <v>2</v>
      </c>
      <c r="G555" s="33" t="s">
        <v>6109</v>
      </c>
      <c r="J555" s="33" t="s">
        <v>4111</v>
      </c>
      <c r="K555" s="33" t="s">
        <v>26</v>
      </c>
      <c r="L555" s="33">
        <v>0</v>
      </c>
      <c r="N555" s="72">
        <v>1</v>
      </c>
      <c r="R555" s="76">
        <v>1</v>
      </c>
      <c r="T555" s="78">
        <v>1</v>
      </c>
      <c r="U555" s="73">
        <v>1</v>
      </c>
      <c r="AB555" s="33" t="s">
        <v>4061</v>
      </c>
      <c r="AC555" s="33" t="s">
        <v>4247</v>
      </c>
      <c r="AD555" s="33" t="s">
        <v>6179</v>
      </c>
      <c r="AF555" s="33" t="s">
        <v>6180</v>
      </c>
      <c r="AP555" s="83"/>
      <c r="AQ555" s="85"/>
      <c r="AR555" s="86"/>
      <c r="AS555" s="87"/>
      <c r="AV555" s="85"/>
      <c r="AW555" s="93"/>
      <c r="AX555" s="94"/>
      <c r="AY555" s="90"/>
      <c r="BB555" s="91"/>
    </row>
    <row r="556" spans="1:59" ht="15" customHeight="1">
      <c r="A556" s="33" t="s">
        <v>6085</v>
      </c>
      <c r="B556" s="33" t="s">
        <v>6110</v>
      </c>
      <c r="C556" s="33" t="s">
        <v>6215</v>
      </c>
      <c r="D556" s="34">
        <v>273</v>
      </c>
      <c r="E556" s="33">
        <v>2</v>
      </c>
      <c r="G556" s="33" t="s">
        <v>6111</v>
      </c>
      <c r="J556" s="33" t="s">
        <v>27</v>
      </c>
      <c r="K556" s="33" t="s">
        <v>26</v>
      </c>
      <c r="L556" s="33">
        <v>3</v>
      </c>
      <c r="N556" s="72">
        <v>3</v>
      </c>
      <c r="O556" s="73">
        <v>2</v>
      </c>
      <c r="AB556" s="33" t="s">
        <v>4948</v>
      </c>
      <c r="AD556" s="33" t="s">
        <v>5659</v>
      </c>
      <c r="AF556" s="33" t="s">
        <v>6222</v>
      </c>
      <c r="AP556" s="83"/>
      <c r="AQ556" s="85"/>
      <c r="AR556" s="86"/>
      <c r="AS556" s="87"/>
      <c r="AV556" s="85"/>
      <c r="AW556" s="93"/>
      <c r="AX556" s="94"/>
      <c r="AY556" s="90"/>
      <c r="BB556" s="91"/>
    </row>
    <row r="557" spans="1:59" ht="15" customHeight="1">
      <c r="A557" s="33" t="s">
        <v>6085</v>
      </c>
      <c r="B557" s="33" t="s">
        <v>6112</v>
      </c>
      <c r="C557" s="33" t="s">
        <v>6215</v>
      </c>
      <c r="D557" s="34">
        <v>274</v>
      </c>
      <c r="E557" s="33">
        <v>1</v>
      </c>
      <c r="F557" s="33" t="s">
        <v>6086</v>
      </c>
      <c r="G557" s="33" t="s">
        <v>6086</v>
      </c>
      <c r="H557" s="43" t="s">
        <v>4563</v>
      </c>
      <c r="J557" s="33" t="s">
        <v>4472</v>
      </c>
      <c r="AF557" s="33" t="s">
        <v>6231</v>
      </c>
      <c r="AI557" s="33" t="s">
        <v>6086</v>
      </c>
      <c r="AJ557" s="33" t="s">
        <v>4564</v>
      </c>
      <c r="AL557" s="33" t="s">
        <v>4472</v>
      </c>
      <c r="AP557" s="83"/>
      <c r="AQ557" s="85"/>
      <c r="AR557" s="86"/>
      <c r="AS557" s="87"/>
      <c r="AV557" s="85"/>
      <c r="AW557" s="93"/>
      <c r="AX557" s="94"/>
      <c r="AY557" s="90"/>
      <c r="BB557" s="91"/>
      <c r="BG557" s="33" t="s">
        <v>6230</v>
      </c>
    </row>
    <row r="558" spans="1:59" ht="15" customHeight="1">
      <c r="A558" s="33" t="s">
        <v>6085</v>
      </c>
      <c r="B558" s="33" t="s">
        <v>6113</v>
      </c>
      <c r="C558" s="33" t="s">
        <v>6215</v>
      </c>
      <c r="D558" s="34">
        <v>275</v>
      </c>
      <c r="E558" s="33">
        <v>1</v>
      </c>
      <c r="F558" s="33" t="s">
        <v>6086</v>
      </c>
      <c r="G558" s="33" t="s">
        <v>6114</v>
      </c>
      <c r="J558" s="33" t="s">
        <v>4473</v>
      </c>
      <c r="Z558" s="78">
        <v>12</v>
      </c>
      <c r="AI558" s="33" t="s">
        <v>6181</v>
      </c>
      <c r="AL558" s="33" t="s">
        <v>4473</v>
      </c>
      <c r="AP558" s="83"/>
      <c r="AQ558" s="85"/>
      <c r="AR558" s="86"/>
      <c r="AS558" s="87"/>
      <c r="AV558" s="85"/>
      <c r="AW558" s="93"/>
      <c r="AX558" s="94"/>
      <c r="AY558" s="90"/>
      <c r="BB558" s="91"/>
      <c r="BG558" s="33" t="s">
        <v>6182</v>
      </c>
    </row>
    <row r="559" spans="1:59" ht="15" customHeight="1">
      <c r="A559" s="33" t="s">
        <v>6085</v>
      </c>
      <c r="B559" s="33" t="s">
        <v>6115</v>
      </c>
      <c r="C559" s="33" t="s">
        <v>6215</v>
      </c>
      <c r="D559" s="34">
        <v>276</v>
      </c>
      <c r="E559" s="33">
        <v>1</v>
      </c>
      <c r="F559" s="33" t="s">
        <v>6086</v>
      </c>
      <c r="G559" s="33" t="s">
        <v>6116</v>
      </c>
      <c r="J559" s="33" t="s">
        <v>4473</v>
      </c>
      <c r="Z559" s="78">
        <v>10</v>
      </c>
      <c r="AI559" s="33" t="s">
        <v>6183</v>
      </c>
      <c r="AL559" s="33" t="s">
        <v>4473</v>
      </c>
      <c r="AP559" s="83"/>
      <c r="AQ559" s="85"/>
      <c r="AR559" s="86"/>
      <c r="AS559" s="87"/>
      <c r="AV559" s="85"/>
      <c r="AW559" s="93"/>
      <c r="AX559" s="94"/>
      <c r="AY559" s="90"/>
      <c r="BB559" s="91"/>
      <c r="BG559" s="33" t="s">
        <v>6066</v>
      </c>
    </row>
    <row r="560" spans="1:59" ht="15" customHeight="1">
      <c r="A560" s="33" t="s">
        <v>6085</v>
      </c>
      <c r="B560" s="33" t="s">
        <v>6117</v>
      </c>
      <c r="C560" s="33" t="s">
        <v>6215</v>
      </c>
      <c r="D560" s="34">
        <v>277</v>
      </c>
      <c r="E560" s="33">
        <v>1</v>
      </c>
      <c r="F560" s="33" t="s">
        <v>6086</v>
      </c>
      <c r="G560" s="33" t="s">
        <v>6118</v>
      </c>
      <c r="J560" s="33" t="s">
        <v>4475</v>
      </c>
      <c r="Y560" s="76" t="s">
        <v>5551</v>
      </c>
      <c r="AF560" s="33" t="s">
        <v>6184</v>
      </c>
      <c r="AI560" s="33" t="s">
        <v>6185</v>
      </c>
      <c r="AL560" s="33" t="s">
        <v>4475</v>
      </c>
      <c r="AP560" s="83"/>
      <c r="AQ560" s="85"/>
      <c r="AR560" s="86"/>
      <c r="AS560" s="87"/>
      <c r="AV560" s="85"/>
      <c r="AW560" s="93"/>
      <c r="AX560" s="94"/>
      <c r="AY560" s="90"/>
      <c r="BB560" s="91"/>
      <c r="BG560" s="33" t="s">
        <v>6223</v>
      </c>
    </row>
    <row r="561" spans="1:59" ht="15" customHeight="1">
      <c r="A561" s="33" t="s">
        <v>6085</v>
      </c>
      <c r="B561" s="33" t="s">
        <v>6119</v>
      </c>
      <c r="C561" s="33" t="s">
        <v>6215</v>
      </c>
      <c r="D561" s="34">
        <v>278</v>
      </c>
      <c r="E561" s="33">
        <v>1</v>
      </c>
      <c r="F561" s="33" t="s">
        <v>6086</v>
      </c>
      <c r="G561" s="33" t="s">
        <v>6120</v>
      </c>
      <c r="J561" s="33" t="s">
        <v>4475</v>
      </c>
      <c r="Y561" s="76" t="s">
        <v>38</v>
      </c>
      <c r="AF561" s="33" t="s">
        <v>6224</v>
      </c>
      <c r="AI561" s="33" t="s">
        <v>6186</v>
      </c>
      <c r="AL561" s="33" t="s">
        <v>4475</v>
      </c>
      <c r="AP561" s="83"/>
      <c r="AQ561" s="85"/>
      <c r="AR561" s="86"/>
      <c r="AS561" s="87"/>
      <c r="AV561" s="85"/>
      <c r="AW561" s="93"/>
      <c r="AX561" s="94"/>
      <c r="AY561" s="90"/>
      <c r="BB561" s="91"/>
      <c r="BG561" s="33" t="s">
        <v>6187</v>
      </c>
    </row>
    <row r="562" spans="1:59" ht="15" customHeight="1">
      <c r="A562" s="33" t="s">
        <v>6085</v>
      </c>
      <c r="B562" s="33" t="s">
        <v>6121</v>
      </c>
      <c r="C562" s="33" t="s">
        <v>6215</v>
      </c>
      <c r="D562" s="34">
        <v>279</v>
      </c>
      <c r="E562" s="33">
        <v>1</v>
      </c>
      <c r="F562" s="33" t="s">
        <v>6086</v>
      </c>
      <c r="G562" s="33" t="s">
        <v>6122</v>
      </c>
      <c r="J562" s="33" t="s">
        <v>4475</v>
      </c>
      <c r="Y562" s="76" t="s">
        <v>38</v>
      </c>
      <c r="AF562" s="33" t="s">
        <v>6224</v>
      </c>
      <c r="AI562" s="33" t="s">
        <v>6188</v>
      </c>
      <c r="AL562" s="33" t="s">
        <v>4475</v>
      </c>
      <c r="AP562" s="83"/>
      <c r="AQ562" s="85"/>
      <c r="AR562" s="86"/>
      <c r="AS562" s="87"/>
      <c r="AV562" s="85"/>
      <c r="AW562" s="93"/>
      <c r="AX562" s="94"/>
      <c r="AY562" s="90"/>
      <c r="BB562" s="91"/>
      <c r="BG562" s="33" t="s">
        <v>6189</v>
      </c>
    </row>
    <row r="563" spans="1:59" ht="15" customHeight="1">
      <c r="A563" s="33" t="s">
        <v>6085</v>
      </c>
      <c r="B563" s="33" t="s">
        <v>6123</v>
      </c>
      <c r="C563" s="33" t="s">
        <v>6215</v>
      </c>
      <c r="D563" s="34">
        <v>280</v>
      </c>
      <c r="E563" s="33">
        <v>1</v>
      </c>
      <c r="F563" s="33" t="s">
        <v>6086</v>
      </c>
      <c r="G563" s="33" t="s">
        <v>6124</v>
      </c>
      <c r="J563" s="33" t="s">
        <v>4475</v>
      </c>
      <c r="Y563" s="76" t="s">
        <v>38</v>
      </c>
      <c r="AF563" s="33" t="s">
        <v>6224</v>
      </c>
      <c r="AI563" s="33" t="s">
        <v>6190</v>
      </c>
      <c r="AL563" s="33" t="s">
        <v>4475</v>
      </c>
      <c r="AP563" s="83"/>
      <c r="AQ563" s="85"/>
      <c r="AR563" s="86"/>
      <c r="AS563" s="87"/>
      <c r="AV563" s="85"/>
      <c r="AW563" s="93"/>
      <c r="AX563" s="94"/>
      <c r="AY563" s="90"/>
      <c r="BB563" s="91"/>
      <c r="BG563" s="33" t="s">
        <v>6191</v>
      </c>
    </row>
    <row r="564" spans="1:59" ht="15" customHeight="1">
      <c r="A564" s="33" t="s">
        <v>6085</v>
      </c>
      <c r="B564" s="33" t="s">
        <v>6125</v>
      </c>
      <c r="C564" s="33" t="s">
        <v>6215</v>
      </c>
      <c r="D564" s="34">
        <v>281</v>
      </c>
      <c r="E564" s="33">
        <v>1</v>
      </c>
      <c r="F564" s="33" t="s">
        <v>6086</v>
      </c>
      <c r="G564" s="33" t="s">
        <v>6126</v>
      </c>
      <c r="J564" s="33" t="s">
        <v>4475</v>
      </c>
      <c r="Y564" s="76" t="s">
        <v>5551</v>
      </c>
      <c r="AF564" s="33" t="s">
        <v>6192</v>
      </c>
      <c r="AI564" s="33" t="s">
        <v>6193</v>
      </c>
      <c r="AL564" s="33" t="s">
        <v>4475</v>
      </c>
      <c r="AP564" s="83"/>
      <c r="AQ564" s="85"/>
      <c r="AR564" s="86"/>
      <c r="AS564" s="87"/>
      <c r="AV564" s="85"/>
      <c r="AW564" s="93"/>
      <c r="AX564" s="94"/>
      <c r="AY564" s="90"/>
      <c r="BB564" s="91"/>
      <c r="BG564" s="33" t="s">
        <v>5740</v>
      </c>
    </row>
    <row r="565" spans="1:59" ht="15" customHeight="1">
      <c r="A565" s="33" t="s">
        <v>6085</v>
      </c>
      <c r="B565" s="33" t="s">
        <v>6127</v>
      </c>
      <c r="C565" s="33" t="s">
        <v>6215</v>
      </c>
      <c r="D565" s="34">
        <v>282</v>
      </c>
      <c r="E565" s="33">
        <v>1</v>
      </c>
      <c r="F565" s="33" t="s">
        <v>6086</v>
      </c>
      <c r="G565" s="33" t="s">
        <v>6128</v>
      </c>
      <c r="J565" s="33" t="s">
        <v>31</v>
      </c>
      <c r="AD565" s="33" t="s">
        <v>6194</v>
      </c>
      <c r="AI565" s="33" t="s">
        <v>6128</v>
      </c>
      <c r="AL565" s="33" t="s">
        <v>31</v>
      </c>
      <c r="AP565" s="83"/>
      <c r="AQ565" s="85"/>
      <c r="AR565" s="86"/>
      <c r="AS565" s="87"/>
      <c r="AV565" s="85"/>
      <c r="AW565" s="93"/>
      <c r="AX565" s="94"/>
      <c r="AY565" s="90">
        <v>3</v>
      </c>
      <c r="AZ565" s="76">
        <v>0</v>
      </c>
      <c r="BB565" s="91"/>
      <c r="BE565" s="33" t="s">
        <v>6194</v>
      </c>
      <c r="BG565" s="33" t="s">
        <v>6225</v>
      </c>
    </row>
    <row r="566" spans="1:59" ht="15" customHeight="1">
      <c r="A566" s="33" t="s">
        <v>6085</v>
      </c>
      <c r="B566" s="33" t="s">
        <v>6129</v>
      </c>
      <c r="C566" s="33" t="s">
        <v>6215</v>
      </c>
      <c r="D566" s="34">
        <v>283</v>
      </c>
      <c r="E566" s="33">
        <v>1</v>
      </c>
      <c r="F566" s="33" t="s">
        <v>6086</v>
      </c>
      <c r="G566" s="33" t="s">
        <v>6130</v>
      </c>
      <c r="J566" s="33" t="s">
        <v>31</v>
      </c>
      <c r="AD566" s="33" t="s">
        <v>6194</v>
      </c>
      <c r="AF566" s="33" t="s">
        <v>6195</v>
      </c>
      <c r="AI566" s="33" t="s">
        <v>6130</v>
      </c>
      <c r="AL566" s="33" t="s">
        <v>31</v>
      </c>
      <c r="AP566" s="83"/>
      <c r="AQ566" s="85"/>
      <c r="AR566" s="86"/>
      <c r="AS566" s="87"/>
      <c r="AV566" s="85"/>
      <c r="AW566" s="93"/>
      <c r="AX566" s="94"/>
      <c r="AY566" s="90">
        <v>3</v>
      </c>
      <c r="AZ566" s="76">
        <v>0</v>
      </c>
      <c r="BB566" s="91"/>
      <c r="BE566" s="33" t="s">
        <v>6194</v>
      </c>
      <c r="BG566" s="33" t="s">
        <v>6226</v>
      </c>
    </row>
    <row r="567" spans="1:59" ht="15" customHeight="1">
      <c r="A567" s="33" t="s">
        <v>6085</v>
      </c>
      <c r="B567" s="33" t="s">
        <v>6131</v>
      </c>
      <c r="C567" s="33" t="s">
        <v>6215</v>
      </c>
      <c r="D567" s="34">
        <v>284</v>
      </c>
      <c r="E567" s="33">
        <v>1</v>
      </c>
      <c r="F567" s="33" t="s">
        <v>6086</v>
      </c>
      <c r="G567" s="33" t="s">
        <v>6132</v>
      </c>
      <c r="J567" s="33" t="s">
        <v>31</v>
      </c>
      <c r="AD567" s="33" t="s">
        <v>6194</v>
      </c>
      <c r="AF567" s="33" t="s">
        <v>6196</v>
      </c>
      <c r="AI567" s="33" t="s">
        <v>6132</v>
      </c>
      <c r="AL567" s="33" t="s">
        <v>31</v>
      </c>
      <c r="AP567" s="83"/>
      <c r="AQ567" s="85"/>
      <c r="AR567" s="86"/>
      <c r="AS567" s="87"/>
      <c r="AV567" s="85"/>
      <c r="AW567" s="93"/>
      <c r="AX567" s="94"/>
      <c r="AY567" s="90">
        <v>4</v>
      </c>
      <c r="AZ567" s="76" t="s">
        <v>5551</v>
      </c>
      <c r="BB567" s="91">
        <v>2</v>
      </c>
      <c r="BE567" s="33" t="s">
        <v>6194</v>
      </c>
      <c r="BG567" s="33" t="s">
        <v>6197</v>
      </c>
    </row>
    <row r="568" spans="1:59" ht="15" customHeight="1">
      <c r="A568" s="33" t="s">
        <v>6085</v>
      </c>
      <c r="B568" s="33" t="s">
        <v>6133</v>
      </c>
      <c r="C568" s="33" t="s">
        <v>6215</v>
      </c>
      <c r="D568" s="34">
        <v>285</v>
      </c>
      <c r="E568" s="33">
        <v>1</v>
      </c>
      <c r="F568" s="33" t="s">
        <v>6086</v>
      </c>
      <c r="G568" s="33" t="s">
        <v>6161</v>
      </c>
      <c r="J568" s="33" t="s">
        <v>31</v>
      </c>
      <c r="AD568" s="33" t="s">
        <v>6198</v>
      </c>
      <c r="AI568" s="33" t="s">
        <v>6134</v>
      </c>
      <c r="AL568" s="33" t="s">
        <v>31</v>
      </c>
      <c r="AP568" s="83"/>
      <c r="AQ568" s="85"/>
      <c r="AR568" s="86"/>
      <c r="AS568" s="87"/>
      <c r="AV568" s="85"/>
      <c r="AW568" s="93"/>
      <c r="AX568" s="94"/>
      <c r="AY568" s="90">
        <v>2</v>
      </c>
      <c r="AZ568" s="76" t="s">
        <v>4925</v>
      </c>
      <c r="BB568" s="91"/>
      <c r="BE568" s="33" t="s">
        <v>6198</v>
      </c>
      <c r="BG568" s="33" t="s">
        <v>6199</v>
      </c>
    </row>
    <row r="569" spans="1:59" ht="15" customHeight="1">
      <c r="A569" s="33" t="s">
        <v>6085</v>
      </c>
      <c r="B569" s="33" t="s">
        <v>6135</v>
      </c>
      <c r="C569" s="33" t="s">
        <v>6215</v>
      </c>
      <c r="D569" s="34">
        <v>286</v>
      </c>
      <c r="E569" s="33">
        <v>1</v>
      </c>
      <c r="F569" s="33" t="s">
        <v>6086</v>
      </c>
      <c r="G569" s="33" t="s">
        <v>6161</v>
      </c>
      <c r="J569" s="33" t="s">
        <v>31</v>
      </c>
      <c r="AD569" s="33" t="s">
        <v>6198</v>
      </c>
      <c r="AI569" s="33" t="s">
        <v>6136</v>
      </c>
      <c r="AL569" s="33" t="s">
        <v>31</v>
      </c>
      <c r="AP569" s="83"/>
      <c r="AQ569" s="85"/>
      <c r="AR569" s="86"/>
      <c r="AS569" s="87"/>
      <c r="AV569" s="85"/>
      <c r="AW569" s="93"/>
      <c r="AX569" s="94"/>
      <c r="AY569" s="90">
        <v>4</v>
      </c>
      <c r="AZ569" s="76" t="s">
        <v>4925</v>
      </c>
      <c r="BB569" s="91"/>
      <c r="BE569" s="33" t="s">
        <v>6198</v>
      </c>
      <c r="BG569" s="33" t="s">
        <v>6200</v>
      </c>
    </row>
    <row r="570" spans="1:59" ht="15" customHeight="1">
      <c r="A570" s="33" t="s">
        <v>6085</v>
      </c>
      <c r="B570" s="33" t="s">
        <v>6137</v>
      </c>
      <c r="C570" s="33" t="s">
        <v>6215</v>
      </c>
      <c r="D570" s="34">
        <v>287</v>
      </c>
      <c r="E570" s="33">
        <v>1</v>
      </c>
      <c r="F570" s="33" t="s">
        <v>6086</v>
      </c>
      <c r="G570" s="33" t="s">
        <v>6161</v>
      </c>
      <c r="J570" s="33" t="s">
        <v>31</v>
      </c>
      <c r="AD570" s="33" t="s">
        <v>6198</v>
      </c>
      <c r="AI570" s="33" t="s">
        <v>6138</v>
      </c>
      <c r="AL570" s="33" t="s">
        <v>31</v>
      </c>
      <c r="AP570" s="83"/>
      <c r="AQ570" s="85"/>
      <c r="AR570" s="86"/>
      <c r="AS570" s="87"/>
      <c r="AV570" s="85"/>
      <c r="AW570" s="93"/>
      <c r="AX570" s="94"/>
      <c r="AY570" s="90">
        <v>3</v>
      </c>
      <c r="AZ570" s="76">
        <v>0</v>
      </c>
      <c r="BB570" s="91"/>
      <c r="BE570" s="33" t="s">
        <v>6198</v>
      </c>
      <c r="BG570" s="33" t="s">
        <v>6227</v>
      </c>
    </row>
    <row r="571" spans="1:59" ht="15" customHeight="1">
      <c r="A571" s="33" t="s">
        <v>6085</v>
      </c>
      <c r="B571" s="33" t="s">
        <v>6139</v>
      </c>
      <c r="C571" s="33" t="s">
        <v>6215</v>
      </c>
      <c r="D571" s="34">
        <v>288</v>
      </c>
      <c r="E571" s="33">
        <v>1</v>
      </c>
      <c r="F571" s="33" t="s">
        <v>6086</v>
      </c>
      <c r="G571" s="33" t="s">
        <v>6161</v>
      </c>
      <c r="J571" s="33" t="s">
        <v>31</v>
      </c>
      <c r="AD571" s="33" t="s">
        <v>6198</v>
      </c>
      <c r="AI571" s="33" t="s">
        <v>6140</v>
      </c>
      <c r="AL571" s="33" t="s">
        <v>31</v>
      </c>
      <c r="AP571" s="83"/>
      <c r="AQ571" s="85"/>
      <c r="AR571" s="86"/>
      <c r="AS571" s="87"/>
      <c r="AV571" s="85"/>
      <c r="AW571" s="93"/>
      <c r="AX571" s="94"/>
      <c r="AY571" s="90">
        <v>3</v>
      </c>
      <c r="AZ571" s="76" t="s">
        <v>4925</v>
      </c>
      <c r="BB571" s="91"/>
      <c r="BE571" s="33" t="s">
        <v>6198</v>
      </c>
      <c r="BG571" s="33" t="s">
        <v>6201</v>
      </c>
    </row>
    <row r="572" spans="1:59" ht="15" customHeight="1">
      <c r="A572" s="33" t="s">
        <v>6085</v>
      </c>
      <c r="B572" s="33" t="s">
        <v>6141</v>
      </c>
      <c r="C572" s="33" t="s">
        <v>6215</v>
      </c>
      <c r="D572" s="34">
        <v>289</v>
      </c>
      <c r="E572" s="33">
        <v>1</v>
      </c>
      <c r="F572" s="33" t="s">
        <v>6086</v>
      </c>
      <c r="G572" s="33" t="s">
        <v>6162</v>
      </c>
      <c r="J572" s="33" t="s">
        <v>31</v>
      </c>
      <c r="AD572" s="33" t="s">
        <v>6202</v>
      </c>
      <c r="AI572" s="33" t="s">
        <v>6142</v>
      </c>
      <c r="AL572" s="33" t="s">
        <v>31</v>
      </c>
      <c r="AP572" s="83"/>
      <c r="AQ572" s="85"/>
      <c r="AR572" s="86"/>
      <c r="AS572" s="87"/>
      <c r="AV572" s="85"/>
      <c r="AW572" s="93"/>
      <c r="AX572" s="94"/>
      <c r="AY572" s="90">
        <v>3</v>
      </c>
      <c r="AZ572" s="76" t="s">
        <v>4925</v>
      </c>
      <c r="BB572" s="91"/>
      <c r="BE572" s="33" t="s">
        <v>6202</v>
      </c>
      <c r="BG572" s="33" t="s">
        <v>6203</v>
      </c>
    </row>
    <row r="573" spans="1:59" ht="15" customHeight="1">
      <c r="A573" s="33" t="s">
        <v>6085</v>
      </c>
      <c r="B573" s="33" t="s">
        <v>6143</v>
      </c>
      <c r="C573" s="33" t="s">
        <v>6215</v>
      </c>
      <c r="D573" s="34">
        <v>290</v>
      </c>
      <c r="E573" s="33">
        <v>1</v>
      </c>
      <c r="F573" s="33" t="s">
        <v>6086</v>
      </c>
      <c r="G573" s="33" t="s">
        <v>6162</v>
      </c>
      <c r="J573" s="33" t="s">
        <v>31</v>
      </c>
      <c r="AD573" s="33" t="s">
        <v>6202</v>
      </c>
      <c r="AI573" s="33" t="s">
        <v>6144</v>
      </c>
      <c r="AL573" s="33" t="s">
        <v>31</v>
      </c>
      <c r="AP573" s="83"/>
      <c r="AQ573" s="85"/>
      <c r="AR573" s="86"/>
      <c r="AS573" s="87"/>
      <c r="AV573" s="85"/>
      <c r="AW573" s="93"/>
      <c r="AX573" s="94"/>
      <c r="AY573" s="90">
        <v>3</v>
      </c>
      <c r="AZ573" s="76" t="s">
        <v>4925</v>
      </c>
      <c r="BB573" s="91"/>
      <c r="BE573" s="33" t="s">
        <v>6202</v>
      </c>
      <c r="BG573" s="33" t="s">
        <v>6204</v>
      </c>
    </row>
    <row r="574" spans="1:59" ht="15" customHeight="1">
      <c r="A574" s="33" t="s">
        <v>6085</v>
      </c>
      <c r="B574" s="33" t="s">
        <v>6145</v>
      </c>
      <c r="C574" s="33" t="s">
        <v>6215</v>
      </c>
      <c r="D574" s="34">
        <v>291</v>
      </c>
      <c r="E574" s="33">
        <v>1</v>
      </c>
      <c r="F574" s="33" t="s">
        <v>6086</v>
      </c>
      <c r="G574" s="33" t="s">
        <v>6162</v>
      </c>
      <c r="J574" s="33" t="s">
        <v>31</v>
      </c>
      <c r="AD574" s="33" t="s">
        <v>6202</v>
      </c>
      <c r="AI574" s="33" t="s">
        <v>6146</v>
      </c>
      <c r="AL574" s="33" t="s">
        <v>31</v>
      </c>
      <c r="AP574" s="83"/>
      <c r="AQ574" s="85"/>
      <c r="AR574" s="86"/>
      <c r="AS574" s="87"/>
      <c r="AV574" s="85"/>
      <c r="AW574" s="93"/>
      <c r="AX574" s="94"/>
      <c r="AY574" s="90">
        <v>2</v>
      </c>
      <c r="AZ574" s="76" t="s">
        <v>4925</v>
      </c>
      <c r="BB574" s="91"/>
      <c r="BE574" s="33" t="s">
        <v>6202</v>
      </c>
      <c r="BG574" s="33" t="s">
        <v>6205</v>
      </c>
    </row>
    <row r="575" spans="1:59" ht="15" customHeight="1">
      <c r="A575" s="33" t="s">
        <v>6085</v>
      </c>
      <c r="B575" s="33" t="s">
        <v>6147</v>
      </c>
      <c r="C575" s="33" t="s">
        <v>6215</v>
      </c>
      <c r="D575" s="34">
        <v>292</v>
      </c>
      <c r="E575" s="33">
        <v>1</v>
      </c>
      <c r="F575" s="33" t="s">
        <v>6086</v>
      </c>
      <c r="G575" s="33" t="s">
        <v>6162</v>
      </c>
      <c r="J575" s="33" t="s">
        <v>31</v>
      </c>
      <c r="AD575" s="33" t="s">
        <v>6202</v>
      </c>
      <c r="AI575" s="33" t="s">
        <v>6148</v>
      </c>
      <c r="AL575" s="33" t="s">
        <v>31</v>
      </c>
      <c r="AP575" s="83"/>
      <c r="AQ575" s="85"/>
      <c r="AR575" s="86"/>
      <c r="AS575" s="87"/>
      <c r="AV575" s="85"/>
      <c r="AW575" s="93"/>
      <c r="AX575" s="94"/>
      <c r="AY575" s="90">
        <v>2</v>
      </c>
      <c r="AZ575" s="76" t="s">
        <v>4925</v>
      </c>
      <c r="BB575" s="91"/>
      <c r="BE575" s="33" t="s">
        <v>6202</v>
      </c>
      <c r="BG575" s="33" t="s">
        <v>6206</v>
      </c>
    </row>
    <row r="576" spans="1:59" ht="15" customHeight="1">
      <c r="A576" s="33" t="s">
        <v>6085</v>
      </c>
      <c r="B576" s="33" t="s">
        <v>6149</v>
      </c>
      <c r="C576" s="33" t="s">
        <v>6215</v>
      </c>
      <c r="D576" s="34">
        <v>293</v>
      </c>
      <c r="E576" s="33">
        <v>1</v>
      </c>
      <c r="F576" s="33" t="s">
        <v>6086</v>
      </c>
      <c r="G576" s="33" t="s">
        <v>6150</v>
      </c>
      <c r="H576" s="33" t="s">
        <v>6207</v>
      </c>
      <c r="I576" s="33" t="s">
        <v>4077</v>
      </c>
      <c r="J576" s="33" t="s">
        <v>29</v>
      </c>
      <c r="Q576" s="75">
        <v>5</v>
      </c>
      <c r="R576" s="76">
        <v>5</v>
      </c>
      <c r="T576" s="78" t="s">
        <v>4966</v>
      </c>
      <c r="V576" s="79">
        <v>1</v>
      </c>
      <c r="W576" s="80">
        <v>1</v>
      </c>
      <c r="AA576" s="82">
        <v>1</v>
      </c>
      <c r="AD576" s="33" t="s">
        <v>5019</v>
      </c>
      <c r="AF576" s="33" t="s">
        <v>6208</v>
      </c>
      <c r="AP576" s="83"/>
      <c r="AQ576" s="85"/>
      <c r="AR576" s="86"/>
      <c r="AS576" s="87"/>
      <c r="AV576" s="85"/>
      <c r="AW576" s="93"/>
      <c r="AX576" s="94"/>
      <c r="AY576" s="90"/>
      <c r="BB576" s="91"/>
    </row>
    <row r="577" spans="1:54" ht="15" customHeight="1">
      <c r="A577" s="33" t="s">
        <v>6085</v>
      </c>
      <c r="B577" s="33" t="s">
        <v>6151</v>
      </c>
      <c r="C577" s="33" t="s">
        <v>6215</v>
      </c>
      <c r="D577" s="34">
        <v>294</v>
      </c>
      <c r="E577" s="33">
        <v>2</v>
      </c>
      <c r="F577" s="33" t="s">
        <v>6086</v>
      </c>
      <c r="G577" s="33" t="s">
        <v>6152</v>
      </c>
      <c r="J577" s="33" t="s">
        <v>29</v>
      </c>
      <c r="Q577" s="75">
        <v>3</v>
      </c>
      <c r="R577" s="76">
        <v>3</v>
      </c>
      <c r="T577" s="78">
        <v>3</v>
      </c>
      <c r="V577" s="79">
        <v>1</v>
      </c>
      <c r="W577" s="80">
        <v>1</v>
      </c>
      <c r="AD577" s="33" t="s">
        <v>5484</v>
      </c>
      <c r="AF577" s="33" t="s">
        <v>6228</v>
      </c>
      <c r="AP577" s="83"/>
      <c r="AQ577" s="85"/>
      <c r="AR577" s="86"/>
      <c r="AS577" s="87"/>
      <c r="AV577" s="85"/>
      <c r="AW577" s="93"/>
      <c r="AX577" s="94"/>
      <c r="AY577" s="90"/>
      <c r="BB577" s="91"/>
    </row>
    <row r="578" spans="1:54" ht="15" customHeight="1">
      <c r="A578" s="33" t="s">
        <v>6085</v>
      </c>
      <c r="B578" s="33" t="s">
        <v>6153</v>
      </c>
      <c r="C578" s="33" t="s">
        <v>6215</v>
      </c>
      <c r="D578" s="34">
        <v>295</v>
      </c>
      <c r="E578" s="33">
        <v>1</v>
      </c>
      <c r="F578" s="33" t="s">
        <v>6086</v>
      </c>
      <c r="G578" s="33" t="s">
        <v>6154</v>
      </c>
      <c r="J578" s="33" t="s">
        <v>29</v>
      </c>
      <c r="Q578" s="75">
        <v>3</v>
      </c>
      <c r="R578" s="76">
        <v>4</v>
      </c>
      <c r="T578" s="78">
        <v>6</v>
      </c>
      <c r="V578" s="79">
        <v>2</v>
      </c>
      <c r="W578" s="80">
        <v>2</v>
      </c>
      <c r="AA578" s="82">
        <v>1</v>
      </c>
      <c r="AD578" s="33" t="s">
        <v>6209</v>
      </c>
      <c r="AF578" s="33" t="s">
        <v>6229</v>
      </c>
      <c r="AP578" s="83"/>
      <c r="AQ578" s="85"/>
      <c r="AR578" s="86"/>
      <c r="AS578" s="87"/>
      <c r="AV578" s="85"/>
      <c r="AW578" s="93"/>
      <c r="AX578" s="94"/>
      <c r="AY578" s="90"/>
      <c r="BB578" s="91"/>
    </row>
    <row r="579" spans="1:54" ht="15" customHeight="1">
      <c r="A579" s="33" t="s">
        <v>6085</v>
      </c>
      <c r="B579" s="33" t="s">
        <v>6155</v>
      </c>
      <c r="C579" s="33" t="s">
        <v>6215</v>
      </c>
      <c r="D579" s="34">
        <v>296</v>
      </c>
      <c r="E579" s="33">
        <v>3</v>
      </c>
      <c r="F579" s="33" t="s">
        <v>6086</v>
      </c>
      <c r="G579" s="33" t="s">
        <v>6156</v>
      </c>
      <c r="J579" s="33" t="s">
        <v>28</v>
      </c>
      <c r="AD579" s="33" t="s">
        <v>4340</v>
      </c>
      <c r="AF579" s="33" t="s">
        <v>6210</v>
      </c>
      <c r="AP579" s="83"/>
      <c r="AQ579" s="85"/>
      <c r="AR579" s="86"/>
      <c r="AS579" s="87"/>
      <c r="AV579" s="85"/>
      <c r="AW579" s="93"/>
      <c r="AX579" s="94"/>
      <c r="AY579" s="90"/>
      <c r="BB579" s="91"/>
    </row>
    <row r="580" spans="1:54" ht="15" customHeight="1">
      <c r="A580" s="33" t="s">
        <v>6085</v>
      </c>
      <c r="B580" s="33" t="s">
        <v>6157</v>
      </c>
      <c r="C580" s="33" t="s">
        <v>6215</v>
      </c>
      <c r="D580" s="34">
        <v>297</v>
      </c>
      <c r="E580" s="33">
        <v>3</v>
      </c>
      <c r="F580" s="33" t="s">
        <v>6086</v>
      </c>
      <c r="G580" s="33" t="s">
        <v>6158</v>
      </c>
      <c r="J580" s="33" t="s">
        <v>28</v>
      </c>
      <c r="AD580" s="33" t="s">
        <v>6211</v>
      </c>
      <c r="AF580" s="33" t="s">
        <v>6212</v>
      </c>
      <c r="AP580" s="83"/>
      <c r="AQ580" s="85"/>
      <c r="AR580" s="86"/>
      <c r="AS580" s="87"/>
      <c r="AV580" s="85"/>
      <c r="AW580" s="93"/>
      <c r="AX580" s="94"/>
      <c r="AY580" s="90"/>
      <c r="BB580" s="91"/>
    </row>
    <row r="581" spans="1:54" ht="15" customHeight="1">
      <c r="A581" s="33" t="s">
        <v>6085</v>
      </c>
      <c r="B581" s="33" t="s">
        <v>6159</v>
      </c>
      <c r="C581" s="33" t="s">
        <v>6215</v>
      </c>
      <c r="D581" s="34">
        <v>298</v>
      </c>
      <c r="E581" s="33">
        <v>3</v>
      </c>
      <c r="F581" s="33" t="s">
        <v>6086</v>
      </c>
      <c r="G581" s="33" t="s">
        <v>6160</v>
      </c>
      <c r="J581" s="33" t="s">
        <v>28</v>
      </c>
      <c r="AD581" s="33" t="s">
        <v>6211</v>
      </c>
      <c r="AF581" s="33" t="s">
        <v>6213</v>
      </c>
      <c r="AP581" s="83"/>
      <c r="AQ581" s="85"/>
      <c r="AR581" s="86"/>
      <c r="AS581" s="87"/>
      <c r="AV581" s="85"/>
      <c r="AW581" s="93"/>
      <c r="AX581" s="94"/>
      <c r="AY581" s="90"/>
      <c r="BB581" s="91"/>
    </row>
    <row r="582" spans="1:54" ht="15" customHeight="1">
      <c r="A582" s="33" t="s">
        <v>6238</v>
      </c>
      <c r="B582" s="33" t="s">
        <v>6239</v>
      </c>
      <c r="C582" s="33" t="s">
        <v>5941</v>
      </c>
      <c r="D582" s="34">
        <v>299</v>
      </c>
      <c r="E582" s="33">
        <v>2</v>
      </c>
      <c r="G582" s="33" t="s">
        <v>4165</v>
      </c>
      <c r="J582" s="33" t="s">
        <v>4166</v>
      </c>
      <c r="K582" s="33" t="s">
        <v>4052</v>
      </c>
      <c r="L582" s="33">
        <v>2</v>
      </c>
      <c r="Q582" s="75">
        <v>2</v>
      </c>
      <c r="AB582" s="33" t="s">
        <v>4942</v>
      </c>
      <c r="AD582" s="33" t="s">
        <v>5668</v>
      </c>
      <c r="AF582" s="33" t="s">
        <v>6240</v>
      </c>
      <c r="AP582" s="83"/>
      <c r="AQ582" s="85"/>
      <c r="AR582" s="86"/>
      <c r="AS582" s="87"/>
      <c r="AV582" s="85"/>
      <c r="AW582" s="93"/>
      <c r="AX582" s="94"/>
      <c r="AY582" s="90"/>
      <c r="BB582" s="91"/>
    </row>
    <row r="583" spans="1:54" ht="15" customHeight="1">
      <c r="A583" s="33" t="s">
        <v>6238</v>
      </c>
      <c r="B583" s="33" t="s">
        <v>6241</v>
      </c>
      <c r="C583" s="33" t="s">
        <v>5941</v>
      </c>
      <c r="D583" s="34">
        <v>300</v>
      </c>
      <c r="E583" s="33">
        <v>2</v>
      </c>
      <c r="G583" s="33" t="s">
        <v>6242</v>
      </c>
      <c r="J583" s="33" t="s">
        <v>27</v>
      </c>
      <c r="K583" s="33" t="s">
        <v>4052</v>
      </c>
      <c r="L583" s="33">
        <v>5</v>
      </c>
      <c r="N583" s="72">
        <v>1</v>
      </c>
      <c r="Q583" s="75">
        <v>1</v>
      </c>
      <c r="S583" s="123">
        <v>1</v>
      </c>
      <c r="AB583" s="33" t="s">
        <v>4947</v>
      </c>
      <c r="AD583" s="33" t="s">
        <v>5659</v>
      </c>
      <c r="AF583" s="33" t="s">
        <v>6243</v>
      </c>
      <c r="AP583" s="83"/>
      <c r="AQ583" s="85"/>
      <c r="AR583" s="86"/>
      <c r="AS583" s="87"/>
      <c r="AV583" s="85"/>
      <c r="AW583" s="93"/>
      <c r="AX583" s="94"/>
      <c r="AY583" s="90"/>
      <c r="BB583" s="91"/>
    </row>
    <row r="584" spans="1:54" ht="15" customHeight="1">
      <c r="A584" s="33" t="s">
        <v>6238</v>
      </c>
      <c r="B584" s="33" t="s">
        <v>6244</v>
      </c>
      <c r="C584" s="33" t="s">
        <v>5941</v>
      </c>
      <c r="D584" s="34">
        <v>301</v>
      </c>
      <c r="E584" s="33">
        <v>2</v>
      </c>
      <c r="G584" s="33" t="s">
        <v>6245</v>
      </c>
      <c r="J584" s="33" t="s">
        <v>4111</v>
      </c>
      <c r="K584" s="33" t="s">
        <v>4052</v>
      </c>
      <c r="L584" s="33">
        <v>5</v>
      </c>
      <c r="N584" s="72">
        <v>6</v>
      </c>
      <c r="P584" s="74">
        <v>1</v>
      </c>
      <c r="Q584" s="75">
        <v>1</v>
      </c>
      <c r="AB584" s="33" t="s">
        <v>4945</v>
      </c>
      <c r="AC584" s="33" t="s">
        <v>4176</v>
      </c>
      <c r="AD584" s="33" t="s">
        <v>4113</v>
      </c>
      <c r="AF584" s="33" t="s">
        <v>6246</v>
      </c>
      <c r="AP584" s="83"/>
      <c r="AQ584" s="85"/>
      <c r="AR584" s="86"/>
      <c r="AS584" s="87"/>
      <c r="AV584" s="85"/>
      <c r="AW584" s="93"/>
      <c r="AX584" s="94"/>
      <c r="AY584" s="90"/>
      <c r="BB584" s="91"/>
    </row>
    <row r="585" spans="1:54" ht="15" customHeight="1">
      <c r="A585" s="33" t="s">
        <v>6238</v>
      </c>
      <c r="B585" s="33" t="s">
        <v>6247</v>
      </c>
      <c r="C585" s="33" t="s">
        <v>5941</v>
      </c>
      <c r="D585" s="34">
        <v>302</v>
      </c>
      <c r="E585" s="33">
        <v>2</v>
      </c>
      <c r="G585" s="33" t="s">
        <v>6248</v>
      </c>
      <c r="H585" s="33" t="s">
        <v>6249</v>
      </c>
      <c r="I585" s="33" t="s">
        <v>4077</v>
      </c>
      <c r="J585" s="33" t="s">
        <v>4111</v>
      </c>
      <c r="K585" s="33" t="s">
        <v>4053</v>
      </c>
      <c r="L585" s="33">
        <v>0</v>
      </c>
      <c r="N585" s="72">
        <v>1</v>
      </c>
      <c r="O585" s="73">
        <v>1</v>
      </c>
      <c r="T585" s="78">
        <v>2</v>
      </c>
      <c r="U585" s="73">
        <v>2</v>
      </c>
      <c r="AB585" s="33" t="s">
        <v>4058</v>
      </c>
      <c r="AC585" s="33" t="s">
        <v>25</v>
      </c>
      <c r="AD585" s="33" t="s">
        <v>4184</v>
      </c>
      <c r="AF585" s="33" t="s">
        <v>6250</v>
      </c>
      <c r="AP585" s="83"/>
      <c r="AQ585" s="85"/>
      <c r="AR585" s="86"/>
      <c r="AS585" s="87"/>
      <c r="AV585" s="85"/>
      <c r="AW585" s="93"/>
      <c r="AX585" s="94"/>
      <c r="AY585" s="90"/>
      <c r="BB585" s="91"/>
    </row>
    <row r="586" spans="1:54" ht="15" customHeight="1">
      <c r="A586" s="33" t="s">
        <v>6238</v>
      </c>
      <c r="B586" s="33" t="s">
        <v>6251</v>
      </c>
      <c r="C586" s="33" t="s">
        <v>5941</v>
      </c>
      <c r="D586" s="34">
        <v>303</v>
      </c>
      <c r="E586" s="33">
        <v>2</v>
      </c>
      <c r="G586" s="33" t="s">
        <v>6252</v>
      </c>
      <c r="J586" s="33" t="s">
        <v>27</v>
      </c>
      <c r="K586" s="33" t="s">
        <v>4053</v>
      </c>
      <c r="L586" s="33">
        <v>5</v>
      </c>
      <c r="N586" s="72">
        <v>4</v>
      </c>
      <c r="O586" s="73">
        <v>1</v>
      </c>
      <c r="P586" s="74">
        <v>2</v>
      </c>
      <c r="AB586" s="33" t="s">
        <v>6253</v>
      </c>
      <c r="AD586" s="33" t="s">
        <v>4194</v>
      </c>
      <c r="AF586" s="33" t="s">
        <v>6254</v>
      </c>
      <c r="AP586" s="83"/>
      <c r="AQ586" s="85"/>
      <c r="AR586" s="86"/>
      <c r="AS586" s="87"/>
      <c r="AV586" s="85"/>
      <c r="AW586" s="93"/>
      <c r="AX586" s="94"/>
      <c r="AY586" s="90"/>
      <c r="BB586" s="91"/>
    </row>
    <row r="587" spans="1:54" ht="15" customHeight="1">
      <c r="A587" s="33" t="s">
        <v>6238</v>
      </c>
      <c r="B587" s="33" t="s">
        <v>6255</v>
      </c>
      <c r="C587" s="33" t="s">
        <v>5941</v>
      </c>
      <c r="D587" s="34">
        <v>304</v>
      </c>
      <c r="E587" s="33">
        <v>2</v>
      </c>
      <c r="G587" s="33" t="s">
        <v>6256</v>
      </c>
      <c r="J587" s="33" t="s">
        <v>4111</v>
      </c>
      <c r="K587" s="33" t="s">
        <v>4055</v>
      </c>
      <c r="L587" s="33">
        <v>4</v>
      </c>
      <c r="N587" s="72">
        <v>5</v>
      </c>
      <c r="Q587" s="75">
        <v>2</v>
      </c>
      <c r="AB587" s="33" t="s">
        <v>4942</v>
      </c>
      <c r="AC587" s="33" t="s">
        <v>4176</v>
      </c>
      <c r="AD587" s="33" t="s">
        <v>4777</v>
      </c>
      <c r="AF587" s="33" t="s">
        <v>6257</v>
      </c>
      <c r="AP587" s="83"/>
      <c r="AQ587" s="85"/>
      <c r="AR587" s="86"/>
      <c r="AS587" s="87"/>
      <c r="AV587" s="85"/>
      <c r="AW587" s="93"/>
      <c r="AX587" s="94"/>
      <c r="AY587" s="90"/>
      <c r="BB587" s="91"/>
    </row>
    <row r="588" spans="1:54" ht="15" customHeight="1">
      <c r="A588" s="33" t="s">
        <v>6238</v>
      </c>
      <c r="B588" s="33" t="s">
        <v>6258</v>
      </c>
      <c r="C588" s="33" t="s">
        <v>5941</v>
      </c>
      <c r="D588" s="34">
        <v>305</v>
      </c>
      <c r="E588" s="33">
        <v>2</v>
      </c>
      <c r="G588" s="33" t="s">
        <v>6259</v>
      </c>
      <c r="H588" s="33" t="s">
        <v>6260</v>
      </c>
      <c r="I588" s="33" t="s">
        <v>4077</v>
      </c>
      <c r="J588" s="33" t="s">
        <v>4111</v>
      </c>
      <c r="K588" s="33" t="s">
        <v>4055</v>
      </c>
      <c r="L588" s="33">
        <v>4</v>
      </c>
      <c r="N588" s="72">
        <v>2</v>
      </c>
      <c r="O588" s="73">
        <v>1</v>
      </c>
      <c r="S588" s="123">
        <v>1</v>
      </c>
      <c r="AB588" s="33" t="s">
        <v>4940</v>
      </c>
      <c r="AC588" s="33" t="s">
        <v>4129</v>
      </c>
      <c r="AD588" s="33" t="s">
        <v>4130</v>
      </c>
      <c r="AF588" s="33" t="s">
        <v>6261</v>
      </c>
      <c r="AP588" s="83"/>
      <c r="AQ588" s="85"/>
      <c r="AR588" s="86"/>
      <c r="AS588" s="87"/>
      <c r="AV588" s="85"/>
      <c r="AW588" s="93"/>
      <c r="AX588" s="94"/>
      <c r="AY588" s="90"/>
      <c r="BB588" s="91"/>
    </row>
    <row r="589" spans="1:54" ht="15" customHeight="1">
      <c r="A589" s="33" t="s">
        <v>6238</v>
      </c>
      <c r="B589" s="33" t="s">
        <v>6262</v>
      </c>
      <c r="C589" s="33" t="s">
        <v>5941</v>
      </c>
      <c r="D589" s="34">
        <v>306</v>
      </c>
      <c r="E589" s="33">
        <v>2</v>
      </c>
      <c r="G589" s="33" t="s">
        <v>4231</v>
      </c>
      <c r="J589" s="33" t="s">
        <v>4111</v>
      </c>
      <c r="K589" s="33" t="s">
        <v>4054</v>
      </c>
      <c r="L589" s="33">
        <v>5</v>
      </c>
      <c r="N589" s="72">
        <v>3</v>
      </c>
      <c r="O589" s="73">
        <v>1</v>
      </c>
      <c r="Q589" s="75">
        <v>2</v>
      </c>
      <c r="AB589" s="33" t="s">
        <v>6263</v>
      </c>
      <c r="AC589" s="33" t="s">
        <v>4232</v>
      </c>
      <c r="AD589" s="33" t="s">
        <v>4133</v>
      </c>
      <c r="AF589" s="33" t="s">
        <v>6264</v>
      </c>
      <c r="AP589" s="83"/>
      <c r="AQ589" s="85"/>
      <c r="AR589" s="86"/>
      <c r="AS589" s="87"/>
      <c r="AV589" s="85"/>
      <c r="AW589" s="93"/>
      <c r="AX589" s="94"/>
      <c r="AY589" s="90"/>
      <c r="BB589" s="91"/>
    </row>
    <row r="590" spans="1:54" ht="15" customHeight="1">
      <c r="A590" s="33" t="s">
        <v>6238</v>
      </c>
      <c r="B590" s="33" t="s">
        <v>6265</v>
      </c>
      <c r="C590" s="33" t="s">
        <v>5941</v>
      </c>
      <c r="D590" s="34">
        <v>307</v>
      </c>
      <c r="E590" s="33">
        <v>2</v>
      </c>
      <c r="G590" s="33" t="s">
        <v>4527</v>
      </c>
      <c r="J590" s="33" t="s">
        <v>27</v>
      </c>
      <c r="K590" s="33" t="s">
        <v>4054</v>
      </c>
      <c r="L590" s="33">
        <v>5</v>
      </c>
      <c r="N590" s="72">
        <v>1</v>
      </c>
      <c r="O590" s="73">
        <v>1</v>
      </c>
      <c r="S590" s="123">
        <v>1</v>
      </c>
      <c r="AB590" s="33" t="s">
        <v>4940</v>
      </c>
      <c r="AD590" s="33" t="s">
        <v>4528</v>
      </c>
      <c r="AF590" s="33" t="s">
        <v>6266</v>
      </c>
      <c r="AP590" s="83"/>
      <c r="AQ590" s="85"/>
      <c r="AR590" s="86"/>
      <c r="AS590" s="87"/>
      <c r="AV590" s="85"/>
      <c r="AW590" s="93"/>
      <c r="AX590" s="94"/>
      <c r="AY590" s="90"/>
      <c r="BB590" s="91"/>
    </row>
    <row r="591" spans="1:54" ht="15" customHeight="1">
      <c r="A591" s="33" t="s">
        <v>6238</v>
      </c>
      <c r="B591" s="33" t="s">
        <v>6267</v>
      </c>
      <c r="C591" s="33" t="s">
        <v>5941</v>
      </c>
      <c r="D591" s="34">
        <v>308</v>
      </c>
      <c r="E591" s="33">
        <v>2</v>
      </c>
      <c r="G591" s="33" t="s">
        <v>4542</v>
      </c>
      <c r="H591" s="33" t="s">
        <v>4543</v>
      </c>
      <c r="I591" s="33" t="s">
        <v>4077</v>
      </c>
      <c r="J591" s="33" t="s">
        <v>4111</v>
      </c>
      <c r="K591" s="33" t="s">
        <v>4056</v>
      </c>
      <c r="L591" s="33">
        <v>3</v>
      </c>
      <c r="N591" s="72">
        <v>4</v>
      </c>
      <c r="O591" s="73">
        <v>1</v>
      </c>
      <c r="R591" s="76">
        <v>1</v>
      </c>
      <c r="T591" s="78">
        <v>1</v>
      </c>
      <c r="U591" s="73">
        <v>4</v>
      </c>
      <c r="AB591" s="33" t="s">
        <v>6042</v>
      </c>
      <c r="AC591" s="33" t="s">
        <v>25</v>
      </c>
      <c r="AD591" s="33" t="s">
        <v>4312</v>
      </c>
      <c r="AF591" s="33" t="s">
        <v>6268</v>
      </c>
      <c r="AP591" s="83"/>
      <c r="AQ591" s="85"/>
      <c r="AR591" s="86"/>
      <c r="AS591" s="87"/>
      <c r="AV591" s="85"/>
      <c r="AW591" s="93"/>
      <c r="AX591" s="94"/>
      <c r="AY591" s="90"/>
      <c r="BB591" s="91"/>
    </row>
    <row r="592" spans="1:54" ht="15" customHeight="1">
      <c r="A592" s="33" t="s">
        <v>6238</v>
      </c>
      <c r="B592" s="33" t="s">
        <v>6269</v>
      </c>
      <c r="C592" s="33" t="s">
        <v>5941</v>
      </c>
      <c r="D592" s="34">
        <v>309</v>
      </c>
      <c r="E592" s="33">
        <v>2</v>
      </c>
      <c r="G592" s="33" t="s">
        <v>6270</v>
      </c>
      <c r="J592" s="33" t="s">
        <v>4111</v>
      </c>
      <c r="K592" s="33" t="s">
        <v>4056</v>
      </c>
      <c r="L592" s="33">
        <v>3</v>
      </c>
      <c r="N592" s="72">
        <v>2</v>
      </c>
      <c r="O592" s="73">
        <v>2</v>
      </c>
      <c r="AB592" s="33" t="s">
        <v>4948</v>
      </c>
      <c r="AD592" s="33" t="s">
        <v>4143</v>
      </c>
      <c r="AF592" s="33" t="s">
        <v>6271</v>
      </c>
      <c r="AP592" s="83"/>
      <c r="AQ592" s="85"/>
      <c r="AR592" s="86"/>
      <c r="AS592" s="87"/>
      <c r="AV592" s="85"/>
      <c r="AW592" s="93"/>
      <c r="AX592" s="94"/>
      <c r="AY592" s="90"/>
      <c r="BB592" s="91"/>
    </row>
    <row r="593" spans="1:59" ht="15" customHeight="1">
      <c r="A593" s="33" t="s">
        <v>6238</v>
      </c>
      <c r="B593" s="33" t="s">
        <v>6272</v>
      </c>
      <c r="C593" s="33" t="s">
        <v>5941</v>
      </c>
      <c r="D593" s="34">
        <v>310</v>
      </c>
      <c r="E593" s="33">
        <v>2</v>
      </c>
      <c r="G593" s="33" t="s">
        <v>6273</v>
      </c>
      <c r="H593" s="33" t="s">
        <v>6274</v>
      </c>
      <c r="I593" s="33" t="s">
        <v>4077</v>
      </c>
      <c r="J593" s="33" t="s">
        <v>4111</v>
      </c>
      <c r="K593" s="33" t="s">
        <v>26</v>
      </c>
      <c r="L593" s="33">
        <v>5</v>
      </c>
      <c r="N593" s="72">
        <v>2</v>
      </c>
      <c r="S593" s="123">
        <v>1</v>
      </c>
      <c r="T593" s="78">
        <v>4</v>
      </c>
      <c r="U593" s="73">
        <v>4</v>
      </c>
      <c r="AB593" s="33" t="s">
        <v>4062</v>
      </c>
      <c r="AC593" s="33" t="s">
        <v>25</v>
      </c>
      <c r="AD593" s="33" t="s">
        <v>6275</v>
      </c>
      <c r="AF593" s="33" t="s">
        <v>6276</v>
      </c>
      <c r="AP593" s="83"/>
      <c r="AQ593" s="85"/>
      <c r="AR593" s="86"/>
      <c r="AS593" s="87"/>
      <c r="AV593" s="85"/>
      <c r="AW593" s="93"/>
      <c r="AX593" s="94"/>
      <c r="AY593" s="90"/>
      <c r="BB593" s="91"/>
    </row>
    <row r="594" spans="1:59" ht="15" customHeight="1">
      <c r="A594" s="33" t="s">
        <v>6238</v>
      </c>
      <c r="B594" s="33" t="s">
        <v>6277</v>
      </c>
      <c r="C594" s="33" t="s">
        <v>5941</v>
      </c>
      <c r="D594" s="34">
        <v>311</v>
      </c>
      <c r="E594" s="33">
        <v>1</v>
      </c>
      <c r="F594" s="33" t="s">
        <v>6278</v>
      </c>
      <c r="G594" s="33" t="s">
        <v>6278</v>
      </c>
      <c r="J594" s="33" t="s">
        <v>4472</v>
      </c>
      <c r="AF594" s="33" t="s">
        <v>6279</v>
      </c>
      <c r="AI594" s="33" t="s">
        <v>6278</v>
      </c>
      <c r="AL594" s="33" t="s">
        <v>4472</v>
      </c>
      <c r="AM594" s="33" t="s">
        <v>6280</v>
      </c>
      <c r="AP594" s="83"/>
      <c r="AQ594" s="85"/>
      <c r="AR594" s="86"/>
      <c r="AS594" s="87"/>
      <c r="AV594" s="85"/>
      <c r="AW594" s="93"/>
      <c r="AX594" s="94"/>
      <c r="AY594" s="90"/>
      <c r="BB594" s="91"/>
      <c r="BG594" s="33" t="s">
        <v>6281</v>
      </c>
    </row>
    <row r="595" spans="1:59" ht="15" customHeight="1">
      <c r="A595" s="33" t="s">
        <v>6238</v>
      </c>
      <c r="B595" s="33" t="s">
        <v>6282</v>
      </c>
      <c r="C595" s="33" t="s">
        <v>5941</v>
      </c>
      <c r="D595" s="34">
        <v>312</v>
      </c>
      <c r="E595" s="33">
        <v>1</v>
      </c>
      <c r="F595" s="33" t="s">
        <v>6278</v>
      </c>
      <c r="G595" s="33" t="s">
        <v>6283</v>
      </c>
      <c r="J595" s="33" t="s">
        <v>4473</v>
      </c>
      <c r="L595" s="33">
        <v>1</v>
      </c>
      <c r="Z595" s="78">
        <v>4</v>
      </c>
      <c r="AF595" s="33" t="s">
        <v>6284</v>
      </c>
      <c r="AI595" s="33" t="s">
        <v>6285</v>
      </c>
      <c r="AL595" s="33" t="s">
        <v>4473</v>
      </c>
      <c r="AM595" s="33" t="s">
        <v>6280</v>
      </c>
      <c r="AN595" s="33">
        <v>1</v>
      </c>
      <c r="AP595" s="83"/>
      <c r="AQ595" s="85"/>
      <c r="AR595" s="86"/>
      <c r="AS595" s="87"/>
      <c r="AV595" s="85"/>
      <c r="AW595" s="93"/>
      <c r="AX595" s="94"/>
      <c r="AY595" s="90"/>
      <c r="BB595" s="91"/>
      <c r="BG595" s="33" t="s">
        <v>6286</v>
      </c>
    </row>
    <row r="596" spans="1:59" ht="15" customHeight="1">
      <c r="A596" s="33" t="s">
        <v>6238</v>
      </c>
      <c r="B596" s="33" t="s">
        <v>6287</v>
      </c>
      <c r="C596" s="33" t="s">
        <v>5941</v>
      </c>
      <c r="D596" s="34">
        <v>313</v>
      </c>
      <c r="E596" s="33">
        <v>1</v>
      </c>
      <c r="F596" s="33" t="s">
        <v>6278</v>
      </c>
      <c r="G596" s="33" t="s">
        <v>6288</v>
      </c>
      <c r="J596" s="33" t="s">
        <v>4473</v>
      </c>
      <c r="L596" s="33">
        <v>2</v>
      </c>
      <c r="Z596" s="78">
        <v>4</v>
      </c>
      <c r="AF596" s="33" t="s">
        <v>6284</v>
      </c>
      <c r="AI596" s="33" t="s">
        <v>6289</v>
      </c>
      <c r="AL596" s="33" t="s">
        <v>4473</v>
      </c>
      <c r="AM596" s="33" t="s">
        <v>6280</v>
      </c>
      <c r="AN596" s="33">
        <v>2</v>
      </c>
      <c r="AP596" s="83"/>
      <c r="AQ596" s="85"/>
      <c r="AR596" s="86"/>
      <c r="AS596" s="87"/>
      <c r="AV596" s="85"/>
      <c r="AW596" s="93"/>
      <c r="AX596" s="94"/>
      <c r="AY596" s="90"/>
      <c r="BB596" s="91"/>
      <c r="BG596" s="33" t="s">
        <v>6290</v>
      </c>
    </row>
    <row r="597" spans="1:59" ht="15" customHeight="1">
      <c r="A597" s="33" t="s">
        <v>6238</v>
      </c>
      <c r="B597" s="33" t="s">
        <v>6291</v>
      </c>
      <c r="C597" s="33" t="s">
        <v>5941</v>
      </c>
      <c r="D597" s="34">
        <v>314</v>
      </c>
      <c r="E597" s="33">
        <v>1</v>
      </c>
      <c r="F597" s="33" t="s">
        <v>6278</v>
      </c>
      <c r="G597" s="33" t="s">
        <v>6292</v>
      </c>
      <c r="J597" s="33" t="s">
        <v>4473</v>
      </c>
      <c r="L597" s="33">
        <v>3</v>
      </c>
      <c r="Z597" s="78">
        <v>6</v>
      </c>
      <c r="AF597" s="33" t="s">
        <v>6284</v>
      </c>
      <c r="AI597" s="33" t="s">
        <v>6293</v>
      </c>
      <c r="AL597" s="33" t="s">
        <v>4473</v>
      </c>
      <c r="AM597" s="33" t="s">
        <v>6280</v>
      </c>
      <c r="AN597" s="33">
        <v>3</v>
      </c>
      <c r="AP597" s="83"/>
      <c r="AQ597" s="85"/>
      <c r="AR597" s="86"/>
      <c r="AS597" s="87"/>
      <c r="AV597" s="85"/>
      <c r="AW597" s="93"/>
      <c r="AX597" s="94"/>
      <c r="AY597" s="90"/>
      <c r="BB597" s="91"/>
      <c r="BG597" s="33" t="s">
        <v>6294</v>
      </c>
    </row>
    <row r="598" spans="1:59" ht="15" customHeight="1">
      <c r="A598" s="33" t="s">
        <v>6238</v>
      </c>
      <c r="B598" s="33" t="s">
        <v>6295</v>
      </c>
      <c r="C598" s="33" t="s">
        <v>5941</v>
      </c>
      <c r="D598" s="34">
        <v>315</v>
      </c>
      <c r="E598" s="33">
        <v>1</v>
      </c>
      <c r="F598" s="33" t="s">
        <v>6278</v>
      </c>
      <c r="G598" s="33" t="s">
        <v>6296</v>
      </c>
      <c r="J598" s="33" t="s">
        <v>4473</v>
      </c>
      <c r="L598" s="33">
        <v>4</v>
      </c>
      <c r="Z598" s="78">
        <v>2</v>
      </c>
      <c r="AF598" s="33" t="s">
        <v>6297</v>
      </c>
      <c r="AI598" s="33" t="s">
        <v>6298</v>
      </c>
      <c r="AL598" s="33" t="s">
        <v>4473</v>
      </c>
      <c r="AM598" s="33" t="s">
        <v>6280</v>
      </c>
      <c r="AN598" s="33">
        <v>4</v>
      </c>
      <c r="AP598" s="83"/>
      <c r="AQ598" s="85"/>
      <c r="AR598" s="86"/>
      <c r="AS598" s="87"/>
      <c r="AV598" s="85"/>
      <c r="AW598" s="93"/>
      <c r="AX598" s="94"/>
      <c r="AY598" s="90"/>
      <c r="BB598" s="91"/>
      <c r="BG598" s="33" t="s">
        <v>6299</v>
      </c>
    </row>
    <row r="599" spans="1:59" ht="15" customHeight="1">
      <c r="A599" s="33" t="s">
        <v>6238</v>
      </c>
      <c r="B599" s="33" t="s">
        <v>6300</v>
      </c>
      <c r="C599" s="33" t="s">
        <v>5941</v>
      </c>
      <c r="D599" s="34">
        <v>316</v>
      </c>
      <c r="E599" s="33">
        <v>1</v>
      </c>
      <c r="F599" s="33" t="s">
        <v>6278</v>
      </c>
      <c r="G599" s="33" t="s">
        <v>6301</v>
      </c>
      <c r="J599" s="33" t="s">
        <v>4475</v>
      </c>
      <c r="L599" s="33">
        <v>1</v>
      </c>
      <c r="Y599" s="76" t="s">
        <v>5551</v>
      </c>
      <c r="AF599" s="33" t="s">
        <v>6302</v>
      </c>
      <c r="AI599" s="33" t="s">
        <v>6303</v>
      </c>
      <c r="AL599" s="33" t="s">
        <v>4475</v>
      </c>
      <c r="AM599" s="33" t="s">
        <v>6280</v>
      </c>
      <c r="AN599" s="33">
        <v>1</v>
      </c>
      <c r="AP599" s="83"/>
      <c r="AQ599" s="85"/>
      <c r="AR599" s="86"/>
      <c r="AS599" s="87"/>
      <c r="AV599" s="85"/>
      <c r="AW599" s="93"/>
      <c r="AX599" s="94"/>
      <c r="AY599" s="90"/>
      <c r="BB599" s="91"/>
      <c r="BG599" s="33" t="s">
        <v>6304</v>
      </c>
    </row>
    <row r="600" spans="1:59" ht="15" customHeight="1">
      <c r="A600" s="33" t="s">
        <v>6238</v>
      </c>
      <c r="B600" s="33" t="s">
        <v>6305</v>
      </c>
      <c r="C600" s="33" t="s">
        <v>5941</v>
      </c>
      <c r="D600" s="34">
        <v>317</v>
      </c>
      <c r="E600" s="33">
        <v>1</v>
      </c>
      <c r="F600" s="33" t="s">
        <v>6278</v>
      </c>
      <c r="G600" s="33" t="s">
        <v>6306</v>
      </c>
      <c r="J600" s="33" t="s">
        <v>4475</v>
      </c>
      <c r="L600" s="33">
        <v>2</v>
      </c>
      <c r="Y600" s="76" t="s">
        <v>38</v>
      </c>
      <c r="AF600" s="33" t="s">
        <v>6307</v>
      </c>
      <c r="AI600" s="33" t="s">
        <v>6308</v>
      </c>
      <c r="AL600" s="33" t="s">
        <v>4475</v>
      </c>
      <c r="AM600" s="33" t="s">
        <v>6280</v>
      </c>
      <c r="AN600" s="33">
        <v>2</v>
      </c>
      <c r="AP600" s="83"/>
      <c r="AQ600" s="85"/>
      <c r="AR600" s="86"/>
      <c r="AS600" s="87"/>
      <c r="AV600" s="85"/>
      <c r="AW600" s="93"/>
      <c r="AX600" s="94"/>
      <c r="AY600" s="90"/>
      <c r="BB600" s="91"/>
    </row>
    <row r="601" spans="1:59" ht="15" customHeight="1">
      <c r="A601" s="33" t="s">
        <v>6238</v>
      </c>
      <c r="B601" s="33" t="s">
        <v>6309</v>
      </c>
      <c r="C601" s="33" t="s">
        <v>5941</v>
      </c>
      <c r="D601" s="34">
        <v>318</v>
      </c>
      <c r="E601" s="33">
        <v>1</v>
      </c>
      <c r="F601" s="33" t="s">
        <v>6278</v>
      </c>
      <c r="G601" s="33" t="s">
        <v>6310</v>
      </c>
      <c r="J601" s="33" t="s">
        <v>4475</v>
      </c>
      <c r="L601" s="33">
        <v>3</v>
      </c>
      <c r="Y601" s="76" t="s">
        <v>5550</v>
      </c>
      <c r="AF601" s="33" t="s">
        <v>6311</v>
      </c>
      <c r="AI601" s="33" t="s">
        <v>6312</v>
      </c>
      <c r="AL601" s="33" t="s">
        <v>4475</v>
      </c>
      <c r="AM601" s="33" t="s">
        <v>6280</v>
      </c>
      <c r="AN601" s="33">
        <v>3</v>
      </c>
      <c r="AP601" s="83"/>
      <c r="AQ601" s="85"/>
      <c r="AR601" s="86"/>
      <c r="AS601" s="87"/>
      <c r="AV601" s="85"/>
      <c r="AW601" s="93"/>
      <c r="AX601" s="94"/>
      <c r="AY601" s="90"/>
      <c r="BB601" s="91"/>
      <c r="BG601" s="33" t="s">
        <v>6313</v>
      </c>
    </row>
    <row r="602" spans="1:59" ht="15" customHeight="1">
      <c r="A602" s="33" t="s">
        <v>6238</v>
      </c>
      <c r="B602" s="33" t="s">
        <v>6314</v>
      </c>
      <c r="C602" s="33" t="s">
        <v>5941</v>
      </c>
      <c r="D602" s="34">
        <v>319</v>
      </c>
      <c r="E602" s="33">
        <v>1</v>
      </c>
      <c r="F602" s="33" t="s">
        <v>6278</v>
      </c>
      <c r="G602" s="33" t="s">
        <v>6315</v>
      </c>
      <c r="J602" s="33" t="s">
        <v>4475</v>
      </c>
      <c r="L602" s="33">
        <v>4</v>
      </c>
      <c r="Y602" s="76" t="s">
        <v>38</v>
      </c>
      <c r="AF602" s="33" t="s">
        <v>6316</v>
      </c>
      <c r="AI602" s="33" t="s">
        <v>6317</v>
      </c>
      <c r="AL602" s="33" t="s">
        <v>4475</v>
      </c>
      <c r="AM602" s="33" t="s">
        <v>6280</v>
      </c>
      <c r="AN602" s="33">
        <v>4</v>
      </c>
      <c r="AP602" s="83"/>
      <c r="AQ602" s="85"/>
      <c r="AR602" s="86"/>
      <c r="AS602" s="87"/>
      <c r="AV602" s="85"/>
      <c r="AW602" s="93"/>
      <c r="AX602" s="94"/>
      <c r="AY602" s="90"/>
      <c r="BB602" s="91"/>
      <c r="BG602" s="33" t="s">
        <v>5740</v>
      </c>
    </row>
    <row r="603" spans="1:59" ht="15" customHeight="1">
      <c r="A603" s="33" t="s">
        <v>6238</v>
      </c>
      <c r="B603" s="33" t="s">
        <v>6318</v>
      </c>
      <c r="C603" s="33" t="s">
        <v>5941</v>
      </c>
      <c r="D603" s="34">
        <v>320</v>
      </c>
      <c r="E603" s="33">
        <v>1</v>
      </c>
      <c r="F603" s="33" t="s">
        <v>6278</v>
      </c>
      <c r="G603" s="33" t="s">
        <v>6319</v>
      </c>
      <c r="J603" s="33" t="s">
        <v>31</v>
      </c>
      <c r="AD603" s="33" t="s">
        <v>6320</v>
      </c>
      <c r="AI603" s="33" t="s">
        <v>6319</v>
      </c>
      <c r="AJ603" s="33" t="s">
        <v>6321</v>
      </c>
      <c r="AL603" s="33" t="s">
        <v>31</v>
      </c>
      <c r="AM603" s="33" t="s">
        <v>6280</v>
      </c>
      <c r="AP603" s="83"/>
      <c r="AQ603" s="85"/>
      <c r="AR603" s="86"/>
      <c r="AS603" s="87"/>
      <c r="AV603" s="85"/>
      <c r="AW603" s="93"/>
      <c r="AX603" s="94"/>
      <c r="AY603" s="90">
        <v>6</v>
      </c>
      <c r="AZ603" s="76">
        <v>0</v>
      </c>
      <c r="BB603" s="91"/>
      <c r="BE603" s="33" t="s">
        <v>6320</v>
      </c>
      <c r="BG603" s="33" t="s">
        <v>6322</v>
      </c>
    </row>
    <row r="604" spans="1:59" ht="15" customHeight="1">
      <c r="A604" s="33" t="s">
        <v>6238</v>
      </c>
      <c r="B604" s="33" t="s">
        <v>6323</v>
      </c>
      <c r="C604" s="33" t="s">
        <v>5941</v>
      </c>
      <c r="D604" s="34">
        <v>321</v>
      </c>
      <c r="E604" s="33">
        <v>1</v>
      </c>
      <c r="F604" s="33" t="s">
        <v>6278</v>
      </c>
      <c r="G604" s="33" t="s">
        <v>6324</v>
      </c>
      <c r="J604" s="33" t="s">
        <v>31</v>
      </c>
      <c r="AD604" s="33" t="s">
        <v>6320</v>
      </c>
      <c r="AF604" s="33" t="s">
        <v>6325</v>
      </c>
      <c r="AI604" s="33" t="s">
        <v>6324</v>
      </c>
      <c r="AL604" s="33" t="s">
        <v>31</v>
      </c>
      <c r="AM604" s="33" t="s">
        <v>6280</v>
      </c>
      <c r="AP604" s="83"/>
      <c r="AQ604" s="85"/>
      <c r="AR604" s="86"/>
      <c r="AS604" s="87"/>
      <c r="AV604" s="85"/>
      <c r="AW604" s="93"/>
      <c r="AX604" s="94"/>
      <c r="AY604" s="90">
        <v>2</v>
      </c>
      <c r="AZ604" s="76" t="s">
        <v>5551</v>
      </c>
      <c r="BB604" s="91"/>
      <c r="BE604" s="33" t="s">
        <v>6320</v>
      </c>
      <c r="BG604" s="33" t="s">
        <v>6326</v>
      </c>
    </row>
    <row r="605" spans="1:59" ht="15" customHeight="1">
      <c r="A605" s="33" t="s">
        <v>6238</v>
      </c>
      <c r="B605" s="33" t="s">
        <v>6327</v>
      </c>
      <c r="C605" s="33" t="s">
        <v>5941</v>
      </c>
      <c r="D605" s="34">
        <v>322</v>
      </c>
      <c r="E605" s="33">
        <v>1</v>
      </c>
      <c r="F605" s="33" t="s">
        <v>6278</v>
      </c>
      <c r="G605" s="33" t="s">
        <v>6328</v>
      </c>
      <c r="J605" s="33" t="s">
        <v>31</v>
      </c>
      <c r="AD605" s="33" t="s">
        <v>6320</v>
      </c>
      <c r="AI605" s="33" t="s">
        <v>6328</v>
      </c>
      <c r="AL605" s="33" t="s">
        <v>31</v>
      </c>
      <c r="AM605" s="33" t="s">
        <v>6280</v>
      </c>
      <c r="AP605" s="83"/>
      <c r="AQ605" s="85"/>
      <c r="AR605" s="86"/>
      <c r="AS605" s="87"/>
      <c r="AV605" s="85"/>
      <c r="AW605" s="93"/>
      <c r="AX605" s="94"/>
      <c r="AY605" s="90">
        <v>2</v>
      </c>
      <c r="AZ605" s="76" t="s">
        <v>4965</v>
      </c>
      <c r="BB605" s="91"/>
      <c r="BE605" s="33" t="s">
        <v>6320</v>
      </c>
      <c r="BG605" s="33" t="s">
        <v>6329</v>
      </c>
    </row>
    <row r="606" spans="1:59" ht="15" customHeight="1">
      <c r="A606" s="33" t="s">
        <v>6238</v>
      </c>
      <c r="B606" s="33" t="s">
        <v>6330</v>
      </c>
      <c r="C606" s="33" t="s">
        <v>5941</v>
      </c>
      <c r="D606" s="34">
        <v>323</v>
      </c>
      <c r="E606" s="33">
        <v>1</v>
      </c>
      <c r="F606" s="33" t="s">
        <v>6278</v>
      </c>
      <c r="G606" s="33" t="s">
        <v>6331</v>
      </c>
      <c r="H606" s="33" t="s">
        <v>6332</v>
      </c>
      <c r="I606" s="33" t="s">
        <v>4077</v>
      </c>
      <c r="J606" s="33" t="s">
        <v>29</v>
      </c>
      <c r="Q606" s="75">
        <v>4</v>
      </c>
      <c r="R606" s="76" t="s">
        <v>38</v>
      </c>
      <c r="T606" s="78">
        <v>4</v>
      </c>
      <c r="V606" s="79">
        <v>1</v>
      </c>
      <c r="W606" s="80">
        <v>5</v>
      </c>
      <c r="AD606" s="33" t="s">
        <v>4676</v>
      </c>
      <c r="AF606" s="33" t="s">
        <v>6333</v>
      </c>
      <c r="AP606" s="83"/>
      <c r="AQ606" s="85"/>
      <c r="AR606" s="86"/>
      <c r="AS606" s="87"/>
      <c r="AV606" s="85"/>
      <c r="AW606" s="93"/>
      <c r="AX606" s="94"/>
      <c r="AY606" s="90"/>
      <c r="BB606" s="91"/>
    </row>
    <row r="607" spans="1:59" ht="15" customHeight="1">
      <c r="A607" s="33" t="s">
        <v>6238</v>
      </c>
      <c r="B607" s="33" t="s">
        <v>6334</v>
      </c>
      <c r="C607" s="33" t="s">
        <v>5941</v>
      </c>
      <c r="D607" s="34">
        <v>324</v>
      </c>
      <c r="E607" s="33">
        <v>4</v>
      </c>
      <c r="F607" s="33" t="s">
        <v>6278</v>
      </c>
      <c r="G607" s="33" t="s">
        <v>6335</v>
      </c>
      <c r="J607" s="33" t="s">
        <v>31</v>
      </c>
      <c r="X607" s="81">
        <v>1</v>
      </c>
      <c r="Y607" s="76">
        <v>1</v>
      </c>
      <c r="AD607" s="33" t="s">
        <v>6336</v>
      </c>
      <c r="AF607" s="33" t="s">
        <v>6337</v>
      </c>
      <c r="AP607" s="83"/>
      <c r="AQ607" s="85"/>
      <c r="AR607" s="86"/>
      <c r="AS607" s="87"/>
      <c r="AV607" s="85"/>
      <c r="AW607" s="93"/>
      <c r="AX607" s="94"/>
      <c r="AY607" s="90"/>
      <c r="BB607" s="91"/>
    </row>
    <row r="608" spans="1:59" ht="15" customHeight="1">
      <c r="A608" s="33" t="s">
        <v>6238</v>
      </c>
      <c r="B608" s="33" t="s">
        <v>6338</v>
      </c>
      <c r="C608" s="33" t="s">
        <v>5941</v>
      </c>
      <c r="D608" s="34">
        <v>325</v>
      </c>
      <c r="E608" s="33">
        <v>2</v>
      </c>
      <c r="F608" s="33" t="s">
        <v>6278</v>
      </c>
      <c r="G608" s="33" t="s">
        <v>6339</v>
      </c>
      <c r="J608" s="33" t="s">
        <v>31</v>
      </c>
      <c r="X608" s="81">
        <v>2</v>
      </c>
      <c r="Y608" s="76">
        <v>3</v>
      </c>
      <c r="AD608" s="33" t="s">
        <v>6336</v>
      </c>
      <c r="AF608" s="33" t="s">
        <v>6340</v>
      </c>
      <c r="AP608" s="83"/>
      <c r="AQ608" s="85"/>
      <c r="AR608" s="86"/>
      <c r="AS608" s="87"/>
      <c r="AV608" s="85"/>
      <c r="AW608" s="93"/>
      <c r="AX608" s="94"/>
      <c r="AY608" s="90"/>
      <c r="BB608" s="91"/>
    </row>
    <row r="609" spans="1:59" ht="15" customHeight="1">
      <c r="A609" s="33" t="s">
        <v>6238</v>
      </c>
      <c r="B609" s="33" t="s">
        <v>6341</v>
      </c>
      <c r="C609" s="33" t="s">
        <v>5941</v>
      </c>
      <c r="D609" s="34">
        <v>326</v>
      </c>
      <c r="E609" s="33">
        <v>2</v>
      </c>
      <c r="F609" s="33" t="s">
        <v>6278</v>
      </c>
      <c r="G609" s="33" t="s">
        <v>6342</v>
      </c>
      <c r="J609" s="33" t="s">
        <v>31</v>
      </c>
      <c r="X609" s="81">
        <v>4</v>
      </c>
      <c r="Y609" s="76">
        <v>2</v>
      </c>
      <c r="AD609" s="33" t="s">
        <v>6336</v>
      </c>
      <c r="AF609" s="33" t="s">
        <v>6343</v>
      </c>
      <c r="AP609" s="83"/>
      <c r="AQ609" s="85"/>
      <c r="AR609" s="86"/>
      <c r="AS609" s="87"/>
      <c r="AV609" s="85"/>
      <c r="AW609" s="93"/>
      <c r="AX609" s="94"/>
      <c r="AY609" s="90"/>
      <c r="BB609" s="91"/>
    </row>
    <row r="610" spans="1:59" ht="15" customHeight="1">
      <c r="A610" s="33" t="s">
        <v>6238</v>
      </c>
      <c r="B610" s="33" t="s">
        <v>6344</v>
      </c>
      <c r="C610" s="33" t="s">
        <v>5941</v>
      </c>
      <c r="D610" s="34">
        <v>327</v>
      </c>
      <c r="E610" s="33">
        <v>1</v>
      </c>
      <c r="F610" s="33" t="s">
        <v>6278</v>
      </c>
      <c r="G610" s="33" t="s">
        <v>6345</v>
      </c>
      <c r="J610" s="33" t="s">
        <v>31</v>
      </c>
      <c r="X610" s="81">
        <v>3</v>
      </c>
      <c r="Y610" s="76" t="s">
        <v>4927</v>
      </c>
      <c r="AD610" s="33" t="s">
        <v>6336</v>
      </c>
      <c r="AF610" s="33" t="s">
        <v>6346</v>
      </c>
      <c r="AP610" s="83"/>
      <c r="AQ610" s="85"/>
      <c r="AR610" s="86"/>
      <c r="AS610" s="87"/>
      <c r="AV610" s="85"/>
      <c r="AW610" s="93"/>
      <c r="AX610" s="94"/>
      <c r="AY610" s="90"/>
      <c r="BB610" s="91"/>
    </row>
    <row r="611" spans="1:59" ht="15" customHeight="1">
      <c r="A611" s="33" t="s">
        <v>6238</v>
      </c>
      <c r="B611" s="33" t="s">
        <v>6347</v>
      </c>
      <c r="C611" s="33" t="s">
        <v>5941</v>
      </c>
      <c r="D611" s="34">
        <v>328</v>
      </c>
      <c r="E611" s="33">
        <v>1</v>
      </c>
      <c r="F611" s="33" t="s">
        <v>6278</v>
      </c>
      <c r="G611" s="33" t="s">
        <v>6348</v>
      </c>
      <c r="J611" s="33" t="s">
        <v>31</v>
      </c>
      <c r="X611" s="81">
        <v>2</v>
      </c>
      <c r="Y611" s="76" t="s">
        <v>4927</v>
      </c>
      <c r="AD611" s="33" t="s">
        <v>6336</v>
      </c>
      <c r="AF611" s="33" t="s">
        <v>6349</v>
      </c>
      <c r="AP611" s="83"/>
      <c r="AQ611" s="85"/>
      <c r="AR611" s="86"/>
      <c r="AS611" s="87"/>
      <c r="AV611" s="85"/>
      <c r="AW611" s="93"/>
      <c r="AX611" s="94"/>
      <c r="AY611" s="90"/>
      <c r="BB611" s="91"/>
    </row>
    <row r="612" spans="1:59" ht="15" customHeight="1">
      <c r="A612" s="33" t="s">
        <v>6238</v>
      </c>
      <c r="B612" s="33" t="s">
        <v>6350</v>
      </c>
      <c r="C612" s="33" t="s">
        <v>5941</v>
      </c>
      <c r="D612" s="34">
        <v>329</v>
      </c>
      <c r="E612" s="33">
        <v>3</v>
      </c>
      <c r="F612" s="33" t="s">
        <v>6278</v>
      </c>
      <c r="G612" s="33" t="s">
        <v>6351</v>
      </c>
      <c r="J612" s="33" t="s">
        <v>29</v>
      </c>
      <c r="Q612" s="75">
        <v>4</v>
      </c>
      <c r="R612" s="76">
        <v>2</v>
      </c>
      <c r="T612" s="78">
        <v>3</v>
      </c>
      <c r="V612" s="79">
        <v>1</v>
      </c>
      <c r="W612" s="80">
        <v>2</v>
      </c>
      <c r="AD612" s="33" t="s">
        <v>4344</v>
      </c>
      <c r="AF612" s="33" t="s">
        <v>6352</v>
      </c>
      <c r="AP612" s="83"/>
      <c r="AQ612" s="85"/>
      <c r="AR612" s="86"/>
      <c r="AS612" s="87"/>
      <c r="AV612" s="85"/>
      <c r="AW612" s="93"/>
      <c r="AX612" s="94"/>
      <c r="AY612" s="90"/>
      <c r="BB612" s="91"/>
    </row>
    <row r="613" spans="1:59" ht="15" customHeight="1">
      <c r="A613" s="33" t="s">
        <v>6238</v>
      </c>
      <c r="B613" s="33" t="s">
        <v>6353</v>
      </c>
      <c r="C613" s="33" t="s">
        <v>5941</v>
      </c>
      <c r="D613" s="34">
        <v>330</v>
      </c>
      <c r="E613" s="33">
        <v>2</v>
      </c>
      <c r="F613" s="33" t="s">
        <v>6278</v>
      </c>
      <c r="G613" s="33" t="s">
        <v>6354</v>
      </c>
      <c r="J613" s="33" t="s">
        <v>29</v>
      </c>
      <c r="Q613" s="75">
        <v>3</v>
      </c>
      <c r="R613" s="76">
        <v>5</v>
      </c>
      <c r="T613" s="78">
        <v>4</v>
      </c>
      <c r="V613" s="79">
        <v>2</v>
      </c>
      <c r="W613" s="80">
        <v>1</v>
      </c>
      <c r="AD613" s="33" t="s">
        <v>4344</v>
      </c>
      <c r="AF613" s="33" t="s">
        <v>6355</v>
      </c>
      <c r="AP613" s="83"/>
      <c r="AQ613" s="85"/>
      <c r="AR613" s="86"/>
      <c r="AS613" s="87"/>
      <c r="AV613" s="85"/>
      <c r="AW613" s="93"/>
      <c r="AX613" s="94"/>
      <c r="AY613" s="90"/>
      <c r="BB613" s="91"/>
    </row>
    <row r="614" spans="1:59" ht="15" customHeight="1">
      <c r="A614" s="33" t="s">
        <v>6238</v>
      </c>
      <c r="B614" s="33" t="s">
        <v>6356</v>
      </c>
      <c r="C614" s="33" t="s">
        <v>5941</v>
      </c>
      <c r="D614" s="34">
        <v>331</v>
      </c>
      <c r="E614" s="33">
        <v>3</v>
      </c>
      <c r="F614" s="33" t="s">
        <v>6278</v>
      </c>
      <c r="G614" s="33" t="s">
        <v>6357</v>
      </c>
      <c r="J614" s="33" t="s">
        <v>28</v>
      </c>
      <c r="AD614" s="33" t="s">
        <v>4333</v>
      </c>
      <c r="AF614" s="33" t="s">
        <v>6358</v>
      </c>
      <c r="AP614" s="83"/>
      <c r="AQ614" s="85"/>
      <c r="AR614" s="86"/>
      <c r="AS614" s="87"/>
      <c r="AV614" s="85"/>
      <c r="AW614" s="93"/>
      <c r="AX614" s="94"/>
      <c r="AY614" s="90"/>
      <c r="BB614" s="91"/>
    </row>
    <row r="615" spans="1:59" ht="15" customHeight="1">
      <c r="A615" s="33" t="s">
        <v>6238</v>
      </c>
      <c r="B615" s="33" t="s">
        <v>6359</v>
      </c>
      <c r="C615" s="33" t="s">
        <v>5941</v>
      </c>
      <c r="D615" s="34">
        <v>332</v>
      </c>
      <c r="E615" s="33">
        <v>2</v>
      </c>
      <c r="F615" s="33" t="s">
        <v>6278</v>
      </c>
      <c r="G615" s="33" t="s">
        <v>6360</v>
      </c>
      <c r="J615" s="33" t="s">
        <v>28</v>
      </c>
      <c r="AD615" s="33" t="s">
        <v>4333</v>
      </c>
      <c r="AF615" s="33" t="s">
        <v>6361</v>
      </c>
      <c r="AP615" s="83"/>
      <c r="AQ615" s="85"/>
      <c r="AR615" s="86"/>
      <c r="AS615" s="87"/>
      <c r="AV615" s="85"/>
      <c r="AW615" s="93"/>
      <c r="AX615" s="94"/>
      <c r="AY615" s="90"/>
      <c r="BB615" s="91"/>
    </row>
    <row r="616" spans="1:59" ht="15" customHeight="1">
      <c r="A616" s="33" t="s">
        <v>6238</v>
      </c>
      <c r="B616" s="33" t="s">
        <v>6362</v>
      </c>
      <c r="C616" s="33" t="s">
        <v>5941</v>
      </c>
      <c r="D616" s="34">
        <v>333</v>
      </c>
      <c r="E616" s="33">
        <v>3</v>
      </c>
      <c r="F616" s="33" t="s">
        <v>6278</v>
      </c>
      <c r="G616" s="33" t="s">
        <v>6363</v>
      </c>
      <c r="J616" s="33" t="s">
        <v>28</v>
      </c>
      <c r="AD616" s="33" t="s">
        <v>4335</v>
      </c>
      <c r="AF616" s="33" t="s">
        <v>6364</v>
      </c>
      <c r="AP616" s="83"/>
      <c r="AQ616" s="85"/>
      <c r="AR616" s="86"/>
      <c r="AS616" s="87"/>
      <c r="AV616" s="85"/>
      <c r="AW616" s="93"/>
      <c r="AX616" s="94"/>
      <c r="AY616" s="90"/>
      <c r="BB616" s="91"/>
    </row>
    <row r="617" spans="1:59" ht="15" customHeight="1">
      <c r="A617" s="50" t="s">
        <v>6791</v>
      </c>
      <c r="B617" s="50" t="s">
        <v>6681</v>
      </c>
      <c r="C617" s="50" t="s">
        <v>6214</v>
      </c>
      <c r="D617" s="154">
        <v>1</v>
      </c>
      <c r="E617" s="50">
        <v>1</v>
      </c>
      <c r="F617" s="50"/>
      <c r="G617" s="50" t="s">
        <v>6366</v>
      </c>
      <c r="H617" s="33" t="s">
        <v>6367</v>
      </c>
      <c r="I617" s="33" t="s">
        <v>4077</v>
      </c>
      <c r="J617" s="33" t="s">
        <v>4057</v>
      </c>
      <c r="K617" s="33" t="s">
        <v>4052</v>
      </c>
      <c r="O617" s="73">
        <v>3</v>
      </c>
      <c r="P617" s="74">
        <v>2</v>
      </c>
      <c r="Q617" s="75">
        <v>5</v>
      </c>
      <c r="R617" s="76">
        <v>3</v>
      </c>
      <c r="T617" s="78">
        <v>9</v>
      </c>
      <c r="U617" s="73">
        <v>5</v>
      </c>
      <c r="AD617" s="33" t="s">
        <v>6368</v>
      </c>
      <c r="AF617" s="33" t="s">
        <v>6369</v>
      </c>
      <c r="AI617" s="33" t="s">
        <v>6366</v>
      </c>
      <c r="AJ617" s="33" t="s">
        <v>6367</v>
      </c>
      <c r="AK617" s="33" t="s">
        <v>4077</v>
      </c>
      <c r="AL617" s="33" t="s">
        <v>4057</v>
      </c>
      <c r="AM617" s="33" t="s">
        <v>4052</v>
      </c>
      <c r="AP617" s="83"/>
      <c r="AQ617" s="85"/>
      <c r="AR617" s="86"/>
      <c r="AS617" s="87"/>
      <c r="AV617" s="85"/>
      <c r="AW617" s="93"/>
      <c r="AX617" s="94"/>
      <c r="AY617" s="90"/>
      <c r="BB617" s="91"/>
      <c r="BE617" s="33" t="s">
        <v>6368</v>
      </c>
      <c r="BG617" s="33" t="s">
        <v>6370</v>
      </c>
    </row>
    <row r="618" spans="1:59" ht="15" customHeight="1">
      <c r="A618" s="33" t="s">
        <v>6791</v>
      </c>
      <c r="B618" s="33" t="s">
        <v>6682</v>
      </c>
      <c r="C618" s="33" t="s">
        <v>6214</v>
      </c>
      <c r="D618" s="34">
        <v>2</v>
      </c>
      <c r="E618" s="33">
        <v>1</v>
      </c>
      <c r="G618" s="33" t="s">
        <v>6371</v>
      </c>
      <c r="H618" s="33" t="s">
        <v>6372</v>
      </c>
      <c r="I618" s="33" t="s">
        <v>4077</v>
      </c>
      <c r="J618" s="33" t="s">
        <v>4057</v>
      </c>
      <c r="K618" s="33" t="s">
        <v>4053</v>
      </c>
      <c r="O618" s="73">
        <v>4</v>
      </c>
      <c r="P618" s="74">
        <v>4</v>
      </c>
      <c r="Q618" s="75">
        <v>2</v>
      </c>
      <c r="R618" s="76">
        <v>2</v>
      </c>
      <c r="T618" s="78">
        <v>7</v>
      </c>
      <c r="U618" s="73">
        <v>7</v>
      </c>
      <c r="AD618" s="33" t="s">
        <v>6373</v>
      </c>
      <c r="AF618" s="33" t="s">
        <v>6374</v>
      </c>
      <c r="AI618" s="33" t="s">
        <v>6371</v>
      </c>
      <c r="AJ618" s="33" t="s">
        <v>6372</v>
      </c>
      <c r="AK618" s="33" t="s">
        <v>4077</v>
      </c>
      <c r="AL618" s="33" t="s">
        <v>4057</v>
      </c>
      <c r="AM618" s="33" t="s">
        <v>4053</v>
      </c>
      <c r="AP618" s="83"/>
      <c r="AQ618" s="85"/>
      <c r="AR618" s="86"/>
      <c r="AS618" s="87"/>
      <c r="AV618" s="85"/>
      <c r="AW618" s="93"/>
      <c r="AX618" s="94"/>
      <c r="AY618" s="90"/>
      <c r="BB618" s="91"/>
      <c r="BE618" s="33" t="s">
        <v>6373</v>
      </c>
      <c r="BG618" s="33" t="s">
        <v>6375</v>
      </c>
    </row>
    <row r="619" spans="1:59" ht="15" customHeight="1">
      <c r="A619" s="33" t="s">
        <v>6791</v>
      </c>
      <c r="B619" s="33" t="s">
        <v>6683</v>
      </c>
      <c r="C619" s="33" t="s">
        <v>6214</v>
      </c>
      <c r="D619" s="34">
        <v>3</v>
      </c>
      <c r="E619" s="33">
        <v>1</v>
      </c>
      <c r="G619" s="33" t="s">
        <v>6376</v>
      </c>
      <c r="H619" s="33" t="s">
        <v>6377</v>
      </c>
      <c r="I619" s="33" t="s">
        <v>4077</v>
      </c>
      <c r="J619" s="33" t="s">
        <v>4057</v>
      </c>
      <c r="K619" s="33" t="s">
        <v>4055</v>
      </c>
      <c r="O619" s="73">
        <v>4</v>
      </c>
      <c r="P619" s="74">
        <v>2</v>
      </c>
      <c r="Q619" s="75">
        <v>2</v>
      </c>
      <c r="R619" s="76">
        <v>4</v>
      </c>
      <c r="T619" s="78">
        <v>5</v>
      </c>
      <c r="U619" s="73">
        <v>9</v>
      </c>
      <c r="AD619" s="33" t="s">
        <v>6378</v>
      </c>
      <c r="AF619" s="33" t="s">
        <v>6379</v>
      </c>
      <c r="AI619" s="33" t="s">
        <v>6376</v>
      </c>
      <c r="AJ619" s="33" t="s">
        <v>6377</v>
      </c>
      <c r="AK619" s="33" t="s">
        <v>4077</v>
      </c>
      <c r="AL619" s="33" t="s">
        <v>4057</v>
      </c>
      <c r="AM619" s="33" t="s">
        <v>4055</v>
      </c>
      <c r="AP619" s="83"/>
      <c r="AQ619" s="85"/>
      <c r="AR619" s="86"/>
      <c r="AS619" s="87"/>
      <c r="AV619" s="85"/>
      <c r="AW619" s="93"/>
      <c r="AX619" s="94"/>
      <c r="AY619" s="90"/>
      <c r="BB619" s="91"/>
      <c r="BE619" s="33" t="s">
        <v>6378</v>
      </c>
      <c r="BG619" s="33" t="s">
        <v>6380</v>
      </c>
    </row>
    <row r="620" spans="1:59" ht="15" customHeight="1">
      <c r="A620" s="33" t="s">
        <v>6791</v>
      </c>
      <c r="B620" s="33" t="s">
        <v>6684</v>
      </c>
      <c r="C620" s="33" t="s">
        <v>6214</v>
      </c>
      <c r="D620" s="34">
        <v>4</v>
      </c>
      <c r="E620" s="33">
        <v>1</v>
      </c>
      <c r="G620" s="33" t="s">
        <v>6381</v>
      </c>
      <c r="H620" s="33" t="s">
        <v>6382</v>
      </c>
      <c r="I620" s="33" t="s">
        <v>4077</v>
      </c>
      <c r="J620" s="33" t="s">
        <v>4057</v>
      </c>
      <c r="K620" s="33" t="s">
        <v>4054</v>
      </c>
      <c r="O620" s="73">
        <v>5</v>
      </c>
      <c r="P620" s="74">
        <v>2</v>
      </c>
      <c r="Q620" s="75">
        <v>3</v>
      </c>
      <c r="R620" s="76">
        <v>3</v>
      </c>
      <c r="T620" s="78">
        <v>6</v>
      </c>
      <c r="U620" s="73">
        <v>8</v>
      </c>
      <c r="AD620" s="33" t="s">
        <v>4104</v>
      </c>
      <c r="AF620" s="33" t="s">
        <v>6383</v>
      </c>
      <c r="AI620" s="33" t="s">
        <v>6381</v>
      </c>
      <c r="AJ620" s="33" t="s">
        <v>6382</v>
      </c>
      <c r="AK620" s="33" t="s">
        <v>4077</v>
      </c>
      <c r="AL620" s="33" t="s">
        <v>4057</v>
      </c>
      <c r="AM620" s="33" t="s">
        <v>4054</v>
      </c>
      <c r="AP620" s="83"/>
      <c r="AQ620" s="85"/>
      <c r="AR620" s="86"/>
      <c r="AS620" s="87"/>
      <c r="AV620" s="85"/>
      <c r="AW620" s="93"/>
      <c r="AX620" s="94"/>
      <c r="AY620" s="90"/>
      <c r="BB620" s="91"/>
      <c r="BE620" s="33" t="s">
        <v>4104</v>
      </c>
      <c r="BG620" s="33" t="s">
        <v>6384</v>
      </c>
    </row>
    <row r="621" spans="1:59" ht="15" customHeight="1">
      <c r="A621" s="33" t="s">
        <v>6791</v>
      </c>
      <c r="B621" s="33" t="s">
        <v>6685</v>
      </c>
      <c r="C621" s="33" t="s">
        <v>6214</v>
      </c>
      <c r="D621" s="34">
        <v>5</v>
      </c>
      <c r="E621" s="33">
        <v>1</v>
      </c>
      <c r="G621" s="33" t="s">
        <v>6385</v>
      </c>
      <c r="H621" s="33" t="s">
        <v>6386</v>
      </c>
      <c r="I621" s="33" t="s">
        <v>4077</v>
      </c>
      <c r="J621" s="33" t="s">
        <v>4057</v>
      </c>
      <c r="K621" s="33" t="s">
        <v>4056</v>
      </c>
      <c r="O621" s="73">
        <v>3</v>
      </c>
      <c r="P621" s="74">
        <v>2</v>
      </c>
      <c r="Q621" s="75">
        <v>4</v>
      </c>
      <c r="R621" s="76">
        <v>3</v>
      </c>
      <c r="T621" s="78">
        <v>8</v>
      </c>
      <c r="U621" s="73">
        <v>6</v>
      </c>
      <c r="AD621" s="33" t="s">
        <v>6387</v>
      </c>
      <c r="AF621" s="33" t="s">
        <v>6388</v>
      </c>
      <c r="AI621" s="33" t="s">
        <v>6385</v>
      </c>
      <c r="AJ621" s="33" t="s">
        <v>6386</v>
      </c>
      <c r="AK621" s="33" t="s">
        <v>4077</v>
      </c>
      <c r="AL621" s="33" t="s">
        <v>4057</v>
      </c>
      <c r="AM621" s="33" t="s">
        <v>4056</v>
      </c>
      <c r="AP621" s="83"/>
      <c r="AQ621" s="85"/>
      <c r="AR621" s="86"/>
      <c r="AS621" s="87"/>
      <c r="AV621" s="85"/>
      <c r="AW621" s="93"/>
      <c r="AX621" s="94"/>
      <c r="AY621" s="90"/>
      <c r="BB621" s="91"/>
      <c r="BE621" s="33" t="s">
        <v>6387</v>
      </c>
      <c r="BG621" s="33" t="s">
        <v>6389</v>
      </c>
    </row>
    <row r="622" spans="1:59" ht="15" customHeight="1">
      <c r="A622" s="33" t="s">
        <v>6791</v>
      </c>
      <c r="B622" s="33" t="s">
        <v>6686</v>
      </c>
      <c r="C622" s="33" t="s">
        <v>6214</v>
      </c>
      <c r="D622" s="34">
        <v>6</v>
      </c>
      <c r="E622" s="33">
        <v>1</v>
      </c>
      <c r="G622" s="33" t="s">
        <v>6390</v>
      </c>
      <c r="H622" s="33" t="s">
        <v>6391</v>
      </c>
      <c r="I622" s="33" t="s">
        <v>4077</v>
      </c>
      <c r="J622" s="33" t="s">
        <v>4057</v>
      </c>
      <c r="K622" s="33" t="s">
        <v>26</v>
      </c>
      <c r="O622" s="73">
        <v>3</v>
      </c>
      <c r="P622" s="74">
        <v>3</v>
      </c>
      <c r="Q622" s="75">
        <v>3</v>
      </c>
      <c r="R622" s="76">
        <v>3</v>
      </c>
      <c r="T622" s="78">
        <v>6</v>
      </c>
      <c r="U622" s="73">
        <v>6</v>
      </c>
      <c r="AD622" s="33" t="s">
        <v>5184</v>
      </c>
      <c r="AF622" s="33" t="s">
        <v>6392</v>
      </c>
      <c r="AI622" s="33" t="s">
        <v>6390</v>
      </c>
      <c r="AJ622" s="33" t="s">
        <v>6391</v>
      </c>
      <c r="AK622" s="33" t="s">
        <v>4077</v>
      </c>
      <c r="AL622" s="33" t="s">
        <v>4057</v>
      </c>
      <c r="AM622" s="33" t="s">
        <v>26</v>
      </c>
      <c r="AP622" s="83"/>
      <c r="AQ622" s="85"/>
      <c r="AR622" s="86"/>
      <c r="AS622" s="87"/>
      <c r="AV622" s="85"/>
      <c r="AW622" s="93"/>
      <c r="AX622" s="94"/>
      <c r="AY622" s="90"/>
      <c r="BB622" s="91"/>
      <c r="BE622" s="33" t="s">
        <v>5184</v>
      </c>
      <c r="BG622" s="33" t="s">
        <v>6393</v>
      </c>
    </row>
    <row r="623" spans="1:59" ht="15" customHeight="1">
      <c r="A623" s="33" t="s">
        <v>6791</v>
      </c>
      <c r="B623" s="33" t="s">
        <v>6687</v>
      </c>
      <c r="C623" s="33" t="s">
        <v>6214</v>
      </c>
      <c r="D623" s="34">
        <v>7</v>
      </c>
      <c r="E623" s="33">
        <v>1</v>
      </c>
      <c r="G623" s="33" t="s">
        <v>6394</v>
      </c>
      <c r="J623" s="33" t="s">
        <v>4166</v>
      </c>
      <c r="K623" s="33" t="s">
        <v>26</v>
      </c>
      <c r="Q623" s="75">
        <v>4</v>
      </c>
      <c r="AB623" s="33" t="s">
        <v>6395</v>
      </c>
      <c r="AD623" s="33" t="s">
        <v>5668</v>
      </c>
      <c r="AF623" s="33" t="s">
        <v>6396</v>
      </c>
      <c r="AP623" s="83"/>
      <c r="AQ623" s="85"/>
      <c r="AR623" s="86"/>
      <c r="AS623" s="87"/>
      <c r="AV623" s="85"/>
      <c r="AW623" s="93"/>
      <c r="AX623" s="94"/>
      <c r="AY623" s="90"/>
      <c r="BB623" s="91"/>
    </row>
    <row r="624" spans="1:59" ht="15" customHeight="1">
      <c r="A624" s="33" t="s">
        <v>6791</v>
      </c>
      <c r="B624" s="33" t="s">
        <v>6688</v>
      </c>
      <c r="C624" s="33" t="s">
        <v>6214</v>
      </c>
      <c r="D624" s="34">
        <v>8</v>
      </c>
      <c r="E624" s="33">
        <v>1</v>
      </c>
      <c r="G624" s="33" t="s">
        <v>6397</v>
      </c>
      <c r="J624" s="33" t="s">
        <v>28</v>
      </c>
      <c r="K624" s="33" t="s">
        <v>26</v>
      </c>
      <c r="M624" s="33" t="s">
        <v>4502</v>
      </c>
      <c r="AD624" s="33" t="s">
        <v>5303</v>
      </c>
      <c r="AF624" s="33" t="s">
        <v>6398</v>
      </c>
      <c r="AP624" s="83"/>
      <c r="AQ624" s="85"/>
      <c r="AR624" s="86"/>
      <c r="AS624" s="87"/>
      <c r="AV624" s="85"/>
      <c r="AW624" s="93"/>
      <c r="AX624" s="94"/>
      <c r="AY624" s="90"/>
      <c r="BB624" s="91"/>
    </row>
    <row r="625" spans="1:59" ht="15" customHeight="1">
      <c r="A625" s="33" t="s">
        <v>6791</v>
      </c>
      <c r="B625" s="33" t="s">
        <v>6689</v>
      </c>
      <c r="C625" s="33" t="s">
        <v>6214</v>
      </c>
      <c r="D625" s="34">
        <v>9</v>
      </c>
      <c r="E625" s="33">
        <v>1</v>
      </c>
      <c r="G625" s="33" t="s">
        <v>6399</v>
      </c>
      <c r="H625" s="33" t="s">
        <v>6400</v>
      </c>
      <c r="I625" s="33" t="s">
        <v>4077</v>
      </c>
      <c r="J625" s="33" t="s">
        <v>4111</v>
      </c>
      <c r="K625" s="33" t="s">
        <v>26</v>
      </c>
      <c r="AD625" s="33" t="s">
        <v>6401</v>
      </c>
      <c r="AF625" s="33" t="s">
        <v>6402</v>
      </c>
      <c r="AI625" s="33" t="s">
        <v>6399</v>
      </c>
      <c r="AJ625" s="33" t="s">
        <v>6403</v>
      </c>
      <c r="AK625" s="33" t="s">
        <v>4077</v>
      </c>
      <c r="AL625" s="33" t="s">
        <v>4111</v>
      </c>
      <c r="AM625" s="33" t="s">
        <v>26</v>
      </c>
      <c r="AP625" s="83"/>
      <c r="AQ625" s="85"/>
      <c r="AR625" s="86"/>
      <c r="AS625" s="87"/>
      <c r="AV625" s="85"/>
      <c r="AW625" s="93"/>
      <c r="AX625" s="94"/>
      <c r="AY625" s="90"/>
      <c r="BB625" s="91"/>
      <c r="BE625" s="33" t="s">
        <v>6404</v>
      </c>
      <c r="BG625" s="33" t="s">
        <v>6405</v>
      </c>
    </row>
    <row r="626" spans="1:59" ht="15" customHeight="1">
      <c r="A626" s="33" t="s">
        <v>6791</v>
      </c>
      <c r="B626" s="33" t="s">
        <v>6690</v>
      </c>
      <c r="C626" s="33" t="s">
        <v>6214</v>
      </c>
      <c r="D626" s="34">
        <v>10</v>
      </c>
      <c r="E626" s="33">
        <v>1</v>
      </c>
      <c r="G626" s="33" t="s">
        <v>6406</v>
      </c>
      <c r="H626" s="33" t="s">
        <v>6407</v>
      </c>
      <c r="J626" s="33" t="s">
        <v>4111</v>
      </c>
      <c r="K626" s="33" t="s">
        <v>26</v>
      </c>
      <c r="N626" s="72">
        <v>3</v>
      </c>
      <c r="S626" s="123">
        <v>2</v>
      </c>
      <c r="AB626" s="33" t="s">
        <v>4936</v>
      </c>
      <c r="AD626" s="33" t="s">
        <v>4143</v>
      </c>
      <c r="AF626" s="33" t="s">
        <v>6408</v>
      </c>
      <c r="AP626" s="83"/>
      <c r="AQ626" s="85"/>
      <c r="AR626" s="86"/>
      <c r="AS626" s="87"/>
      <c r="AV626" s="85"/>
      <c r="AW626" s="93"/>
      <c r="AX626" s="94"/>
      <c r="AY626" s="90"/>
      <c r="BB626" s="91"/>
    </row>
    <row r="627" spans="1:59" ht="15" customHeight="1">
      <c r="A627" s="33" t="s">
        <v>6791</v>
      </c>
      <c r="B627" s="33" t="s">
        <v>6691</v>
      </c>
      <c r="C627" s="33" t="s">
        <v>6214</v>
      </c>
      <c r="D627" s="34">
        <v>11</v>
      </c>
      <c r="E627" s="33">
        <v>1</v>
      </c>
      <c r="G627" s="33" t="s">
        <v>6409</v>
      </c>
      <c r="H627" s="33" t="s">
        <v>6410</v>
      </c>
      <c r="J627" s="33" t="s">
        <v>4111</v>
      </c>
      <c r="K627" s="33" t="s">
        <v>26</v>
      </c>
      <c r="M627" s="33" t="s">
        <v>4502</v>
      </c>
      <c r="AC627" s="33" t="s">
        <v>4112</v>
      </c>
      <c r="AD627" s="33" t="s">
        <v>6411</v>
      </c>
      <c r="AF627" s="33" t="s">
        <v>6412</v>
      </c>
      <c r="AP627" s="83"/>
      <c r="AQ627" s="85"/>
      <c r="AR627" s="86"/>
      <c r="AS627" s="87"/>
      <c r="AV627" s="85"/>
      <c r="AW627" s="93"/>
      <c r="AX627" s="94"/>
      <c r="AY627" s="90"/>
      <c r="BB627" s="91"/>
    </row>
    <row r="628" spans="1:59" ht="15" customHeight="1">
      <c r="A628" s="33" t="s">
        <v>6791</v>
      </c>
      <c r="B628" s="33" t="s">
        <v>6692</v>
      </c>
      <c r="C628" s="33" t="s">
        <v>6214</v>
      </c>
      <c r="D628" s="34">
        <v>12</v>
      </c>
      <c r="E628" s="33">
        <v>3</v>
      </c>
      <c r="G628" s="33" t="s">
        <v>6413</v>
      </c>
      <c r="J628" s="33" t="s">
        <v>27</v>
      </c>
      <c r="K628" s="33" t="s">
        <v>26</v>
      </c>
      <c r="O628" s="73">
        <v>1</v>
      </c>
      <c r="R628" s="76">
        <v>1</v>
      </c>
      <c r="S628" s="123">
        <v>1</v>
      </c>
      <c r="AB628" s="33" t="s">
        <v>6414</v>
      </c>
      <c r="AD628" s="33" t="s">
        <v>4133</v>
      </c>
      <c r="AF628" s="33" t="s">
        <v>6415</v>
      </c>
      <c r="AP628" s="83"/>
      <c r="AQ628" s="85"/>
      <c r="AR628" s="86"/>
      <c r="AS628" s="87"/>
      <c r="AV628" s="85"/>
      <c r="AW628" s="93"/>
      <c r="AX628" s="94"/>
      <c r="AY628" s="90"/>
      <c r="BB628" s="91"/>
    </row>
    <row r="629" spans="1:59" ht="15" customHeight="1">
      <c r="A629" s="33" t="s">
        <v>6791</v>
      </c>
      <c r="B629" s="33" t="s">
        <v>6693</v>
      </c>
      <c r="C629" s="33" t="s">
        <v>6214</v>
      </c>
      <c r="D629" s="34">
        <v>13</v>
      </c>
      <c r="E629" s="33">
        <v>1</v>
      </c>
      <c r="G629" s="33" t="s">
        <v>6416</v>
      </c>
      <c r="J629" s="33" t="s">
        <v>28</v>
      </c>
      <c r="K629" s="33" t="s">
        <v>26</v>
      </c>
      <c r="M629" s="33" t="s">
        <v>4502</v>
      </c>
      <c r="AD629" s="33" t="s">
        <v>4293</v>
      </c>
      <c r="AF629" s="33" t="s">
        <v>6417</v>
      </c>
      <c r="AP629" s="83"/>
      <c r="AQ629" s="85"/>
      <c r="AR629" s="86"/>
      <c r="AS629" s="87"/>
      <c r="AV629" s="85"/>
      <c r="AW629" s="93"/>
      <c r="AX629" s="94"/>
      <c r="AY629" s="90"/>
      <c r="BB629" s="91"/>
    </row>
    <row r="630" spans="1:59" ht="15" customHeight="1">
      <c r="A630" s="33" t="s">
        <v>6791</v>
      </c>
      <c r="B630" s="33" t="s">
        <v>6694</v>
      </c>
      <c r="C630" s="33" t="s">
        <v>6214</v>
      </c>
      <c r="D630" s="34">
        <v>14</v>
      </c>
      <c r="E630" s="33">
        <v>1</v>
      </c>
      <c r="G630" s="33" t="s">
        <v>6418</v>
      </c>
      <c r="H630" s="33" t="s">
        <v>6419</v>
      </c>
      <c r="J630" s="33" t="s">
        <v>4111</v>
      </c>
      <c r="K630" s="33" t="s">
        <v>26</v>
      </c>
      <c r="N630" s="72">
        <v>2</v>
      </c>
      <c r="O630" s="73">
        <v>1</v>
      </c>
      <c r="P630" s="74">
        <v>1</v>
      </c>
      <c r="S630" s="123">
        <v>1</v>
      </c>
      <c r="AB630" s="33" t="s">
        <v>6420</v>
      </c>
      <c r="AD630" s="33" t="s">
        <v>6421</v>
      </c>
      <c r="AF630" s="33" t="s">
        <v>6422</v>
      </c>
      <c r="AP630" s="83"/>
      <c r="AQ630" s="85"/>
      <c r="AR630" s="86"/>
      <c r="AS630" s="87"/>
      <c r="AV630" s="85"/>
      <c r="AW630" s="93"/>
      <c r="AX630" s="94"/>
      <c r="AY630" s="90"/>
      <c r="BB630" s="91"/>
    </row>
    <row r="631" spans="1:59" ht="15" customHeight="1">
      <c r="A631" s="33" t="s">
        <v>6791</v>
      </c>
      <c r="B631" s="33" t="s">
        <v>6695</v>
      </c>
      <c r="C631" s="33" t="s">
        <v>6214</v>
      </c>
      <c r="D631" s="34">
        <v>15</v>
      </c>
      <c r="E631" s="33">
        <v>1</v>
      </c>
      <c r="G631" s="33" t="s">
        <v>6423</v>
      </c>
      <c r="J631" s="33" t="s">
        <v>28</v>
      </c>
      <c r="K631" s="33" t="s">
        <v>26</v>
      </c>
      <c r="M631" s="33" t="s">
        <v>4502</v>
      </c>
      <c r="AD631" s="33" t="s">
        <v>4116</v>
      </c>
      <c r="AF631" s="33" t="s">
        <v>6424</v>
      </c>
      <c r="AP631" s="83"/>
      <c r="AQ631" s="85"/>
      <c r="AR631" s="86"/>
      <c r="AS631" s="87"/>
      <c r="AV631" s="85"/>
      <c r="AW631" s="93"/>
      <c r="AX631" s="94"/>
      <c r="AY631" s="90"/>
      <c r="BB631" s="91"/>
    </row>
    <row r="632" spans="1:59" ht="15" customHeight="1">
      <c r="A632" s="33" t="s">
        <v>6791</v>
      </c>
      <c r="B632" s="33" t="s">
        <v>6696</v>
      </c>
      <c r="C632" s="33" t="s">
        <v>6214</v>
      </c>
      <c r="D632" s="34">
        <v>16</v>
      </c>
      <c r="E632" s="33">
        <v>1</v>
      </c>
      <c r="G632" s="33" t="s">
        <v>6425</v>
      </c>
      <c r="J632" s="33" t="s">
        <v>27</v>
      </c>
      <c r="K632" s="33" t="s">
        <v>26</v>
      </c>
      <c r="O632" s="73">
        <v>1</v>
      </c>
      <c r="Q632" s="75">
        <v>1</v>
      </c>
      <c r="S632" s="123">
        <v>1</v>
      </c>
      <c r="AA632" s="82">
        <v>1</v>
      </c>
      <c r="AB632" s="33" t="s">
        <v>6426</v>
      </c>
      <c r="AD632" s="33" t="s">
        <v>4116</v>
      </c>
      <c r="AF632" s="33" t="s">
        <v>6427</v>
      </c>
      <c r="AP632" s="83"/>
      <c r="AQ632" s="85"/>
      <c r="AR632" s="86"/>
      <c r="AS632" s="87"/>
      <c r="AV632" s="85"/>
      <c r="AW632" s="93"/>
      <c r="AX632" s="94"/>
      <c r="AY632" s="90"/>
      <c r="BB632" s="91"/>
    </row>
    <row r="633" spans="1:59" ht="15" customHeight="1">
      <c r="A633" s="33" t="s">
        <v>6791</v>
      </c>
      <c r="B633" s="33" t="s">
        <v>6697</v>
      </c>
      <c r="C633" s="33" t="s">
        <v>6214</v>
      </c>
      <c r="D633" s="34">
        <v>17</v>
      </c>
      <c r="E633" s="33">
        <v>1</v>
      </c>
      <c r="G633" s="33" t="s">
        <v>6428</v>
      </c>
      <c r="J633" s="33" t="s">
        <v>29</v>
      </c>
      <c r="K633" s="33" t="s">
        <v>26</v>
      </c>
      <c r="M633" s="33" t="s">
        <v>4502</v>
      </c>
      <c r="Q633" s="75">
        <v>3</v>
      </c>
      <c r="R633" s="76">
        <v>2</v>
      </c>
      <c r="T633" s="78">
        <v>3</v>
      </c>
      <c r="V633" s="79">
        <v>1</v>
      </c>
      <c r="W633" s="80">
        <v>1</v>
      </c>
      <c r="AD633" s="33" t="s">
        <v>4314</v>
      </c>
      <c r="AF633" s="33" t="s">
        <v>6429</v>
      </c>
      <c r="AP633" s="83"/>
      <c r="AQ633" s="85"/>
      <c r="AR633" s="86"/>
      <c r="AS633" s="87"/>
      <c r="AV633" s="85"/>
      <c r="AW633" s="93"/>
      <c r="AX633" s="94"/>
      <c r="AY633" s="90"/>
      <c r="BB633" s="91"/>
    </row>
    <row r="634" spans="1:59" ht="15" customHeight="1">
      <c r="A634" s="33" t="s">
        <v>6791</v>
      </c>
      <c r="B634" s="33" t="s">
        <v>6698</v>
      </c>
      <c r="C634" s="33" t="s">
        <v>6214</v>
      </c>
      <c r="D634" s="34">
        <v>18</v>
      </c>
      <c r="E634" s="33">
        <v>2</v>
      </c>
      <c r="G634" s="33" t="s">
        <v>6430</v>
      </c>
      <c r="J634" s="33" t="s">
        <v>27</v>
      </c>
      <c r="K634" s="33" t="s">
        <v>26</v>
      </c>
      <c r="N634" s="72">
        <v>0</v>
      </c>
      <c r="S634" s="123">
        <v>2</v>
      </c>
      <c r="AB634" s="33" t="s">
        <v>4936</v>
      </c>
      <c r="AD634" s="33" t="s">
        <v>4194</v>
      </c>
      <c r="AF634" s="33" t="s">
        <v>6431</v>
      </c>
      <c r="AP634" s="83"/>
      <c r="AQ634" s="85"/>
      <c r="AR634" s="86"/>
      <c r="AS634" s="87"/>
      <c r="AV634" s="85"/>
      <c r="AW634" s="93"/>
      <c r="AX634" s="94"/>
      <c r="AY634" s="90"/>
      <c r="BB634" s="91"/>
    </row>
    <row r="635" spans="1:59" ht="15" customHeight="1">
      <c r="A635" s="33" t="s">
        <v>6791</v>
      </c>
      <c r="B635" s="33" t="s">
        <v>6699</v>
      </c>
      <c r="C635" s="33" t="s">
        <v>6214</v>
      </c>
      <c r="D635" s="34">
        <v>19</v>
      </c>
      <c r="E635" s="33">
        <v>2</v>
      </c>
      <c r="G635" s="33" t="s">
        <v>6432</v>
      </c>
      <c r="J635" s="33" t="s">
        <v>28</v>
      </c>
      <c r="K635" s="33" t="s">
        <v>26</v>
      </c>
      <c r="M635" s="33" t="s">
        <v>4502</v>
      </c>
      <c r="AD635" s="33" t="s">
        <v>4138</v>
      </c>
      <c r="AF635" s="33" t="s">
        <v>6433</v>
      </c>
      <c r="AP635" s="83"/>
      <c r="AQ635" s="85"/>
      <c r="AR635" s="86"/>
      <c r="AS635" s="87"/>
      <c r="AV635" s="85"/>
      <c r="AW635" s="93"/>
      <c r="AX635" s="94"/>
      <c r="AY635" s="90"/>
      <c r="BB635" s="91"/>
    </row>
    <row r="636" spans="1:59" ht="15" customHeight="1">
      <c r="A636" s="33" t="s">
        <v>6791</v>
      </c>
      <c r="B636" s="33" t="s">
        <v>6700</v>
      </c>
      <c r="C636" s="33" t="s">
        <v>6214</v>
      </c>
      <c r="D636" s="34">
        <v>20</v>
      </c>
      <c r="E636" s="33">
        <v>2</v>
      </c>
      <c r="G636" s="33" t="s">
        <v>6434</v>
      </c>
      <c r="J636" s="33" t="s">
        <v>4111</v>
      </c>
      <c r="K636" s="33" t="s">
        <v>4052</v>
      </c>
      <c r="L636" s="33">
        <v>0</v>
      </c>
      <c r="N636" s="72">
        <v>3</v>
      </c>
      <c r="Q636" s="75">
        <v>1</v>
      </c>
      <c r="AB636" s="33" t="s">
        <v>4060</v>
      </c>
      <c r="AC636" s="33" t="s">
        <v>4112</v>
      </c>
      <c r="AD636" s="33" t="s">
        <v>4113</v>
      </c>
      <c r="AF636" s="33" t="s">
        <v>6435</v>
      </c>
      <c r="AP636" s="83"/>
      <c r="AQ636" s="85"/>
      <c r="AR636" s="86"/>
      <c r="AS636" s="87"/>
      <c r="AV636" s="85"/>
      <c r="AW636" s="93"/>
      <c r="AX636" s="94"/>
      <c r="AY636" s="90"/>
      <c r="BB636" s="91"/>
    </row>
    <row r="637" spans="1:59" ht="15" customHeight="1">
      <c r="A637" s="33" t="s">
        <v>6791</v>
      </c>
      <c r="B637" s="33" t="s">
        <v>6701</v>
      </c>
      <c r="C637" s="33" t="s">
        <v>6214</v>
      </c>
      <c r="D637" s="34">
        <v>21</v>
      </c>
      <c r="E637" s="33">
        <v>2</v>
      </c>
      <c r="G637" s="33" t="s">
        <v>6436</v>
      </c>
      <c r="J637" s="33" t="s">
        <v>4111</v>
      </c>
      <c r="K637" s="33" t="s">
        <v>4052</v>
      </c>
      <c r="L637" s="33">
        <v>0</v>
      </c>
      <c r="N637" s="72">
        <v>3</v>
      </c>
      <c r="O637" s="73">
        <v>1</v>
      </c>
      <c r="T637" s="78">
        <v>3</v>
      </c>
      <c r="AB637" s="33" t="s">
        <v>4058</v>
      </c>
      <c r="AD637" s="33" t="s">
        <v>4143</v>
      </c>
      <c r="AF637" s="33" t="s">
        <v>6437</v>
      </c>
      <c r="AP637" s="83"/>
      <c r="AQ637" s="85"/>
      <c r="AR637" s="86"/>
      <c r="AS637" s="87"/>
      <c r="AV637" s="85"/>
      <c r="AW637" s="93"/>
      <c r="AX637" s="94"/>
      <c r="AY637" s="90"/>
      <c r="BB637" s="91"/>
    </row>
    <row r="638" spans="1:59" ht="15" customHeight="1">
      <c r="A638" s="33" t="s">
        <v>6791</v>
      </c>
      <c r="B638" s="33" t="s">
        <v>6702</v>
      </c>
      <c r="C638" s="33" t="s">
        <v>6214</v>
      </c>
      <c r="D638" s="34">
        <v>22</v>
      </c>
      <c r="E638" s="33">
        <v>2</v>
      </c>
      <c r="G638" s="33" t="s">
        <v>6438</v>
      </c>
      <c r="J638" s="33" t="s">
        <v>27</v>
      </c>
      <c r="K638" s="33" t="s">
        <v>4052</v>
      </c>
      <c r="L638" s="33">
        <v>0</v>
      </c>
      <c r="N638" s="72">
        <v>0</v>
      </c>
      <c r="O638" s="73">
        <v>1</v>
      </c>
      <c r="Q638" s="75">
        <v>1</v>
      </c>
      <c r="AB638" s="33" t="s">
        <v>6033</v>
      </c>
      <c r="AD638" s="33" t="s">
        <v>5659</v>
      </c>
      <c r="AF638" s="33" t="s">
        <v>6439</v>
      </c>
      <c r="AP638" s="83"/>
      <c r="AQ638" s="85"/>
      <c r="AR638" s="86"/>
      <c r="AS638" s="87"/>
      <c r="AV638" s="85"/>
      <c r="AW638" s="93"/>
      <c r="AX638" s="94"/>
      <c r="AY638" s="90"/>
      <c r="BB638" s="91"/>
    </row>
    <row r="639" spans="1:59" ht="15" customHeight="1">
      <c r="A639" s="33" t="s">
        <v>6791</v>
      </c>
      <c r="B639" s="33" t="s">
        <v>6703</v>
      </c>
      <c r="C639" s="33" t="s">
        <v>6214</v>
      </c>
      <c r="D639" s="34">
        <v>23</v>
      </c>
      <c r="E639" s="33">
        <v>2</v>
      </c>
      <c r="G639" s="33" t="s">
        <v>6440</v>
      </c>
      <c r="J639" s="33" t="s">
        <v>27</v>
      </c>
      <c r="K639" s="33" t="s">
        <v>4052</v>
      </c>
      <c r="L639" s="33">
        <v>1</v>
      </c>
      <c r="N639" s="72">
        <v>0</v>
      </c>
      <c r="P639" s="74">
        <v>2</v>
      </c>
      <c r="AB639" s="33" t="s">
        <v>4938</v>
      </c>
      <c r="AD639" s="33" t="s">
        <v>4161</v>
      </c>
      <c r="AF639" s="33" t="s">
        <v>6441</v>
      </c>
      <c r="AP639" s="83"/>
      <c r="AQ639" s="85"/>
      <c r="AR639" s="86"/>
      <c r="AS639" s="87"/>
      <c r="AV639" s="85"/>
      <c r="AW639" s="93"/>
      <c r="AX639" s="94"/>
      <c r="AY639" s="90"/>
      <c r="BB639" s="91"/>
    </row>
    <row r="640" spans="1:59" ht="15" customHeight="1">
      <c r="A640" s="33" t="s">
        <v>6791</v>
      </c>
      <c r="B640" s="33" t="s">
        <v>6704</v>
      </c>
      <c r="C640" s="33" t="s">
        <v>6214</v>
      </c>
      <c r="D640" s="34">
        <v>24</v>
      </c>
      <c r="E640" s="33">
        <v>2</v>
      </c>
      <c r="G640" s="33" t="s">
        <v>6442</v>
      </c>
      <c r="J640" s="33" t="s">
        <v>4111</v>
      </c>
      <c r="K640" s="33" t="s">
        <v>4053</v>
      </c>
      <c r="L640" s="33">
        <v>0</v>
      </c>
      <c r="N640" s="72">
        <v>2</v>
      </c>
      <c r="R640" s="76">
        <v>1</v>
      </c>
      <c r="AB640" s="33" t="s">
        <v>4061</v>
      </c>
      <c r="AD640" s="33" t="s">
        <v>4143</v>
      </c>
      <c r="AF640" s="33" t="s">
        <v>6443</v>
      </c>
      <c r="AP640" s="83"/>
      <c r="AQ640" s="85"/>
      <c r="AR640" s="86"/>
      <c r="AS640" s="87"/>
      <c r="AV640" s="85"/>
      <c r="AW640" s="93"/>
      <c r="AX640" s="94"/>
      <c r="AY640" s="90"/>
      <c r="BB640" s="91"/>
    </row>
    <row r="641" spans="1:54" ht="15" customHeight="1">
      <c r="A641" s="33" t="s">
        <v>6791</v>
      </c>
      <c r="B641" s="33" t="s">
        <v>6705</v>
      </c>
      <c r="C641" s="33" t="s">
        <v>6214</v>
      </c>
      <c r="D641" s="34">
        <v>25</v>
      </c>
      <c r="E641" s="33">
        <v>2</v>
      </c>
      <c r="G641" s="33" t="s">
        <v>6444</v>
      </c>
      <c r="H641" s="33" t="s">
        <v>6445</v>
      </c>
      <c r="J641" s="33" t="s">
        <v>4111</v>
      </c>
      <c r="K641" s="33" t="s">
        <v>4053</v>
      </c>
      <c r="L641" s="33">
        <v>0</v>
      </c>
      <c r="N641" s="72">
        <v>0</v>
      </c>
      <c r="P641" s="74">
        <v>1</v>
      </c>
      <c r="AB641" s="33" t="s">
        <v>4059</v>
      </c>
      <c r="AC641" s="33" t="s">
        <v>4112</v>
      </c>
      <c r="AD641" s="33" t="s">
        <v>6446</v>
      </c>
      <c r="AF641" s="33" t="s">
        <v>6447</v>
      </c>
      <c r="AP641" s="83"/>
      <c r="AQ641" s="85"/>
      <c r="AR641" s="86"/>
      <c r="AS641" s="87"/>
      <c r="AV641" s="85"/>
      <c r="AW641" s="93"/>
      <c r="AX641" s="94"/>
      <c r="AY641" s="90"/>
      <c r="BB641" s="91"/>
    </row>
    <row r="642" spans="1:54" ht="15" customHeight="1">
      <c r="A642" s="33" t="s">
        <v>6791</v>
      </c>
      <c r="B642" s="33" t="s">
        <v>6706</v>
      </c>
      <c r="C642" s="33" t="s">
        <v>6214</v>
      </c>
      <c r="D642" s="34">
        <v>26</v>
      </c>
      <c r="E642" s="33">
        <v>2</v>
      </c>
      <c r="G642" s="33" t="s">
        <v>6448</v>
      </c>
      <c r="J642" s="33" t="s">
        <v>27</v>
      </c>
      <c r="K642" s="33" t="s">
        <v>4053</v>
      </c>
      <c r="L642" s="33">
        <v>0</v>
      </c>
      <c r="N642" s="72">
        <v>2</v>
      </c>
      <c r="S642" s="123">
        <v>1</v>
      </c>
      <c r="AB642" s="33" t="s">
        <v>4062</v>
      </c>
      <c r="AD642" s="33" t="s">
        <v>4194</v>
      </c>
      <c r="AF642" s="33" t="s">
        <v>6449</v>
      </c>
      <c r="AP642" s="83"/>
      <c r="AQ642" s="85"/>
      <c r="AR642" s="86"/>
      <c r="AS642" s="87"/>
      <c r="AV642" s="85"/>
      <c r="AW642" s="93"/>
      <c r="AX642" s="94"/>
      <c r="AY642" s="90"/>
      <c r="BB642" s="91"/>
    </row>
    <row r="643" spans="1:54" ht="15" customHeight="1">
      <c r="A643" s="33" t="s">
        <v>6791</v>
      </c>
      <c r="B643" s="33" t="s">
        <v>6707</v>
      </c>
      <c r="C643" s="33" t="s">
        <v>6214</v>
      </c>
      <c r="D643" s="34">
        <v>27</v>
      </c>
      <c r="E643" s="33">
        <v>2</v>
      </c>
      <c r="G643" s="33" t="s">
        <v>6450</v>
      </c>
      <c r="J643" s="33" t="s">
        <v>4111</v>
      </c>
      <c r="K643" s="33" t="s">
        <v>4053</v>
      </c>
      <c r="L643" s="33">
        <v>1</v>
      </c>
      <c r="N643" s="72">
        <v>3</v>
      </c>
      <c r="P643" s="74">
        <v>1</v>
      </c>
      <c r="AB643" s="33" t="s">
        <v>4059</v>
      </c>
      <c r="AD643" s="33" t="s">
        <v>4143</v>
      </c>
      <c r="AF643" s="33" t="s">
        <v>6451</v>
      </c>
      <c r="AP643" s="83"/>
      <c r="AQ643" s="85"/>
      <c r="AR643" s="86"/>
      <c r="AS643" s="87"/>
      <c r="AV643" s="85"/>
      <c r="AW643" s="93"/>
      <c r="AX643" s="94"/>
      <c r="AY643" s="90"/>
      <c r="BB643" s="91"/>
    </row>
    <row r="644" spans="1:54" ht="15" customHeight="1">
      <c r="A644" s="33" t="s">
        <v>6791</v>
      </c>
      <c r="B644" s="33" t="s">
        <v>6708</v>
      </c>
      <c r="C644" s="33" t="s">
        <v>6214</v>
      </c>
      <c r="D644" s="34">
        <v>28</v>
      </c>
      <c r="E644" s="33">
        <v>2</v>
      </c>
      <c r="G644" s="33" t="s">
        <v>6452</v>
      </c>
      <c r="J644" s="33" t="s">
        <v>4111</v>
      </c>
      <c r="K644" s="33" t="s">
        <v>4055</v>
      </c>
      <c r="L644" s="33">
        <v>0</v>
      </c>
      <c r="N644" s="72">
        <v>2</v>
      </c>
      <c r="R644" s="76">
        <v>1</v>
      </c>
      <c r="AB644" s="33" t="s">
        <v>4061</v>
      </c>
      <c r="AD644" s="33" t="s">
        <v>4143</v>
      </c>
      <c r="AF644" s="33" t="s">
        <v>6453</v>
      </c>
      <c r="AP644" s="83"/>
      <c r="AQ644" s="85"/>
      <c r="AR644" s="86"/>
      <c r="AS644" s="87"/>
      <c r="AV644" s="85"/>
      <c r="AW644" s="93"/>
      <c r="AX644" s="94"/>
      <c r="AY644" s="90"/>
      <c r="BB644" s="91"/>
    </row>
    <row r="645" spans="1:54" ht="15" customHeight="1">
      <c r="A645" s="33" t="s">
        <v>6791</v>
      </c>
      <c r="B645" s="33" t="s">
        <v>6709</v>
      </c>
      <c r="C645" s="33" t="s">
        <v>6214</v>
      </c>
      <c r="D645" s="34">
        <v>29</v>
      </c>
      <c r="E645" s="33">
        <v>2</v>
      </c>
      <c r="G645" s="33" t="s">
        <v>6454</v>
      </c>
      <c r="J645" s="33" t="s">
        <v>27</v>
      </c>
      <c r="K645" s="33" t="s">
        <v>4055</v>
      </c>
      <c r="L645" s="33">
        <v>0</v>
      </c>
      <c r="N645" s="72">
        <v>1</v>
      </c>
      <c r="P645" s="74">
        <v>1</v>
      </c>
      <c r="R645" s="76">
        <v>1</v>
      </c>
      <c r="AB645" s="33" t="s">
        <v>6169</v>
      </c>
      <c r="AD645" s="33" t="s">
        <v>5266</v>
      </c>
      <c r="AF645" s="33" t="s">
        <v>6455</v>
      </c>
      <c r="AP645" s="83"/>
      <c r="AQ645" s="85"/>
      <c r="AR645" s="86"/>
      <c r="AS645" s="87"/>
      <c r="AV645" s="85"/>
      <c r="AW645" s="93"/>
      <c r="AX645" s="94"/>
      <c r="AY645" s="90"/>
      <c r="BB645" s="91"/>
    </row>
    <row r="646" spans="1:54" ht="15" customHeight="1">
      <c r="A646" s="33" t="s">
        <v>6791</v>
      </c>
      <c r="B646" s="33" t="s">
        <v>6710</v>
      </c>
      <c r="C646" s="33" t="s">
        <v>6214</v>
      </c>
      <c r="D646" s="34">
        <v>30</v>
      </c>
      <c r="E646" s="33">
        <v>2</v>
      </c>
      <c r="G646" s="33" t="s">
        <v>6456</v>
      </c>
      <c r="J646" s="33" t="s">
        <v>27</v>
      </c>
      <c r="K646" s="33" t="s">
        <v>4055</v>
      </c>
      <c r="L646" s="33">
        <v>0</v>
      </c>
      <c r="N646" s="72">
        <v>0</v>
      </c>
      <c r="S646" s="123">
        <v>1</v>
      </c>
      <c r="AB646" s="33" t="s">
        <v>4062</v>
      </c>
      <c r="AD646" s="33" t="s">
        <v>6457</v>
      </c>
      <c r="AF646" s="33" t="s">
        <v>6458</v>
      </c>
      <c r="AP646" s="83"/>
      <c r="AQ646" s="85"/>
      <c r="AR646" s="86"/>
      <c r="AS646" s="87"/>
      <c r="AV646" s="85"/>
      <c r="AW646" s="93"/>
      <c r="AX646" s="94"/>
      <c r="AY646" s="90"/>
      <c r="BB646" s="91"/>
    </row>
    <row r="647" spans="1:54" ht="15" customHeight="1">
      <c r="A647" s="33" t="s">
        <v>6791</v>
      </c>
      <c r="B647" s="33" t="s">
        <v>6711</v>
      </c>
      <c r="C647" s="33" t="s">
        <v>6214</v>
      </c>
      <c r="D647" s="34">
        <v>31</v>
      </c>
      <c r="E647" s="33">
        <v>2</v>
      </c>
      <c r="G647" s="33" t="s">
        <v>6459</v>
      </c>
      <c r="J647" s="33" t="s">
        <v>4111</v>
      </c>
      <c r="K647" s="33" t="s">
        <v>4055</v>
      </c>
      <c r="L647" s="33">
        <v>1</v>
      </c>
      <c r="N647" s="72">
        <v>3</v>
      </c>
      <c r="P647" s="74">
        <v>1</v>
      </c>
      <c r="AB647" s="33" t="s">
        <v>4059</v>
      </c>
      <c r="AC647" s="33" t="s">
        <v>4112</v>
      </c>
      <c r="AD647" s="33" t="s">
        <v>6460</v>
      </c>
      <c r="AF647" s="33" t="s">
        <v>6461</v>
      </c>
      <c r="AP647" s="83"/>
      <c r="AQ647" s="85"/>
      <c r="AR647" s="86"/>
      <c r="AS647" s="87"/>
      <c r="AV647" s="85"/>
      <c r="AW647" s="93"/>
      <c r="AX647" s="94"/>
      <c r="AY647" s="90"/>
      <c r="BB647" s="91"/>
    </row>
    <row r="648" spans="1:54" ht="15" customHeight="1">
      <c r="A648" s="33" t="s">
        <v>6791</v>
      </c>
      <c r="B648" s="33" t="s">
        <v>6712</v>
      </c>
      <c r="C648" s="33" t="s">
        <v>6214</v>
      </c>
      <c r="D648" s="34">
        <v>32</v>
      </c>
      <c r="E648" s="33">
        <v>2</v>
      </c>
      <c r="G648" s="33" t="s">
        <v>6462</v>
      </c>
      <c r="J648" s="33" t="s">
        <v>4111</v>
      </c>
      <c r="K648" s="33" t="s">
        <v>4054</v>
      </c>
      <c r="L648" s="33">
        <v>0</v>
      </c>
      <c r="N648" s="72">
        <v>1</v>
      </c>
      <c r="O648" s="73">
        <v>1</v>
      </c>
      <c r="AB648" s="33" t="s">
        <v>4058</v>
      </c>
      <c r="AC648" s="33" t="s">
        <v>4232</v>
      </c>
      <c r="AD648" s="33" t="s">
        <v>4133</v>
      </c>
      <c r="AF648" s="33" t="s">
        <v>6463</v>
      </c>
      <c r="AP648" s="83"/>
      <c r="AQ648" s="85"/>
      <c r="AR648" s="86"/>
      <c r="AS648" s="87"/>
      <c r="AV648" s="85"/>
      <c r="AW648" s="93"/>
      <c r="AX648" s="94"/>
      <c r="AY648" s="90"/>
      <c r="BB648" s="91"/>
    </row>
    <row r="649" spans="1:54" ht="15" customHeight="1">
      <c r="A649" s="33" t="s">
        <v>6791</v>
      </c>
      <c r="B649" s="33" t="s">
        <v>6713</v>
      </c>
      <c r="C649" s="33" t="s">
        <v>6214</v>
      </c>
      <c r="D649" s="34">
        <v>33</v>
      </c>
      <c r="E649" s="33">
        <v>2</v>
      </c>
      <c r="G649" s="33" t="s">
        <v>6464</v>
      </c>
      <c r="J649" s="33" t="s">
        <v>27</v>
      </c>
      <c r="K649" s="33" t="s">
        <v>4054</v>
      </c>
      <c r="L649" s="33">
        <v>0</v>
      </c>
      <c r="N649" s="72">
        <v>0</v>
      </c>
      <c r="O649" s="73">
        <v>2</v>
      </c>
      <c r="AB649" s="33" t="s">
        <v>4948</v>
      </c>
      <c r="AD649" s="33" t="s">
        <v>5659</v>
      </c>
      <c r="AF649" s="33" t="s">
        <v>6465</v>
      </c>
      <c r="AP649" s="83"/>
      <c r="AQ649" s="85"/>
      <c r="AR649" s="86"/>
      <c r="AS649" s="87"/>
      <c r="AV649" s="85"/>
      <c r="AW649" s="93"/>
      <c r="AX649" s="94"/>
      <c r="AY649" s="90"/>
      <c r="BB649" s="91"/>
    </row>
    <row r="650" spans="1:54" ht="15" customHeight="1">
      <c r="A650" s="33" t="s">
        <v>6791</v>
      </c>
      <c r="B650" s="33" t="s">
        <v>6714</v>
      </c>
      <c r="C650" s="33" t="s">
        <v>6214</v>
      </c>
      <c r="D650" s="34">
        <v>34</v>
      </c>
      <c r="E650" s="33">
        <v>2</v>
      </c>
      <c r="G650" s="33" t="s">
        <v>6466</v>
      </c>
      <c r="J650" s="33" t="s">
        <v>27</v>
      </c>
      <c r="K650" s="33" t="s">
        <v>4054</v>
      </c>
      <c r="L650" s="33">
        <v>0</v>
      </c>
      <c r="N650" s="72">
        <v>3</v>
      </c>
      <c r="O650" s="73">
        <v>1</v>
      </c>
      <c r="R650" s="76">
        <v>1</v>
      </c>
      <c r="AB650" s="33" t="s">
        <v>6042</v>
      </c>
      <c r="AD650" s="33" t="s">
        <v>4133</v>
      </c>
      <c r="AF650" s="33" t="s">
        <v>6467</v>
      </c>
      <c r="AP650" s="83"/>
      <c r="AQ650" s="85"/>
      <c r="AR650" s="86"/>
      <c r="AS650" s="87"/>
      <c r="AV650" s="85"/>
      <c r="AW650" s="93"/>
      <c r="AX650" s="94"/>
      <c r="AY650" s="90"/>
      <c r="BB650" s="91"/>
    </row>
    <row r="651" spans="1:54" ht="15" customHeight="1">
      <c r="A651" s="33" t="s">
        <v>6791</v>
      </c>
      <c r="B651" s="33" t="s">
        <v>6715</v>
      </c>
      <c r="C651" s="33" t="s">
        <v>6214</v>
      </c>
      <c r="D651" s="34">
        <v>35</v>
      </c>
      <c r="E651" s="33">
        <v>2</v>
      </c>
      <c r="G651" s="33" t="s">
        <v>6468</v>
      </c>
      <c r="J651" s="33" t="s">
        <v>4111</v>
      </c>
      <c r="K651" s="33" t="s">
        <v>4054</v>
      </c>
      <c r="L651" s="33">
        <v>1</v>
      </c>
      <c r="N651" s="72">
        <v>3</v>
      </c>
      <c r="Q651" s="75">
        <v>1</v>
      </c>
      <c r="AB651" s="33" t="s">
        <v>4060</v>
      </c>
      <c r="AC651" s="33" t="s">
        <v>4112</v>
      </c>
      <c r="AD651" s="33" t="s">
        <v>6469</v>
      </c>
      <c r="AF651" s="33" t="s">
        <v>6470</v>
      </c>
      <c r="AP651" s="83"/>
      <c r="AQ651" s="85"/>
      <c r="AR651" s="86"/>
      <c r="AS651" s="87"/>
      <c r="AV651" s="85"/>
      <c r="AW651" s="93"/>
      <c r="AX651" s="94"/>
      <c r="AY651" s="90"/>
      <c r="BB651" s="91"/>
    </row>
    <row r="652" spans="1:54" ht="15" customHeight="1">
      <c r="A652" s="33" t="s">
        <v>6791</v>
      </c>
      <c r="B652" s="33" t="s">
        <v>6716</v>
      </c>
      <c r="C652" s="33" t="s">
        <v>6214</v>
      </c>
      <c r="D652" s="34">
        <v>36</v>
      </c>
      <c r="E652" s="33">
        <v>2</v>
      </c>
      <c r="G652" s="33" t="s">
        <v>6471</v>
      </c>
      <c r="J652" s="33" t="s">
        <v>4111</v>
      </c>
      <c r="K652" s="33" t="s">
        <v>4056</v>
      </c>
      <c r="L652" s="33">
        <v>0</v>
      </c>
      <c r="N652" s="72">
        <v>2</v>
      </c>
      <c r="P652" s="74">
        <v>1</v>
      </c>
      <c r="AB652" s="33" t="s">
        <v>4059</v>
      </c>
      <c r="AC652" s="33" t="s">
        <v>4112</v>
      </c>
      <c r="AD652" s="33" t="s">
        <v>4179</v>
      </c>
      <c r="AF652" s="33" t="s">
        <v>6472</v>
      </c>
      <c r="AP652" s="83"/>
      <c r="AQ652" s="85"/>
      <c r="AR652" s="86"/>
      <c r="AS652" s="87"/>
      <c r="AV652" s="85"/>
      <c r="AW652" s="93"/>
      <c r="AX652" s="94"/>
      <c r="AY652" s="90"/>
      <c r="BB652" s="91"/>
    </row>
    <row r="653" spans="1:54" ht="15" customHeight="1">
      <c r="A653" s="33" t="s">
        <v>6791</v>
      </c>
      <c r="B653" s="33" t="s">
        <v>6717</v>
      </c>
      <c r="C653" s="33" t="s">
        <v>6214</v>
      </c>
      <c r="D653" s="34">
        <v>37</v>
      </c>
      <c r="E653" s="33">
        <v>2</v>
      </c>
      <c r="G653" s="33" t="s">
        <v>6473</v>
      </c>
      <c r="J653" s="33" t="s">
        <v>4111</v>
      </c>
      <c r="K653" s="33" t="s">
        <v>4056</v>
      </c>
      <c r="L653" s="33">
        <v>0</v>
      </c>
      <c r="N653" s="72">
        <v>2</v>
      </c>
      <c r="Q653" s="75">
        <v>1</v>
      </c>
      <c r="AB653" s="33" t="s">
        <v>4060</v>
      </c>
      <c r="AC653" s="33" t="s">
        <v>4112</v>
      </c>
      <c r="AD653" s="33" t="s">
        <v>6474</v>
      </c>
      <c r="AF653" s="33" t="s">
        <v>6475</v>
      </c>
      <c r="AP653" s="83"/>
      <c r="AQ653" s="85"/>
      <c r="AR653" s="86"/>
      <c r="AS653" s="87"/>
      <c r="AV653" s="85"/>
      <c r="AW653" s="93"/>
      <c r="AX653" s="94"/>
      <c r="AY653" s="90"/>
      <c r="BB653" s="91"/>
    </row>
    <row r="654" spans="1:54" ht="15" customHeight="1">
      <c r="A654" s="33" t="s">
        <v>6791</v>
      </c>
      <c r="B654" s="33" t="s">
        <v>6718</v>
      </c>
      <c r="C654" s="33" t="s">
        <v>6214</v>
      </c>
      <c r="D654" s="34">
        <v>38</v>
      </c>
      <c r="E654" s="33">
        <v>2</v>
      </c>
      <c r="G654" s="33" t="s">
        <v>6476</v>
      </c>
      <c r="J654" s="33" t="s">
        <v>27</v>
      </c>
      <c r="K654" s="33" t="s">
        <v>4056</v>
      </c>
      <c r="L654" s="33">
        <v>0</v>
      </c>
      <c r="N654" s="72">
        <v>1</v>
      </c>
      <c r="R654" s="76">
        <v>2</v>
      </c>
      <c r="AB654" s="33" t="s">
        <v>4949</v>
      </c>
      <c r="AD654" s="33" t="s">
        <v>6477</v>
      </c>
      <c r="AF654" s="33" t="s">
        <v>6478</v>
      </c>
      <c r="AP654" s="83"/>
      <c r="AQ654" s="85"/>
      <c r="AR654" s="86"/>
      <c r="AS654" s="87"/>
      <c r="AV654" s="85"/>
      <c r="AW654" s="93"/>
      <c r="AX654" s="94"/>
      <c r="AY654" s="90"/>
      <c r="BB654" s="91"/>
    </row>
    <row r="655" spans="1:54" ht="15" customHeight="1">
      <c r="A655" s="33" t="s">
        <v>6791</v>
      </c>
      <c r="B655" s="33" t="s">
        <v>6719</v>
      </c>
      <c r="C655" s="33" t="s">
        <v>6214</v>
      </c>
      <c r="D655" s="34">
        <v>39</v>
      </c>
      <c r="E655" s="33">
        <v>2</v>
      </c>
      <c r="G655" s="33" t="s">
        <v>6479</v>
      </c>
      <c r="J655" s="33" t="s">
        <v>4166</v>
      </c>
      <c r="K655" s="33" t="s">
        <v>4056</v>
      </c>
      <c r="L655" s="33">
        <v>0</v>
      </c>
      <c r="P655" s="74">
        <v>1</v>
      </c>
      <c r="Q655" s="75">
        <v>1</v>
      </c>
      <c r="R655" s="76">
        <v>1</v>
      </c>
      <c r="AB655" s="33" t="s">
        <v>6480</v>
      </c>
      <c r="AD655" s="33" t="s">
        <v>4266</v>
      </c>
      <c r="AF655" s="33" t="s">
        <v>6481</v>
      </c>
      <c r="AP655" s="83"/>
      <c r="AQ655" s="85"/>
      <c r="AR655" s="86"/>
      <c r="AS655" s="87"/>
      <c r="AV655" s="85"/>
      <c r="AW655" s="93"/>
      <c r="AX655" s="94"/>
      <c r="AY655" s="90"/>
      <c r="BB655" s="91"/>
    </row>
    <row r="656" spans="1:54" ht="15" customHeight="1">
      <c r="A656" s="33" t="s">
        <v>6791</v>
      </c>
      <c r="B656" s="33" t="s">
        <v>6720</v>
      </c>
      <c r="C656" s="33" t="s">
        <v>6214</v>
      </c>
      <c r="D656" s="34">
        <v>40</v>
      </c>
      <c r="E656" s="33">
        <v>2</v>
      </c>
      <c r="G656" s="33" t="s">
        <v>6482</v>
      </c>
      <c r="J656" s="33" t="s">
        <v>28</v>
      </c>
      <c r="K656" s="33" t="s">
        <v>26</v>
      </c>
      <c r="M656" s="33" t="s">
        <v>4545</v>
      </c>
      <c r="AD656" s="33" t="s">
        <v>5303</v>
      </c>
      <c r="AF656" s="33" t="s">
        <v>6483</v>
      </c>
      <c r="AP656" s="83"/>
      <c r="AQ656" s="85"/>
      <c r="AR656" s="86"/>
      <c r="AS656" s="87"/>
      <c r="AV656" s="85"/>
      <c r="AW656" s="93"/>
      <c r="AX656" s="94"/>
      <c r="AY656" s="90"/>
      <c r="BB656" s="91"/>
    </row>
    <row r="657" spans="1:59" ht="15" customHeight="1">
      <c r="A657" s="33" t="s">
        <v>6791</v>
      </c>
      <c r="B657" s="33" t="s">
        <v>6721</v>
      </c>
      <c r="C657" s="33" t="s">
        <v>6214</v>
      </c>
      <c r="D657" s="34">
        <v>41</v>
      </c>
      <c r="E657" s="33">
        <v>1</v>
      </c>
      <c r="G657" s="33" t="s">
        <v>6484</v>
      </c>
      <c r="J657" s="33" t="s">
        <v>28</v>
      </c>
      <c r="K657" s="33" t="s">
        <v>26</v>
      </c>
      <c r="M657" s="33" t="s">
        <v>4545</v>
      </c>
      <c r="AD657" s="33" t="s">
        <v>6485</v>
      </c>
      <c r="AF657" s="33" t="s">
        <v>6486</v>
      </c>
      <c r="AP657" s="83"/>
      <c r="AQ657" s="85"/>
      <c r="AR657" s="86"/>
      <c r="AS657" s="87"/>
      <c r="AV657" s="85"/>
      <c r="AW657" s="93"/>
      <c r="AX657" s="94"/>
      <c r="AY657" s="90"/>
      <c r="BB657" s="91"/>
    </row>
    <row r="658" spans="1:59" ht="15" customHeight="1">
      <c r="A658" s="33" t="s">
        <v>6791</v>
      </c>
      <c r="B658" s="33" t="s">
        <v>6722</v>
      </c>
      <c r="C658" s="33" t="s">
        <v>6214</v>
      </c>
      <c r="D658" s="34">
        <v>42</v>
      </c>
      <c r="E658" s="33">
        <v>1</v>
      </c>
      <c r="G658" s="33" t="s">
        <v>6487</v>
      </c>
      <c r="I658" s="33" t="s">
        <v>4077</v>
      </c>
      <c r="J658" s="33" t="s">
        <v>29</v>
      </c>
      <c r="K658" s="33" t="s">
        <v>26</v>
      </c>
      <c r="M658" s="33" t="s">
        <v>4545</v>
      </c>
      <c r="Q658" s="75">
        <v>3</v>
      </c>
      <c r="R658" s="76">
        <v>3</v>
      </c>
      <c r="T658" s="78">
        <v>2</v>
      </c>
      <c r="V658" s="79">
        <v>1</v>
      </c>
      <c r="W658" s="80">
        <v>1</v>
      </c>
      <c r="AD658" s="33" t="s">
        <v>6488</v>
      </c>
      <c r="AF658" s="33" t="s">
        <v>6489</v>
      </c>
      <c r="AP658" s="83"/>
      <c r="AQ658" s="85"/>
      <c r="AR658" s="86"/>
      <c r="AS658" s="87"/>
      <c r="AV658" s="85"/>
      <c r="AW658" s="93"/>
      <c r="AX658" s="94"/>
      <c r="AY658" s="90"/>
      <c r="BB658" s="91"/>
    </row>
    <row r="659" spans="1:59" ht="15" customHeight="1">
      <c r="A659" s="33" t="s">
        <v>6791</v>
      </c>
      <c r="B659" s="33" t="s">
        <v>6723</v>
      </c>
      <c r="C659" s="33" t="s">
        <v>6214</v>
      </c>
      <c r="D659" s="34">
        <v>43</v>
      </c>
      <c r="E659" s="33">
        <v>1</v>
      </c>
      <c r="F659" s="33" t="s">
        <v>6490</v>
      </c>
      <c r="G659" s="33" t="s">
        <v>6490</v>
      </c>
      <c r="H659" s="43" t="s">
        <v>4563</v>
      </c>
      <c r="J659" s="33" t="s">
        <v>4472</v>
      </c>
      <c r="AF659" s="33" t="s">
        <v>6491</v>
      </c>
      <c r="AI659" s="33" t="s">
        <v>6490</v>
      </c>
      <c r="AJ659" s="33" t="s">
        <v>4564</v>
      </c>
      <c r="AL659" s="33" t="s">
        <v>4472</v>
      </c>
      <c r="AM659" s="33" t="s">
        <v>6280</v>
      </c>
      <c r="AP659" s="83"/>
      <c r="AQ659" s="85"/>
      <c r="AR659" s="86"/>
      <c r="AS659" s="87"/>
      <c r="AV659" s="85"/>
      <c r="AW659" s="93"/>
      <c r="AX659" s="94"/>
      <c r="AY659" s="90"/>
      <c r="BB659" s="91"/>
      <c r="BG659" s="33" t="s">
        <v>6492</v>
      </c>
    </row>
    <row r="660" spans="1:59" ht="15" customHeight="1">
      <c r="A660" s="33" t="s">
        <v>6791</v>
      </c>
      <c r="B660" s="33" t="s">
        <v>6724</v>
      </c>
      <c r="C660" s="33" t="s">
        <v>6214</v>
      </c>
      <c r="D660" s="34">
        <v>44</v>
      </c>
      <c r="E660" s="33">
        <v>1</v>
      </c>
      <c r="F660" s="33" t="s">
        <v>6490</v>
      </c>
      <c r="G660" s="33" t="s">
        <v>6493</v>
      </c>
      <c r="J660" s="33" t="s">
        <v>4473</v>
      </c>
      <c r="L660" s="33">
        <v>1</v>
      </c>
      <c r="Z660" s="78">
        <v>6</v>
      </c>
      <c r="AI660" s="33" t="s">
        <v>6494</v>
      </c>
      <c r="AL660" s="33" t="s">
        <v>4473</v>
      </c>
      <c r="AM660" s="33" t="s">
        <v>6280</v>
      </c>
      <c r="AN660" s="33">
        <v>1</v>
      </c>
      <c r="AP660" s="83"/>
      <c r="AQ660" s="85"/>
      <c r="AR660" s="86"/>
      <c r="AS660" s="87"/>
      <c r="AV660" s="85"/>
      <c r="AW660" s="93"/>
      <c r="AX660" s="94"/>
      <c r="AY660" s="90"/>
      <c r="BB660" s="91"/>
      <c r="BG660" s="33" t="s">
        <v>6495</v>
      </c>
    </row>
    <row r="661" spans="1:59" ht="15" customHeight="1">
      <c r="A661" s="33" t="s">
        <v>6791</v>
      </c>
      <c r="B661" s="33" t="s">
        <v>6725</v>
      </c>
      <c r="C661" s="33" t="s">
        <v>6214</v>
      </c>
      <c r="D661" s="34">
        <v>45</v>
      </c>
      <c r="E661" s="33">
        <v>1</v>
      </c>
      <c r="F661" s="33" t="s">
        <v>6490</v>
      </c>
      <c r="G661" s="33" t="s">
        <v>6496</v>
      </c>
      <c r="J661" s="33" t="s">
        <v>4473</v>
      </c>
      <c r="L661" s="33">
        <v>2</v>
      </c>
      <c r="Z661" s="78">
        <v>6</v>
      </c>
      <c r="AF661" s="33" t="s">
        <v>6497</v>
      </c>
      <c r="AI661" s="33" t="s">
        <v>6498</v>
      </c>
      <c r="AL661" s="33" t="s">
        <v>4473</v>
      </c>
      <c r="AM661" s="33" t="s">
        <v>6280</v>
      </c>
      <c r="AN661" s="33">
        <v>2</v>
      </c>
      <c r="AP661" s="83"/>
      <c r="AQ661" s="85"/>
      <c r="AR661" s="86"/>
      <c r="AS661" s="87"/>
      <c r="AV661" s="85"/>
      <c r="AW661" s="93"/>
      <c r="AX661" s="94"/>
      <c r="AY661" s="90"/>
      <c r="BB661" s="91"/>
      <c r="BG661" s="33" t="s">
        <v>6499</v>
      </c>
    </row>
    <row r="662" spans="1:59" ht="15" customHeight="1">
      <c r="A662" s="33" t="s">
        <v>6791</v>
      </c>
      <c r="B662" s="33" t="s">
        <v>6726</v>
      </c>
      <c r="C662" s="33" t="s">
        <v>6214</v>
      </c>
      <c r="D662" s="34">
        <v>46</v>
      </c>
      <c r="E662" s="33">
        <v>1</v>
      </c>
      <c r="F662" s="33" t="s">
        <v>6490</v>
      </c>
      <c r="G662" s="33" t="s">
        <v>6500</v>
      </c>
      <c r="J662" s="33" t="s">
        <v>4475</v>
      </c>
      <c r="L662" s="33">
        <v>1</v>
      </c>
      <c r="Y662" s="76" t="s">
        <v>4966</v>
      </c>
      <c r="AI662" s="33" t="s">
        <v>6501</v>
      </c>
      <c r="AL662" s="33" t="s">
        <v>4475</v>
      </c>
      <c r="AM662" s="33" t="s">
        <v>6280</v>
      </c>
      <c r="AN662" s="33">
        <v>1</v>
      </c>
      <c r="AP662" s="83"/>
      <c r="AQ662" s="85"/>
      <c r="AR662" s="86"/>
      <c r="AS662" s="87"/>
      <c r="AV662" s="85"/>
      <c r="AW662" s="93"/>
      <c r="AX662" s="94"/>
      <c r="AY662" s="90"/>
      <c r="BB662" s="91"/>
      <c r="BG662" s="33" t="s">
        <v>6502</v>
      </c>
    </row>
    <row r="663" spans="1:59" ht="15" customHeight="1">
      <c r="A663" s="33" t="s">
        <v>6791</v>
      </c>
      <c r="B663" s="33" t="s">
        <v>6727</v>
      </c>
      <c r="C663" s="33" t="s">
        <v>6214</v>
      </c>
      <c r="D663" s="34">
        <v>47</v>
      </c>
      <c r="E663" s="33">
        <v>1</v>
      </c>
      <c r="F663" s="33" t="s">
        <v>6490</v>
      </c>
      <c r="G663" s="33" t="s">
        <v>6503</v>
      </c>
      <c r="J663" s="33" t="s">
        <v>4475</v>
      </c>
      <c r="L663" s="33">
        <v>2</v>
      </c>
      <c r="Y663" s="76" t="s">
        <v>38</v>
      </c>
      <c r="AF663" s="33" t="s">
        <v>6504</v>
      </c>
      <c r="AI663" s="33" t="s">
        <v>6505</v>
      </c>
      <c r="AL663" s="33" t="s">
        <v>4475</v>
      </c>
      <c r="AM663" s="33" t="s">
        <v>6280</v>
      </c>
      <c r="AN663" s="33">
        <v>2</v>
      </c>
      <c r="AP663" s="83"/>
      <c r="AQ663" s="85"/>
      <c r="AR663" s="86"/>
      <c r="AS663" s="87"/>
      <c r="AV663" s="85"/>
      <c r="AW663" s="93"/>
      <c r="AX663" s="94"/>
      <c r="AY663" s="90"/>
      <c r="BB663" s="91"/>
      <c r="BG663" s="33" t="s">
        <v>6506</v>
      </c>
    </row>
    <row r="664" spans="1:59" ht="15" customHeight="1">
      <c r="A664" s="33" t="s">
        <v>6791</v>
      </c>
      <c r="B664" s="33" t="s">
        <v>6728</v>
      </c>
      <c r="C664" s="33" t="s">
        <v>6214</v>
      </c>
      <c r="D664" s="34">
        <v>47</v>
      </c>
      <c r="E664" s="33">
        <v>1</v>
      </c>
      <c r="F664" s="33" t="s">
        <v>6490</v>
      </c>
      <c r="G664" s="33" t="s">
        <v>6503</v>
      </c>
      <c r="J664" s="33" t="s">
        <v>4475</v>
      </c>
      <c r="L664" s="33">
        <v>2</v>
      </c>
      <c r="AF664" s="33" t="s">
        <v>6504</v>
      </c>
      <c r="AI664" s="33" t="s">
        <v>6507</v>
      </c>
      <c r="AL664" s="33" t="s">
        <v>4475</v>
      </c>
      <c r="AM664" s="33" t="s">
        <v>6280</v>
      </c>
      <c r="AN664" s="33">
        <v>2</v>
      </c>
      <c r="AP664" s="83"/>
      <c r="AQ664" s="85"/>
      <c r="AR664" s="86"/>
      <c r="AS664" s="87"/>
      <c r="AV664" s="85"/>
      <c r="AW664" s="93"/>
      <c r="AX664" s="94"/>
      <c r="AY664" s="90"/>
      <c r="BB664" s="91"/>
      <c r="BG664" s="33" t="s">
        <v>6508</v>
      </c>
    </row>
    <row r="665" spans="1:59" ht="15" customHeight="1">
      <c r="A665" s="33" t="s">
        <v>6791</v>
      </c>
      <c r="B665" s="33" t="s">
        <v>6729</v>
      </c>
      <c r="C665" s="33" t="s">
        <v>6214</v>
      </c>
      <c r="D665" s="34">
        <v>47</v>
      </c>
      <c r="E665" s="33">
        <v>1</v>
      </c>
      <c r="F665" s="33" t="s">
        <v>6490</v>
      </c>
      <c r="G665" s="33" t="s">
        <v>6503</v>
      </c>
      <c r="J665" s="33" t="s">
        <v>4475</v>
      </c>
      <c r="L665" s="33">
        <v>2</v>
      </c>
      <c r="AF665" s="33" t="s">
        <v>6504</v>
      </c>
      <c r="AI665" s="33" t="s">
        <v>6509</v>
      </c>
      <c r="AL665" s="33" t="s">
        <v>4475</v>
      </c>
      <c r="AM665" s="33" t="s">
        <v>6280</v>
      </c>
      <c r="AN665" s="33">
        <v>2</v>
      </c>
      <c r="AP665" s="83"/>
      <c r="AQ665" s="85"/>
      <c r="AR665" s="86"/>
      <c r="AS665" s="87"/>
      <c r="AV665" s="85"/>
      <c r="AW665" s="93"/>
      <c r="AX665" s="94"/>
      <c r="AY665" s="90"/>
      <c r="BB665" s="91"/>
      <c r="BG665" s="33" t="s">
        <v>6510</v>
      </c>
    </row>
    <row r="666" spans="1:59" ht="15" customHeight="1">
      <c r="A666" s="33" t="s">
        <v>6791</v>
      </c>
      <c r="B666" s="33" t="s">
        <v>6730</v>
      </c>
      <c r="C666" s="33" t="s">
        <v>6214</v>
      </c>
      <c r="D666" s="34">
        <v>48</v>
      </c>
      <c r="E666" s="33">
        <v>1</v>
      </c>
      <c r="F666" s="33" t="s">
        <v>6490</v>
      </c>
      <c r="G666" s="33" t="s">
        <v>6490</v>
      </c>
      <c r="J666" s="33" t="s">
        <v>4475</v>
      </c>
      <c r="L666" s="33">
        <v>3</v>
      </c>
      <c r="AF666" s="33" t="s">
        <v>6511</v>
      </c>
      <c r="AI666" s="33" t="s">
        <v>6512</v>
      </c>
      <c r="AL666" s="33" t="s">
        <v>4475</v>
      </c>
      <c r="AM666" s="33" t="s">
        <v>6280</v>
      </c>
      <c r="AN666" s="33">
        <v>3</v>
      </c>
      <c r="AP666" s="83"/>
      <c r="AQ666" s="85"/>
      <c r="AR666" s="86"/>
      <c r="AS666" s="87"/>
      <c r="AV666" s="85"/>
      <c r="AW666" s="93"/>
      <c r="AX666" s="94"/>
      <c r="AY666" s="90"/>
      <c r="BB666" s="91"/>
      <c r="BG666" s="33" t="s">
        <v>6513</v>
      </c>
    </row>
    <row r="667" spans="1:59" ht="15" customHeight="1">
      <c r="A667" s="33" t="s">
        <v>6791</v>
      </c>
      <c r="B667" s="33" t="s">
        <v>6731</v>
      </c>
      <c r="C667" s="33" t="s">
        <v>6214</v>
      </c>
      <c r="D667" s="34">
        <v>49</v>
      </c>
      <c r="E667" s="33">
        <v>1</v>
      </c>
      <c r="F667" s="33" t="s">
        <v>6490</v>
      </c>
      <c r="G667" s="33" t="s">
        <v>6514</v>
      </c>
      <c r="J667" s="33" t="s">
        <v>31</v>
      </c>
      <c r="AI667" s="33" t="s">
        <v>6514</v>
      </c>
      <c r="AL667" s="33" t="s">
        <v>31</v>
      </c>
      <c r="AM667" s="33" t="s">
        <v>6280</v>
      </c>
      <c r="AP667" s="83"/>
      <c r="AQ667" s="85"/>
      <c r="AR667" s="86"/>
      <c r="AS667" s="87"/>
      <c r="AV667" s="85"/>
      <c r="AW667" s="93"/>
      <c r="AX667" s="94"/>
      <c r="AY667" s="90">
        <v>2</v>
      </c>
      <c r="AZ667" s="76">
        <v>0</v>
      </c>
      <c r="BB667" s="91"/>
    </row>
    <row r="668" spans="1:59" ht="15" customHeight="1">
      <c r="A668" s="33" t="s">
        <v>6791</v>
      </c>
      <c r="B668" s="33" t="s">
        <v>6732</v>
      </c>
      <c r="C668" s="33" t="s">
        <v>6214</v>
      </c>
      <c r="D668" s="34">
        <v>50</v>
      </c>
      <c r="E668" s="33">
        <v>1</v>
      </c>
      <c r="F668" s="33" t="s">
        <v>6490</v>
      </c>
      <c r="G668" s="33" t="s">
        <v>6515</v>
      </c>
      <c r="J668" s="33" t="s">
        <v>31</v>
      </c>
      <c r="AI668" s="33" t="s">
        <v>6515</v>
      </c>
      <c r="AL668" s="33" t="s">
        <v>31</v>
      </c>
      <c r="AM668" s="33" t="s">
        <v>6280</v>
      </c>
      <c r="AP668" s="83"/>
      <c r="AQ668" s="85"/>
      <c r="AR668" s="86"/>
      <c r="AS668" s="87"/>
      <c r="AV668" s="85"/>
      <c r="AW668" s="93"/>
      <c r="AX668" s="94"/>
      <c r="AY668" s="90">
        <v>4</v>
      </c>
      <c r="AZ668" s="76">
        <v>1</v>
      </c>
      <c r="BB668" s="91"/>
      <c r="BG668" s="33" t="s">
        <v>6516</v>
      </c>
    </row>
    <row r="669" spans="1:59" ht="15" customHeight="1">
      <c r="A669" s="33" t="s">
        <v>6791</v>
      </c>
      <c r="B669" s="33" t="s">
        <v>6733</v>
      </c>
      <c r="C669" s="33" t="s">
        <v>6214</v>
      </c>
      <c r="D669" s="34">
        <v>51</v>
      </c>
      <c r="E669" s="33">
        <v>1</v>
      </c>
      <c r="F669" s="33" t="s">
        <v>6490</v>
      </c>
      <c r="G669" s="33" t="s">
        <v>6517</v>
      </c>
      <c r="J669" s="33" t="s">
        <v>31</v>
      </c>
      <c r="AI669" s="33" t="s">
        <v>6517</v>
      </c>
      <c r="AL669" s="33" t="s">
        <v>31</v>
      </c>
      <c r="AM669" s="33" t="s">
        <v>6280</v>
      </c>
      <c r="AP669" s="83"/>
      <c r="AQ669" s="85"/>
      <c r="AR669" s="86"/>
      <c r="AS669" s="87"/>
      <c r="AV669" s="85"/>
      <c r="AW669" s="93"/>
      <c r="AX669" s="94"/>
      <c r="AY669" s="90">
        <v>2</v>
      </c>
      <c r="AZ669" s="76" t="s">
        <v>4925</v>
      </c>
      <c r="BB669" s="91">
        <v>1</v>
      </c>
      <c r="BG669" s="33" t="s">
        <v>6518</v>
      </c>
    </row>
    <row r="670" spans="1:59" ht="15" customHeight="1">
      <c r="A670" s="33" t="s">
        <v>6791</v>
      </c>
      <c r="B670" s="33" t="s">
        <v>6734</v>
      </c>
      <c r="C670" s="33" t="s">
        <v>6214</v>
      </c>
      <c r="D670" s="34">
        <v>52</v>
      </c>
      <c r="E670" s="33">
        <v>1</v>
      </c>
      <c r="F670" s="33" t="s">
        <v>6490</v>
      </c>
      <c r="G670" s="33" t="s">
        <v>6519</v>
      </c>
      <c r="J670" s="33" t="s">
        <v>31</v>
      </c>
      <c r="AI670" s="33" t="s">
        <v>6519</v>
      </c>
      <c r="AL670" s="33" t="s">
        <v>31</v>
      </c>
      <c r="AM670" s="33" t="s">
        <v>6280</v>
      </c>
      <c r="AP670" s="83"/>
      <c r="AQ670" s="85"/>
      <c r="AR670" s="86"/>
      <c r="AS670" s="87"/>
      <c r="AV670" s="85"/>
      <c r="AW670" s="93"/>
      <c r="AX670" s="94"/>
      <c r="AY670" s="90">
        <v>3</v>
      </c>
      <c r="AZ670" s="76">
        <v>1</v>
      </c>
      <c r="BB670" s="91"/>
      <c r="BG670" s="33" t="s">
        <v>6520</v>
      </c>
    </row>
    <row r="671" spans="1:59" ht="15" customHeight="1">
      <c r="A671" s="33" t="s">
        <v>6791</v>
      </c>
      <c r="B671" s="33" t="s">
        <v>6735</v>
      </c>
      <c r="C671" s="33" t="s">
        <v>6214</v>
      </c>
      <c r="D671" s="34">
        <v>53</v>
      </c>
      <c r="E671" s="33">
        <v>1</v>
      </c>
      <c r="F671" s="33" t="s">
        <v>6490</v>
      </c>
      <c r="G671" s="33" t="s">
        <v>6521</v>
      </c>
      <c r="J671" s="33" t="s">
        <v>31</v>
      </c>
      <c r="AD671" s="33" t="s">
        <v>6522</v>
      </c>
      <c r="AI671" s="33" t="s">
        <v>6523</v>
      </c>
      <c r="AL671" s="33" t="s">
        <v>31</v>
      </c>
      <c r="AM671" s="33" t="s">
        <v>6280</v>
      </c>
      <c r="AP671" s="83"/>
      <c r="AQ671" s="85"/>
      <c r="AR671" s="86"/>
      <c r="AS671" s="87"/>
      <c r="AV671" s="85"/>
      <c r="AW671" s="93"/>
      <c r="AX671" s="94"/>
      <c r="AY671" s="90">
        <v>4</v>
      </c>
      <c r="AZ671" s="76" t="s">
        <v>4927</v>
      </c>
      <c r="BB671" s="91">
        <v>1</v>
      </c>
      <c r="BE671" s="33" t="s">
        <v>6522</v>
      </c>
      <c r="BG671" s="33" t="s">
        <v>6524</v>
      </c>
    </row>
    <row r="672" spans="1:59" ht="15" customHeight="1">
      <c r="A672" s="33" t="s">
        <v>6791</v>
      </c>
      <c r="B672" s="33" t="s">
        <v>6736</v>
      </c>
      <c r="C672" s="33" t="s">
        <v>6214</v>
      </c>
      <c r="D672" s="34">
        <v>54</v>
      </c>
      <c r="E672" s="33">
        <v>1</v>
      </c>
      <c r="F672" s="33" t="s">
        <v>6490</v>
      </c>
      <c r="G672" s="33" t="s">
        <v>6521</v>
      </c>
      <c r="J672" s="33" t="s">
        <v>31</v>
      </c>
      <c r="AD672" s="33" t="s">
        <v>6522</v>
      </c>
      <c r="AI672" s="33" t="s">
        <v>6525</v>
      </c>
      <c r="AL672" s="33" t="s">
        <v>31</v>
      </c>
      <c r="AM672" s="33" t="s">
        <v>6280</v>
      </c>
      <c r="AP672" s="83"/>
      <c r="AQ672" s="85"/>
      <c r="AR672" s="86"/>
      <c r="AS672" s="87"/>
      <c r="AV672" s="85"/>
      <c r="AW672" s="93"/>
      <c r="AX672" s="94"/>
      <c r="AY672" s="90">
        <v>2</v>
      </c>
      <c r="AZ672" s="76">
        <v>0</v>
      </c>
      <c r="BB672" s="91"/>
      <c r="BE672" s="33" t="s">
        <v>6522</v>
      </c>
      <c r="BG672" s="33" t="s">
        <v>6526</v>
      </c>
    </row>
    <row r="673" spans="1:59" ht="15" customHeight="1">
      <c r="A673" s="33" t="s">
        <v>6791</v>
      </c>
      <c r="B673" s="33" t="s">
        <v>6737</v>
      </c>
      <c r="C673" s="33" t="s">
        <v>6214</v>
      </c>
      <c r="D673" s="34">
        <v>55</v>
      </c>
      <c r="E673" s="33">
        <v>1</v>
      </c>
      <c r="F673" s="33" t="s">
        <v>6490</v>
      </c>
      <c r="G673" s="33" t="s">
        <v>6521</v>
      </c>
      <c r="J673" s="33" t="s">
        <v>31</v>
      </c>
      <c r="AD673" s="33" t="s">
        <v>6522</v>
      </c>
      <c r="AI673" s="33" t="s">
        <v>6527</v>
      </c>
      <c r="AL673" s="33" t="s">
        <v>31</v>
      </c>
      <c r="AM673" s="33" t="s">
        <v>6280</v>
      </c>
      <c r="AP673" s="83"/>
      <c r="AQ673" s="85"/>
      <c r="AR673" s="86"/>
      <c r="AS673" s="87"/>
      <c r="AV673" s="85"/>
      <c r="AW673" s="93"/>
      <c r="AX673" s="94"/>
      <c r="AY673" s="90">
        <v>5</v>
      </c>
      <c r="AZ673" s="76" t="s">
        <v>4927</v>
      </c>
      <c r="BB673" s="91">
        <v>1</v>
      </c>
      <c r="BE673" s="33" t="s">
        <v>6522</v>
      </c>
      <c r="BG673" s="33" t="s">
        <v>6528</v>
      </c>
    </row>
    <row r="674" spans="1:59" ht="15" customHeight="1">
      <c r="A674" s="33" t="s">
        <v>6791</v>
      </c>
      <c r="B674" s="33" t="s">
        <v>6738</v>
      </c>
      <c r="C674" s="33" t="s">
        <v>6214</v>
      </c>
      <c r="D674" s="34">
        <v>56</v>
      </c>
      <c r="E674" s="33">
        <v>1</v>
      </c>
      <c r="F674" s="33" t="s">
        <v>6490</v>
      </c>
      <c r="G674" s="33" t="s">
        <v>6529</v>
      </c>
      <c r="J674" s="33" t="s">
        <v>31</v>
      </c>
      <c r="AD674" s="33" t="s">
        <v>6522</v>
      </c>
      <c r="AI674" s="33" t="s">
        <v>6530</v>
      </c>
      <c r="AL674" s="33" t="s">
        <v>31</v>
      </c>
      <c r="AM674" s="33" t="s">
        <v>6280</v>
      </c>
      <c r="AP674" s="83"/>
      <c r="AQ674" s="85"/>
      <c r="AR674" s="86"/>
      <c r="AS674" s="87"/>
      <c r="AV674" s="85"/>
      <c r="AW674" s="93"/>
      <c r="AX674" s="94"/>
      <c r="AY674" s="90">
        <v>4</v>
      </c>
      <c r="AZ674" s="76">
        <v>0</v>
      </c>
      <c r="BB674" s="91"/>
      <c r="BE674" s="33" t="s">
        <v>6522</v>
      </c>
      <c r="BG674" s="33" t="s">
        <v>6531</v>
      </c>
    </row>
    <row r="675" spans="1:59" ht="15" customHeight="1">
      <c r="A675" s="33" t="s">
        <v>6791</v>
      </c>
      <c r="B675" s="33" t="s">
        <v>6739</v>
      </c>
      <c r="C675" s="33" t="s">
        <v>6214</v>
      </c>
      <c r="D675" s="34">
        <v>57</v>
      </c>
      <c r="E675" s="33">
        <v>1</v>
      </c>
      <c r="F675" s="33" t="s">
        <v>6490</v>
      </c>
      <c r="G675" s="33" t="s">
        <v>6529</v>
      </c>
      <c r="J675" s="33" t="s">
        <v>31</v>
      </c>
      <c r="AD675" s="33" t="s">
        <v>6522</v>
      </c>
      <c r="AI675" s="33" t="s">
        <v>6532</v>
      </c>
      <c r="AL675" s="33" t="s">
        <v>31</v>
      </c>
      <c r="AM675" s="33" t="s">
        <v>6280</v>
      </c>
      <c r="AP675" s="83"/>
      <c r="AQ675" s="85"/>
      <c r="AR675" s="86"/>
      <c r="AS675" s="87"/>
      <c r="AV675" s="85"/>
      <c r="AW675" s="93"/>
      <c r="AX675" s="94"/>
      <c r="AY675" s="90">
        <v>1</v>
      </c>
      <c r="AZ675" s="76" t="s">
        <v>4927</v>
      </c>
      <c r="BB675" s="91">
        <v>1</v>
      </c>
      <c r="BE675" s="33" t="s">
        <v>6522</v>
      </c>
      <c r="BG675" s="33" t="s">
        <v>6533</v>
      </c>
    </row>
    <row r="676" spans="1:59" ht="15" customHeight="1">
      <c r="A676" s="33" t="s">
        <v>6791</v>
      </c>
      <c r="B676" s="33" t="s">
        <v>6740</v>
      </c>
      <c r="C676" s="33" t="s">
        <v>6214</v>
      </c>
      <c r="D676" s="34">
        <v>58</v>
      </c>
      <c r="E676" s="33">
        <v>1</v>
      </c>
      <c r="F676" s="33" t="s">
        <v>6490</v>
      </c>
      <c r="G676" s="33" t="s">
        <v>6529</v>
      </c>
      <c r="J676" s="33" t="s">
        <v>31</v>
      </c>
      <c r="AD676" s="33" t="s">
        <v>6522</v>
      </c>
      <c r="AI676" s="33" t="s">
        <v>6534</v>
      </c>
      <c r="AL676" s="33" t="s">
        <v>31</v>
      </c>
      <c r="AM676" s="33" t="s">
        <v>6280</v>
      </c>
      <c r="AP676" s="83"/>
      <c r="AQ676" s="85"/>
      <c r="AR676" s="86"/>
      <c r="AS676" s="87"/>
      <c r="AV676" s="85"/>
      <c r="AW676" s="93"/>
      <c r="AX676" s="94"/>
      <c r="AY676" s="90">
        <v>3</v>
      </c>
      <c r="AZ676" s="76" t="s">
        <v>4927</v>
      </c>
      <c r="BB676" s="91">
        <v>1</v>
      </c>
      <c r="BE676" s="33" t="s">
        <v>6522</v>
      </c>
      <c r="BG676" s="33" t="s">
        <v>6535</v>
      </c>
    </row>
    <row r="677" spans="1:59" ht="15" customHeight="1">
      <c r="A677" s="33" t="s">
        <v>6791</v>
      </c>
      <c r="B677" s="33" t="s">
        <v>6741</v>
      </c>
      <c r="C677" s="33" t="s">
        <v>6214</v>
      </c>
      <c r="D677" s="34">
        <v>59</v>
      </c>
      <c r="E677" s="33">
        <v>1</v>
      </c>
      <c r="F677" s="33" t="s">
        <v>6490</v>
      </c>
      <c r="G677" s="33" t="s">
        <v>6536</v>
      </c>
      <c r="I677" s="33" t="s">
        <v>4077</v>
      </c>
      <c r="J677" s="33" t="s">
        <v>29</v>
      </c>
      <c r="Q677" s="75">
        <v>4</v>
      </c>
      <c r="R677" s="76">
        <v>4</v>
      </c>
      <c r="T677" s="78">
        <v>3</v>
      </c>
      <c r="W677" s="80">
        <v>1</v>
      </c>
      <c r="AD677" s="33" t="s">
        <v>6537</v>
      </c>
      <c r="AF677" s="33" t="s">
        <v>6538</v>
      </c>
      <c r="AP677" s="83"/>
      <c r="AQ677" s="85"/>
      <c r="AR677" s="86"/>
      <c r="AS677" s="87"/>
      <c r="AV677" s="85"/>
      <c r="AW677" s="93"/>
      <c r="AX677" s="94"/>
      <c r="AY677" s="90"/>
      <c r="BB677" s="91"/>
    </row>
    <row r="678" spans="1:59" ht="15" customHeight="1">
      <c r="A678" s="33" t="s">
        <v>6791</v>
      </c>
      <c r="B678" s="33" t="s">
        <v>6742</v>
      </c>
      <c r="C678" s="33" t="s">
        <v>6214</v>
      </c>
      <c r="D678" s="34">
        <v>60</v>
      </c>
      <c r="E678" s="33">
        <v>1</v>
      </c>
      <c r="F678" s="33" t="s">
        <v>6490</v>
      </c>
      <c r="G678" s="33" t="s">
        <v>6539</v>
      </c>
      <c r="H678" s="33" t="s">
        <v>6540</v>
      </c>
      <c r="I678" s="33" t="s">
        <v>4077</v>
      </c>
      <c r="J678" s="33" t="s">
        <v>29</v>
      </c>
      <c r="Q678" s="75">
        <v>4</v>
      </c>
      <c r="R678" s="76">
        <v>2</v>
      </c>
      <c r="T678" s="78">
        <v>4</v>
      </c>
      <c r="V678" s="79">
        <v>2</v>
      </c>
      <c r="AA678" s="82">
        <v>2</v>
      </c>
      <c r="AD678" s="33" t="s">
        <v>5648</v>
      </c>
      <c r="AF678" s="33" t="s">
        <v>6541</v>
      </c>
      <c r="AP678" s="83"/>
      <c r="AQ678" s="85"/>
      <c r="AR678" s="86"/>
      <c r="AS678" s="87"/>
      <c r="AV678" s="85"/>
      <c r="AW678" s="93"/>
      <c r="AX678" s="94"/>
      <c r="AY678" s="90"/>
      <c r="BB678" s="91"/>
    </row>
    <row r="679" spans="1:59" ht="15" customHeight="1">
      <c r="A679" s="33" t="s">
        <v>6791</v>
      </c>
      <c r="B679" s="33" t="s">
        <v>6743</v>
      </c>
      <c r="C679" s="33" t="s">
        <v>6214</v>
      </c>
      <c r="D679" s="34">
        <v>61</v>
      </c>
      <c r="E679" s="33">
        <v>1</v>
      </c>
      <c r="F679" s="33" t="s">
        <v>6542</v>
      </c>
      <c r="G679" s="33" t="s">
        <v>6542</v>
      </c>
      <c r="H679" s="43" t="s">
        <v>4563</v>
      </c>
      <c r="J679" s="33" t="s">
        <v>4472</v>
      </c>
      <c r="AF679" s="33" t="s">
        <v>6543</v>
      </c>
      <c r="AI679" s="33" t="s">
        <v>6542</v>
      </c>
      <c r="AJ679" s="33" t="s">
        <v>4564</v>
      </c>
      <c r="AL679" s="33" t="s">
        <v>4472</v>
      </c>
      <c r="AM679" s="33" t="s">
        <v>6280</v>
      </c>
      <c r="AP679" s="83"/>
      <c r="AQ679" s="85"/>
      <c r="AR679" s="86"/>
      <c r="AS679" s="87"/>
      <c r="AV679" s="85"/>
      <c r="AW679" s="93"/>
      <c r="AX679" s="94"/>
      <c r="AY679" s="90"/>
      <c r="BB679" s="91"/>
      <c r="BG679" s="33" t="s">
        <v>6544</v>
      </c>
    </row>
    <row r="680" spans="1:59" ht="15" customHeight="1">
      <c r="A680" s="33" t="s">
        <v>6791</v>
      </c>
      <c r="B680" s="33" t="s">
        <v>6744</v>
      </c>
      <c r="C680" s="33" t="s">
        <v>6214</v>
      </c>
      <c r="D680" s="34">
        <v>62</v>
      </c>
      <c r="E680" s="33">
        <v>1</v>
      </c>
      <c r="F680" s="33" t="s">
        <v>6542</v>
      </c>
      <c r="G680" s="33" t="s">
        <v>6545</v>
      </c>
      <c r="J680" s="33" t="s">
        <v>4473</v>
      </c>
      <c r="L680" s="33">
        <v>1</v>
      </c>
      <c r="Z680" s="78">
        <v>3</v>
      </c>
      <c r="AI680" s="33" t="s">
        <v>6546</v>
      </c>
      <c r="AL680" s="33" t="s">
        <v>4473</v>
      </c>
      <c r="AM680" s="33" t="s">
        <v>6280</v>
      </c>
      <c r="AN680" s="33">
        <v>1</v>
      </c>
      <c r="AP680" s="83"/>
      <c r="AQ680" s="85"/>
      <c r="AR680" s="86"/>
      <c r="AS680" s="87"/>
      <c r="AV680" s="85"/>
      <c r="AW680" s="93"/>
      <c r="AX680" s="94"/>
      <c r="AY680" s="90"/>
      <c r="BB680" s="91"/>
      <c r="BG680" s="33" t="s">
        <v>6547</v>
      </c>
    </row>
    <row r="681" spans="1:59" ht="15" customHeight="1">
      <c r="A681" s="33" t="s">
        <v>6791</v>
      </c>
      <c r="B681" s="33" t="s">
        <v>6745</v>
      </c>
      <c r="C681" s="33" t="s">
        <v>6214</v>
      </c>
      <c r="D681" s="34">
        <v>63</v>
      </c>
      <c r="E681" s="33">
        <v>1</v>
      </c>
      <c r="F681" s="33" t="s">
        <v>6542</v>
      </c>
      <c r="G681" s="33" t="s">
        <v>6548</v>
      </c>
      <c r="J681" s="33" t="s">
        <v>4473</v>
      </c>
      <c r="L681" s="33">
        <v>2</v>
      </c>
      <c r="Z681" s="78">
        <v>3</v>
      </c>
      <c r="AF681" s="33" t="s">
        <v>6549</v>
      </c>
      <c r="AI681" s="33" t="s">
        <v>6550</v>
      </c>
      <c r="AL681" s="33" t="s">
        <v>4473</v>
      </c>
      <c r="AM681" s="33" t="s">
        <v>6280</v>
      </c>
      <c r="AN681" s="33">
        <v>2</v>
      </c>
      <c r="AP681" s="83"/>
      <c r="AQ681" s="85"/>
      <c r="AR681" s="86"/>
      <c r="AS681" s="87"/>
      <c r="AV681" s="85"/>
      <c r="AW681" s="93"/>
      <c r="AX681" s="94"/>
      <c r="AY681" s="90"/>
      <c r="BB681" s="91"/>
      <c r="BG681" s="33" t="s">
        <v>5341</v>
      </c>
    </row>
    <row r="682" spans="1:59" ht="15" customHeight="1">
      <c r="A682" s="33" t="s">
        <v>6791</v>
      </c>
      <c r="B682" s="33" t="s">
        <v>6746</v>
      </c>
      <c r="C682" s="33" t="s">
        <v>6214</v>
      </c>
      <c r="D682" s="34">
        <v>64</v>
      </c>
      <c r="E682" s="33">
        <v>1</v>
      </c>
      <c r="F682" s="33" t="s">
        <v>6542</v>
      </c>
      <c r="G682" s="33" t="s">
        <v>6551</v>
      </c>
      <c r="J682" s="33" t="s">
        <v>4475</v>
      </c>
      <c r="L682" s="33">
        <v>1</v>
      </c>
      <c r="Y682" s="76" t="s">
        <v>38</v>
      </c>
      <c r="AF682" s="33" t="s">
        <v>6552</v>
      </c>
      <c r="AI682" s="33" t="s">
        <v>6553</v>
      </c>
      <c r="AL682" s="33" t="s">
        <v>4475</v>
      </c>
      <c r="AM682" s="33" t="s">
        <v>6280</v>
      </c>
      <c r="AN682" s="33">
        <v>1</v>
      </c>
      <c r="AP682" s="83"/>
      <c r="AQ682" s="85"/>
      <c r="AR682" s="86"/>
      <c r="AS682" s="87"/>
      <c r="AV682" s="85"/>
      <c r="AW682" s="93"/>
      <c r="AX682" s="94"/>
      <c r="AY682" s="90"/>
      <c r="BB682" s="91"/>
      <c r="BG682" s="33" t="s">
        <v>6554</v>
      </c>
    </row>
    <row r="683" spans="1:59" ht="15" customHeight="1">
      <c r="A683" s="33" t="s">
        <v>6791</v>
      </c>
      <c r="B683" s="33" t="s">
        <v>6747</v>
      </c>
      <c r="C683" s="33" t="s">
        <v>6214</v>
      </c>
      <c r="D683" s="34">
        <v>65</v>
      </c>
      <c r="E683" s="33">
        <v>1</v>
      </c>
      <c r="F683" s="33" t="s">
        <v>6542</v>
      </c>
      <c r="G683" s="33" t="s">
        <v>6555</v>
      </c>
      <c r="J683" s="33" t="s">
        <v>6556</v>
      </c>
      <c r="AF683" s="33" t="s">
        <v>6557</v>
      </c>
      <c r="AI683" s="33" t="s">
        <v>6558</v>
      </c>
      <c r="AJ683" s="33" t="s">
        <v>6559</v>
      </c>
      <c r="AK683" s="33" t="s">
        <v>4077</v>
      </c>
      <c r="AL683" s="33" t="s">
        <v>29</v>
      </c>
      <c r="AM683" s="33" t="s">
        <v>6280</v>
      </c>
      <c r="AP683" s="83"/>
      <c r="AQ683" s="85"/>
      <c r="AR683" s="86"/>
      <c r="AS683" s="87">
        <v>4</v>
      </c>
      <c r="AT683" s="76">
        <v>1</v>
      </c>
      <c r="AU683" s="78">
        <v>6</v>
      </c>
      <c r="AV683" s="85"/>
      <c r="AW683" s="93">
        <v>2</v>
      </c>
      <c r="AX683" s="94"/>
      <c r="AY683" s="90"/>
      <c r="BB683" s="91">
        <v>0</v>
      </c>
      <c r="BE683" s="33" t="s">
        <v>6560</v>
      </c>
      <c r="BG683" s="33" t="s">
        <v>6561</v>
      </c>
    </row>
    <row r="684" spans="1:59" ht="15" customHeight="1">
      <c r="A684" s="33" t="s">
        <v>6791</v>
      </c>
      <c r="B684" s="33" t="s">
        <v>6748</v>
      </c>
      <c r="C684" s="33" t="s">
        <v>6214</v>
      </c>
      <c r="D684" s="34">
        <v>66</v>
      </c>
      <c r="E684" s="33">
        <v>1</v>
      </c>
      <c r="F684" s="33" t="s">
        <v>6542</v>
      </c>
      <c r="G684" s="33" t="s">
        <v>6555</v>
      </c>
      <c r="J684" s="33" t="s">
        <v>6556</v>
      </c>
      <c r="AF684" s="33" t="s">
        <v>6562</v>
      </c>
      <c r="AI684" s="33" t="s">
        <v>6563</v>
      </c>
      <c r="AJ684" s="33" t="s">
        <v>6564</v>
      </c>
      <c r="AK684" s="33" t="s">
        <v>4077</v>
      </c>
      <c r="AL684" s="33" t="s">
        <v>29</v>
      </c>
      <c r="AM684" s="33" t="s">
        <v>6280</v>
      </c>
      <c r="AP684" s="83"/>
      <c r="AQ684" s="85"/>
      <c r="AR684" s="86"/>
      <c r="AS684" s="87">
        <v>2</v>
      </c>
      <c r="AT684" s="76">
        <v>2</v>
      </c>
      <c r="AU684" s="78">
        <v>8</v>
      </c>
      <c r="AV684" s="85"/>
      <c r="AW684" s="93">
        <v>1</v>
      </c>
      <c r="AX684" s="94">
        <v>1</v>
      </c>
      <c r="AY684" s="90"/>
      <c r="BB684" s="91">
        <v>0</v>
      </c>
      <c r="BE684" s="33" t="s">
        <v>6560</v>
      </c>
      <c r="BG684" s="33" t="s">
        <v>6565</v>
      </c>
    </row>
    <row r="685" spans="1:59" ht="15" customHeight="1">
      <c r="A685" s="33" t="s">
        <v>6791</v>
      </c>
      <c r="B685" s="33" t="s">
        <v>6749</v>
      </c>
      <c r="C685" s="33" t="s">
        <v>6214</v>
      </c>
      <c r="D685" s="34">
        <v>67</v>
      </c>
      <c r="E685" s="33">
        <v>1</v>
      </c>
      <c r="F685" s="33" t="s">
        <v>6542</v>
      </c>
      <c r="G685" s="33" t="s">
        <v>6555</v>
      </c>
      <c r="J685" s="33" t="s">
        <v>6556</v>
      </c>
      <c r="AF685" s="33" t="s">
        <v>6566</v>
      </c>
      <c r="AI685" s="33" t="s">
        <v>6567</v>
      </c>
      <c r="AJ685" s="33" t="s">
        <v>6568</v>
      </c>
      <c r="AK685" s="33" t="s">
        <v>4077</v>
      </c>
      <c r="AL685" s="33" t="s">
        <v>29</v>
      </c>
      <c r="AM685" s="33" t="s">
        <v>6280</v>
      </c>
      <c r="AP685" s="83"/>
      <c r="AQ685" s="85"/>
      <c r="AR685" s="86"/>
      <c r="AS685" s="87">
        <v>6</v>
      </c>
      <c r="AT685" s="76">
        <v>3</v>
      </c>
      <c r="AU685" s="78">
        <v>4</v>
      </c>
      <c r="AV685" s="85"/>
      <c r="AW685" s="93">
        <v>1</v>
      </c>
      <c r="AX685" s="94">
        <v>1</v>
      </c>
      <c r="AY685" s="90"/>
      <c r="BB685" s="91">
        <v>0</v>
      </c>
      <c r="BE685" s="33" t="s">
        <v>6560</v>
      </c>
      <c r="BG685" s="33" t="s">
        <v>6569</v>
      </c>
    </row>
    <row r="686" spans="1:59" ht="15" customHeight="1">
      <c r="A686" s="33" t="s">
        <v>6791</v>
      </c>
      <c r="B686" s="33" t="s">
        <v>6750</v>
      </c>
      <c r="C686" s="33" t="s">
        <v>6214</v>
      </c>
      <c r="D686" s="34">
        <v>68</v>
      </c>
      <c r="E686" s="33">
        <v>1</v>
      </c>
      <c r="F686" s="33" t="s">
        <v>6542</v>
      </c>
      <c r="G686" s="33" t="s">
        <v>6555</v>
      </c>
      <c r="J686" s="33" t="s">
        <v>6556</v>
      </c>
      <c r="AF686" s="33" t="s">
        <v>6570</v>
      </c>
      <c r="AI686" s="33" t="s">
        <v>6571</v>
      </c>
      <c r="AJ686" s="33" t="s">
        <v>6572</v>
      </c>
      <c r="AK686" s="33" t="s">
        <v>4077</v>
      </c>
      <c r="AL686" s="33" t="s">
        <v>29</v>
      </c>
      <c r="AM686" s="33" t="s">
        <v>6280</v>
      </c>
      <c r="AP686" s="83"/>
      <c r="AQ686" s="85"/>
      <c r="AR686" s="86"/>
      <c r="AS686" s="87">
        <v>3</v>
      </c>
      <c r="AT686" s="76">
        <v>3</v>
      </c>
      <c r="AU686" s="78">
        <v>5</v>
      </c>
      <c r="AV686" s="85"/>
      <c r="AW686" s="93">
        <v>2</v>
      </c>
      <c r="AX686" s="94">
        <v>2</v>
      </c>
      <c r="AY686" s="90"/>
      <c r="BB686" s="91">
        <v>0</v>
      </c>
      <c r="BE686" s="33" t="s">
        <v>6560</v>
      </c>
      <c r="BG686" s="33" t="s">
        <v>6573</v>
      </c>
    </row>
    <row r="687" spans="1:59" ht="15" customHeight="1">
      <c r="A687" s="33" t="s">
        <v>6791</v>
      </c>
      <c r="B687" s="33" t="s">
        <v>6751</v>
      </c>
      <c r="C687" s="33" t="s">
        <v>6214</v>
      </c>
      <c r="D687" s="34">
        <v>69</v>
      </c>
      <c r="E687" s="33">
        <v>1</v>
      </c>
      <c r="F687" s="33" t="s">
        <v>6542</v>
      </c>
      <c r="G687" s="33" t="s">
        <v>6555</v>
      </c>
      <c r="J687" s="33" t="s">
        <v>6556</v>
      </c>
      <c r="AF687" s="33" t="s">
        <v>6574</v>
      </c>
      <c r="AI687" s="33" t="s">
        <v>6575</v>
      </c>
      <c r="AJ687" s="33" t="s">
        <v>6576</v>
      </c>
      <c r="AK687" s="33" t="s">
        <v>4077</v>
      </c>
      <c r="AL687" s="33" t="s">
        <v>29</v>
      </c>
      <c r="AM687" s="33" t="s">
        <v>6280</v>
      </c>
      <c r="AP687" s="83"/>
      <c r="AQ687" s="85"/>
      <c r="AR687" s="86"/>
      <c r="AS687" s="87">
        <v>2</v>
      </c>
      <c r="AT687" s="76">
        <v>4</v>
      </c>
      <c r="AU687" s="78">
        <v>5</v>
      </c>
      <c r="AV687" s="85"/>
      <c r="AW687" s="93"/>
      <c r="AX687" s="94">
        <v>2</v>
      </c>
      <c r="AY687" s="90"/>
      <c r="BB687" s="91">
        <v>0</v>
      </c>
      <c r="BE687" s="33" t="s">
        <v>6560</v>
      </c>
      <c r="BG687" s="33" t="s">
        <v>6577</v>
      </c>
    </row>
    <row r="688" spans="1:59" ht="15" customHeight="1">
      <c r="A688" s="33" t="s">
        <v>6791</v>
      </c>
      <c r="B688" s="33" t="s">
        <v>6752</v>
      </c>
      <c r="C688" s="33" t="s">
        <v>6214</v>
      </c>
      <c r="D688" s="34">
        <v>70</v>
      </c>
      <c r="E688" s="33">
        <v>1</v>
      </c>
      <c r="F688" s="33" t="s">
        <v>6542</v>
      </c>
      <c r="G688" s="33" t="s">
        <v>6578</v>
      </c>
      <c r="J688" s="33" t="s">
        <v>31</v>
      </c>
      <c r="AI688" s="33" t="s">
        <v>6578</v>
      </c>
      <c r="AL688" s="33" t="s">
        <v>31</v>
      </c>
      <c r="AM688" s="33" t="s">
        <v>6280</v>
      </c>
      <c r="AP688" s="83"/>
      <c r="AQ688" s="85"/>
      <c r="AR688" s="86"/>
      <c r="AS688" s="87"/>
      <c r="AV688" s="85"/>
      <c r="AW688" s="93"/>
      <c r="AX688" s="94"/>
      <c r="AY688" s="90">
        <v>2</v>
      </c>
      <c r="AZ688" s="76" t="s">
        <v>4927</v>
      </c>
      <c r="BB688" s="91"/>
      <c r="BG688" s="33" t="s">
        <v>6579</v>
      </c>
    </row>
    <row r="689" spans="1:59" ht="15" customHeight="1">
      <c r="A689" s="33" t="s">
        <v>6791</v>
      </c>
      <c r="B689" s="33" t="s">
        <v>6753</v>
      </c>
      <c r="C689" s="33" t="s">
        <v>6214</v>
      </c>
      <c r="D689" s="34">
        <v>71</v>
      </c>
      <c r="E689" s="33">
        <v>1</v>
      </c>
      <c r="F689" s="33" t="s">
        <v>6542</v>
      </c>
      <c r="G689" s="33" t="s">
        <v>6580</v>
      </c>
      <c r="J689" s="33" t="s">
        <v>31</v>
      </c>
      <c r="AI689" s="33" t="s">
        <v>6580</v>
      </c>
      <c r="AL689" s="33" t="s">
        <v>31</v>
      </c>
      <c r="AM689" s="33" t="s">
        <v>6280</v>
      </c>
      <c r="AP689" s="83"/>
      <c r="AQ689" s="85"/>
      <c r="AR689" s="86"/>
      <c r="AS689" s="87"/>
      <c r="AV689" s="85"/>
      <c r="AW689" s="93"/>
      <c r="AX689" s="94"/>
      <c r="AY689" s="90">
        <v>4</v>
      </c>
      <c r="AZ689" s="76">
        <v>0</v>
      </c>
      <c r="BB689" s="91"/>
      <c r="BG689" s="33" t="s">
        <v>6581</v>
      </c>
    </row>
    <row r="690" spans="1:59" ht="15" customHeight="1">
      <c r="A690" s="33" t="s">
        <v>6791</v>
      </c>
      <c r="B690" s="33" t="s">
        <v>6754</v>
      </c>
      <c r="C690" s="33" t="s">
        <v>6214</v>
      </c>
      <c r="D690" s="34">
        <v>72</v>
      </c>
      <c r="E690" s="33">
        <v>1</v>
      </c>
      <c r="F690" s="33" t="s">
        <v>6542</v>
      </c>
      <c r="G690" s="33" t="s">
        <v>6582</v>
      </c>
      <c r="J690" s="33" t="s">
        <v>31</v>
      </c>
      <c r="AI690" s="33" t="s">
        <v>6582</v>
      </c>
      <c r="AL690" s="33" t="s">
        <v>31</v>
      </c>
      <c r="AM690" s="33" t="s">
        <v>6280</v>
      </c>
      <c r="AP690" s="83"/>
      <c r="AQ690" s="85"/>
      <c r="AR690" s="86"/>
      <c r="AS690" s="87"/>
      <c r="AV690" s="85"/>
      <c r="AW690" s="93"/>
      <c r="AX690" s="94"/>
      <c r="AY690" s="90">
        <v>3</v>
      </c>
      <c r="AZ690" s="76">
        <v>0</v>
      </c>
      <c r="BB690" s="91"/>
      <c r="BG690" s="33" t="s">
        <v>6583</v>
      </c>
    </row>
    <row r="691" spans="1:59" ht="15" customHeight="1">
      <c r="A691" s="33" t="s">
        <v>6791</v>
      </c>
      <c r="B691" s="33" t="s">
        <v>6755</v>
      </c>
      <c r="C691" s="33" t="s">
        <v>6214</v>
      </c>
      <c r="D691" s="34">
        <v>73</v>
      </c>
      <c r="E691" s="33">
        <v>1</v>
      </c>
      <c r="F691" s="33" t="s">
        <v>6542</v>
      </c>
      <c r="G691" s="33" t="s">
        <v>6584</v>
      </c>
      <c r="J691" s="33" t="s">
        <v>31</v>
      </c>
      <c r="AI691" s="33" t="s">
        <v>6584</v>
      </c>
      <c r="AL691" s="33" t="s">
        <v>31</v>
      </c>
      <c r="AM691" s="33" t="s">
        <v>6280</v>
      </c>
      <c r="AP691" s="83"/>
      <c r="AQ691" s="85"/>
      <c r="AR691" s="86"/>
      <c r="AS691" s="87"/>
      <c r="AV691" s="85"/>
      <c r="AW691" s="93"/>
      <c r="AX691" s="94"/>
      <c r="AY691" s="90">
        <v>1</v>
      </c>
      <c r="AZ691" s="76">
        <v>0</v>
      </c>
      <c r="BB691" s="91"/>
      <c r="BG691" s="33" t="s">
        <v>6585</v>
      </c>
    </row>
    <row r="692" spans="1:59" ht="15" customHeight="1">
      <c r="A692" s="33" t="s">
        <v>6791</v>
      </c>
      <c r="B692" s="33" t="s">
        <v>6756</v>
      </c>
      <c r="C692" s="33" t="s">
        <v>6214</v>
      </c>
      <c r="D692" s="34">
        <v>74</v>
      </c>
      <c r="E692" s="33">
        <v>1</v>
      </c>
      <c r="F692" s="33" t="s">
        <v>6542</v>
      </c>
      <c r="G692" s="33" t="s">
        <v>6586</v>
      </c>
      <c r="J692" s="33" t="s">
        <v>31</v>
      </c>
      <c r="AI692" s="33" t="s">
        <v>6586</v>
      </c>
      <c r="AL692" s="33" t="s">
        <v>31</v>
      </c>
      <c r="AM692" s="33" t="s">
        <v>6280</v>
      </c>
      <c r="AP692" s="83"/>
      <c r="AQ692" s="85"/>
      <c r="AR692" s="86"/>
      <c r="AS692" s="87"/>
      <c r="AV692" s="85"/>
      <c r="AW692" s="93"/>
      <c r="AX692" s="94"/>
      <c r="AY692" s="90">
        <v>5</v>
      </c>
      <c r="AZ692" s="76">
        <v>0</v>
      </c>
      <c r="BB692" s="91"/>
      <c r="BG692" s="33" t="s">
        <v>6587</v>
      </c>
    </row>
    <row r="693" spans="1:59" ht="15" customHeight="1">
      <c r="A693" s="33" t="s">
        <v>6791</v>
      </c>
      <c r="B693" s="33" t="s">
        <v>6757</v>
      </c>
      <c r="C693" s="33" t="s">
        <v>6214</v>
      </c>
      <c r="D693" s="34">
        <v>75</v>
      </c>
      <c r="E693" s="33">
        <v>1</v>
      </c>
      <c r="F693" s="33" t="s">
        <v>6542</v>
      </c>
      <c r="G693" s="33" t="s">
        <v>6588</v>
      </c>
      <c r="J693" s="33" t="s">
        <v>31</v>
      </c>
      <c r="AI693" s="33" t="s">
        <v>6588</v>
      </c>
      <c r="AL693" s="33" t="s">
        <v>31</v>
      </c>
      <c r="AM693" s="33" t="s">
        <v>6280</v>
      </c>
      <c r="AP693" s="83"/>
      <c r="AQ693" s="85"/>
      <c r="AR693" s="86"/>
      <c r="AS693" s="87"/>
      <c r="AV693" s="85"/>
      <c r="AW693" s="93"/>
      <c r="AX693" s="94"/>
      <c r="AY693" s="90">
        <v>2</v>
      </c>
      <c r="AZ693" s="76">
        <v>0</v>
      </c>
      <c r="BB693" s="91"/>
      <c r="BG693" s="33" t="s">
        <v>6589</v>
      </c>
    </row>
    <row r="694" spans="1:59" ht="15" customHeight="1">
      <c r="A694" s="33" t="s">
        <v>6791</v>
      </c>
      <c r="B694" s="33" t="s">
        <v>6758</v>
      </c>
      <c r="C694" s="33" t="s">
        <v>6214</v>
      </c>
      <c r="D694" s="34">
        <v>76</v>
      </c>
      <c r="E694" s="33">
        <v>1</v>
      </c>
      <c r="F694" s="33" t="s">
        <v>6542</v>
      </c>
      <c r="G694" s="33" t="s">
        <v>6558</v>
      </c>
      <c r="H694" s="33" t="s">
        <v>6590</v>
      </c>
      <c r="I694" s="33" t="s">
        <v>4077</v>
      </c>
      <c r="J694" s="33" t="s">
        <v>4111</v>
      </c>
      <c r="K694" s="33" t="s">
        <v>26</v>
      </c>
      <c r="AD694" s="33" t="s">
        <v>6591</v>
      </c>
      <c r="AF694" s="33" t="s">
        <v>6592</v>
      </c>
      <c r="AI694" s="33" t="s">
        <v>6593</v>
      </c>
      <c r="AL694" s="33" t="s">
        <v>6556</v>
      </c>
      <c r="AM694" s="33" t="s">
        <v>6280</v>
      </c>
      <c r="AP694" s="83"/>
      <c r="AQ694" s="85"/>
      <c r="AR694" s="86"/>
      <c r="AS694" s="87"/>
      <c r="AV694" s="85"/>
      <c r="AW694" s="93"/>
      <c r="AX694" s="94"/>
      <c r="AY694" s="90"/>
      <c r="BB694" s="91"/>
      <c r="BG694" s="33" t="s">
        <v>6594</v>
      </c>
    </row>
    <row r="695" spans="1:59" ht="15" customHeight="1">
      <c r="A695" s="33" t="s">
        <v>6791</v>
      </c>
      <c r="B695" s="33" t="s">
        <v>6759</v>
      </c>
      <c r="C695" s="33" t="s">
        <v>6214</v>
      </c>
      <c r="D695" s="34">
        <v>77</v>
      </c>
      <c r="E695" s="33">
        <v>1</v>
      </c>
      <c r="F695" s="33" t="s">
        <v>6542</v>
      </c>
      <c r="G695" s="33" t="s">
        <v>6563</v>
      </c>
      <c r="H695" s="33" t="s">
        <v>6595</v>
      </c>
      <c r="I695" s="33" t="s">
        <v>4077</v>
      </c>
      <c r="J695" s="33" t="s">
        <v>4111</v>
      </c>
      <c r="K695" s="33" t="s">
        <v>26</v>
      </c>
      <c r="AD695" s="33" t="s">
        <v>6591</v>
      </c>
      <c r="AF695" s="33" t="s">
        <v>6596</v>
      </c>
      <c r="AI695" s="33" t="s">
        <v>6597</v>
      </c>
      <c r="AL695" s="33" t="s">
        <v>6556</v>
      </c>
      <c r="AM695" s="33" t="s">
        <v>6280</v>
      </c>
      <c r="AP695" s="83"/>
      <c r="AQ695" s="85"/>
      <c r="AR695" s="86"/>
      <c r="AS695" s="87"/>
      <c r="AV695" s="85"/>
      <c r="AW695" s="93"/>
      <c r="AX695" s="94"/>
      <c r="AY695" s="90"/>
      <c r="BB695" s="91"/>
      <c r="BG695" s="33" t="s">
        <v>6598</v>
      </c>
    </row>
    <row r="696" spans="1:59" ht="15" customHeight="1">
      <c r="A696" s="33" t="s">
        <v>6791</v>
      </c>
      <c r="B696" s="33" t="s">
        <v>6760</v>
      </c>
      <c r="C696" s="33" t="s">
        <v>6214</v>
      </c>
      <c r="D696" s="34">
        <v>78</v>
      </c>
      <c r="E696" s="33">
        <v>1</v>
      </c>
      <c r="F696" s="33" t="s">
        <v>6542</v>
      </c>
      <c r="G696" s="33" t="s">
        <v>6567</v>
      </c>
      <c r="H696" s="33" t="s">
        <v>6599</v>
      </c>
      <c r="I696" s="33" t="s">
        <v>4077</v>
      </c>
      <c r="J696" s="33" t="s">
        <v>4111</v>
      </c>
      <c r="K696" s="33" t="s">
        <v>26</v>
      </c>
      <c r="AD696" s="33" t="s">
        <v>6591</v>
      </c>
      <c r="AF696" s="33" t="s">
        <v>6600</v>
      </c>
      <c r="AI696" s="33" t="s">
        <v>6601</v>
      </c>
      <c r="AL696" s="33" t="s">
        <v>6556</v>
      </c>
      <c r="AM696" s="33" t="s">
        <v>6280</v>
      </c>
      <c r="AP696" s="83"/>
      <c r="AQ696" s="85"/>
      <c r="AR696" s="86"/>
      <c r="AS696" s="87"/>
      <c r="AV696" s="85"/>
      <c r="AW696" s="93"/>
      <c r="AX696" s="94"/>
      <c r="AY696" s="90"/>
      <c r="BB696" s="91"/>
      <c r="BG696" s="33" t="s">
        <v>6602</v>
      </c>
    </row>
    <row r="697" spans="1:59" ht="15" customHeight="1">
      <c r="A697" s="33" t="s">
        <v>6791</v>
      </c>
      <c r="B697" s="33" t="s">
        <v>6761</v>
      </c>
      <c r="C697" s="33" t="s">
        <v>6214</v>
      </c>
      <c r="D697" s="34">
        <v>79</v>
      </c>
      <c r="E697" s="33">
        <v>1</v>
      </c>
      <c r="F697" s="33" t="s">
        <v>6542</v>
      </c>
      <c r="G697" s="33" t="s">
        <v>6571</v>
      </c>
      <c r="H697" s="33" t="s">
        <v>6603</v>
      </c>
      <c r="I697" s="33" t="s">
        <v>4077</v>
      </c>
      <c r="J697" s="33" t="s">
        <v>4111</v>
      </c>
      <c r="K697" s="33" t="s">
        <v>26</v>
      </c>
      <c r="AD697" s="33" t="s">
        <v>6591</v>
      </c>
      <c r="AF697" s="33" t="s">
        <v>6604</v>
      </c>
      <c r="AI697" s="33" t="s">
        <v>6605</v>
      </c>
      <c r="AL697" s="33" t="s">
        <v>6556</v>
      </c>
      <c r="AM697" s="33" t="s">
        <v>6280</v>
      </c>
      <c r="AP697" s="83"/>
      <c r="AQ697" s="85"/>
      <c r="AR697" s="86"/>
      <c r="AS697" s="87"/>
      <c r="AV697" s="85"/>
      <c r="AW697" s="93"/>
      <c r="AX697" s="94"/>
      <c r="AY697" s="90"/>
      <c r="BB697" s="91"/>
      <c r="BG697" s="33" t="s">
        <v>6606</v>
      </c>
    </row>
    <row r="698" spans="1:59" ht="15" customHeight="1">
      <c r="A698" s="33" t="s">
        <v>6791</v>
      </c>
      <c r="B698" s="33" t="s">
        <v>6762</v>
      </c>
      <c r="C698" s="33" t="s">
        <v>6214</v>
      </c>
      <c r="D698" s="34">
        <v>80</v>
      </c>
      <c r="E698" s="33">
        <v>1</v>
      </c>
      <c r="F698" s="33" t="s">
        <v>6542</v>
      </c>
      <c r="G698" s="33" t="s">
        <v>6575</v>
      </c>
      <c r="H698" s="33" t="s">
        <v>6607</v>
      </c>
      <c r="I698" s="33" t="s">
        <v>4077</v>
      </c>
      <c r="J698" s="33" t="s">
        <v>4111</v>
      </c>
      <c r="K698" s="33" t="s">
        <v>26</v>
      </c>
      <c r="AD698" s="33" t="s">
        <v>6591</v>
      </c>
      <c r="AF698" s="33" t="s">
        <v>6608</v>
      </c>
      <c r="AI698" s="33" t="s">
        <v>6609</v>
      </c>
      <c r="AL698" s="33" t="s">
        <v>6556</v>
      </c>
      <c r="AM698" s="33" t="s">
        <v>6280</v>
      </c>
      <c r="AP698" s="83"/>
      <c r="AQ698" s="85"/>
      <c r="AR698" s="86"/>
      <c r="AS698" s="87"/>
      <c r="AV698" s="85"/>
      <c r="AW698" s="93"/>
      <c r="AX698" s="94"/>
      <c r="AY698" s="90"/>
      <c r="BB698" s="91"/>
      <c r="BG698" s="33" t="s">
        <v>6610</v>
      </c>
    </row>
    <row r="699" spans="1:59" ht="15" customHeight="1">
      <c r="A699" s="33" t="s">
        <v>6791</v>
      </c>
      <c r="B699" s="33" t="s">
        <v>6763</v>
      </c>
      <c r="C699" s="33" t="s">
        <v>6214</v>
      </c>
      <c r="D699" s="34">
        <v>81</v>
      </c>
      <c r="E699" s="33">
        <v>1</v>
      </c>
      <c r="F699" s="33" t="s">
        <v>6542</v>
      </c>
      <c r="G699" s="33" t="s">
        <v>6611</v>
      </c>
      <c r="H699" s="33" t="s">
        <v>6612</v>
      </c>
      <c r="I699" s="33" t="s">
        <v>4077</v>
      </c>
      <c r="J699" s="33" t="s">
        <v>29</v>
      </c>
      <c r="Q699" s="75">
        <v>2</v>
      </c>
      <c r="R699" s="76">
        <v>2</v>
      </c>
      <c r="T699" s="78">
        <v>3</v>
      </c>
      <c r="AD699" s="33" t="s">
        <v>4989</v>
      </c>
      <c r="AF699" s="33" t="s">
        <v>6613</v>
      </c>
      <c r="AP699" s="83"/>
      <c r="AQ699" s="85"/>
      <c r="AR699" s="86"/>
      <c r="AS699" s="87"/>
      <c r="AV699" s="85"/>
      <c r="AW699" s="93"/>
      <c r="AX699" s="94"/>
      <c r="AY699" s="90"/>
      <c r="BB699" s="91"/>
    </row>
    <row r="700" spans="1:59" ht="15" customHeight="1">
      <c r="A700" s="33" t="s">
        <v>6791</v>
      </c>
      <c r="B700" s="33" t="s">
        <v>6764</v>
      </c>
      <c r="C700" s="33" t="s">
        <v>6214</v>
      </c>
      <c r="D700" s="34">
        <v>82</v>
      </c>
      <c r="E700" s="33">
        <v>2</v>
      </c>
      <c r="F700" s="33" t="s">
        <v>6542</v>
      </c>
      <c r="G700" s="33" t="s">
        <v>6614</v>
      </c>
      <c r="J700" s="33" t="s">
        <v>28</v>
      </c>
      <c r="AD700" s="33" t="s">
        <v>4335</v>
      </c>
      <c r="AF700" s="33" t="s">
        <v>6615</v>
      </c>
      <c r="AP700" s="83"/>
      <c r="AQ700" s="85"/>
      <c r="AR700" s="86"/>
      <c r="AS700" s="87"/>
      <c r="AV700" s="85"/>
      <c r="AW700" s="93"/>
      <c r="AX700" s="94"/>
      <c r="AY700" s="90"/>
      <c r="BB700" s="91"/>
    </row>
    <row r="701" spans="1:59" ht="15" customHeight="1">
      <c r="A701" s="33" t="s">
        <v>6791</v>
      </c>
      <c r="B701" s="33" t="s">
        <v>6765</v>
      </c>
      <c r="C701" s="33" t="s">
        <v>6214</v>
      </c>
      <c r="D701" s="34">
        <v>83</v>
      </c>
      <c r="E701" s="33">
        <v>2</v>
      </c>
      <c r="F701" s="33" t="s">
        <v>6542</v>
      </c>
      <c r="G701" s="33" t="s">
        <v>6616</v>
      </c>
      <c r="J701" s="33" t="s">
        <v>28</v>
      </c>
      <c r="AD701" s="33" t="s">
        <v>4333</v>
      </c>
      <c r="AF701" s="33" t="s">
        <v>6617</v>
      </c>
      <c r="AP701" s="83"/>
      <c r="AQ701" s="85"/>
      <c r="AR701" s="86"/>
      <c r="AS701" s="87"/>
      <c r="AV701" s="85"/>
      <c r="AW701" s="93"/>
      <c r="AX701" s="94"/>
      <c r="AY701" s="90"/>
      <c r="BB701" s="91"/>
    </row>
    <row r="702" spans="1:59" ht="15" customHeight="1">
      <c r="A702" s="33" t="s">
        <v>6791</v>
      </c>
      <c r="B702" s="33" t="s">
        <v>6766</v>
      </c>
      <c r="C702" s="33" t="s">
        <v>6214</v>
      </c>
      <c r="D702" s="34">
        <v>84</v>
      </c>
      <c r="E702" s="33">
        <v>1</v>
      </c>
      <c r="F702" s="33" t="s">
        <v>6618</v>
      </c>
      <c r="G702" s="33" t="s">
        <v>6619</v>
      </c>
      <c r="J702" s="33" t="s">
        <v>28</v>
      </c>
      <c r="AD702" s="33" t="s">
        <v>4335</v>
      </c>
      <c r="AF702" s="33" t="s">
        <v>6620</v>
      </c>
      <c r="AP702" s="83"/>
      <c r="AQ702" s="85"/>
      <c r="AR702" s="86"/>
      <c r="AS702" s="87"/>
      <c r="AV702" s="85"/>
      <c r="AW702" s="93"/>
      <c r="AX702" s="94"/>
      <c r="AY702" s="90"/>
      <c r="BB702" s="91"/>
    </row>
    <row r="703" spans="1:59" ht="15" customHeight="1">
      <c r="A703" s="33" t="s">
        <v>6791</v>
      </c>
      <c r="B703" s="33" t="s">
        <v>6767</v>
      </c>
      <c r="C703" s="33" t="s">
        <v>6214</v>
      </c>
      <c r="D703" s="34">
        <v>84</v>
      </c>
      <c r="E703" s="33">
        <v>1</v>
      </c>
      <c r="F703" s="33" t="s">
        <v>6618</v>
      </c>
      <c r="G703" s="33" t="s">
        <v>6621</v>
      </c>
      <c r="J703" s="33" t="s">
        <v>28</v>
      </c>
      <c r="AD703" s="33" t="s">
        <v>4335</v>
      </c>
      <c r="AF703" s="33" t="s">
        <v>6622</v>
      </c>
      <c r="AP703" s="83"/>
      <c r="AQ703" s="85"/>
      <c r="AR703" s="86"/>
      <c r="AS703" s="87"/>
      <c r="AV703" s="85"/>
      <c r="AW703" s="93"/>
      <c r="AX703" s="94"/>
      <c r="AY703" s="90"/>
      <c r="BB703" s="91"/>
    </row>
    <row r="704" spans="1:59" ht="15" customHeight="1">
      <c r="A704" s="33" t="s">
        <v>6791</v>
      </c>
      <c r="B704" s="33" t="s">
        <v>6768</v>
      </c>
      <c r="C704" s="33" t="s">
        <v>6214</v>
      </c>
      <c r="D704" s="34">
        <v>84</v>
      </c>
      <c r="E704" s="33">
        <v>1</v>
      </c>
      <c r="F704" s="33" t="s">
        <v>6618</v>
      </c>
      <c r="G704" s="33" t="s">
        <v>6623</v>
      </c>
      <c r="J704" s="33" t="s">
        <v>28</v>
      </c>
      <c r="AD704" s="33" t="s">
        <v>4335</v>
      </c>
      <c r="AF704" s="33" t="s">
        <v>6624</v>
      </c>
      <c r="AP704" s="83"/>
      <c r="AQ704" s="85"/>
      <c r="AR704" s="86"/>
      <c r="AS704" s="87"/>
      <c r="AV704" s="85"/>
      <c r="AW704" s="93"/>
      <c r="AX704" s="94"/>
      <c r="AY704" s="90"/>
      <c r="BB704" s="91"/>
    </row>
    <row r="705" spans="1:54" ht="15" customHeight="1">
      <c r="A705" s="33" t="s">
        <v>6791</v>
      </c>
      <c r="B705" s="33" t="s">
        <v>6769</v>
      </c>
      <c r="C705" s="33" t="s">
        <v>6214</v>
      </c>
      <c r="D705" s="34">
        <v>84</v>
      </c>
      <c r="E705" s="33">
        <v>1</v>
      </c>
      <c r="F705" s="33" t="s">
        <v>6618</v>
      </c>
      <c r="G705" s="33" t="s">
        <v>6625</v>
      </c>
      <c r="J705" s="33" t="s">
        <v>28</v>
      </c>
      <c r="AD705" s="33" t="s">
        <v>4335</v>
      </c>
      <c r="AF705" s="33" t="s">
        <v>6626</v>
      </c>
      <c r="AP705" s="83"/>
      <c r="AQ705" s="85"/>
      <c r="AR705" s="86"/>
      <c r="AS705" s="87"/>
      <c r="AV705" s="85"/>
      <c r="AW705" s="93"/>
      <c r="AX705" s="94"/>
      <c r="AY705" s="90"/>
      <c r="BB705" s="91"/>
    </row>
    <row r="706" spans="1:54" ht="15" customHeight="1">
      <c r="A706" s="33" t="s">
        <v>6791</v>
      </c>
      <c r="B706" s="33" t="s">
        <v>6770</v>
      </c>
      <c r="C706" s="33" t="s">
        <v>6214</v>
      </c>
      <c r="D706" s="34">
        <v>85</v>
      </c>
      <c r="E706" s="33">
        <v>2</v>
      </c>
      <c r="F706" s="33" t="s">
        <v>6618</v>
      </c>
      <c r="G706" s="33" t="s">
        <v>6627</v>
      </c>
      <c r="J706" s="33" t="s">
        <v>28</v>
      </c>
      <c r="AD706" s="33" t="s">
        <v>4335</v>
      </c>
      <c r="AF706" s="33" t="s">
        <v>6628</v>
      </c>
      <c r="AP706" s="83"/>
      <c r="AQ706" s="85"/>
      <c r="AR706" s="86"/>
      <c r="AS706" s="87"/>
      <c r="AV706" s="85"/>
      <c r="AW706" s="93"/>
      <c r="AX706" s="94"/>
      <c r="AY706" s="90"/>
      <c r="BB706" s="91"/>
    </row>
    <row r="707" spans="1:54" ht="15" customHeight="1">
      <c r="A707" s="33" t="s">
        <v>6791</v>
      </c>
      <c r="B707" s="33" t="s">
        <v>6771</v>
      </c>
      <c r="C707" s="33" t="s">
        <v>6214</v>
      </c>
      <c r="D707" s="34">
        <v>86</v>
      </c>
      <c r="E707" s="33">
        <v>2</v>
      </c>
      <c r="F707" s="33" t="s">
        <v>6629</v>
      </c>
      <c r="G707" s="33" t="s">
        <v>6630</v>
      </c>
      <c r="J707" s="33" t="s">
        <v>29</v>
      </c>
      <c r="Q707" s="75">
        <v>2</v>
      </c>
      <c r="R707" s="76">
        <v>2</v>
      </c>
      <c r="T707" s="78">
        <v>3</v>
      </c>
      <c r="V707" s="79">
        <v>1</v>
      </c>
      <c r="W707" s="80">
        <v>1</v>
      </c>
      <c r="AD707" s="33" t="s">
        <v>4690</v>
      </c>
      <c r="AF707" s="33" t="s">
        <v>6631</v>
      </c>
      <c r="AP707" s="83"/>
      <c r="AQ707" s="85"/>
      <c r="AR707" s="86"/>
      <c r="AS707" s="87"/>
      <c r="AV707" s="85"/>
      <c r="AW707" s="93"/>
      <c r="AX707" s="94"/>
      <c r="AY707" s="90"/>
      <c r="BB707" s="91"/>
    </row>
    <row r="708" spans="1:54" ht="15" customHeight="1">
      <c r="A708" s="33" t="s">
        <v>6791</v>
      </c>
      <c r="B708" s="33" t="s">
        <v>6772</v>
      </c>
      <c r="C708" s="33" t="s">
        <v>6214</v>
      </c>
      <c r="D708" s="34">
        <v>87</v>
      </c>
      <c r="E708" s="33">
        <v>2</v>
      </c>
      <c r="F708" s="33" t="s">
        <v>6629</v>
      </c>
      <c r="G708" s="33" t="s">
        <v>6632</v>
      </c>
      <c r="J708" s="33" t="s">
        <v>28</v>
      </c>
      <c r="AD708" s="33" t="s">
        <v>4699</v>
      </c>
      <c r="AF708" s="33" t="s">
        <v>6633</v>
      </c>
      <c r="AP708" s="83"/>
      <c r="AQ708" s="85"/>
      <c r="AR708" s="86"/>
      <c r="AS708" s="87"/>
      <c r="AV708" s="85"/>
      <c r="AW708" s="93"/>
      <c r="AX708" s="94"/>
      <c r="AY708" s="90"/>
      <c r="BB708" s="91"/>
    </row>
    <row r="709" spans="1:54" ht="15" customHeight="1">
      <c r="A709" s="33" t="s">
        <v>6791</v>
      </c>
      <c r="B709" s="33" t="s">
        <v>6773</v>
      </c>
      <c r="C709" s="33" t="s">
        <v>6214</v>
      </c>
      <c r="D709" s="34">
        <v>88</v>
      </c>
      <c r="E709" s="33">
        <v>1</v>
      </c>
      <c r="F709" s="33" t="s">
        <v>6634</v>
      </c>
      <c r="G709" s="33" t="s">
        <v>6635</v>
      </c>
      <c r="J709" s="33" t="s">
        <v>29</v>
      </c>
      <c r="Q709" s="75">
        <v>3</v>
      </c>
      <c r="R709" s="76">
        <v>5</v>
      </c>
      <c r="T709" s="78">
        <v>7</v>
      </c>
      <c r="V709" s="79">
        <v>2</v>
      </c>
      <c r="W709" s="80">
        <v>1</v>
      </c>
      <c r="AA709" s="82">
        <v>1</v>
      </c>
      <c r="AD709" s="33" t="s">
        <v>5648</v>
      </c>
      <c r="AF709" s="33" t="s">
        <v>6636</v>
      </c>
      <c r="AP709" s="83"/>
      <c r="AQ709" s="85"/>
      <c r="AR709" s="86"/>
      <c r="AS709" s="87"/>
      <c r="AV709" s="85"/>
      <c r="AW709" s="93"/>
      <c r="AX709" s="94"/>
      <c r="AY709" s="90"/>
      <c r="BB709" s="91"/>
    </row>
    <row r="710" spans="1:54" ht="15" customHeight="1">
      <c r="A710" s="33" t="s">
        <v>6791</v>
      </c>
      <c r="B710" s="33" t="s">
        <v>6774</v>
      </c>
      <c r="C710" s="33" t="s">
        <v>6214</v>
      </c>
      <c r="D710" s="34">
        <v>89</v>
      </c>
      <c r="E710" s="33">
        <v>2</v>
      </c>
      <c r="F710" s="33" t="s">
        <v>6634</v>
      </c>
      <c r="G710" s="33" t="s">
        <v>6637</v>
      </c>
      <c r="J710" s="33" t="s">
        <v>29</v>
      </c>
      <c r="Q710" s="75">
        <v>4</v>
      </c>
      <c r="R710" s="76">
        <v>2</v>
      </c>
      <c r="T710" s="78">
        <v>4</v>
      </c>
      <c r="V710" s="79">
        <v>1</v>
      </c>
      <c r="W710" s="80">
        <v>2</v>
      </c>
      <c r="AD710" s="33" t="s">
        <v>6638</v>
      </c>
      <c r="AF710" s="33" t="s">
        <v>6639</v>
      </c>
      <c r="AP710" s="83"/>
      <c r="AQ710" s="85"/>
      <c r="AR710" s="86"/>
      <c r="AS710" s="87"/>
      <c r="AV710" s="85"/>
      <c r="AW710" s="93"/>
      <c r="AX710" s="94"/>
      <c r="AY710" s="90"/>
      <c r="BB710" s="91"/>
    </row>
    <row r="711" spans="1:54" ht="15" customHeight="1">
      <c r="A711" s="33" t="s">
        <v>6791</v>
      </c>
      <c r="B711" s="33" t="s">
        <v>6775</v>
      </c>
      <c r="C711" s="33" t="s">
        <v>6214</v>
      </c>
      <c r="D711" s="34">
        <v>90</v>
      </c>
      <c r="E711" s="33">
        <v>2</v>
      </c>
      <c r="F711" s="33" t="s">
        <v>6640</v>
      </c>
      <c r="G711" s="33" t="s">
        <v>6641</v>
      </c>
      <c r="J711" s="33" t="s">
        <v>28</v>
      </c>
      <c r="AD711" s="33" t="s">
        <v>4346</v>
      </c>
      <c r="AF711" s="33" t="s">
        <v>6642</v>
      </c>
      <c r="AP711" s="83"/>
      <c r="AQ711" s="85"/>
      <c r="AR711" s="86"/>
      <c r="AS711" s="87"/>
      <c r="AV711" s="85"/>
      <c r="AW711" s="93"/>
      <c r="AX711" s="94"/>
      <c r="AY711" s="90"/>
      <c r="BB711" s="91"/>
    </row>
    <row r="712" spans="1:54" ht="15" customHeight="1">
      <c r="A712" s="33" t="s">
        <v>6791</v>
      </c>
      <c r="B712" s="33" t="s">
        <v>6776</v>
      </c>
      <c r="C712" s="33" t="s">
        <v>6214</v>
      </c>
      <c r="D712" s="34">
        <v>91</v>
      </c>
      <c r="E712" s="33">
        <v>2</v>
      </c>
      <c r="F712" s="33" t="s">
        <v>6640</v>
      </c>
      <c r="G712" s="33" t="s">
        <v>6643</v>
      </c>
      <c r="J712" s="33" t="s">
        <v>28</v>
      </c>
      <c r="AD712" s="33" t="s">
        <v>4346</v>
      </c>
      <c r="AF712" s="33" t="s">
        <v>6644</v>
      </c>
      <c r="AP712" s="83"/>
      <c r="AQ712" s="85"/>
      <c r="AR712" s="86"/>
      <c r="AS712" s="87"/>
      <c r="AV712" s="85"/>
      <c r="AW712" s="93"/>
      <c r="AX712" s="94"/>
      <c r="AY712" s="90"/>
      <c r="BB712" s="91"/>
    </row>
    <row r="713" spans="1:54" ht="15" customHeight="1">
      <c r="A713" s="33" t="s">
        <v>6791</v>
      </c>
      <c r="B713" s="33" t="s">
        <v>6777</v>
      </c>
      <c r="C713" s="33" t="s">
        <v>6214</v>
      </c>
      <c r="D713" s="34">
        <v>92</v>
      </c>
      <c r="E713" s="33">
        <v>2</v>
      </c>
      <c r="F713" s="33" t="s">
        <v>6640</v>
      </c>
      <c r="G713" s="33" t="s">
        <v>6645</v>
      </c>
      <c r="J713" s="33" t="s">
        <v>28</v>
      </c>
      <c r="AD713" s="33" t="s">
        <v>4699</v>
      </c>
      <c r="AF713" s="33" t="s">
        <v>6646</v>
      </c>
      <c r="AP713" s="83"/>
      <c r="AQ713" s="85"/>
      <c r="AR713" s="86"/>
      <c r="AS713" s="87"/>
      <c r="AV713" s="85"/>
      <c r="AW713" s="93"/>
      <c r="AX713" s="94"/>
      <c r="AY713" s="90"/>
      <c r="BB713" s="91"/>
    </row>
    <row r="714" spans="1:54" ht="15" customHeight="1">
      <c r="A714" s="33" t="s">
        <v>6791</v>
      </c>
      <c r="B714" s="33" t="s">
        <v>6778</v>
      </c>
      <c r="C714" s="33" t="s">
        <v>6214</v>
      </c>
      <c r="D714" s="34">
        <v>93</v>
      </c>
      <c r="E714" s="33">
        <v>2</v>
      </c>
      <c r="F714" s="33" t="s">
        <v>6647</v>
      </c>
      <c r="G714" s="33" t="s">
        <v>6648</v>
      </c>
      <c r="J714" s="33" t="s">
        <v>29</v>
      </c>
      <c r="Q714" s="75">
        <v>3</v>
      </c>
      <c r="R714" s="76">
        <v>4</v>
      </c>
      <c r="T714" s="78">
        <v>2</v>
      </c>
      <c r="W714" s="80">
        <v>2</v>
      </c>
      <c r="AD714" s="33" t="s">
        <v>6649</v>
      </c>
      <c r="AF714" s="33" t="s">
        <v>6650</v>
      </c>
      <c r="AP714" s="83"/>
      <c r="AQ714" s="85"/>
      <c r="AR714" s="86"/>
      <c r="AS714" s="87"/>
      <c r="AV714" s="85"/>
      <c r="AW714" s="93"/>
      <c r="AX714" s="94"/>
      <c r="AY714" s="90"/>
      <c r="BB714" s="91"/>
    </row>
    <row r="715" spans="1:54" ht="15" customHeight="1">
      <c r="A715" s="33" t="s">
        <v>6791</v>
      </c>
      <c r="B715" s="33" t="s">
        <v>6779</v>
      </c>
      <c r="C715" s="33" t="s">
        <v>6214</v>
      </c>
      <c r="D715" s="34">
        <v>94</v>
      </c>
      <c r="E715" s="33">
        <v>2</v>
      </c>
      <c r="F715" s="33" t="s">
        <v>6647</v>
      </c>
      <c r="G715" s="33" t="s">
        <v>6651</v>
      </c>
      <c r="J715" s="33" t="s">
        <v>28</v>
      </c>
      <c r="AD715" s="33" t="s">
        <v>6652</v>
      </c>
      <c r="AF715" s="33" t="s">
        <v>6653</v>
      </c>
      <c r="AP715" s="83"/>
      <c r="AQ715" s="85"/>
      <c r="AR715" s="86"/>
      <c r="AS715" s="87"/>
      <c r="AV715" s="85"/>
      <c r="AW715" s="93"/>
      <c r="AX715" s="94"/>
      <c r="AY715" s="90"/>
      <c r="BB715" s="91"/>
    </row>
    <row r="716" spans="1:54" ht="15" customHeight="1">
      <c r="A716" s="33" t="s">
        <v>6791</v>
      </c>
      <c r="B716" s="33" t="s">
        <v>6780</v>
      </c>
      <c r="C716" s="33" t="s">
        <v>6214</v>
      </c>
      <c r="D716" s="34">
        <v>95</v>
      </c>
      <c r="E716" s="33">
        <v>2</v>
      </c>
      <c r="F716" s="33" t="s">
        <v>6654</v>
      </c>
      <c r="G716" s="33" t="s">
        <v>6655</v>
      </c>
      <c r="J716" s="33" t="s">
        <v>29</v>
      </c>
      <c r="Q716" s="75">
        <v>3</v>
      </c>
      <c r="R716" s="76">
        <v>1</v>
      </c>
      <c r="T716" s="78">
        <v>4</v>
      </c>
      <c r="V716" s="79">
        <v>1</v>
      </c>
      <c r="AD716" s="33" t="s">
        <v>6656</v>
      </c>
      <c r="AF716" s="33" t="s">
        <v>6657</v>
      </c>
      <c r="AP716" s="83"/>
      <c r="AQ716" s="85"/>
      <c r="AR716" s="86"/>
      <c r="AS716" s="87"/>
      <c r="AV716" s="85"/>
      <c r="AW716" s="93"/>
      <c r="AX716" s="94"/>
      <c r="AY716" s="90"/>
      <c r="BB716" s="91"/>
    </row>
    <row r="717" spans="1:54" ht="15" customHeight="1">
      <c r="A717" s="33" t="s">
        <v>6791</v>
      </c>
      <c r="B717" s="33" t="s">
        <v>6781</v>
      </c>
      <c r="C717" s="33" t="s">
        <v>6214</v>
      </c>
      <c r="D717" s="34">
        <v>96</v>
      </c>
      <c r="E717" s="33">
        <v>2</v>
      </c>
      <c r="F717" s="33" t="s">
        <v>6654</v>
      </c>
      <c r="G717" s="33" t="s">
        <v>6658</v>
      </c>
      <c r="J717" s="33" t="s">
        <v>29</v>
      </c>
      <c r="Q717" s="75">
        <v>2</v>
      </c>
      <c r="R717" s="76">
        <v>3</v>
      </c>
      <c r="T717" s="78">
        <v>2</v>
      </c>
      <c r="V717" s="79">
        <v>1</v>
      </c>
      <c r="W717" s="80">
        <v>1</v>
      </c>
      <c r="AD717" s="33" t="s">
        <v>6656</v>
      </c>
      <c r="AF717" s="33" t="s">
        <v>6659</v>
      </c>
      <c r="AP717" s="83"/>
      <c r="AQ717" s="85"/>
      <c r="AR717" s="86"/>
      <c r="AS717" s="87"/>
      <c r="AV717" s="85"/>
      <c r="AW717" s="93"/>
      <c r="AX717" s="94"/>
      <c r="AY717" s="90"/>
      <c r="BB717" s="91"/>
    </row>
    <row r="718" spans="1:54" ht="15" customHeight="1">
      <c r="A718" s="33" t="s">
        <v>6791</v>
      </c>
      <c r="B718" s="33" t="s">
        <v>6782</v>
      </c>
      <c r="C718" s="33" t="s">
        <v>6214</v>
      </c>
      <c r="D718" s="34">
        <v>97</v>
      </c>
      <c r="E718" s="33">
        <v>2</v>
      </c>
      <c r="F718" s="33" t="s">
        <v>6654</v>
      </c>
      <c r="G718" s="33" t="s">
        <v>6660</v>
      </c>
      <c r="J718" s="33" t="s">
        <v>28</v>
      </c>
      <c r="AD718" s="33" t="s">
        <v>4699</v>
      </c>
      <c r="AF718" s="33" t="s">
        <v>6661</v>
      </c>
      <c r="AP718" s="83"/>
      <c r="AQ718" s="85"/>
      <c r="AR718" s="86"/>
      <c r="AS718" s="87"/>
      <c r="AV718" s="85"/>
      <c r="AW718" s="93"/>
      <c r="AX718" s="94"/>
      <c r="AY718" s="90"/>
      <c r="BB718" s="91"/>
    </row>
    <row r="719" spans="1:54" ht="15" customHeight="1">
      <c r="A719" s="33" t="s">
        <v>6791</v>
      </c>
      <c r="B719" s="33" t="s">
        <v>6783</v>
      </c>
      <c r="C719" s="33" t="s">
        <v>6214</v>
      </c>
      <c r="D719" s="34">
        <v>98</v>
      </c>
      <c r="E719" s="33">
        <v>3</v>
      </c>
      <c r="F719" s="33" t="s">
        <v>6662</v>
      </c>
      <c r="G719" s="33" t="s">
        <v>6663</v>
      </c>
      <c r="J719" s="33" t="s">
        <v>29</v>
      </c>
      <c r="Q719" s="75">
        <v>3</v>
      </c>
      <c r="R719" s="76">
        <v>3</v>
      </c>
      <c r="T719" s="78">
        <v>2</v>
      </c>
      <c r="V719" s="79">
        <v>1</v>
      </c>
      <c r="AD719" s="33" t="s">
        <v>4321</v>
      </c>
      <c r="AF719" s="33" t="s">
        <v>6664</v>
      </c>
      <c r="AP719" s="83"/>
      <c r="AQ719" s="85"/>
      <c r="AR719" s="86"/>
      <c r="AS719" s="87"/>
      <c r="AV719" s="85"/>
      <c r="AW719" s="93"/>
      <c r="AX719" s="94"/>
      <c r="AY719" s="90"/>
      <c r="BB719" s="91"/>
    </row>
    <row r="720" spans="1:54" ht="15" customHeight="1">
      <c r="A720" s="33" t="s">
        <v>6791</v>
      </c>
      <c r="B720" s="33" t="s">
        <v>6784</v>
      </c>
      <c r="C720" s="33" t="s">
        <v>6214</v>
      </c>
      <c r="D720" s="34">
        <v>99</v>
      </c>
      <c r="E720" s="33">
        <v>1</v>
      </c>
      <c r="F720" s="33" t="s">
        <v>6662</v>
      </c>
      <c r="G720" s="33" t="s">
        <v>6665</v>
      </c>
      <c r="J720" s="33" t="s">
        <v>29</v>
      </c>
      <c r="Q720" s="75">
        <v>4</v>
      </c>
      <c r="R720" s="76">
        <v>2</v>
      </c>
      <c r="T720" s="78">
        <v>4</v>
      </c>
      <c r="V720" s="79">
        <v>1</v>
      </c>
      <c r="W720" s="80">
        <v>2</v>
      </c>
      <c r="AA720" s="82">
        <v>1</v>
      </c>
      <c r="AD720" s="33" t="s">
        <v>4321</v>
      </c>
      <c r="AF720" s="33" t="s">
        <v>6666</v>
      </c>
      <c r="AP720" s="83"/>
      <c r="AQ720" s="85"/>
      <c r="AR720" s="86"/>
      <c r="AS720" s="87"/>
      <c r="AV720" s="85"/>
      <c r="AW720" s="93"/>
      <c r="AX720" s="94"/>
      <c r="AY720" s="90"/>
      <c r="BB720" s="91"/>
    </row>
    <row r="721" spans="1:73" ht="15" customHeight="1">
      <c r="A721" s="33" t="s">
        <v>6791</v>
      </c>
      <c r="B721" s="33" t="s">
        <v>6785</v>
      </c>
      <c r="C721" s="33" t="s">
        <v>6214</v>
      </c>
      <c r="D721" s="34">
        <v>100</v>
      </c>
      <c r="E721" s="33">
        <v>2</v>
      </c>
      <c r="F721" s="33" t="s">
        <v>6662</v>
      </c>
      <c r="G721" s="33" t="s">
        <v>6667</v>
      </c>
      <c r="J721" s="33" t="s">
        <v>28</v>
      </c>
      <c r="AD721" s="33" t="s">
        <v>4699</v>
      </c>
      <c r="AF721" s="33" t="s">
        <v>6668</v>
      </c>
      <c r="AP721" s="83"/>
      <c r="AQ721" s="85"/>
      <c r="AR721" s="86"/>
      <c r="AS721" s="87"/>
      <c r="AV721" s="85"/>
      <c r="AW721" s="93"/>
      <c r="AX721" s="94"/>
      <c r="AY721" s="90"/>
      <c r="BB721" s="91"/>
    </row>
    <row r="722" spans="1:73" ht="15" customHeight="1">
      <c r="A722" s="33" t="s">
        <v>6791</v>
      </c>
      <c r="B722" s="33" t="s">
        <v>6786</v>
      </c>
      <c r="C722" s="33" t="s">
        <v>6214</v>
      </c>
      <c r="D722" s="34">
        <v>101</v>
      </c>
      <c r="E722" s="33">
        <v>2</v>
      </c>
      <c r="F722" s="33" t="s">
        <v>6669</v>
      </c>
      <c r="G722" s="33" t="s">
        <v>6670</v>
      </c>
      <c r="J722" s="33" t="s">
        <v>28</v>
      </c>
      <c r="AD722" s="33" t="s">
        <v>4333</v>
      </c>
      <c r="AF722" s="33" t="s">
        <v>6671</v>
      </c>
      <c r="AP722" s="83"/>
      <c r="AQ722" s="85"/>
      <c r="AR722" s="86"/>
      <c r="AS722" s="87"/>
      <c r="AV722" s="85"/>
      <c r="AW722" s="93"/>
      <c r="AX722" s="94"/>
      <c r="AY722" s="90"/>
      <c r="BB722" s="91"/>
    </row>
    <row r="723" spans="1:73" ht="15" customHeight="1">
      <c r="A723" s="34" t="s">
        <v>6791</v>
      </c>
      <c r="B723" s="33" t="s">
        <v>6787</v>
      </c>
      <c r="C723" s="33" t="s">
        <v>6214</v>
      </c>
      <c r="D723" s="34">
        <v>102</v>
      </c>
      <c r="E723" s="33">
        <v>2</v>
      </c>
      <c r="F723" s="33" t="s">
        <v>6669</v>
      </c>
      <c r="G723" s="33" t="s">
        <v>6672</v>
      </c>
      <c r="J723" s="33" t="s">
        <v>28</v>
      </c>
      <c r="AD723" s="33" t="s">
        <v>4333</v>
      </c>
      <c r="AF723" s="33" t="s">
        <v>6673</v>
      </c>
      <c r="AP723" s="83"/>
      <c r="AQ723" s="85"/>
      <c r="AR723" s="86"/>
      <c r="AS723" s="87"/>
      <c r="AV723" s="85"/>
      <c r="AW723" s="93"/>
      <c r="AX723" s="94"/>
      <c r="AY723" s="90"/>
      <c r="BB723" s="91"/>
    </row>
    <row r="724" spans="1:73" ht="15" customHeight="1">
      <c r="A724" s="34" t="s">
        <v>6791</v>
      </c>
      <c r="B724" s="33" t="s">
        <v>6788</v>
      </c>
      <c r="C724" s="33" t="s">
        <v>6214</v>
      </c>
      <c r="D724" s="34">
        <v>103</v>
      </c>
      <c r="E724" s="33">
        <v>2</v>
      </c>
      <c r="F724" s="33" t="s">
        <v>6669</v>
      </c>
      <c r="G724" s="33" t="s">
        <v>6674</v>
      </c>
      <c r="J724" s="33" t="s">
        <v>29</v>
      </c>
      <c r="Q724" s="75" t="s">
        <v>32</v>
      </c>
      <c r="R724" s="76">
        <v>3</v>
      </c>
      <c r="T724" s="78">
        <v>2</v>
      </c>
      <c r="V724" s="79">
        <v>1</v>
      </c>
      <c r="AD724" s="33" t="s">
        <v>30</v>
      </c>
      <c r="AF724" s="33" t="s">
        <v>6675</v>
      </c>
      <c r="AP724" s="83"/>
      <c r="AQ724" s="85"/>
      <c r="AR724" s="86"/>
      <c r="AS724" s="87"/>
      <c r="AV724" s="85"/>
      <c r="AW724" s="93"/>
      <c r="AX724" s="94"/>
      <c r="AY724" s="90"/>
      <c r="BB724" s="91"/>
    </row>
    <row r="725" spans="1:73" ht="15" customHeight="1">
      <c r="A725" s="34" t="s">
        <v>6791</v>
      </c>
      <c r="B725" s="33" t="s">
        <v>6789</v>
      </c>
      <c r="C725" s="33" t="s">
        <v>6214</v>
      </c>
      <c r="D725" s="34">
        <v>104</v>
      </c>
      <c r="E725" s="33">
        <v>2</v>
      </c>
      <c r="F725" s="33" t="s">
        <v>6503</v>
      </c>
      <c r="G725" s="33" t="s">
        <v>6676</v>
      </c>
      <c r="J725" s="33" t="s">
        <v>28</v>
      </c>
      <c r="AD725" s="33" t="s">
        <v>4699</v>
      </c>
      <c r="AF725" s="33" t="s">
        <v>6677</v>
      </c>
      <c r="AP725" s="83"/>
      <c r="AQ725" s="85"/>
      <c r="AR725" s="86"/>
      <c r="AS725" s="87"/>
      <c r="AV725" s="85"/>
      <c r="AW725" s="93"/>
      <c r="AX725" s="94"/>
      <c r="AY725" s="90"/>
      <c r="BB725" s="91"/>
    </row>
    <row r="726" spans="1:73" ht="15" customHeight="1">
      <c r="A726" s="34" t="s">
        <v>6791</v>
      </c>
      <c r="B726" s="33" t="s">
        <v>6790</v>
      </c>
      <c r="C726" s="33" t="s">
        <v>6214</v>
      </c>
      <c r="D726" s="34">
        <v>105</v>
      </c>
      <c r="E726" s="33">
        <v>1</v>
      </c>
      <c r="F726" s="33" t="s">
        <v>6503</v>
      </c>
      <c r="G726" s="33" t="s">
        <v>6678</v>
      </c>
      <c r="J726" s="33" t="s">
        <v>28</v>
      </c>
      <c r="AD726" s="33" t="s">
        <v>6679</v>
      </c>
      <c r="AF726" s="33" t="s">
        <v>6680</v>
      </c>
      <c r="AP726" s="83"/>
      <c r="AQ726" s="85"/>
      <c r="AR726" s="86"/>
      <c r="AS726" s="87"/>
      <c r="AV726" s="85"/>
      <c r="AW726" s="93"/>
      <c r="AX726" s="94"/>
      <c r="AY726" s="90"/>
      <c r="BB726" s="91"/>
    </row>
    <row r="727" spans="1:73" ht="15" customHeight="1">
      <c r="A727" s="34" t="s">
        <v>6791</v>
      </c>
      <c r="B727" s="38" t="s">
        <v>6932</v>
      </c>
      <c r="C727" s="33" t="s">
        <v>6214</v>
      </c>
      <c r="D727" s="41">
        <v>994</v>
      </c>
      <c r="E727" s="38">
        <v>1</v>
      </c>
      <c r="F727" s="38"/>
      <c r="G727" s="38" t="s">
        <v>6366</v>
      </c>
      <c r="J727" s="33" t="s">
        <v>4715</v>
      </c>
      <c r="K727" s="33" t="s">
        <v>4052</v>
      </c>
      <c r="N727" s="83"/>
      <c r="O727" s="85"/>
      <c r="P727" s="86"/>
      <c r="Q727" s="87"/>
      <c r="U727" s="85"/>
      <c r="V727" s="93"/>
      <c r="W727" s="94"/>
      <c r="X727" s="90"/>
      <c r="AA727" s="91"/>
      <c r="AB727" s="52"/>
      <c r="AE727" s="33"/>
      <c r="AI727" s="38" t="s">
        <v>6366</v>
      </c>
      <c r="AL727" s="33" t="s">
        <v>4715</v>
      </c>
      <c r="AP727" s="83"/>
      <c r="AQ727" s="85"/>
      <c r="AR727" s="86"/>
      <c r="AS727" s="87"/>
      <c r="AV727" s="85"/>
      <c r="AW727" s="93"/>
      <c r="AX727" s="94"/>
      <c r="AY727" s="90"/>
      <c r="BB727" s="91"/>
    </row>
    <row r="728" spans="1:73" ht="15" customHeight="1">
      <c r="A728" s="34" t="s">
        <v>6791</v>
      </c>
      <c r="B728" s="33" t="s">
        <v>6933</v>
      </c>
      <c r="C728" s="33" t="s">
        <v>6214</v>
      </c>
      <c r="D728" s="34">
        <v>995</v>
      </c>
      <c r="E728" s="33">
        <v>1</v>
      </c>
      <c r="G728" s="33" t="s">
        <v>6371</v>
      </c>
      <c r="J728" s="33" t="s">
        <v>4715</v>
      </c>
      <c r="K728" s="33" t="s">
        <v>4053</v>
      </c>
      <c r="N728" s="83"/>
      <c r="O728" s="85"/>
      <c r="P728" s="86"/>
      <c r="Q728" s="87"/>
      <c r="U728" s="85"/>
      <c r="V728" s="93"/>
      <c r="W728" s="94"/>
      <c r="X728" s="90"/>
      <c r="AA728" s="91"/>
      <c r="AB728" s="52"/>
      <c r="AE728" s="33"/>
      <c r="AI728" s="33" t="s">
        <v>6371</v>
      </c>
      <c r="AL728" s="33" t="s">
        <v>4715</v>
      </c>
      <c r="AP728" s="83"/>
      <c r="AQ728" s="85"/>
      <c r="AR728" s="86"/>
      <c r="AS728" s="87"/>
      <c r="AV728" s="85"/>
      <c r="AW728" s="93"/>
      <c r="AX728" s="94"/>
      <c r="AY728" s="90"/>
      <c r="BB728" s="91"/>
    </row>
    <row r="729" spans="1:73" ht="15" customHeight="1">
      <c r="A729" s="34" t="s">
        <v>6791</v>
      </c>
      <c r="B729" s="33" t="s">
        <v>6934</v>
      </c>
      <c r="C729" s="33" t="s">
        <v>6214</v>
      </c>
      <c r="D729" s="41">
        <v>996</v>
      </c>
      <c r="E729" s="33">
        <v>1</v>
      </c>
      <c r="G729" s="33" t="s">
        <v>6376</v>
      </c>
      <c r="J729" s="33" t="s">
        <v>4715</v>
      </c>
      <c r="K729" s="33" t="s">
        <v>4055</v>
      </c>
      <c r="N729" s="83"/>
      <c r="O729" s="85"/>
      <c r="P729" s="86"/>
      <c r="Q729" s="87"/>
      <c r="U729" s="85"/>
      <c r="V729" s="93"/>
      <c r="W729" s="94"/>
      <c r="X729" s="90"/>
      <c r="AA729" s="91"/>
      <c r="AB729" s="52"/>
      <c r="AE729" s="33"/>
      <c r="AI729" s="33" t="s">
        <v>6376</v>
      </c>
      <c r="AL729" s="33" t="s">
        <v>4715</v>
      </c>
      <c r="AP729" s="83"/>
      <c r="AQ729" s="85"/>
      <c r="AR729" s="86"/>
      <c r="AS729" s="87"/>
      <c r="AV729" s="85"/>
      <c r="AW729" s="93"/>
      <c r="AX729" s="94"/>
      <c r="AY729" s="90"/>
      <c r="BB729" s="91"/>
    </row>
    <row r="730" spans="1:73" ht="15" customHeight="1">
      <c r="A730" s="34" t="s">
        <v>6791</v>
      </c>
      <c r="B730" s="33" t="s">
        <v>6935</v>
      </c>
      <c r="C730" s="33" t="s">
        <v>6214</v>
      </c>
      <c r="D730" s="34">
        <v>997</v>
      </c>
      <c r="E730" s="33">
        <v>1</v>
      </c>
      <c r="G730" s="33" t="s">
        <v>6381</v>
      </c>
      <c r="J730" s="33" t="s">
        <v>4715</v>
      </c>
      <c r="K730" s="33" t="s">
        <v>4054</v>
      </c>
      <c r="N730" s="83"/>
      <c r="O730" s="85"/>
      <c r="P730" s="86"/>
      <c r="Q730" s="87"/>
      <c r="U730" s="85"/>
      <c r="V730" s="93"/>
      <c r="W730" s="94"/>
      <c r="X730" s="90"/>
      <c r="AA730" s="91"/>
      <c r="AB730" s="52"/>
      <c r="AE730" s="33"/>
      <c r="AI730" s="33" t="s">
        <v>6381</v>
      </c>
      <c r="AL730" s="33" t="s">
        <v>4715</v>
      </c>
      <c r="AP730" s="83"/>
      <c r="AQ730" s="85"/>
      <c r="AR730" s="86"/>
      <c r="AS730" s="87"/>
      <c r="AV730" s="85"/>
      <c r="AW730" s="93"/>
      <c r="AX730" s="94"/>
      <c r="AY730" s="90"/>
      <c r="BB730" s="91"/>
    </row>
    <row r="731" spans="1:73" s="42" customFormat="1" ht="15" customHeight="1">
      <c r="A731" s="34" t="s">
        <v>6791</v>
      </c>
      <c r="B731" s="149" t="s">
        <v>6936</v>
      </c>
      <c r="C731" s="33" t="s">
        <v>6214</v>
      </c>
      <c r="D731" s="41">
        <v>998</v>
      </c>
      <c r="E731" s="149">
        <v>1</v>
      </c>
      <c r="F731" s="149"/>
      <c r="G731" s="149" t="s">
        <v>6385</v>
      </c>
      <c r="H731" s="149"/>
      <c r="I731" s="149"/>
      <c r="J731" s="149" t="s">
        <v>4715</v>
      </c>
      <c r="K731" s="149" t="s">
        <v>4056</v>
      </c>
      <c r="L731" s="149"/>
      <c r="M731" s="149"/>
      <c r="N731" s="150"/>
      <c r="O731" s="85"/>
      <c r="P731" s="86"/>
      <c r="Q731" s="87"/>
      <c r="R731" s="76"/>
      <c r="S731" s="123"/>
      <c r="T731" s="78"/>
      <c r="U731" s="85"/>
      <c r="V731" s="93"/>
      <c r="W731" s="94"/>
      <c r="X731" s="90"/>
      <c r="Y731" s="76"/>
      <c r="Z731" s="78"/>
      <c r="AA731" s="91"/>
      <c r="AB731" s="152"/>
      <c r="AC731" s="149"/>
      <c r="AD731" s="149"/>
      <c r="AE731" s="149"/>
      <c r="AF731" s="149"/>
      <c r="AG731" s="149"/>
      <c r="AH731" s="149"/>
      <c r="AI731" s="149" t="s">
        <v>6385</v>
      </c>
      <c r="AJ731" s="149"/>
      <c r="AK731" s="149"/>
      <c r="AL731" s="149" t="s">
        <v>4715</v>
      </c>
      <c r="AM731" s="149"/>
      <c r="AN731" s="149"/>
      <c r="AO731" s="149"/>
      <c r="AP731" s="153"/>
      <c r="AQ731" s="96"/>
      <c r="AR731" s="97"/>
      <c r="AS731" s="98"/>
      <c r="AT731" s="99"/>
      <c r="AU731" s="100"/>
      <c r="AV731" s="96"/>
      <c r="AW731" s="101"/>
      <c r="AX731" s="102"/>
      <c r="AY731" s="103"/>
      <c r="AZ731" s="99"/>
      <c r="BA731" s="100"/>
      <c r="BB731" s="104"/>
      <c r="BC731" s="152"/>
      <c r="BD731" s="149"/>
      <c r="BE731" s="149"/>
      <c r="BF731" s="151"/>
      <c r="BG731" s="149"/>
      <c r="BH731" s="149"/>
      <c r="BI731" s="149"/>
      <c r="BJ731" s="149"/>
      <c r="BK731" s="149"/>
      <c r="BL731" s="149"/>
      <c r="BM731" s="149"/>
      <c r="BN731" s="149"/>
      <c r="BO731" s="149"/>
      <c r="BP731" s="149"/>
      <c r="BQ731" s="149"/>
      <c r="BR731" s="149"/>
      <c r="BS731" s="149"/>
      <c r="BT731" s="149"/>
      <c r="BU731" s="149"/>
    </row>
    <row r="732" spans="1:73" s="42" customFormat="1" ht="15" customHeight="1">
      <c r="A732" s="34" t="s">
        <v>6791</v>
      </c>
      <c r="B732" s="42" t="s">
        <v>6937</v>
      </c>
      <c r="C732" s="33" t="s">
        <v>6214</v>
      </c>
      <c r="D732" s="34">
        <v>999</v>
      </c>
      <c r="E732" s="42">
        <v>1</v>
      </c>
      <c r="G732" s="42" t="s">
        <v>6390</v>
      </c>
      <c r="J732" s="42" t="s">
        <v>4715</v>
      </c>
      <c r="K732" s="42" t="s">
        <v>26</v>
      </c>
      <c r="N732" s="95"/>
      <c r="O732" s="96"/>
      <c r="P732" s="97"/>
      <c r="Q732" s="98"/>
      <c r="R732" s="99"/>
      <c r="S732" s="123"/>
      <c r="T732" s="100"/>
      <c r="U732" s="96"/>
      <c r="V732" s="101"/>
      <c r="W732" s="102"/>
      <c r="X732" s="103"/>
      <c r="Y732" s="99"/>
      <c r="Z732" s="100"/>
      <c r="AA732" s="104"/>
      <c r="AI732" s="42" t="s">
        <v>6390</v>
      </c>
      <c r="AL732" s="42" t="s">
        <v>4715</v>
      </c>
      <c r="AP732" s="95"/>
      <c r="AQ732" s="96"/>
      <c r="AR732" s="97"/>
      <c r="AS732" s="98"/>
      <c r="AT732" s="99"/>
      <c r="AU732" s="100"/>
      <c r="AV732" s="96"/>
      <c r="AW732" s="101"/>
      <c r="AX732" s="102"/>
      <c r="AY732" s="103"/>
      <c r="AZ732" s="99"/>
      <c r="BA732" s="100"/>
      <c r="BB732" s="104"/>
      <c r="BF732" s="35"/>
    </row>
    <row r="733" spans="1:73" ht="15" customHeight="1">
      <c r="A733" s="51" t="s">
        <v>6794</v>
      </c>
      <c r="B733" s="51" t="s">
        <v>6797</v>
      </c>
      <c r="C733" s="51" t="s">
        <v>6215</v>
      </c>
      <c r="D733" s="126">
        <v>106</v>
      </c>
      <c r="E733" s="51">
        <v>2</v>
      </c>
      <c r="F733" s="51"/>
      <c r="G733" s="51" t="s">
        <v>6798</v>
      </c>
      <c r="H733" s="38"/>
      <c r="J733" s="33" t="s">
        <v>27</v>
      </c>
      <c r="K733" s="33" t="s">
        <v>4052</v>
      </c>
      <c r="L733" s="33">
        <v>0</v>
      </c>
      <c r="N733" s="34">
        <v>1</v>
      </c>
      <c r="O733" s="128">
        <v>1</v>
      </c>
      <c r="P733" s="129"/>
      <c r="Q733" s="130">
        <v>1</v>
      </c>
      <c r="R733" s="39"/>
      <c r="S733" s="131"/>
      <c r="T733" s="132"/>
      <c r="U733" s="128"/>
      <c r="V733" s="133"/>
      <c r="W733" s="134"/>
      <c r="X733" s="135"/>
      <c r="Y733" s="39"/>
      <c r="Z733" s="132"/>
      <c r="AA733" s="136"/>
      <c r="AB733" s="26" t="s">
        <v>4937</v>
      </c>
      <c r="AD733" s="33" t="s">
        <v>6799</v>
      </c>
      <c r="AF733" s="33" t="s">
        <v>6800</v>
      </c>
      <c r="AI733" s="38"/>
      <c r="AJ733" s="38"/>
      <c r="AO733" s="34"/>
      <c r="AP733" s="34"/>
      <c r="AQ733" s="128"/>
      <c r="AR733" s="129"/>
      <c r="AS733" s="130"/>
      <c r="AT733" s="39"/>
      <c r="AU733" s="132"/>
      <c r="AV733" s="128"/>
      <c r="AW733" s="133"/>
      <c r="AX733" s="134"/>
      <c r="AY733" s="135"/>
      <c r="AZ733" s="39"/>
      <c r="BA733" s="132"/>
      <c r="BB733" s="136"/>
      <c r="BE733" s="34"/>
      <c r="BF733" s="33"/>
    </row>
    <row r="734" spans="1:73" ht="15" customHeight="1">
      <c r="A734" s="38" t="s">
        <v>6794</v>
      </c>
      <c r="B734" s="33" t="s">
        <v>6801</v>
      </c>
      <c r="C734" s="33" t="s">
        <v>6215</v>
      </c>
      <c r="D734" s="34">
        <v>107</v>
      </c>
      <c r="E734" s="33">
        <v>2</v>
      </c>
      <c r="G734" s="33" t="s">
        <v>6802</v>
      </c>
      <c r="J734" s="33" t="s">
        <v>4111</v>
      </c>
      <c r="K734" s="33" t="s">
        <v>4052</v>
      </c>
      <c r="L734" s="33">
        <v>1</v>
      </c>
      <c r="N734" s="34">
        <v>1</v>
      </c>
      <c r="O734" s="128"/>
      <c r="P734" s="129"/>
      <c r="Q734" s="130">
        <v>1</v>
      </c>
      <c r="R734" s="39">
        <v>1</v>
      </c>
      <c r="S734" s="131"/>
      <c r="T734" s="132"/>
      <c r="U734" s="128">
        <v>1</v>
      </c>
      <c r="V734" s="133"/>
      <c r="W734" s="134"/>
      <c r="X734" s="135"/>
      <c r="Y734" s="39"/>
      <c r="Z734" s="132"/>
      <c r="AA734" s="136"/>
      <c r="AB734" s="26" t="s">
        <v>4941</v>
      </c>
      <c r="AD734" s="33" t="s">
        <v>6803</v>
      </c>
      <c r="AF734" s="33" t="s">
        <v>6804</v>
      </c>
      <c r="AO734" s="34"/>
      <c r="AP734" s="34"/>
      <c r="AQ734" s="128"/>
      <c r="AR734" s="129"/>
      <c r="AS734" s="130"/>
      <c r="AT734" s="39"/>
      <c r="AU734" s="132"/>
      <c r="AV734" s="128"/>
      <c r="AW734" s="133"/>
      <c r="AX734" s="134"/>
      <c r="AY734" s="135"/>
      <c r="AZ734" s="39"/>
      <c r="BA734" s="132"/>
      <c r="BB734" s="136"/>
      <c r="BE734" s="34"/>
      <c r="BF734" s="33"/>
    </row>
    <row r="735" spans="1:73" ht="15" customHeight="1">
      <c r="A735" s="38" t="s">
        <v>6794</v>
      </c>
      <c r="B735" s="33" t="s">
        <v>6805</v>
      </c>
      <c r="C735" s="33" t="s">
        <v>6215</v>
      </c>
      <c r="D735" s="34">
        <v>108</v>
      </c>
      <c r="E735" s="33">
        <v>2</v>
      </c>
      <c r="G735" s="33" t="s">
        <v>6806</v>
      </c>
      <c r="J735" s="33" t="s">
        <v>27</v>
      </c>
      <c r="K735" s="33" t="s">
        <v>4053</v>
      </c>
      <c r="L735" s="33">
        <v>0</v>
      </c>
      <c r="N735" s="34">
        <v>1</v>
      </c>
      <c r="O735" s="128">
        <v>1</v>
      </c>
      <c r="P735" s="129"/>
      <c r="Q735" s="130">
        <v>1</v>
      </c>
      <c r="R735" s="39"/>
      <c r="S735" s="131"/>
      <c r="T735" s="132"/>
      <c r="U735" s="128"/>
      <c r="V735" s="133"/>
      <c r="W735" s="134"/>
      <c r="X735" s="135"/>
      <c r="Y735" s="39"/>
      <c r="Z735" s="132"/>
      <c r="AA735" s="136"/>
      <c r="AB735" s="26" t="s">
        <v>4937</v>
      </c>
      <c r="AD735" s="33" t="s">
        <v>4194</v>
      </c>
      <c r="AF735" s="33" t="s">
        <v>6807</v>
      </c>
      <c r="AO735" s="34"/>
      <c r="AP735" s="34"/>
      <c r="AQ735" s="128"/>
      <c r="AR735" s="129"/>
      <c r="AS735" s="130"/>
      <c r="AT735" s="39"/>
      <c r="AU735" s="132"/>
      <c r="AV735" s="128"/>
      <c r="AW735" s="133"/>
      <c r="AX735" s="134"/>
      <c r="AY735" s="135"/>
      <c r="AZ735" s="39"/>
      <c r="BA735" s="132"/>
      <c r="BB735" s="136"/>
      <c r="BE735" s="34"/>
      <c r="BF735" s="33"/>
    </row>
    <row r="736" spans="1:73" ht="15" customHeight="1">
      <c r="A736" s="38" t="s">
        <v>6794</v>
      </c>
      <c r="B736" s="33" t="s">
        <v>6808</v>
      </c>
      <c r="C736" s="33" t="s">
        <v>6215</v>
      </c>
      <c r="D736" s="34">
        <v>109</v>
      </c>
      <c r="E736" s="33">
        <v>2</v>
      </c>
      <c r="G736" s="33" t="s">
        <v>6809</v>
      </c>
      <c r="J736" s="33" t="s">
        <v>4111</v>
      </c>
      <c r="K736" s="33" t="s">
        <v>4053</v>
      </c>
      <c r="L736" s="33">
        <v>1</v>
      </c>
      <c r="N736" s="34">
        <v>1</v>
      </c>
      <c r="O736" s="128"/>
      <c r="P736" s="129">
        <v>1</v>
      </c>
      <c r="Q736" s="130">
        <v>1</v>
      </c>
      <c r="R736" s="39"/>
      <c r="S736" s="131"/>
      <c r="T736" s="132"/>
      <c r="U736" s="128">
        <v>1</v>
      </c>
      <c r="V736" s="133"/>
      <c r="W736" s="134"/>
      <c r="X736" s="135"/>
      <c r="Y736" s="39"/>
      <c r="Z736" s="132"/>
      <c r="AA736" s="136"/>
      <c r="AB736" s="26" t="s">
        <v>4945</v>
      </c>
      <c r="AD736" s="33" t="s">
        <v>6803</v>
      </c>
      <c r="AF736" s="33" t="s">
        <v>6810</v>
      </c>
      <c r="AO736" s="34"/>
      <c r="AP736" s="34"/>
      <c r="AQ736" s="128"/>
      <c r="AR736" s="129"/>
      <c r="AS736" s="130"/>
      <c r="AT736" s="39"/>
      <c r="AU736" s="132"/>
      <c r="AV736" s="128"/>
      <c r="AW736" s="133"/>
      <c r="AX736" s="134"/>
      <c r="AY736" s="135"/>
      <c r="AZ736" s="39"/>
      <c r="BA736" s="132"/>
      <c r="BB736" s="136"/>
      <c r="BE736" s="34"/>
      <c r="BF736" s="33"/>
    </row>
    <row r="737" spans="1:59" ht="15" customHeight="1">
      <c r="A737" s="38" t="s">
        <v>6794</v>
      </c>
      <c r="B737" s="33" t="s">
        <v>6811</v>
      </c>
      <c r="C737" s="33" t="s">
        <v>6215</v>
      </c>
      <c r="D737" s="33">
        <v>110</v>
      </c>
      <c r="E737" s="33">
        <v>2</v>
      </c>
      <c r="G737" s="33" t="s">
        <v>6812</v>
      </c>
      <c r="J737" s="33" t="s">
        <v>4111</v>
      </c>
      <c r="K737" s="33" t="s">
        <v>4055</v>
      </c>
      <c r="L737" s="33">
        <v>0</v>
      </c>
      <c r="N737" s="33">
        <v>2</v>
      </c>
      <c r="O737" s="128"/>
      <c r="P737" s="129"/>
      <c r="Q737" s="130">
        <v>1</v>
      </c>
      <c r="R737" s="39"/>
      <c r="S737" s="131"/>
      <c r="T737" s="132"/>
      <c r="U737" s="128"/>
      <c r="V737" s="133"/>
      <c r="W737" s="134"/>
      <c r="X737" s="135"/>
      <c r="Y737" s="39"/>
      <c r="Z737" s="132"/>
      <c r="AA737" s="136"/>
      <c r="AB737" s="26" t="s">
        <v>4060</v>
      </c>
      <c r="AC737" s="33" t="s">
        <v>4112</v>
      </c>
      <c r="AD737" s="33" t="s">
        <v>4206</v>
      </c>
      <c r="AE737" s="33"/>
      <c r="AF737" s="33" t="s">
        <v>6813</v>
      </c>
      <c r="AO737" s="34"/>
      <c r="AP737" s="33"/>
      <c r="AQ737" s="128"/>
      <c r="AR737" s="129"/>
      <c r="AS737" s="130"/>
      <c r="AT737" s="39"/>
      <c r="AU737" s="132"/>
      <c r="AV737" s="128"/>
      <c r="AW737" s="133"/>
      <c r="AX737" s="134"/>
      <c r="AY737" s="135"/>
      <c r="AZ737" s="39"/>
      <c r="BA737" s="132"/>
      <c r="BB737" s="136"/>
      <c r="BE737" s="34"/>
      <c r="BF737" s="33"/>
    </row>
    <row r="738" spans="1:59" ht="15" customHeight="1">
      <c r="A738" s="38" t="s">
        <v>6794</v>
      </c>
      <c r="B738" s="33" t="s">
        <v>6814</v>
      </c>
      <c r="C738" s="33" t="s">
        <v>6215</v>
      </c>
      <c r="D738" s="33">
        <v>111</v>
      </c>
      <c r="E738" s="33">
        <v>2</v>
      </c>
      <c r="G738" s="33" t="s">
        <v>6815</v>
      </c>
      <c r="J738" s="33" t="s">
        <v>4111</v>
      </c>
      <c r="K738" s="33" t="s">
        <v>4055</v>
      </c>
      <c r="L738" s="33">
        <v>1</v>
      </c>
      <c r="N738" s="33">
        <v>1</v>
      </c>
      <c r="O738" s="128">
        <v>1</v>
      </c>
      <c r="P738" s="129"/>
      <c r="Q738" s="130"/>
      <c r="R738" s="39">
        <v>1</v>
      </c>
      <c r="S738" s="131"/>
      <c r="T738" s="132"/>
      <c r="U738" s="128">
        <v>1</v>
      </c>
      <c r="V738" s="133"/>
      <c r="W738" s="134"/>
      <c r="X738" s="135"/>
      <c r="Y738" s="39"/>
      <c r="Z738" s="132"/>
      <c r="AA738" s="136"/>
      <c r="AB738" s="137" t="s">
        <v>4939</v>
      </c>
      <c r="AD738" s="33" t="s">
        <v>6803</v>
      </c>
      <c r="AE738" s="33"/>
      <c r="AF738" s="33" t="s">
        <v>6816</v>
      </c>
      <c r="AO738" s="34"/>
      <c r="AP738" s="33"/>
      <c r="AQ738" s="128"/>
      <c r="AR738" s="129"/>
      <c r="AS738" s="130"/>
      <c r="AT738" s="39"/>
      <c r="AU738" s="132"/>
      <c r="AV738" s="128"/>
      <c r="AW738" s="133"/>
      <c r="AX738" s="134"/>
      <c r="AY738" s="135"/>
      <c r="AZ738" s="39"/>
      <c r="BA738" s="132"/>
      <c r="BB738" s="136"/>
      <c r="BE738" s="34"/>
      <c r="BF738" s="33"/>
    </row>
    <row r="739" spans="1:59" ht="15" customHeight="1">
      <c r="A739" s="38" t="s">
        <v>6794</v>
      </c>
      <c r="B739" s="33" t="s">
        <v>6817</v>
      </c>
      <c r="C739" s="33" t="s">
        <v>6215</v>
      </c>
      <c r="D739" s="33">
        <v>112</v>
      </c>
      <c r="E739" s="33">
        <v>2</v>
      </c>
      <c r="G739" s="33" t="s">
        <v>6818</v>
      </c>
      <c r="H739" s="33" t="s">
        <v>6819</v>
      </c>
      <c r="I739" s="33" t="s">
        <v>4077</v>
      </c>
      <c r="J739" s="33" t="s">
        <v>4111</v>
      </c>
      <c r="K739" s="33" t="s">
        <v>4054</v>
      </c>
      <c r="L739" s="33">
        <v>0</v>
      </c>
      <c r="N739" s="33">
        <v>2</v>
      </c>
      <c r="O739" s="128"/>
      <c r="P739" s="129">
        <v>1</v>
      </c>
      <c r="Q739" s="130"/>
      <c r="R739" s="39"/>
      <c r="S739" s="131"/>
      <c r="T739" s="132">
        <v>2</v>
      </c>
      <c r="U739" s="128">
        <v>1</v>
      </c>
      <c r="V739" s="133"/>
      <c r="W739" s="134"/>
      <c r="X739" s="135"/>
      <c r="Y739" s="39"/>
      <c r="Z739" s="132"/>
      <c r="AA739" s="136"/>
      <c r="AB739" s="26" t="s">
        <v>4059</v>
      </c>
      <c r="AC739" s="33" t="s">
        <v>25</v>
      </c>
      <c r="AD739" s="33" t="s">
        <v>6820</v>
      </c>
      <c r="AE739" s="33"/>
      <c r="AF739" s="33" t="s">
        <v>6821</v>
      </c>
      <c r="AO739" s="34"/>
      <c r="AP739" s="33"/>
      <c r="AQ739" s="128"/>
      <c r="AR739" s="129"/>
      <c r="AS739" s="130"/>
      <c r="AT739" s="39"/>
      <c r="AU739" s="132"/>
      <c r="AV739" s="128"/>
      <c r="AW739" s="133"/>
      <c r="AX739" s="134"/>
      <c r="AY739" s="135"/>
      <c r="AZ739" s="39"/>
      <c r="BA739" s="132"/>
      <c r="BB739" s="136"/>
      <c r="BE739" s="34"/>
      <c r="BF739" s="33"/>
    </row>
    <row r="740" spans="1:59" ht="15" customHeight="1">
      <c r="A740" s="38" t="s">
        <v>6794</v>
      </c>
      <c r="B740" s="33" t="s">
        <v>6822</v>
      </c>
      <c r="C740" s="33" t="s">
        <v>6215</v>
      </c>
      <c r="D740" s="33">
        <v>113</v>
      </c>
      <c r="E740" s="33">
        <v>2</v>
      </c>
      <c r="G740" s="33" t="s">
        <v>6823</v>
      </c>
      <c r="J740" s="33" t="s">
        <v>4111</v>
      </c>
      <c r="K740" s="33" t="s">
        <v>4054</v>
      </c>
      <c r="L740" s="33">
        <v>1</v>
      </c>
      <c r="N740" s="33">
        <v>1</v>
      </c>
      <c r="O740" s="128">
        <v>1</v>
      </c>
      <c r="P740" s="129"/>
      <c r="Q740" s="130"/>
      <c r="R740" s="39"/>
      <c r="S740" s="131"/>
      <c r="T740" s="132"/>
      <c r="U740" s="128">
        <v>1</v>
      </c>
      <c r="V740" s="133"/>
      <c r="W740" s="134"/>
      <c r="X740" s="135"/>
      <c r="Y740" s="39"/>
      <c r="Z740" s="132"/>
      <c r="AA740" s="136"/>
      <c r="AB740" s="137" t="s">
        <v>4058</v>
      </c>
      <c r="AD740" s="33" t="s">
        <v>6803</v>
      </c>
      <c r="AE740" s="33"/>
      <c r="AF740" s="33" t="s">
        <v>6824</v>
      </c>
      <c r="AO740" s="34"/>
      <c r="AP740" s="33"/>
      <c r="AQ740" s="128"/>
      <c r="AR740" s="129"/>
      <c r="AS740" s="130"/>
      <c r="AT740" s="39"/>
      <c r="AU740" s="132"/>
      <c r="AV740" s="128"/>
      <c r="AW740" s="133"/>
      <c r="AX740" s="134"/>
      <c r="AY740" s="135"/>
      <c r="AZ740" s="39"/>
      <c r="BA740" s="132"/>
      <c r="BB740" s="136"/>
      <c r="BE740" s="34"/>
      <c r="BF740" s="33"/>
    </row>
    <row r="741" spans="1:59" ht="15" customHeight="1">
      <c r="A741" s="38" t="s">
        <v>6794</v>
      </c>
      <c r="B741" s="33" t="s">
        <v>6825</v>
      </c>
      <c r="C741" s="33" t="s">
        <v>6215</v>
      </c>
      <c r="D741" s="33">
        <v>114</v>
      </c>
      <c r="E741" s="33">
        <v>2</v>
      </c>
      <c r="G741" s="33" t="s">
        <v>6826</v>
      </c>
      <c r="J741" s="33" t="s">
        <v>4111</v>
      </c>
      <c r="K741" s="33" t="s">
        <v>4056</v>
      </c>
      <c r="L741" s="33">
        <v>0</v>
      </c>
      <c r="N741" s="138">
        <v>0</v>
      </c>
      <c r="O741" s="128">
        <v>1</v>
      </c>
      <c r="P741" s="129"/>
      <c r="Q741" s="130"/>
      <c r="R741" s="39"/>
      <c r="S741" s="131"/>
      <c r="T741" s="132"/>
      <c r="U741" s="128">
        <v>2</v>
      </c>
      <c r="V741" s="133"/>
      <c r="W741" s="134"/>
      <c r="X741" s="135"/>
      <c r="Y741" s="39"/>
      <c r="Z741" s="132"/>
      <c r="AA741" s="136"/>
      <c r="AB741" s="26" t="s">
        <v>4058</v>
      </c>
      <c r="AC741" s="33" t="s">
        <v>4129</v>
      </c>
      <c r="AD741" s="33" t="s">
        <v>4229</v>
      </c>
      <c r="AE741" s="33"/>
      <c r="AO741" s="34"/>
      <c r="AP741" s="33"/>
      <c r="AQ741" s="128"/>
      <c r="AR741" s="129"/>
      <c r="AS741" s="130"/>
      <c r="AT741" s="39"/>
      <c r="AU741" s="132"/>
      <c r="AV741" s="128"/>
      <c r="AW741" s="133"/>
      <c r="AX741" s="134"/>
      <c r="AY741" s="135"/>
      <c r="AZ741" s="39"/>
      <c r="BA741" s="132"/>
      <c r="BB741" s="136"/>
      <c r="BE741" s="34"/>
      <c r="BF741" s="33"/>
    </row>
    <row r="742" spans="1:59" ht="15" customHeight="1">
      <c r="A742" s="38" t="s">
        <v>6794</v>
      </c>
      <c r="B742" s="33" t="s">
        <v>6827</v>
      </c>
      <c r="C742" s="33" t="s">
        <v>6215</v>
      </c>
      <c r="D742" s="33">
        <v>115</v>
      </c>
      <c r="E742" s="33">
        <v>2</v>
      </c>
      <c r="G742" s="33" t="s">
        <v>6828</v>
      </c>
      <c r="J742" s="33" t="s">
        <v>4111</v>
      </c>
      <c r="K742" s="33" t="s">
        <v>4056</v>
      </c>
      <c r="L742" s="33">
        <v>1</v>
      </c>
      <c r="N742" s="33">
        <v>1</v>
      </c>
      <c r="O742" s="128">
        <v>1</v>
      </c>
      <c r="P742" s="129">
        <v>1</v>
      </c>
      <c r="Q742" s="130"/>
      <c r="R742" s="39"/>
      <c r="S742" s="131"/>
      <c r="T742" s="132"/>
      <c r="U742" s="128">
        <v>1</v>
      </c>
      <c r="V742" s="133"/>
      <c r="W742" s="134"/>
      <c r="X742" s="135"/>
      <c r="Y742" s="39"/>
      <c r="Z742" s="132"/>
      <c r="AA742" s="136"/>
      <c r="AB742" s="137" t="s">
        <v>4946</v>
      </c>
      <c r="AD742" s="33" t="s">
        <v>6803</v>
      </c>
      <c r="AE742" s="33"/>
      <c r="AF742" s="33" t="s">
        <v>6829</v>
      </c>
      <c r="AO742" s="34"/>
      <c r="AP742" s="33"/>
      <c r="AQ742" s="128"/>
      <c r="AR742" s="129"/>
      <c r="AS742" s="130"/>
      <c r="AT742" s="39"/>
      <c r="AU742" s="132"/>
      <c r="AV742" s="128"/>
      <c r="AW742" s="133"/>
      <c r="AX742" s="134"/>
      <c r="AY742" s="135"/>
      <c r="AZ742" s="39"/>
      <c r="BA742" s="132"/>
      <c r="BB742" s="136"/>
      <c r="BE742" s="34"/>
      <c r="BF742" s="33"/>
    </row>
    <row r="743" spans="1:59" ht="15" customHeight="1">
      <c r="A743" s="38" t="s">
        <v>6794</v>
      </c>
      <c r="B743" s="33" t="s">
        <v>6830</v>
      </c>
      <c r="C743" s="33" t="s">
        <v>6215</v>
      </c>
      <c r="D743" s="33">
        <v>116</v>
      </c>
      <c r="E743" s="33">
        <v>2</v>
      </c>
      <c r="G743" s="33" t="s">
        <v>6831</v>
      </c>
      <c r="J743" s="33" t="s">
        <v>4166</v>
      </c>
      <c r="K743" s="33" t="s">
        <v>26</v>
      </c>
      <c r="L743" s="33">
        <v>0</v>
      </c>
      <c r="N743" s="33"/>
      <c r="O743" s="128">
        <v>4</v>
      </c>
      <c r="P743" s="129"/>
      <c r="Q743" s="130"/>
      <c r="R743" s="39"/>
      <c r="S743" s="131"/>
      <c r="T743" s="132"/>
      <c r="U743" s="128"/>
      <c r="V743" s="133"/>
      <c r="W743" s="134"/>
      <c r="X743" s="135"/>
      <c r="Y743" s="39"/>
      <c r="Z743" s="132"/>
      <c r="AA743" s="136"/>
      <c r="AB743" s="26" t="s">
        <v>6832</v>
      </c>
      <c r="AD743" s="33" t="s">
        <v>6833</v>
      </c>
      <c r="AE743" s="33"/>
      <c r="AF743" s="33" t="s">
        <v>6834</v>
      </c>
      <c r="AO743" s="34"/>
      <c r="AP743" s="33"/>
      <c r="AQ743" s="128"/>
      <c r="AR743" s="129"/>
      <c r="AS743" s="130"/>
      <c r="AT743" s="39"/>
      <c r="AU743" s="132"/>
      <c r="AV743" s="128"/>
      <c r="AW743" s="133"/>
      <c r="AX743" s="134"/>
      <c r="AY743" s="135"/>
      <c r="AZ743" s="39"/>
      <c r="BA743" s="132"/>
      <c r="BB743" s="136"/>
      <c r="BE743" s="34"/>
      <c r="BF743" s="33"/>
    </row>
    <row r="744" spans="1:59" ht="15" customHeight="1">
      <c r="A744" s="38" t="s">
        <v>6794</v>
      </c>
      <c r="B744" s="33" t="s">
        <v>6835</v>
      </c>
      <c r="C744" s="33" t="s">
        <v>6215</v>
      </c>
      <c r="D744" s="33">
        <v>117</v>
      </c>
      <c r="E744" s="33">
        <v>2</v>
      </c>
      <c r="G744" s="33" t="s">
        <v>6836</v>
      </c>
      <c r="J744" s="33" t="s">
        <v>4166</v>
      </c>
      <c r="K744" s="33" t="s">
        <v>26</v>
      </c>
      <c r="L744" s="33">
        <v>0</v>
      </c>
      <c r="N744" s="33"/>
      <c r="O744" s="128"/>
      <c r="P744" s="129">
        <v>4</v>
      </c>
      <c r="Q744" s="130"/>
      <c r="R744" s="39"/>
      <c r="S744" s="131"/>
      <c r="T744" s="132"/>
      <c r="U744" s="128"/>
      <c r="V744" s="133"/>
      <c r="W744" s="134"/>
      <c r="X744" s="135"/>
      <c r="Y744" s="39"/>
      <c r="Z744" s="132"/>
      <c r="AA744" s="136"/>
      <c r="AB744" s="137" t="s">
        <v>6837</v>
      </c>
      <c r="AD744" s="33" t="s">
        <v>6833</v>
      </c>
      <c r="AE744" s="33"/>
      <c r="AF744" s="33" t="s">
        <v>6834</v>
      </c>
      <c r="AO744" s="34"/>
      <c r="AP744" s="33"/>
      <c r="AQ744" s="128"/>
      <c r="AR744" s="129"/>
      <c r="AS744" s="130"/>
      <c r="AT744" s="39"/>
      <c r="AU744" s="132"/>
      <c r="AV744" s="128"/>
      <c r="AW744" s="133"/>
      <c r="AX744" s="134"/>
      <c r="AY744" s="135"/>
      <c r="AZ744" s="39"/>
      <c r="BA744" s="132"/>
      <c r="BB744" s="136"/>
      <c r="BE744" s="34"/>
      <c r="BF744" s="33"/>
    </row>
    <row r="745" spans="1:59" ht="15" customHeight="1">
      <c r="A745" s="38" t="s">
        <v>6794</v>
      </c>
      <c r="B745" s="33" t="s">
        <v>6838</v>
      </c>
      <c r="C745" s="33" t="s">
        <v>6215</v>
      </c>
      <c r="D745" s="33">
        <v>118</v>
      </c>
      <c r="E745" s="33">
        <v>2</v>
      </c>
      <c r="G745" s="33" t="s">
        <v>6839</v>
      </c>
      <c r="J745" s="33" t="s">
        <v>4166</v>
      </c>
      <c r="K745" s="33" t="s">
        <v>26</v>
      </c>
      <c r="L745" s="33">
        <v>0</v>
      </c>
      <c r="N745" s="33"/>
      <c r="O745" s="128"/>
      <c r="P745" s="129"/>
      <c r="Q745" s="130">
        <v>4</v>
      </c>
      <c r="R745" s="39"/>
      <c r="S745" s="131"/>
      <c r="T745" s="132"/>
      <c r="U745" s="128"/>
      <c r="V745" s="133"/>
      <c r="W745" s="134"/>
      <c r="X745" s="135"/>
      <c r="Y745" s="39"/>
      <c r="Z745" s="132"/>
      <c r="AA745" s="136"/>
      <c r="AB745" s="26" t="s">
        <v>6395</v>
      </c>
      <c r="AD745" s="33" t="s">
        <v>6833</v>
      </c>
      <c r="AE745" s="33"/>
      <c r="AF745" s="33" t="s">
        <v>6834</v>
      </c>
      <c r="AO745" s="34"/>
      <c r="AP745" s="33"/>
      <c r="AQ745" s="128"/>
      <c r="AR745" s="129"/>
      <c r="AS745" s="130"/>
      <c r="AT745" s="39"/>
      <c r="AU745" s="132"/>
      <c r="AV745" s="128"/>
      <c r="AW745" s="133"/>
      <c r="AX745" s="134"/>
      <c r="AY745" s="135"/>
      <c r="AZ745" s="39"/>
      <c r="BA745" s="132"/>
      <c r="BB745" s="136"/>
      <c r="BE745" s="34"/>
      <c r="BF745" s="33"/>
    </row>
    <row r="746" spans="1:59" ht="15" customHeight="1">
      <c r="A746" s="38" t="s">
        <v>6794</v>
      </c>
      <c r="B746" s="33" t="s">
        <v>6840</v>
      </c>
      <c r="C746" s="33" t="s">
        <v>6215</v>
      </c>
      <c r="D746" s="33">
        <v>119</v>
      </c>
      <c r="E746" s="33">
        <v>2</v>
      </c>
      <c r="G746" s="33" t="s">
        <v>6841</v>
      </c>
      <c r="J746" s="33" t="s">
        <v>4166</v>
      </c>
      <c r="K746" s="33" t="s">
        <v>26</v>
      </c>
      <c r="L746" s="33">
        <v>0</v>
      </c>
      <c r="N746" s="33"/>
      <c r="O746" s="128"/>
      <c r="P746" s="129"/>
      <c r="Q746" s="130"/>
      <c r="R746" s="39">
        <v>4</v>
      </c>
      <c r="S746" s="131"/>
      <c r="T746" s="132"/>
      <c r="U746" s="128"/>
      <c r="V746" s="133"/>
      <c r="W746" s="134"/>
      <c r="X746" s="135"/>
      <c r="Y746" s="39"/>
      <c r="Z746" s="132"/>
      <c r="AA746" s="136"/>
      <c r="AB746" s="137" t="s">
        <v>6842</v>
      </c>
      <c r="AD746" s="33" t="s">
        <v>6833</v>
      </c>
      <c r="AE746" s="33"/>
      <c r="AF746" s="33" t="s">
        <v>6834</v>
      </c>
      <c r="AO746" s="34"/>
      <c r="AP746" s="33"/>
      <c r="AQ746" s="128"/>
      <c r="AR746" s="129"/>
      <c r="AS746" s="130"/>
      <c r="AT746" s="39"/>
      <c r="AU746" s="132"/>
      <c r="AV746" s="128"/>
      <c r="AW746" s="133"/>
      <c r="AX746" s="134"/>
      <c r="AY746" s="135"/>
      <c r="AZ746" s="39"/>
      <c r="BA746" s="132"/>
      <c r="BB746" s="136"/>
      <c r="BE746" s="34"/>
      <c r="BF746" s="33"/>
    </row>
    <row r="747" spans="1:59" ht="15" customHeight="1">
      <c r="A747" s="38" t="s">
        <v>6794</v>
      </c>
      <c r="B747" s="33" t="s">
        <v>6843</v>
      </c>
      <c r="C747" s="33" t="s">
        <v>6215</v>
      </c>
      <c r="D747" s="33">
        <v>120</v>
      </c>
      <c r="E747" s="33">
        <v>1</v>
      </c>
      <c r="F747" s="33" t="s">
        <v>6795</v>
      </c>
      <c r="G747" s="33" t="s">
        <v>6795</v>
      </c>
      <c r="J747" s="33" t="s">
        <v>4472</v>
      </c>
      <c r="N747" s="33"/>
      <c r="O747" s="128"/>
      <c r="P747" s="129"/>
      <c r="Q747" s="130"/>
      <c r="R747" s="39"/>
      <c r="S747" s="131"/>
      <c r="T747" s="132"/>
      <c r="U747" s="128"/>
      <c r="V747" s="133"/>
      <c r="W747" s="134"/>
      <c r="X747" s="135"/>
      <c r="Y747" s="39"/>
      <c r="Z747" s="132"/>
      <c r="AA747" s="136"/>
      <c r="AB747" s="26"/>
      <c r="AE747" s="33"/>
      <c r="AF747" s="33" t="s">
        <v>6844</v>
      </c>
      <c r="AI747" s="33" t="s">
        <v>6795</v>
      </c>
      <c r="AL747" s="33" t="s">
        <v>4472</v>
      </c>
      <c r="AO747" s="34"/>
      <c r="AP747" s="33"/>
      <c r="AQ747" s="128"/>
      <c r="AR747" s="129"/>
      <c r="AS747" s="130"/>
      <c r="AT747" s="39"/>
      <c r="AU747" s="132"/>
      <c r="AV747" s="128"/>
      <c r="AW747" s="133"/>
      <c r="AX747" s="134"/>
      <c r="AY747" s="135"/>
      <c r="AZ747" s="39"/>
      <c r="BA747" s="132"/>
      <c r="BB747" s="136"/>
      <c r="BE747" s="34"/>
      <c r="BF747" s="33"/>
      <c r="BG747" s="33" t="s">
        <v>6845</v>
      </c>
    </row>
    <row r="748" spans="1:59" ht="15" customHeight="1">
      <c r="A748" s="38" t="s">
        <v>6794</v>
      </c>
      <c r="B748" s="33" t="s">
        <v>6846</v>
      </c>
      <c r="C748" s="33" t="s">
        <v>6215</v>
      </c>
      <c r="D748" s="33">
        <v>121</v>
      </c>
      <c r="E748" s="33">
        <v>1</v>
      </c>
      <c r="F748" s="33" t="s">
        <v>6795</v>
      </c>
      <c r="G748" s="33" t="s">
        <v>6847</v>
      </c>
      <c r="J748" s="33" t="s">
        <v>4473</v>
      </c>
      <c r="L748" s="33">
        <v>1</v>
      </c>
      <c r="N748" s="33"/>
      <c r="O748" s="128"/>
      <c r="P748" s="129"/>
      <c r="Q748" s="130"/>
      <c r="R748" s="39"/>
      <c r="S748" s="131"/>
      <c r="T748" s="132"/>
      <c r="U748" s="128"/>
      <c r="V748" s="133"/>
      <c r="W748" s="134"/>
      <c r="X748" s="135"/>
      <c r="Y748" s="39"/>
      <c r="Z748" s="132">
        <v>2</v>
      </c>
      <c r="AA748" s="136"/>
      <c r="AB748" s="137"/>
      <c r="AE748" s="33"/>
      <c r="AF748" s="33" t="s">
        <v>6848</v>
      </c>
      <c r="AI748" s="33" t="s">
        <v>6938</v>
      </c>
      <c r="AL748" s="33" t="s">
        <v>4473</v>
      </c>
      <c r="AN748" s="33">
        <v>1</v>
      </c>
      <c r="AO748" s="34"/>
      <c r="AP748" s="33"/>
      <c r="AQ748" s="128"/>
      <c r="AR748" s="129"/>
      <c r="AS748" s="130"/>
      <c r="AT748" s="39"/>
      <c r="AU748" s="132"/>
      <c r="AV748" s="128"/>
      <c r="AW748" s="133"/>
      <c r="AX748" s="134"/>
      <c r="AY748" s="135"/>
      <c r="AZ748" s="39"/>
      <c r="BA748" s="132"/>
      <c r="BB748" s="136"/>
      <c r="BE748" s="34"/>
      <c r="BF748" s="33"/>
      <c r="BG748" s="33" t="s">
        <v>6182</v>
      </c>
    </row>
    <row r="749" spans="1:59" ht="15" customHeight="1">
      <c r="A749" s="38" t="s">
        <v>6794</v>
      </c>
      <c r="B749" s="33" t="s">
        <v>6849</v>
      </c>
      <c r="C749" s="33" t="s">
        <v>6215</v>
      </c>
      <c r="D749" s="33">
        <v>122</v>
      </c>
      <c r="E749" s="33">
        <v>1</v>
      </c>
      <c r="F749" s="33" t="s">
        <v>6795</v>
      </c>
      <c r="G749" s="33" t="s">
        <v>6850</v>
      </c>
      <c r="J749" s="33" t="s">
        <v>4473</v>
      </c>
      <c r="L749" s="33">
        <v>2</v>
      </c>
      <c r="N749" s="33"/>
      <c r="O749" s="128"/>
      <c r="P749" s="129"/>
      <c r="Q749" s="130"/>
      <c r="R749" s="39"/>
      <c r="S749" s="131"/>
      <c r="T749" s="132"/>
      <c r="U749" s="128"/>
      <c r="V749" s="133"/>
      <c r="W749" s="134"/>
      <c r="X749" s="135"/>
      <c r="Y749" s="39"/>
      <c r="Z749" s="132">
        <v>2</v>
      </c>
      <c r="AA749" s="136"/>
      <c r="AB749" s="137"/>
      <c r="AE749" s="33"/>
      <c r="AF749" s="33" t="s">
        <v>6848</v>
      </c>
      <c r="AI749" s="33" t="s">
        <v>6939</v>
      </c>
      <c r="AL749" s="33" t="s">
        <v>4473</v>
      </c>
      <c r="AN749" s="33">
        <v>2</v>
      </c>
      <c r="AO749" s="34"/>
      <c r="AP749" s="33"/>
      <c r="AQ749" s="128"/>
      <c r="AR749" s="129"/>
      <c r="AS749" s="130"/>
      <c r="AT749" s="39"/>
      <c r="AU749" s="132"/>
      <c r="AV749" s="128"/>
      <c r="AW749" s="133"/>
      <c r="AX749" s="134"/>
      <c r="AY749" s="135"/>
      <c r="AZ749" s="39"/>
      <c r="BA749" s="132"/>
      <c r="BB749" s="136"/>
      <c r="BE749" s="34"/>
      <c r="BF749" s="33"/>
      <c r="BG749" s="33" t="s">
        <v>6851</v>
      </c>
    </row>
    <row r="750" spans="1:59" ht="15" customHeight="1">
      <c r="A750" s="38" t="s">
        <v>6794</v>
      </c>
      <c r="B750" s="33" t="s">
        <v>6852</v>
      </c>
      <c r="C750" s="33" t="s">
        <v>6215</v>
      </c>
      <c r="D750" s="33">
        <v>123</v>
      </c>
      <c r="E750" s="33">
        <v>1</v>
      </c>
      <c r="F750" s="33" t="s">
        <v>6795</v>
      </c>
      <c r="G750" s="33" t="s">
        <v>6853</v>
      </c>
      <c r="J750" s="33" t="s">
        <v>4473</v>
      </c>
      <c r="L750" s="33">
        <v>3</v>
      </c>
      <c r="N750" s="33"/>
      <c r="O750" s="128"/>
      <c r="P750" s="129"/>
      <c r="Q750" s="130"/>
      <c r="R750" s="39"/>
      <c r="S750" s="131"/>
      <c r="T750" s="132"/>
      <c r="U750" s="128"/>
      <c r="V750" s="133"/>
      <c r="W750" s="134"/>
      <c r="X750" s="135"/>
      <c r="Y750" s="39"/>
      <c r="Z750" s="132">
        <v>3</v>
      </c>
      <c r="AA750" s="136"/>
      <c r="AB750" s="137"/>
      <c r="AE750" s="33"/>
      <c r="AF750" s="33" t="s">
        <v>6848</v>
      </c>
      <c r="AI750" s="33" t="s">
        <v>6940</v>
      </c>
      <c r="AL750" s="33" t="s">
        <v>4473</v>
      </c>
      <c r="AN750" s="33">
        <v>3</v>
      </c>
      <c r="AO750" s="34"/>
      <c r="AP750" s="33"/>
      <c r="AQ750" s="128"/>
      <c r="AR750" s="129"/>
      <c r="AS750" s="130"/>
      <c r="AT750" s="39"/>
      <c r="AU750" s="132"/>
      <c r="AV750" s="128"/>
      <c r="AW750" s="133"/>
      <c r="AX750" s="134"/>
      <c r="AY750" s="135"/>
      <c r="AZ750" s="39"/>
      <c r="BA750" s="132"/>
      <c r="BB750" s="136"/>
      <c r="BE750" s="34"/>
      <c r="BF750" s="33"/>
      <c r="BG750" s="33" t="s">
        <v>6854</v>
      </c>
    </row>
    <row r="751" spans="1:59" ht="15" customHeight="1">
      <c r="A751" s="38" t="s">
        <v>6794</v>
      </c>
      <c r="B751" s="33" t="s">
        <v>6855</v>
      </c>
      <c r="C751" s="33" t="s">
        <v>6215</v>
      </c>
      <c r="D751" s="33">
        <v>124</v>
      </c>
      <c r="E751" s="33">
        <v>1</v>
      </c>
      <c r="F751" s="33" t="s">
        <v>6795</v>
      </c>
      <c r="G751" s="33" t="s">
        <v>6856</v>
      </c>
      <c r="J751" s="33" t="s">
        <v>4475</v>
      </c>
      <c r="L751" s="33">
        <v>1</v>
      </c>
      <c r="N751" s="33"/>
      <c r="O751" s="128"/>
      <c r="P751" s="129"/>
      <c r="Q751" s="130"/>
      <c r="R751" s="39"/>
      <c r="S751" s="131"/>
      <c r="T751" s="132"/>
      <c r="U751" s="128"/>
      <c r="V751" s="133"/>
      <c r="W751" s="134"/>
      <c r="X751" s="135"/>
      <c r="Y751" s="39">
        <v>2</v>
      </c>
      <c r="Z751" s="132"/>
      <c r="AA751" s="136"/>
      <c r="AB751" s="137"/>
      <c r="AE751" s="33"/>
      <c r="AI751" s="33" t="s">
        <v>6941</v>
      </c>
      <c r="AL751" s="33" t="s">
        <v>4475</v>
      </c>
      <c r="AN751" s="33">
        <v>1</v>
      </c>
      <c r="AO751" s="34"/>
      <c r="AP751" s="33"/>
      <c r="AQ751" s="128"/>
      <c r="AR751" s="129"/>
      <c r="AS751" s="130"/>
      <c r="AT751" s="39"/>
      <c r="AU751" s="132"/>
      <c r="AV751" s="128"/>
      <c r="AW751" s="133"/>
      <c r="AX751" s="134"/>
      <c r="AY751" s="135"/>
      <c r="AZ751" s="39"/>
      <c r="BA751" s="132"/>
      <c r="BB751" s="136"/>
      <c r="BE751" s="34"/>
      <c r="BF751" s="33"/>
      <c r="BG751" s="33" t="s">
        <v>6857</v>
      </c>
    </row>
    <row r="752" spans="1:59" ht="15" customHeight="1">
      <c r="A752" s="38" t="s">
        <v>6794</v>
      </c>
      <c r="B752" s="33" t="s">
        <v>6858</v>
      </c>
      <c r="C752" s="33" t="s">
        <v>6215</v>
      </c>
      <c r="D752" s="33">
        <v>125</v>
      </c>
      <c r="E752" s="33">
        <v>1</v>
      </c>
      <c r="F752" s="33" t="s">
        <v>6795</v>
      </c>
      <c r="G752" s="33" t="s">
        <v>6859</v>
      </c>
      <c r="J752" s="33" t="s">
        <v>4475</v>
      </c>
      <c r="L752" s="33">
        <v>2</v>
      </c>
      <c r="N752" s="33"/>
      <c r="O752" s="128"/>
      <c r="P752" s="129"/>
      <c r="Q752" s="130"/>
      <c r="R752" s="39"/>
      <c r="S752" s="131"/>
      <c r="T752" s="132"/>
      <c r="U752" s="128"/>
      <c r="V752" s="133"/>
      <c r="W752" s="134"/>
      <c r="X752" s="135"/>
      <c r="Y752" s="39">
        <v>2</v>
      </c>
      <c r="Z752" s="132"/>
      <c r="AA752" s="136"/>
      <c r="AB752" s="137"/>
      <c r="AE752" s="33"/>
      <c r="AI752" s="33" t="s">
        <v>6942</v>
      </c>
      <c r="AL752" s="33" t="s">
        <v>4475</v>
      </c>
      <c r="AN752" s="33">
        <v>2</v>
      </c>
      <c r="AO752" s="34"/>
      <c r="AP752" s="33"/>
      <c r="AQ752" s="128"/>
      <c r="AR752" s="129"/>
      <c r="AS752" s="130"/>
      <c r="AT752" s="39"/>
      <c r="AU752" s="132"/>
      <c r="AV752" s="128"/>
      <c r="AW752" s="133"/>
      <c r="AX752" s="134"/>
      <c r="AY752" s="135"/>
      <c r="AZ752" s="39"/>
      <c r="BA752" s="132"/>
      <c r="BB752" s="136"/>
      <c r="BE752" s="34"/>
      <c r="BF752" s="33"/>
      <c r="BG752" s="33" t="s">
        <v>6860</v>
      </c>
    </row>
    <row r="753" spans="1:59" ht="15" customHeight="1">
      <c r="A753" s="38" t="s">
        <v>6794</v>
      </c>
      <c r="B753" s="33" t="s">
        <v>6861</v>
      </c>
      <c r="C753" s="33" t="s">
        <v>6215</v>
      </c>
      <c r="D753" s="33">
        <v>126</v>
      </c>
      <c r="E753" s="33">
        <v>1</v>
      </c>
      <c r="F753" s="33" t="s">
        <v>6795</v>
      </c>
      <c r="G753" s="33" t="s">
        <v>6862</v>
      </c>
      <c r="J753" s="33" t="s">
        <v>4475</v>
      </c>
      <c r="L753" s="33">
        <v>3</v>
      </c>
      <c r="N753" s="33"/>
      <c r="O753" s="128"/>
      <c r="P753" s="129"/>
      <c r="Q753" s="130"/>
      <c r="R753" s="39"/>
      <c r="S753" s="131"/>
      <c r="T753" s="132"/>
      <c r="U753" s="128"/>
      <c r="V753" s="133"/>
      <c r="W753" s="134"/>
      <c r="X753" s="135"/>
      <c r="Y753" s="39">
        <v>3</v>
      </c>
      <c r="Z753" s="132"/>
      <c r="AA753" s="136"/>
      <c r="AB753" s="137"/>
      <c r="AE753" s="33"/>
      <c r="AF753" s="33" t="s">
        <v>6863</v>
      </c>
      <c r="AI753" s="33" t="s">
        <v>6943</v>
      </c>
      <c r="AL753" s="33" t="s">
        <v>4475</v>
      </c>
      <c r="AN753" s="33">
        <v>3</v>
      </c>
      <c r="AO753" s="34"/>
      <c r="AP753" s="33"/>
      <c r="AQ753" s="128"/>
      <c r="AR753" s="129"/>
      <c r="AS753" s="130"/>
      <c r="AT753" s="39"/>
      <c r="AU753" s="132"/>
      <c r="AV753" s="128"/>
      <c r="AW753" s="133"/>
      <c r="AX753" s="134"/>
      <c r="AY753" s="135"/>
      <c r="AZ753" s="39"/>
      <c r="BA753" s="132"/>
      <c r="BB753" s="136"/>
      <c r="BE753" s="34"/>
      <c r="BF753" s="33"/>
      <c r="BG753" s="33" t="s">
        <v>6864</v>
      </c>
    </row>
    <row r="754" spans="1:59" ht="15" customHeight="1">
      <c r="A754" s="38" t="s">
        <v>6794</v>
      </c>
      <c r="B754" s="33" t="s">
        <v>6865</v>
      </c>
      <c r="C754" s="33" t="s">
        <v>6215</v>
      </c>
      <c r="D754" s="33">
        <v>127</v>
      </c>
      <c r="E754" s="33">
        <v>1</v>
      </c>
      <c r="F754" s="33" t="s">
        <v>6795</v>
      </c>
      <c r="G754" s="33" t="s">
        <v>6866</v>
      </c>
      <c r="J754" s="33" t="s">
        <v>31</v>
      </c>
      <c r="N754" s="33"/>
      <c r="O754" s="128"/>
      <c r="P754" s="129"/>
      <c r="Q754" s="130"/>
      <c r="R754" s="39"/>
      <c r="S754" s="131"/>
      <c r="T754" s="132"/>
      <c r="U754" s="128"/>
      <c r="V754" s="133"/>
      <c r="W754" s="134"/>
      <c r="X754" s="135"/>
      <c r="Y754" s="39"/>
      <c r="Z754" s="132"/>
      <c r="AA754" s="136"/>
      <c r="AB754" s="137"/>
      <c r="AD754" s="33" t="s">
        <v>6867</v>
      </c>
      <c r="AE754" s="33"/>
      <c r="AF754" s="33" t="s">
        <v>6868</v>
      </c>
      <c r="AI754" s="33" t="s">
        <v>6866</v>
      </c>
      <c r="AL754" s="33" t="s">
        <v>31</v>
      </c>
      <c r="AO754" s="34"/>
      <c r="AP754" s="33"/>
      <c r="AQ754" s="128"/>
      <c r="AR754" s="129"/>
      <c r="AS754" s="130"/>
      <c r="AT754" s="39"/>
      <c r="AU754" s="132"/>
      <c r="AV754" s="128"/>
      <c r="AW754" s="133"/>
      <c r="AX754" s="134"/>
      <c r="AY754" s="135">
        <v>2</v>
      </c>
      <c r="AZ754" s="39">
        <v>0</v>
      </c>
      <c r="BA754" s="132"/>
      <c r="BB754" s="136"/>
      <c r="BE754" s="34" t="s">
        <v>6867</v>
      </c>
      <c r="BF754" s="33"/>
      <c r="BG754" s="33" t="s">
        <v>6869</v>
      </c>
    </row>
    <row r="755" spans="1:59" ht="15" customHeight="1">
      <c r="A755" s="38" t="s">
        <v>6794</v>
      </c>
      <c r="B755" s="33" t="s">
        <v>6870</v>
      </c>
      <c r="C755" s="33" t="s">
        <v>6215</v>
      </c>
      <c r="D755" s="33">
        <v>128</v>
      </c>
      <c r="E755" s="33">
        <v>1</v>
      </c>
      <c r="F755" s="33" t="s">
        <v>6795</v>
      </c>
      <c r="G755" s="33" t="s">
        <v>4598</v>
      </c>
      <c r="J755" s="33" t="s">
        <v>31</v>
      </c>
      <c r="N755" s="33"/>
      <c r="O755" s="128"/>
      <c r="P755" s="129"/>
      <c r="Q755" s="130"/>
      <c r="R755" s="39"/>
      <c r="S755" s="131"/>
      <c r="T755" s="132"/>
      <c r="U755" s="128"/>
      <c r="V755" s="133"/>
      <c r="W755" s="134"/>
      <c r="X755" s="135"/>
      <c r="Y755" s="39"/>
      <c r="Z755" s="132"/>
      <c r="AA755" s="136"/>
      <c r="AB755" s="137"/>
      <c r="AD755" s="33" t="s">
        <v>6867</v>
      </c>
      <c r="AE755" s="33"/>
      <c r="AF755" s="33" t="s">
        <v>6871</v>
      </c>
      <c r="AI755" s="33" t="s">
        <v>4598</v>
      </c>
      <c r="AJ755" s="33" t="s">
        <v>6872</v>
      </c>
      <c r="AL755" s="33" t="s">
        <v>31</v>
      </c>
      <c r="AO755" s="34"/>
      <c r="AP755" s="33"/>
      <c r="AQ755" s="128"/>
      <c r="AR755" s="129"/>
      <c r="AS755" s="130"/>
      <c r="AT755" s="39"/>
      <c r="AU755" s="132"/>
      <c r="AV755" s="128"/>
      <c r="AW755" s="133"/>
      <c r="AX755" s="134"/>
      <c r="AY755" s="135">
        <v>4</v>
      </c>
      <c r="AZ755" s="39">
        <v>1</v>
      </c>
      <c r="BA755" s="132"/>
      <c r="BB755" s="136"/>
      <c r="BE755" s="34" t="s">
        <v>6867</v>
      </c>
      <c r="BF755" s="33"/>
      <c r="BG755" s="33" t="s">
        <v>6873</v>
      </c>
    </row>
    <row r="756" spans="1:59" ht="15" customHeight="1">
      <c r="A756" s="38" t="s">
        <v>6794</v>
      </c>
      <c r="B756" s="33" t="s">
        <v>6874</v>
      </c>
      <c r="C756" s="33" t="s">
        <v>6215</v>
      </c>
      <c r="D756" s="33">
        <v>129</v>
      </c>
      <c r="E756" s="33">
        <v>1</v>
      </c>
      <c r="F756" s="33" t="s">
        <v>6795</v>
      </c>
      <c r="G756" s="33" t="s">
        <v>4598</v>
      </c>
      <c r="J756" s="33" t="s">
        <v>31</v>
      </c>
      <c r="N756" s="33"/>
      <c r="O756" s="128"/>
      <c r="P756" s="129"/>
      <c r="Q756" s="130"/>
      <c r="R756" s="39"/>
      <c r="S756" s="131"/>
      <c r="T756" s="132"/>
      <c r="U756" s="128"/>
      <c r="V756" s="133"/>
      <c r="W756" s="134"/>
      <c r="X756" s="135"/>
      <c r="Y756" s="39"/>
      <c r="Z756" s="132"/>
      <c r="AA756" s="136"/>
      <c r="AB756" s="137"/>
      <c r="AD756" s="33" t="s">
        <v>6867</v>
      </c>
      <c r="AE756" s="33"/>
      <c r="AF756" s="33" t="s">
        <v>6871</v>
      </c>
      <c r="AI756" s="33" t="s">
        <v>4598</v>
      </c>
      <c r="AJ756" s="33" t="s">
        <v>6875</v>
      </c>
      <c r="AL756" s="33" t="s">
        <v>31</v>
      </c>
      <c r="AO756" s="34"/>
      <c r="AP756" s="33"/>
      <c r="AQ756" s="128"/>
      <c r="AR756" s="129"/>
      <c r="AS756" s="130"/>
      <c r="AT756" s="39"/>
      <c r="AU756" s="132"/>
      <c r="AV756" s="128"/>
      <c r="AW756" s="133"/>
      <c r="AX756" s="134"/>
      <c r="AY756" s="135">
        <v>2</v>
      </c>
      <c r="AZ756" s="39">
        <v>1</v>
      </c>
      <c r="BA756" s="132"/>
      <c r="BB756" s="136"/>
      <c r="BE756" s="34" t="s">
        <v>6867</v>
      </c>
      <c r="BF756" s="33"/>
      <c r="BG756" s="33" t="s">
        <v>6876</v>
      </c>
    </row>
    <row r="757" spans="1:59" ht="15" customHeight="1">
      <c r="A757" s="38" t="s">
        <v>6794</v>
      </c>
      <c r="B757" s="33" t="s">
        <v>6877</v>
      </c>
      <c r="C757" s="33" t="s">
        <v>6215</v>
      </c>
      <c r="D757" s="33">
        <v>130</v>
      </c>
      <c r="E757" s="33">
        <v>1</v>
      </c>
      <c r="F757" s="33" t="s">
        <v>6795</v>
      </c>
      <c r="G757" s="33" t="s">
        <v>4598</v>
      </c>
      <c r="J757" s="33" t="s">
        <v>31</v>
      </c>
      <c r="N757" s="33"/>
      <c r="O757" s="128"/>
      <c r="P757" s="129"/>
      <c r="Q757" s="130"/>
      <c r="R757" s="39"/>
      <c r="S757" s="131"/>
      <c r="T757" s="132"/>
      <c r="U757" s="128"/>
      <c r="V757" s="133"/>
      <c r="W757" s="134"/>
      <c r="X757" s="135"/>
      <c r="Y757" s="39"/>
      <c r="Z757" s="132"/>
      <c r="AA757" s="136"/>
      <c r="AB757" s="137"/>
      <c r="AD757" s="33" t="s">
        <v>6867</v>
      </c>
      <c r="AE757" s="33"/>
      <c r="AF757" s="33" t="s">
        <v>6871</v>
      </c>
      <c r="AI757" s="33" t="s">
        <v>4598</v>
      </c>
      <c r="AJ757" s="33" t="s">
        <v>6878</v>
      </c>
      <c r="AL757" s="33" t="s">
        <v>31</v>
      </c>
      <c r="AO757" s="34"/>
      <c r="AP757" s="33"/>
      <c r="AQ757" s="128"/>
      <c r="AR757" s="129"/>
      <c r="AS757" s="130"/>
      <c r="AT757" s="39"/>
      <c r="AU757" s="132"/>
      <c r="AV757" s="128"/>
      <c r="AW757" s="133"/>
      <c r="AX757" s="134"/>
      <c r="AY757" s="135">
        <v>2</v>
      </c>
      <c r="AZ757" s="39">
        <v>1</v>
      </c>
      <c r="BA757" s="132"/>
      <c r="BB757" s="136"/>
      <c r="BE757" s="34" t="s">
        <v>6867</v>
      </c>
      <c r="BF757" s="33"/>
      <c r="BG757" s="33" t="s">
        <v>6879</v>
      </c>
    </row>
    <row r="758" spans="1:59" ht="15" customHeight="1">
      <c r="A758" s="38" t="s">
        <v>6794</v>
      </c>
      <c r="B758" s="33" t="s">
        <v>6880</v>
      </c>
      <c r="C758" s="33" t="s">
        <v>6215</v>
      </c>
      <c r="D758" s="33">
        <v>131</v>
      </c>
      <c r="E758" s="33">
        <v>1</v>
      </c>
      <c r="F758" s="33" t="s">
        <v>6795</v>
      </c>
      <c r="G758" s="33" t="s">
        <v>5321</v>
      </c>
      <c r="J758" s="33" t="s">
        <v>31</v>
      </c>
      <c r="N758" s="33"/>
      <c r="O758" s="128"/>
      <c r="P758" s="129"/>
      <c r="Q758" s="130"/>
      <c r="R758" s="39"/>
      <c r="S758" s="131"/>
      <c r="T758" s="132"/>
      <c r="U758" s="128"/>
      <c r="V758" s="133"/>
      <c r="W758" s="134"/>
      <c r="X758" s="135"/>
      <c r="Y758" s="39"/>
      <c r="Z758" s="132"/>
      <c r="AA758" s="136"/>
      <c r="AB758" s="137"/>
      <c r="AD758" s="33" t="s">
        <v>6881</v>
      </c>
      <c r="AE758" s="33"/>
      <c r="AF758" s="33" t="s">
        <v>6882</v>
      </c>
      <c r="AI758" s="33" t="s">
        <v>5321</v>
      </c>
      <c r="AL758" s="33" t="s">
        <v>31</v>
      </c>
      <c r="AO758" s="34"/>
      <c r="AP758" s="33"/>
      <c r="AQ758" s="128"/>
      <c r="AR758" s="129"/>
      <c r="AS758" s="130"/>
      <c r="AT758" s="39"/>
      <c r="AU758" s="132"/>
      <c r="AV758" s="128"/>
      <c r="AW758" s="133"/>
      <c r="AX758" s="134"/>
      <c r="AY758" s="135">
        <v>3</v>
      </c>
      <c r="AZ758" s="39">
        <v>0</v>
      </c>
      <c r="BA758" s="132"/>
      <c r="BB758" s="136"/>
      <c r="BE758" s="34" t="s">
        <v>6881</v>
      </c>
      <c r="BF758" s="33"/>
      <c r="BG758" s="33" t="s">
        <v>6883</v>
      </c>
    </row>
    <row r="759" spans="1:59" ht="15" customHeight="1">
      <c r="A759" s="38" t="s">
        <v>6794</v>
      </c>
      <c r="B759" s="33" t="s">
        <v>6884</v>
      </c>
      <c r="C759" s="33" t="s">
        <v>6215</v>
      </c>
      <c r="D759" s="33">
        <v>132</v>
      </c>
      <c r="E759" s="33">
        <v>1</v>
      </c>
      <c r="F759" s="33" t="s">
        <v>6795</v>
      </c>
      <c r="G759" s="33" t="s">
        <v>4598</v>
      </c>
      <c r="J759" s="33" t="s">
        <v>31</v>
      </c>
      <c r="N759" s="33"/>
      <c r="O759" s="128"/>
      <c r="P759" s="129"/>
      <c r="Q759" s="130"/>
      <c r="R759" s="39"/>
      <c r="S759" s="131"/>
      <c r="T759" s="132"/>
      <c r="U759" s="128"/>
      <c r="V759" s="133"/>
      <c r="W759" s="134"/>
      <c r="X759" s="135"/>
      <c r="Y759" s="39"/>
      <c r="Z759" s="132"/>
      <c r="AA759" s="136"/>
      <c r="AB759" s="137"/>
      <c r="AD759" s="33" t="s">
        <v>6881</v>
      </c>
      <c r="AE759" s="33"/>
      <c r="AF759" s="33" t="s">
        <v>6871</v>
      </c>
      <c r="AI759" s="33" t="s">
        <v>4598</v>
      </c>
      <c r="AJ759" s="33" t="s">
        <v>6878</v>
      </c>
      <c r="AL759" s="33" t="s">
        <v>31</v>
      </c>
      <c r="AO759" s="34"/>
      <c r="AP759" s="33"/>
      <c r="AQ759" s="128"/>
      <c r="AR759" s="129"/>
      <c r="AS759" s="130"/>
      <c r="AT759" s="39"/>
      <c r="AU759" s="132"/>
      <c r="AV759" s="128"/>
      <c r="AW759" s="133"/>
      <c r="AX759" s="134"/>
      <c r="AY759" s="135">
        <v>2</v>
      </c>
      <c r="AZ759" s="39">
        <v>1</v>
      </c>
      <c r="BA759" s="132"/>
      <c r="BB759" s="136"/>
      <c r="BE759" s="34" t="s">
        <v>6881</v>
      </c>
      <c r="BF759" s="33"/>
      <c r="BG759" s="33" t="s">
        <v>6879</v>
      </c>
    </row>
    <row r="760" spans="1:59" ht="15" customHeight="1">
      <c r="A760" s="38" t="s">
        <v>6794</v>
      </c>
      <c r="B760" s="33" t="s">
        <v>6885</v>
      </c>
      <c r="C760" s="33" t="s">
        <v>6215</v>
      </c>
      <c r="D760" s="33">
        <v>133</v>
      </c>
      <c r="E760" s="33">
        <v>1</v>
      </c>
      <c r="F760" s="33" t="s">
        <v>6795</v>
      </c>
      <c r="G760" s="33" t="s">
        <v>4598</v>
      </c>
      <c r="J760" s="33" t="s">
        <v>31</v>
      </c>
      <c r="N760" s="33"/>
      <c r="O760" s="128"/>
      <c r="P760" s="129"/>
      <c r="Q760" s="130"/>
      <c r="R760" s="39"/>
      <c r="S760" s="131"/>
      <c r="T760" s="132"/>
      <c r="U760" s="128"/>
      <c r="V760" s="133"/>
      <c r="W760" s="134"/>
      <c r="X760" s="135"/>
      <c r="Y760" s="39"/>
      <c r="Z760" s="132"/>
      <c r="AA760" s="136"/>
      <c r="AB760" s="137"/>
      <c r="AD760" s="33" t="s">
        <v>6886</v>
      </c>
      <c r="AE760" s="33"/>
      <c r="AF760" s="33" t="s">
        <v>6871</v>
      </c>
      <c r="AI760" s="33" t="s">
        <v>4598</v>
      </c>
      <c r="AJ760" s="33" t="s">
        <v>6887</v>
      </c>
      <c r="AL760" s="33" t="s">
        <v>31</v>
      </c>
      <c r="AO760" s="34"/>
      <c r="AP760" s="33"/>
      <c r="AQ760" s="128"/>
      <c r="AR760" s="129"/>
      <c r="AS760" s="130"/>
      <c r="AT760" s="39"/>
      <c r="AU760" s="132"/>
      <c r="AV760" s="128"/>
      <c r="AW760" s="133"/>
      <c r="AX760" s="134"/>
      <c r="AY760" s="135">
        <v>3</v>
      </c>
      <c r="AZ760" s="39">
        <v>2</v>
      </c>
      <c r="BA760" s="132"/>
      <c r="BB760" s="136"/>
      <c r="BE760" s="34" t="s">
        <v>6886</v>
      </c>
      <c r="BF760" s="33"/>
      <c r="BG760" s="33" t="s">
        <v>6888</v>
      </c>
    </row>
    <row r="761" spans="1:59" ht="15" customHeight="1">
      <c r="A761" s="38" t="s">
        <v>6794</v>
      </c>
      <c r="B761" s="33" t="s">
        <v>6889</v>
      </c>
      <c r="C761" s="33" t="s">
        <v>6215</v>
      </c>
      <c r="D761" s="33">
        <v>134</v>
      </c>
      <c r="E761" s="33">
        <v>1</v>
      </c>
      <c r="F761" s="33" t="s">
        <v>6795</v>
      </c>
      <c r="G761" s="33" t="s">
        <v>4598</v>
      </c>
      <c r="J761" s="33" t="s">
        <v>31</v>
      </c>
      <c r="N761" s="33"/>
      <c r="O761" s="128"/>
      <c r="P761" s="129"/>
      <c r="Q761" s="130"/>
      <c r="R761" s="39"/>
      <c r="S761" s="131"/>
      <c r="T761" s="132"/>
      <c r="U761" s="128"/>
      <c r="V761" s="133"/>
      <c r="W761" s="134"/>
      <c r="X761" s="135"/>
      <c r="Y761" s="39"/>
      <c r="Z761" s="132"/>
      <c r="AA761" s="136"/>
      <c r="AB761" s="137"/>
      <c r="AD761" s="33" t="s">
        <v>6881</v>
      </c>
      <c r="AE761" s="33"/>
      <c r="AF761" s="33" t="s">
        <v>6871</v>
      </c>
      <c r="AI761" s="33" t="s">
        <v>4598</v>
      </c>
      <c r="AJ761" s="33" t="s">
        <v>6890</v>
      </c>
      <c r="AL761" s="33" t="s">
        <v>31</v>
      </c>
      <c r="AO761" s="34"/>
      <c r="AP761" s="33"/>
      <c r="AQ761" s="128"/>
      <c r="AR761" s="129"/>
      <c r="AS761" s="130"/>
      <c r="AT761" s="39"/>
      <c r="AU761" s="132"/>
      <c r="AV761" s="128"/>
      <c r="AW761" s="133"/>
      <c r="AX761" s="134"/>
      <c r="AY761" s="135">
        <v>5</v>
      </c>
      <c r="AZ761" s="39">
        <v>1</v>
      </c>
      <c r="BA761" s="132"/>
      <c r="BB761" s="136"/>
      <c r="BE761" s="34" t="s">
        <v>6881</v>
      </c>
      <c r="BF761" s="33"/>
      <c r="BG761" s="33" t="s">
        <v>6891</v>
      </c>
    </row>
    <row r="762" spans="1:59" ht="15" customHeight="1">
      <c r="A762" s="38" t="s">
        <v>6794</v>
      </c>
      <c r="B762" s="33" t="s">
        <v>6892</v>
      </c>
      <c r="C762" s="33" t="s">
        <v>6215</v>
      </c>
      <c r="D762" s="33">
        <v>135</v>
      </c>
      <c r="E762" s="33">
        <v>1</v>
      </c>
      <c r="F762" s="33" t="s">
        <v>6795</v>
      </c>
      <c r="G762" s="33" t="s">
        <v>5321</v>
      </c>
      <c r="J762" s="33" t="s">
        <v>31</v>
      </c>
      <c r="N762" s="33"/>
      <c r="O762" s="128"/>
      <c r="P762" s="129"/>
      <c r="Q762" s="130"/>
      <c r="R762" s="39"/>
      <c r="S762" s="131"/>
      <c r="T762" s="132"/>
      <c r="U762" s="128"/>
      <c r="V762" s="133"/>
      <c r="W762" s="134"/>
      <c r="X762" s="135"/>
      <c r="Y762" s="39"/>
      <c r="Z762" s="132"/>
      <c r="AA762" s="136"/>
      <c r="AB762" s="137"/>
      <c r="AD762" s="33" t="s">
        <v>6893</v>
      </c>
      <c r="AE762" s="33"/>
      <c r="AF762" s="33" t="s">
        <v>6894</v>
      </c>
      <c r="AI762" s="33" t="s">
        <v>5321</v>
      </c>
      <c r="AL762" s="33" t="s">
        <v>31</v>
      </c>
      <c r="AO762" s="34"/>
      <c r="AP762" s="33"/>
      <c r="AQ762" s="128"/>
      <c r="AR762" s="129"/>
      <c r="AS762" s="130"/>
      <c r="AT762" s="39"/>
      <c r="AU762" s="132"/>
      <c r="AV762" s="128"/>
      <c r="AW762" s="133"/>
      <c r="AX762" s="134"/>
      <c r="AY762" s="135">
        <v>3</v>
      </c>
      <c r="AZ762" s="39">
        <v>0</v>
      </c>
      <c r="BA762" s="132"/>
      <c r="BB762" s="136"/>
      <c r="BE762" s="34" t="s">
        <v>6893</v>
      </c>
      <c r="BF762" s="33"/>
      <c r="BG762" s="33" t="s">
        <v>6895</v>
      </c>
    </row>
    <row r="763" spans="1:59" ht="15" customHeight="1">
      <c r="A763" s="38" t="s">
        <v>6794</v>
      </c>
      <c r="B763" s="33" t="s">
        <v>6896</v>
      </c>
      <c r="C763" s="33" t="s">
        <v>6215</v>
      </c>
      <c r="D763" s="33">
        <v>136</v>
      </c>
      <c r="E763" s="33">
        <v>1</v>
      </c>
      <c r="F763" s="33" t="s">
        <v>6795</v>
      </c>
      <c r="G763" s="33" t="s">
        <v>4598</v>
      </c>
      <c r="J763" s="33" t="s">
        <v>31</v>
      </c>
      <c r="N763" s="33"/>
      <c r="O763" s="128"/>
      <c r="P763" s="129"/>
      <c r="Q763" s="130"/>
      <c r="R763" s="39"/>
      <c r="S763" s="131"/>
      <c r="T763" s="132"/>
      <c r="U763" s="128"/>
      <c r="V763" s="133"/>
      <c r="W763" s="134"/>
      <c r="X763" s="135"/>
      <c r="Y763" s="39"/>
      <c r="Z763" s="132"/>
      <c r="AA763" s="136"/>
      <c r="AB763" s="137"/>
      <c r="AD763" s="33" t="s">
        <v>6897</v>
      </c>
      <c r="AE763" s="33"/>
      <c r="AF763" s="33" t="s">
        <v>6871</v>
      </c>
      <c r="AI763" s="33" t="s">
        <v>4598</v>
      </c>
      <c r="AJ763" s="33" t="s">
        <v>6887</v>
      </c>
      <c r="AL763" s="33" t="s">
        <v>31</v>
      </c>
      <c r="AO763" s="34"/>
      <c r="AP763" s="33"/>
      <c r="AQ763" s="128"/>
      <c r="AR763" s="129"/>
      <c r="AS763" s="130"/>
      <c r="AT763" s="39"/>
      <c r="AU763" s="132"/>
      <c r="AV763" s="128"/>
      <c r="AW763" s="133"/>
      <c r="AX763" s="134"/>
      <c r="AY763" s="135">
        <v>3</v>
      </c>
      <c r="AZ763" s="39">
        <v>2</v>
      </c>
      <c r="BA763" s="132"/>
      <c r="BB763" s="136"/>
      <c r="BE763" s="34" t="s">
        <v>6897</v>
      </c>
      <c r="BF763" s="33"/>
      <c r="BG763" s="33" t="s">
        <v>6888</v>
      </c>
    </row>
    <row r="764" spans="1:59" ht="15" customHeight="1">
      <c r="A764" s="38" t="s">
        <v>6794</v>
      </c>
      <c r="B764" s="33" t="s">
        <v>6898</v>
      </c>
      <c r="C764" s="33" t="s">
        <v>6215</v>
      </c>
      <c r="D764" s="33">
        <v>137</v>
      </c>
      <c r="E764" s="33">
        <v>1</v>
      </c>
      <c r="F764" s="33" t="s">
        <v>6795</v>
      </c>
      <c r="G764" s="33" t="s">
        <v>4598</v>
      </c>
      <c r="J764" s="33" t="s">
        <v>31</v>
      </c>
      <c r="N764" s="33"/>
      <c r="O764" s="128"/>
      <c r="P764" s="129"/>
      <c r="Q764" s="130"/>
      <c r="R764" s="39"/>
      <c r="S764" s="131"/>
      <c r="T764" s="132"/>
      <c r="U764" s="128"/>
      <c r="V764" s="133"/>
      <c r="W764" s="134"/>
      <c r="X764" s="135"/>
      <c r="Y764" s="39"/>
      <c r="Z764" s="132"/>
      <c r="AA764" s="136"/>
      <c r="AB764" s="137"/>
      <c r="AD764" s="33" t="s">
        <v>6897</v>
      </c>
      <c r="AE764" s="33"/>
      <c r="AF764" s="33" t="s">
        <v>6871</v>
      </c>
      <c r="AI764" s="33" t="s">
        <v>4598</v>
      </c>
      <c r="AJ764" s="33" t="s">
        <v>6899</v>
      </c>
      <c r="AL764" s="33" t="s">
        <v>31</v>
      </c>
      <c r="AO764" s="34"/>
      <c r="AP764" s="33"/>
      <c r="AQ764" s="128"/>
      <c r="AR764" s="129"/>
      <c r="AS764" s="130"/>
      <c r="AT764" s="39"/>
      <c r="AU764" s="132"/>
      <c r="AV764" s="128"/>
      <c r="AW764" s="133"/>
      <c r="AX764" s="134"/>
      <c r="AY764" s="135">
        <v>4</v>
      </c>
      <c r="AZ764" s="39">
        <v>2</v>
      </c>
      <c r="BA764" s="132"/>
      <c r="BB764" s="136"/>
      <c r="BE764" s="34" t="s">
        <v>6897</v>
      </c>
      <c r="BF764" s="33"/>
      <c r="BG764" s="33" t="s">
        <v>6900</v>
      </c>
    </row>
    <row r="765" spans="1:59" ht="15" customHeight="1">
      <c r="A765" s="38" t="s">
        <v>6794</v>
      </c>
      <c r="B765" s="33" t="s">
        <v>6901</v>
      </c>
      <c r="C765" s="33" t="s">
        <v>6215</v>
      </c>
      <c r="D765" s="33">
        <v>138</v>
      </c>
      <c r="E765" s="33">
        <v>1</v>
      </c>
      <c r="F765" s="33" t="s">
        <v>6795</v>
      </c>
      <c r="G765" s="33" t="s">
        <v>4598</v>
      </c>
      <c r="J765" s="33" t="s">
        <v>31</v>
      </c>
      <c r="N765" s="33"/>
      <c r="O765" s="128"/>
      <c r="P765" s="129"/>
      <c r="Q765" s="130"/>
      <c r="R765" s="39"/>
      <c r="S765" s="131"/>
      <c r="T765" s="132"/>
      <c r="U765" s="128"/>
      <c r="V765" s="133"/>
      <c r="W765" s="134"/>
      <c r="X765" s="135"/>
      <c r="Y765" s="39"/>
      <c r="Z765" s="132"/>
      <c r="AA765" s="136"/>
      <c r="AB765" s="137"/>
      <c r="AD765" s="33" t="s">
        <v>6893</v>
      </c>
      <c r="AE765" s="33"/>
      <c r="AF765" s="33" t="s">
        <v>6871</v>
      </c>
      <c r="AI765" s="33" t="s">
        <v>4598</v>
      </c>
      <c r="AJ765" s="33" t="s">
        <v>6875</v>
      </c>
      <c r="AL765" s="33" t="s">
        <v>31</v>
      </c>
      <c r="AO765" s="34"/>
      <c r="AP765" s="33"/>
      <c r="AQ765" s="128"/>
      <c r="AR765" s="129"/>
      <c r="AS765" s="130"/>
      <c r="AT765" s="39"/>
      <c r="AU765" s="132"/>
      <c r="AV765" s="128"/>
      <c r="AW765" s="133"/>
      <c r="AX765" s="134"/>
      <c r="AY765" s="135">
        <v>2</v>
      </c>
      <c r="AZ765" s="39">
        <v>1</v>
      </c>
      <c r="BA765" s="132"/>
      <c r="BB765" s="136"/>
      <c r="BE765" s="34" t="s">
        <v>6893</v>
      </c>
      <c r="BF765" s="33"/>
      <c r="BG765" s="33" t="s">
        <v>6876</v>
      </c>
    </row>
    <row r="766" spans="1:59" ht="15" customHeight="1">
      <c r="A766" s="38" t="s">
        <v>6794</v>
      </c>
      <c r="B766" s="33" t="s">
        <v>6902</v>
      </c>
      <c r="C766" s="33" t="s">
        <v>6215</v>
      </c>
      <c r="D766" s="33">
        <v>139</v>
      </c>
      <c r="E766" s="33">
        <v>1</v>
      </c>
      <c r="F766" s="33" t="s">
        <v>6795</v>
      </c>
      <c r="G766" s="33" t="s">
        <v>6903</v>
      </c>
      <c r="J766" s="33" t="s">
        <v>31</v>
      </c>
      <c r="N766" s="33"/>
      <c r="O766" s="128"/>
      <c r="P766" s="129"/>
      <c r="Q766" s="130"/>
      <c r="R766" s="39"/>
      <c r="S766" s="131"/>
      <c r="T766" s="132"/>
      <c r="U766" s="128"/>
      <c r="V766" s="133"/>
      <c r="W766" s="134"/>
      <c r="X766" s="135"/>
      <c r="Y766" s="39"/>
      <c r="Z766" s="132"/>
      <c r="AA766" s="136"/>
      <c r="AB766" s="137"/>
      <c r="AE766" s="33"/>
      <c r="AF766" s="33" t="s">
        <v>6904</v>
      </c>
      <c r="AI766" s="33" t="s">
        <v>6903</v>
      </c>
      <c r="AL766" s="33" t="s">
        <v>31</v>
      </c>
      <c r="AO766" s="34"/>
      <c r="AP766" s="33"/>
      <c r="AQ766" s="128"/>
      <c r="AR766" s="129"/>
      <c r="AS766" s="130"/>
      <c r="AT766" s="39"/>
      <c r="AU766" s="132"/>
      <c r="AV766" s="128"/>
      <c r="AW766" s="133"/>
      <c r="AX766" s="134"/>
      <c r="AY766" s="135">
        <v>4</v>
      </c>
      <c r="AZ766" s="39">
        <v>3</v>
      </c>
      <c r="BA766" s="132"/>
      <c r="BB766" s="136">
        <v>2</v>
      </c>
      <c r="BE766" s="34"/>
      <c r="BF766" s="33"/>
      <c r="BG766" s="33" t="s">
        <v>6904</v>
      </c>
    </row>
    <row r="767" spans="1:59" ht="15" customHeight="1">
      <c r="A767" s="38" t="s">
        <v>6794</v>
      </c>
      <c r="B767" s="33" t="s">
        <v>6905</v>
      </c>
      <c r="C767" s="33" t="s">
        <v>6215</v>
      </c>
      <c r="D767" s="33">
        <v>140</v>
      </c>
      <c r="E767" s="33">
        <v>1</v>
      </c>
      <c r="F767" s="33" t="s">
        <v>6795</v>
      </c>
      <c r="G767" s="33" t="s">
        <v>6906</v>
      </c>
      <c r="H767" s="33" t="s">
        <v>6907</v>
      </c>
      <c r="J767" s="33" t="s">
        <v>29</v>
      </c>
      <c r="N767" s="33"/>
      <c r="O767" s="128"/>
      <c r="P767" s="129"/>
      <c r="Q767" s="130">
        <v>4</v>
      </c>
      <c r="R767" s="39">
        <v>3</v>
      </c>
      <c r="S767" s="131"/>
      <c r="T767" s="132">
        <v>5</v>
      </c>
      <c r="U767" s="128"/>
      <c r="V767" s="133">
        <v>2</v>
      </c>
      <c r="W767" s="134">
        <v>2</v>
      </c>
      <c r="X767" s="135"/>
      <c r="Y767" s="39"/>
      <c r="Z767" s="132"/>
      <c r="AA767" s="136">
        <v>2</v>
      </c>
      <c r="AB767" s="137"/>
      <c r="AD767" s="33" t="s">
        <v>6908</v>
      </c>
      <c r="AE767" s="33"/>
      <c r="AF767" s="33" t="s">
        <v>6909</v>
      </c>
      <c r="AO767" s="34"/>
      <c r="AP767" s="33"/>
      <c r="AQ767" s="128"/>
      <c r="AR767" s="129"/>
      <c r="AS767" s="130"/>
      <c r="AT767" s="39"/>
      <c r="AU767" s="132"/>
      <c r="AV767" s="128"/>
      <c r="AW767" s="133"/>
      <c r="AX767" s="134"/>
      <c r="AY767" s="135"/>
      <c r="AZ767" s="39"/>
      <c r="BA767" s="132"/>
      <c r="BB767" s="136"/>
      <c r="BE767" s="34"/>
      <c r="BF767" s="33"/>
    </row>
    <row r="768" spans="1:59" ht="15" customHeight="1">
      <c r="A768" s="38" t="s">
        <v>6794</v>
      </c>
      <c r="B768" s="40" t="s">
        <v>6910</v>
      </c>
      <c r="C768" s="33" t="s">
        <v>6215</v>
      </c>
      <c r="D768" s="33">
        <v>141</v>
      </c>
      <c r="E768" s="33">
        <v>1</v>
      </c>
      <c r="F768" s="33" t="s">
        <v>6795</v>
      </c>
      <c r="G768" s="33" t="s">
        <v>6911</v>
      </c>
      <c r="H768" s="33" t="s">
        <v>6912</v>
      </c>
      <c r="I768" s="33" t="s">
        <v>4077</v>
      </c>
      <c r="J768" s="33" t="s">
        <v>4111</v>
      </c>
      <c r="K768" s="33" t="s">
        <v>26</v>
      </c>
      <c r="N768" s="33"/>
      <c r="O768" s="128"/>
      <c r="P768" s="129"/>
      <c r="Q768" s="130"/>
      <c r="R768" s="39"/>
      <c r="S768" s="131"/>
      <c r="T768" s="132">
        <v>2</v>
      </c>
      <c r="U768" s="128">
        <v>2</v>
      </c>
      <c r="V768" s="133"/>
      <c r="W768" s="134"/>
      <c r="X768" s="135"/>
      <c r="Y768" s="39"/>
      <c r="Z768" s="132"/>
      <c r="AA768" s="136"/>
      <c r="AB768" s="137"/>
      <c r="AC768" s="33" t="s">
        <v>25</v>
      </c>
      <c r="AD768" s="33" t="s">
        <v>6913</v>
      </c>
      <c r="AE768" s="33"/>
      <c r="AF768" s="33" t="s">
        <v>6914</v>
      </c>
      <c r="AO768" s="34"/>
      <c r="AP768" s="33"/>
      <c r="AQ768" s="128"/>
      <c r="AR768" s="129"/>
      <c r="AS768" s="130"/>
      <c r="AT768" s="39"/>
      <c r="AU768" s="132"/>
      <c r="AV768" s="128"/>
      <c r="AW768" s="133"/>
      <c r="AX768" s="134"/>
      <c r="AY768" s="135"/>
      <c r="AZ768" s="39"/>
      <c r="BA768" s="132"/>
      <c r="BB768" s="136"/>
      <c r="BE768" s="34"/>
      <c r="BF768" s="33"/>
    </row>
    <row r="769" spans="1:58" ht="15" customHeight="1">
      <c r="A769" s="38" t="s">
        <v>6794</v>
      </c>
      <c r="B769" s="33" t="s">
        <v>6915</v>
      </c>
      <c r="C769" s="33" t="s">
        <v>6215</v>
      </c>
      <c r="D769" s="33">
        <v>142</v>
      </c>
      <c r="E769" s="33">
        <v>1</v>
      </c>
      <c r="F769" s="33" t="s">
        <v>6795</v>
      </c>
      <c r="G769" s="33" t="s">
        <v>6916</v>
      </c>
      <c r="H769" s="33" t="s">
        <v>6917</v>
      </c>
      <c r="J769" s="33" t="s">
        <v>4111</v>
      </c>
      <c r="K769" s="33" t="s">
        <v>26</v>
      </c>
      <c r="M769" s="33" t="s">
        <v>4502</v>
      </c>
      <c r="N769" s="33">
        <v>1</v>
      </c>
      <c r="O769" s="139"/>
      <c r="P769" s="140"/>
      <c r="Q769" s="141"/>
      <c r="R769" s="39"/>
      <c r="S769" s="131"/>
      <c r="T769" s="132"/>
      <c r="U769" s="139"/>
      <c r="V769" s="142"/>
      <c r="W769" s="143"/>
      <c r="X769" s="144"/>
      <c r="Y769" s="39"/>
      <c r="Z769" s="132"/>
      <c r="AA769" s="145"/>
      <c r="AB769" s="137"/>
      <c r="AD769" s="33" t="s">
        <v>4130</v>
      </c>
      <c r="AE769" s="33"/>
      <c r="AF769" s="33" t="s">
        <v>6918</v>
      </c>
      <c r="AO769" s="34"/>
      <c r="AP769" s="33"/>
      <c r="AQ769" s="139"/>
      <c r="AR769" s="140"/>
      <c r="AS769" s="141"/>
      <c r="AT769" s="39"/>
      <c r="AU769" s="132"/>
      <c r="AV769" s="139"/>
      <c r="AW769" s="146"/>
      <c r="AX769" s="147"/>
      <c r="AY769" s="144"/>
      <c r="AZ769" s="39"/>
      <c r="BA769" s="132"/>
      <c r="BB769" s="145"/>
      <c r="BE769" s="34"/>
      <c r="BF769" s="33"/>
    </row>
    <row r="770" spans="1:58" ht="15" customHeight="1">
      <c r="A770" s="38" t="s">
        <v>6794</v>
      </c>
      <c r="B770" s="33" t="s">
        <v>6919</v>
      </c>
      <c r="C770" s="33" t="s">
        <v>6215</v>
      </c>
      <c r="D770" s="33">
        <v>143</v>
      </c>
      <c r="E770" s="33">
        <v>1</v>
      </c>
      <c r="F770" s="33" t="s">
        <v>6795</v>
      </c>
      <c r="G770" s="33" t="s">
        <v>6920</v>
      </c>
      <c r="H770" s="33" t="s">
        <v>6921</v>
      </c>
      <c r="J770" s="33" t="s">
        <v>4111</v>
      </c>
      <c r="K770" s="33" t="s">
        <v>26</v>
      </c>
      <c r="N770" s="33">
        <v>2</v>
      </c>
      <c r="O770" s="139">
        <v>1</v>
      </c>
      <c r="P770" s="140"/>
      <c r="Q770" s="141">
        <v>1</v>
      </c>
      <c r="R770" s="39">
        <v>1</v>
      </c>
      <c r="S770" s="131"/>
      <c r="T770" s="132">
        <v>1</v>
      </c>
      <c r="U770" s="139"/>
      <c r="V770" s="142"/>
      <c r="W770" s="143"/>
      <c r="X770" s="144"/>
      <c r="Y770" s="39"/>
      <c r="Z770" s="132"/>
      <c r="AA770" s="145"/>
      <c r="AB770" s="137" t="s">
        <v>5243</v>
      </c>
      <c r="AC770" s="33" t="s">
        <v>4247</v>
      </c>
      <c r="AD770" s="33" t="s">
        <v>6179</v>
      </c>
      <c r="AE770" s="33"/>
      <c r="AF770" s="33" t="s">
        <v>6922</v>
      </c>
      <c r="AO770" s="34"/>
      <c r="AP770" s="33"/>
      <c r="AQ770" s="139"/>
      <c r="AR770" s="140"/>
      <c r="AS770" s="141"/>
      <c r="AT770" s="39"/>
      <c r="AU770" s="132"/>
      <c r="AV770" s="139"/>
      <c r="AW770" s="146"/>
      <c r="AX770" s="147"/>
      <c r="AY770" s="144"/>
      <c r="AZ770" s="39"/>
      <c r="BA770" s="132"/>
      <c r="BB770" s="145"/>
      <c r="BE770" s="34"/>
      <c r="BF770" s="33"/>
    </row>
    <row r="771" spans="1:58" ht="15" customHeight="1">
      <c r="A771" s="38" t="s">
        <v>6794</v>
      </c>
      <c r="B771" s="33" t="s">
        <v>6923</v>
      </c>
      <c r="C771" s="33" t="s">
        <v>6215</v>
      </c>
      <c r="D771" s="33">
        <v>144</v>
      </c>
      <c r="E771" s="33">
        <v>3</v>
      </c>
      <c r="F771" s="33" t="s">
        <v>6795</v>
      </c>
      <c r="G771" s="33" t="s">
        <v>6924</v>
      </c>
      <c r="J771" s="33" t="s">
        <v>29</v>
      </c>
      <c r="N771" s="33"/>
      <c r="O771" s="139"/>
      <c r="P771" s="140"/>
      <c r="Q771" s="141">
        <v>2</v>
      </c>
      <c r="R771" s="39">
        <v>2</v>
      </c>
      <c r="S771" s="131"/>
      <c r="T771" s="132">
        <v>3</v>
      </c>
      <c r="U771" s="139"/>
      <c r="V771" s="142"/>
      <c r="W771" s="143">
        <v>1</v>
      </c>
      <c r="X771" s="144"/>
      <c r="Y771" s="39"/>
      <c r="Z771" s="132"/>
      <c r="AA771" s="145"/>
      <c r="AB771" s="137"/>
      <c r="AD771" s="33" t="s">
        <v>4321</v>
      </c>
      <c r="AE771" s="33"/>
      <c r="AF771" s="33" t="s">
        <v>6925</v>
      </c>
      <c r="AO771" s="34"/>
      <c r="AP771" s="33"/>
      <c r="AQ771" s="139"/>
      <c r="AR771" s="140"/>
      <c r="AS771" s="141"/>
      <c r="AT771" s="39"/>
      <c r="AU771" s="132"/>
      <c r="AV771" s="139"/>
      <c r="AW771" s="146"/>
      <c r="AX771" s="147"/>
      <c r="AY771" s="144"/>
      <c r="AZ771" s="39"/>
      <c r="BA771" s="132"/>
      <c r="BB771" s="145"/>
      <c r="BE771" s="34"/>
      <c r="BF771" s="33"/>
    </row>
    <row r="772" spans="1:58" ht="15" customHeight="1">
      <c r="A772" s="38" t="s">
        <v>6794</v>
      </c>
      <c r="B772" s="33" t="s">
        <v>6926</v>
      </c>
      <c r="C772" s="33" t="s">
        <v>6215</v>
      </c>
      <c r="D772" s="33">
        <v>145</v>
      </c>
      <c r="E772" s="33">
        <v>3</v>
      </c>
      <c r="F772" s="33" t="s">
        <v>6795</v>
      </c>
      <c r="G772" s="33" t="s">
        <v>6927</v>
      </c>
      <c r="J772" s="33" t="s">
        <v>28</v>
      </c>
      <c r="N772" s="33"/>
      <c r="O772" s="139"/>
      <c r="P772" s="140"/>
      <c r="Q772" s="141"/>
      <c r="R772" s="39"/>
      <c r="S772" s="131"/>
      <c r="T772" s="132"/>
      <c r="U772" s="139"/>
      <c r="V772" s="142"/>
      <c r="W772" s="143"/>
      <c r="X772" s="144"/>
      <c r="Y772" s="39"/>
      <c r="Z772" s="132"/>
      <c r="AA772" s="145"/>
      <c r="AB772" s="137"/>
      <c r="AD772" s="33" t="s">
        <v>5050</v>
      </c>
      <c r="AE772" s="33"/>
      <c r="AF772" s="33" t="s">
        <v>6928</v>
      </c>
      <c r="AO772" s="34"/>
      <c r="AP772" s="33"/>
      <c r="AQ772" s="139"/>
      <c r="AR772" s="140"/>
      <c r="AS772" s="141"/>
      <c r="AT772" s="39"/>
      <c r="AU772" s="132"/>
      <c r="AV772" s="139"/>
      <c r="AW772" s="146"/>
      <c r="AX772" s="147"/>
      <c r="AY772" s="144"/>
      <c r="AZ772" s="39"/>
      <c r="BA772" s="132"/>
      <c r="BB772" s="145"/>
      <c r="BE772" s="34"/>
      <c r="BF772" s="33"/>
    </row>
    <row r="773" spans="1:58" ht="15" customHeight="1">
      <c r="A773" s="38" t="s">
        <v>6794</v>
      </c>
      <c r="B773" s="33" t="s">
        <v>6929</v>
      </c>
      <c r="C773" s="33" t="s">
        <v>6215</v>
      </c>
      <c r="D773" s="33">
        <v>146</v>
      </c>
      <c r="E773" s="33">
        <v>2</v>
      </c>
      <c r="F773" s="33" t="s">
        <v>6795</v>
      </c>
      <c r="G773" s="33" t="s">
        <v>6930</v>
      </c>
      <c r="J773" s="33" t="s">
        <v>28</v>
      </c>
      <c r="N773" s="33"/>
      <c r="O773" s="139"/>
      <c r="P773" s="140"/>
      <c r="Q773" s="141"/>
      <c r="R773" s="39"/>
      <c r="S773" s="131"/>
      <c r="T773" s="132"/>
      <c r="U773" s="139"/>
      <c r="V773" s="142"/>
      <c r="W773" s="143"/>
      <c r="X773" s="144"/>
      <c r="Y773" s="39"/>
      <c r="Z773" s="132"/>
      <c r="AA773" s="145"/>
      <c r="AB773" s="137"/>
      <c r="AD773" s="33" t="s">
        <v>5050</v>
      </c>
      <c r="AE773" s="33"/>
      <c r="AF773" s="33" t="s">
        <v>6931</v>
      </c>
      <c r="AO773" s="34"/>
      <c r="AP773" s="33"/>
      <c r="AQ773" s="139"/>
      <c r="AR773" s="140"/>
      <c r="AS773" s="141"/>
      <c r="AT773" s="39"/>
      <c r="AU773" s="132"/>
      <c r="AV773" s="139"/>
      <c r="AW773" s="146"/>
      <c r="AX773" s="147"/>
      <c r="AY773" s="144"/>
      <c r="AZ773" s="39"/>
      <c r="BA773" s="132"/>
      <c r="BB773" s="145"/>
      <c r="BE773" s="34"/>
      <c r="BF773" s="33"/>
    </row>
    <row r="774" spans="1:58" ht="15" customHeight="1">
      <c r="A774" s="33" t="s">
        <v>7051</v>
      </c>
      <c r="B774" s="33" t="s">
        <v>7052</v>
      </c>
      <c r="C774" s="33" t="s">
        <v>7188</v>
      </c>
      <c r="D774" s="34">
        <v>147</v>
      </c>
      <c r="E774" s="33">
        <v>2</v>
      </c>
      <c r="G774" s="33" t="s">
        <v>6944</v>
      </c>
      <c r="J774" s="33" t="s">
        <v>4111</v>
      </c>
      <c r="K774" s="33" t="s">
        <v>4052</v>
      </c>
      <c r="L774" s="33">
        <v>0</v>
      </c>
      <c r="N774" s="72">
        <v>1</v>
      </c>
      <c r="Q774" s="75">
        <v>1</v>
      </c>
      <c r="AB774" s="33" t="s">
        <v>4060</v>
      </c>
      <c r="AC774" s="33" t="s">
        <v>4112</v>
      </c>
      <c r="AD774" s="33" t="s">
        <v>4152</v>
      </c>
      <c r="AF774" s="33" t="s">
        <v>6945</v>
      </c>
      <c r="AP774" s="83"/>
      <c r="AQ774" s="85"/>
      <c r="AR774" s="86"/>
      <c r="AS774" s="87"/>
      <c r="AV774" s="85"/>
      <c r="AW774" s="93"/>
      <c r="AX774" s="94"/>
      <c r="AY774" s="90"/>
      <c r="BB774" s="91"/>
    </row>
    <row r="775" spans="1:58" ht="15" customHeight="1">
      <c r="A775" s="33" t="s">
        <v>7051</v>
      </c>
      <c r="B775" s="33" t="s">
        <v>7053</v>
      </c>
      <c r="C775" s="33" t="s">
        <v>7188</v>
      </c>
      <c r="D775" s="34">
        <v>148</v>
      </c>
      <c r="E775" s="33">
        <v>2</v>
      </c>
      <c r="G775" s="33" t="s">
        <v>6946</v>
      </c>
      <c r="J775" s="33" t="s">
        <v>27</v>
      </c>
      <c r="K775" s="33" t="s">
        <v>4052</v>
      </c>
      <c r="L775" s="33">
        <v>1</v>
      </c>
      <c r="N775" s="72">
        <v>2</v>
      </c>
      <c r="P775" s="74">
        <v>1</v>
      </c>
      <c r="Q775" s="75">
        <v>1</v>
      </c>
      <c r="AB775" s="33" t="s">
        <v>4945</v>
      </c>
      <c r="AD775" s="33" t="s">
        <v>4161</v>
      </c>
      <c r="AF775" s="33" t="s">
        <v>6947</v>
      </c>
      <c r="AP775" s="83"/>
      <c r="AQ775" s="85"/>
      <c r="AR775" s="86"/>
      <c r="AS775" s="87"/>
      <c r="AV775" s="85"/>
      <c r="AW775" s="93"/>
      <c r="AX775" s="94"/>
      <c r="AY775" s="90"/>
      <c r="BB775" s="91"/>
    </row>
    <row r="776" spans="1:58" ht="15" customHeight="1">
      <c r="A776" s="33" t="s">
        <v>7051</v>
      </c>
      <c r="B776" s="33" t="s">
        <v>7054</v>
      </c>
      <c r="C776" s="33" t="s">
        <v>7188</v>
      </c>
      <c r="D776" s="34">
        <v>149</v>
      </c>
      <c r="E776" s="33">
        <v>2</v>
      </c>
      <c r="G776" s="33" t="s">
        <v>6948</v>
      </c>
      <c r="H776" s="33" t="s">
        <v>6949</v>
      </c>
      <c r="I776" s="33" t="s">
        <v>4077</v>
      </c>
      <c r="J776" s="33" t="s">
        <v>4111</v>
      </c>
      <c r="K776" s="33" t="s">
        <v>4053</v>
      </c>
      <c r="L776" s="33">
        <v>0</v>
      </c>
      <c r="N776" s="72">
        <v>2</v>
      </c>
      <c r="P776" s="74">
        <v>1</v>
      </c>
      <c r="T776" s="78">
        <v>1</v>
      </c>
      <c r="U776" s="73">
        <v>2</v>
      </c>
      <c r="AB776" s="33" t="s">
        <v>4059</v>
      </c>
      <c r="AC776" s="33" t="s">
        <v>25</v>
      </c>
      <c r="AD776" s="33" t="s">
        <v>6820</v>
      </c>
      <c r="AF776" s="33" t="s">
        <v>6950</v>
      </c>
      <c r="AP776" s="83"/>
      <c r="AQ776" s="85"/>
      <c r="AR776" s="86"/>
      <c r="AS776" s="87"/>
      <c r="AV776" s="85"/>
      <c r="AW776" s="93"/>
      <c r="AX776" s="94"/>
      <c r="AY776" s="90"/>
      <c r="BB776" s="91"/>
    </row>
    <row r="777" spans="1:58" ht="15" customHeight="1">
      <c r="A777" s="33" t="s">
        <v>7051</v>
      </c>
      <c r="B777" s="33" t="s">
        <v>7055</v>
      </c>
      <c r="C777" s="33" t="s">
        <v>7188</v>
      </c>
      <c r="D777" s="34">
        <v>150</v>
      </c>
      <c r="E777" s="33">
        <v>2</v>
      </c>
      <c r="G777" s="33" t="s">
        <v>6951</v>
      </c>
      <c r="J777" s="33" t="s">
        <v>27</v>
      </c>
      <c r="K777" s="33" t="s">
        <v>4053</v>
      </c>
      <c r="L777" s="33">
        <v>1</v>
      </c>
      <c r="N777" s="72">
        <v>0</v>
      </c>
      <c r="O777" s="73">
        <v>1</v>
      </c>
      <c r="AB777" s="33" t="s">
        <v>4058</v>
      </c>
      <c r="AD777" s="33" t="s">
        <v>4194</v>
      </c>
      <c r="AF777" s="33" t="s">
        <v>6952</v>
      </c>
      <c r="AP777" s="83"/>
      <c r="AQ777" s="85"/>
      <c r="AR777" s="86"/>
      <c r="AS777" s="87"/>
      <c r="AV777" s="85"/>
      <c r="AW777" s="93"/>
      <c r="AX777" s="94"/>
      <c r="AY777" s="90"/>
      <c r="BB777" s="91"/>
    </row>
    <row r="778" spans="1:58" ht="15" customHeight="1">
      <c r="A778" s="33" t="s">
        <v>7051</v>
      </c>
      <c r="B778" s="33" t="s">
        <v>7056</v>
      </c>
      <c r="C778" s="33" t="s">
        <v>7188</v>
      </c>
      <c r="D778" s="34">
        <v>151</v>
      </c>
      <c r="E778" s="33">
        <v>2</v>
      </c>
      <c r="G778" s="33" t="s">
        <v>6953</v>
      </c>
      <c r="H778" s="33" t="s">
        <v>6954</v>
      </c>
      <c r="I778" s="33" t="s">
        <v>4077</v>
      </c>
      <c r="J778" s="33" t="s">
        <v>4111</v>
      </c>
      <c r="K778" s="33" t="s">
        <v>4055</v>
      </c>
      <c r="L778" s="33">
        <v>0</v>
      </c>
      <c r="N778" s="72">
        <v>4</v>
      </c>
      <c r="P778" s="74">
        <v>1</v>
      </c>
      <c r="T778" s="78">
        <v>2</v>
      </c>
      <c r="U778" s="73">
        <v>2</v>
      </c>
      <c r="AB778" s="33" t="s">
        <v>4059</v>
      </c>
      <c r="AC778" s="33" t="s">
        <v>25</v>
      </c>
      <c r="AD778" s="33" t="s">
        <v>6820</v>
      </c>
      <c r="AF778" s="33" t="s">
        <v>6955</v>
      </c>
      <c r="AP778" s="83"/>
      <c r="AQ778" s="85"/>
      <c r="AR778" s="86"/>
      <c r="AS778" s="87"/>
      <c r="AV778" s="85"/>
      <c r="AW778" s="93"/>
      <c r="AX778" s="94"/>
      <c r="AY778" s="90"/>
      <c r="BB778" s="91"/>
    </row>
    <row r="779" spans="1:58" ht="15" customHeight="1">
      <c r="A779" s="33" t="s">
        <v>7051</v>
      </c>
      <c r="B779" s="33" t="s">
        <v>7057</v>
      </c>
      <c r="C779" s="33" t="s">
        <v>7188</v>
      </c>
      <c r="D779" s="34">
        <v>152</v>
      </c>
      <c r="E779" s="33">
        <v>2</v>
      </c>
      <c r="G779" s="33" t="s">
        <v>4223</v>
      </c>
      <c r="J779" s="33" t="s">
        <v>27</v>
      </c>
      <c r="K779" s="33" t="s">
        <v>4055</v>
      </c>
      <c r="L779" s="33">
        <v>2</v>
      </c>
      <c r="N779" s="72">
        <v>2</v>
      </c>
      <c r="P779" s="74">
        <v>1</v>
      </c>
      <c r="Q779" s="75">
        <v>2</v>
      </c>
      <c r="AB779" s="33" t="s">
        <v>6039</v>
      </c>
      <c r="AD779" s="33" t="s">
        <v>4161</v>
      </c>
      <c r="AF779" s="33" t="s">
        <v>6956</v>
      </c>
      <c r="AP779" s="83"/>
      <c r="AQ779" s="85"/>
      <c r="AR779" s="86"/>
      <c r="AS779" s="87"/>
      <c r="AV779" s="85"/>
      <c r="AW779" s="93"/>
      <c r="AX779" s="94"/>
      <c r="AY779" s="90"/>
      <c r="BB779" s="91"/>
    </row>
    <row r="780" spans="1:58" ht="15" customHeight="1">
      <c r="A780" s="33" t="s">
        <v>7051</v>
      </c>
      <c r="B780" s="33" t="s">
        <v>7058</v>
      </c>
      <c r="C780" s="33" t="s">
        <v>7188</v>
      </c>
      <c r="D780" s="34">
        <v>153</v>
      </c>
      <c r="E780" s="33">
        <v>2</v>
      </c>
      <c r="G780" s="33" t="s">
        <v>6957</v>
      </c>
      <c r="J780" s="33" t="s">
        <v>27</v>
      </c>
      <c r="K780" s="33" t="s">
        <v>4054</v>
      </c>
      <c r="L780" s="33">
        <v>0</v>
      </c>
      <c r="N780" s="72">
        <v>3</v>
      </c>
      <c r="O780" s="73">
        <v>1</v>
      </c>
      <c r="Q780" s="75">
        <v>1</v>
      </c>
      <c r="AB780" s="33" t="s">
        <v>6033</v>
      </c>
      <c r="AD780" s="33" t="s">
        <v>4133</v>
      </c>
      <c r="AF780" s="33" t="s">
        <v>6958</v>
      </c>
      <c r="AP780" s="83"/>
      <c r="AQ780" s="85"/>
      <c r="AR780" s="86"/>
      <c r="AS780" s="87"/>
      <c r="AV780" s="85"/>
      <c r="AW780" s="93"/>
      <c r="AX780" s="94"/>
      <c r="AY780" s="90"/>
      <c r="BB780" s="91"/>
    </row>
    <row r="781" spans="1:58" ht="15" customHeight="1">
      <c r="A781" s="33" t="s">
        <v>7051</v>
      </c>
      <c r="B781" s="33" t="s">
        <v>7059</v>
      </c>
      <c r="C781" s="33" t="s">
        <v>7188</v>
      </c>
      <c r="D781" s="34">
        <v>154</v>
      </c>
      <c r="E781" s="33">
        <v>2</v>
      </c>
      <c r="G781" s="33" t="s">
        <v>4538</v>
      </c>
      <c r="J781" s="33" t="s">
        <v>4111</v>
      </c>
      <c r="K781" s="33" t="s">
        <v>4054</v>
      </c>
      <c r="L781" s="33">
        <v>1</v>
      </c>
      <c r="N781" s="72">
        <v>3</v>
      </c>
      <c r="P781" s="74">
        <v>1</v>
      </c>
      <c r="AB781" s="33" t="s">
        <v>4059</v>
      </c>
      <c r="AC781" s="33" t="s">
        <v>4112</v>
      </c>
      <c r="AD781" s="33" t="s">
        <v>4123</v>
      </c>
      <c r="AF781" s="33" t="s">
        <v>6959</v>
      </c>
      <c r="AP781" s="83"/>
      <c r="AQ781" s="85"/>
      <c r="AR781" s="86"/>
      <c r="AS781" s="87"/>
      <c r="AV781" s="85"/>
      <c r="AW781" s="93"/>
      <c r="AX781" s="94"/>
      <c r="AY781" s="90"/>
      <c r="BB781" s="91"/>
    </row>
    <row r="782" spans="1:58" ht="15" customHeight="1">
      <c r="A782" s="33" t="s">
        <v>7051</v>
      </c>
      <c r="B782" s="33" t="s">
        <v>7060</v>
      </c>
      <c r="C782" s="33" t="s">
        <v>7188</v>
      </c>
      <c r="D782" s="34">
        <v>155</v>
      </c>
      <c r="E782" s="33">
        <v>2</v>
      </c>
      <c r="G782" s="33" t="s">
        <v>6960</v>
      </c>
      <c r="J782" s="33" t="s">
        <v>27</v>
      </c>
      <c r="K782" s="33" t="s">
        <v>4056</v>
      </c>
      <c r="L782" s="33">
        <v>0</v>
      </c>
      <c r="N782" s="72">
        <v>1</v>
      </c>
      <c r="AD782" s="33" t="s">
        <v>5659</v>
      </c>
      <c r="AF782" s="33" t="s">
        <v>6961</v>
      </c>
      <c r="AP782" s="83"/>
      <c r="AQ782" s="85"/>
      <c r="AR782" s="86"/>
      <c r="AS782" s="87"/>
      <c r="AV782" s="85"/>
      <c r="AW782" s="93"/>
      <c r="AX782" s="94"/>
      <c r="AY782" s="90"/>
      <c r="BB782" s="91"/>
    </row>
    <row r="783" spans="1:58" ht="15" customHeight="1">
      <c r="A783" s="33" t="s">
        <v>7051</v>
      </c>
      <c r="B783" s="33" t="s">
        <v>7061</v>
      </c>
      <c r="C783" s="33" t="s">
        <v>7188</v>
      </c>
      <c r="D783" s="34">
        <v>156</v>
      </c>
      <c r="E783" s="33">
        <v>2</v>
      </c>
      <c r="G783" s="33" t="s">
        <v>6962</v>
      </c>
      <c r="J783" s="33" t="s">
        <v>27</v>
      </c>
      <c r="K783" s="33" t="s">
        <v>4056</v>
      </c>
      <c r="L783" s="33">
        <v>1</v>
      </c>
      <c r="N783" s="72">
        <v>1</v>
      </c>
      <c r="O783" s="73">
        <v>1</v>
      </c>
      <c r="AB783" s="33" t="s">
        <v>4058</v>
      </c>
      <c r="AD783" s="33" t="s">
        <v>5659</v>
      </c>
      <c r="AF783" s="33" t="s">
        <v>6963</v>
      </c>
      <c r="AP783" s="83"/>
      <c r="AQ783" s="85"/>
      <c r="AR783" s="86"/>
      <c r="AS783" s="87"/>
      <c r="AV783" s="85"/>
      <c r="AW783" s="93"/>
      <c r="AX783" s="94"/>
      <c r="AY783" s="90"/>
      <c r="BB783" s="91"/>
    </row>
    <row r="784" spans="1:58" ht="15" customHeight="1">
      <c r="A784" s="33" t="s">
        <v>7051</v>
      </c>
      <c r="B784" s="33" t="s">
        <v>7062</v>
      </c>
      <c r="C784" s="33" t="s">
        <v>7188</v>
      </c>
      <c r="D784" s="34">
        <v>157</v>
      </c>
      <c r="E784" s="33">
        <v>2</v>
      </c>
      <c r="G784" s="33" t="s">
        <v>6964</v>
      </c>
      <c r="J784" s="33" t="s">
        <v>27</v>
      </c>
      <c r="K784" s="33" t="s">
        <v>4056</v>
      </c>
      <c r="L784" s="33">
        <v>1</v>
      </c>
      <c r="N784" s="72">
        <v>1</v>
      </c>
      <c r="R784" s="76">
        <v>1</v>
      </c>
      <c r="AB784" s="33" t="s">
        <v>4061</v>
      </c>
      <c r="AD784" s="33" t="s">
        <v>4226</v>
      </c>
      <c r="AF784" s="33" t="s">
        <v>6965</v>
      </c>
      <c r="AP784" s="83"/>
      <c r="AQ784" s="85"/>
      <c r="AR784" s="86"/>
      <c r="AS784" s="87"/>
      <c r="AV784" s="85"/>
      <c r="AW784" s="93"/>
      <c r="AX784" s="94"/>
      <c r="AY784" s="90"/>
      <c r="BB784" s="91"/>
    </row>
    <row r="785" spans="1:59" ht="15" customHeight="1">
      <c r="A785" s="33" t="s">
        <v>7051</v>
      </c>
      <c r="B785" s="33" t="s">
        <v>7063</v>
      </c>
      <c r="C785" s="33" t="s">
        <v>7188</v>
      </c>
      <c r="D785" s="34">
        <v>158</v>
      </c>
      <c r="E785" s="33">
        <v>2</v>
      </c>
      <c r="G785" s="33" t="s">
        <v>6966</v>
      </c>
      <c r="J785" s="33" t="s">
        <v>27</v>
      </c>
      <c r="K785" s="33" t="s">
        <v>26</v>
      </c>
      <c r="L785" s="33">
        <v>0</v>
      </c>
      <c r="N785" s="72">
        <v>1</v>
      </c>
      <c r="P785" s="74">
        <v>1</v>
      </c>
      <c r="R785" s="76">
        <v>1</v>
      </c>
      <c r="AB785" s="33" t="s">
        <v>6169</v>
      </c>
      <c r="AD785" s="33" t="s">
        <v>6967</v>
      </c>
      <c r="AF785" s="33" t="s">
        <v>6968</v>
      </c>
      <c r="AP785" s="83"/>
      <c r="AQ785" s="85"/>
      <c r="AR785" s="86"/>
      <c r="AS785" s="87"/>
      <c r="AV785" s="85"/>
      <c r="AW785" s="93"/>
      <c r="AX785" s="94"/>
      <c r="AY785" s="90"/>
      <c r="BB785" s="91"/>
    </row>
    <row r="786" spans="1:59" ht="15" customHeight="1">
      <c r="A786" s="33" t="s">
        <v>7051</v>
      </c>
      <c r="B786" s="33" t="s">
        <v>7064</v>
      </c>
      <c r="C786" s="33" t="s">
        <v>7188</v>
      </c>
      <c r="D786" s="34">
        <v>159</v>
      </c>
      <c r="E786" s="33">
        <v>1</v>
      </c>
      <c r="F786" s="33" t="s">
        <v>6969</v>
      </c>
      <c r="G786" s="33" t="s">
        <v>6969</v>
      </c>
      <c r="J786" s="33" t="s">
        <v>4472</v>
      </c>
      <c r="AF786" s="33" t="s">
        <v>6970</v>
      </c>
      <c r="AI786" s="33" t="s">
        <v>6969</v>
      </c>
      <c r="AL786" s="33" t="s">
        <v>4472</v>
      </c>
      <c r="AP786" s="83"/>
      <c r="AQ786" s="85"/>
      <c r="AR786" s="86"/>
      <c r="AS786" s="87"/>
      <c r="AV786" s="85"/>
      <c r="AW786" s="93"/>
      <c r="AX786" s="94"/>
      <c r="AY786" s="90"/>
      <c r="BB786" s="91"/>
      <c r="BG786" s="33" t="s">
        <v>6971</v>
      </c>
    </row>
    <row r="787" spans="1:59" ht="15" customHeight="1">
      <c r="A787" s="33" t="s">
        <v>7051</v>
      </c>
      <c r="B787" s="33" t="s">
        <v>7065</v>
      </c>
      <c r="C787" s="33" t="s">
        <v>7188</v>
      </c>
      <c r="D787" s="34">
        <v>160</v>
      </c>
      <c r="E787" s="33">
        <v>1</v>
      </c>
      <c r="F787" s="33" t="s">
        <v>6969</v>
      </c>
      <c r="G787" s="33" t="s">
        <v>6972</v>
      </c>
      <c r="J787" s="33" t="s">
        <v>4473</v>
      </c>
      <c r="L787" s="33">
        <v>1</v>
      </c>
      <c r="Z787" s="78">
        <v>2</v>
      </c>
      <c r="AI787" s="33" t="s">
        <v>6973</v>
      </c>
      <c r="AL787" s="33" t="s">
        <v>4473</v>
      </c>
      <c r="AN787" s="33">
        <v>1</v>
      </c>
      <c r="AP787" s="83"/>
      <c r="AQ787" s="85"/>
      <c r="AR787" s="86"/>
      <c r="AS787" s="87"/>
      <c r="AV787" s="85"/>
      <c r="AW787" s="93"/>
      <c r="AX787" s="94"/>
      <c r="AY787" s="90"/>
      <c r="BB787" s="91"/>
      <c r="BG787" s="33" t="s">
        <v>6974</v>
      </c>
    </row>
    <row r="788" spans="1:59" ht="15" customHeight="1">
      <c r="A788" s="33" t="s">
        <v>7051</v>
      </c>
      <c r="B788" s="33" t="s">
        <v>7066</v>
      </c>
      <c r="C788" s="33" t="s">
        <v>7188</v>
      </c>
      <c r="D788" s="34">
        <v>161</v>
      </c>
      <c r="E788" s="33">
        <v>1</v>
      </c>
      <c r="F788" s="33" t="s">
        <v>6969</v>
      </c>
      <c r="G788" s="33" t="s">
        <v>6975</v>
      </c>
      <c r="J788" s="33" t="s">
        <v>4473</v>
      </c>
      <c r="L788" s="33">
        <v>2</v>
      </c>
      <c r="Z788" s="78">
        <v>7</v>
      </c>
      <c r="AI788" s="33" t="s">
        <v>4694</v>
      </c>
      <c r="AL788" s="33" t="s">
        <v>4473</v>
      </c>
      <c r="AN788" s="33">
        <v>2</v>
      </c>
      <c r="AP788" s="83"/>
      <c r="AQ788" s="85"/>
      <c r="AR788" s="86"/>
      <c r="AS788" s="87"/>
      <c r="AV788" s="85"/>
      <c r="AW788" s="93"/>
      <c r="AX788" s="94"/>
      <c r="AY788" s="90"/>
      <c r="BB788" s="91"/>
      <c r="BG788" s="33" t="s">
        <v>6976</v>
      </c>
    </row>
    <row r="789" spans="1:59" ht="15" customHeight="1">
      <c r="A789" s="33" t="s">
        <v>7051</v>
      </c>
      <c r="B789" s="33" t="s">
        <v>7067</v>
      </c>
      <c r="C789" s="33" t="s">
        <v>7188</v>
      </c>
      <c r="D789" s="34">
        <v>162</v>
      </c>
      <c r="E789" s="33">
        <v>1</v>
      </c>
      <c r="F789" s="33" t="s">
        <v>6969</v>
      </c>
      <c r="G789" s="33" t="s">
        <v>6977</v>
      </c>
      <c r="J789" s="33" t="s">
        <v>4473</v>
      </c>
      <c r="L789" s="33">
        <v>3</v>
      </c>
      <c r="Z789" s="78">
        <v>8</v>
      </c>
      <c r="AF789" s="33" t="s">
        <v>6978</v>
      </c>
      <c r="AI789" s="33" t="s">
        <v>6979</v>
      </c>
      <c r="AL789" s="33" t="s">
        <v>4473</v>
      </c>
      <c r="AN789" s="33">
        <v>3</v>
      </c>
      <c r="AP789" s="83"/>
      <c r="AQ789" s="85"/>
      <c r="AR789" s="86"/>
      <c r="AS789" s="87"/>
      <c r="AV789" s="85"/>
      <c r="AW789" s="93"/>
      <c r="AX789" s="94"/>
      <c r="AY789" s="90"/>
      <c r="BB789" s="91"/>
      <c r="BG789" s="33" t="s">
        <v>6980</v>
      </c>
    </row>
    <row r="790" spans="1:59" ht="15" customHeight="1">
      <c r="A790" s="33" t="s">
        <v>7051</v>
      </c>
      <c r="B790" s="33" t="s">
        <v>7068</v>
      </c>
      <c r="C790" s="33" t="s">
        <v>7188</v>
      </c>
      <c r="D790" s="34">
        <v>163</v>
      </c>
      <c r="E790" s="33">
        <v>1</v>
      </c>
      <c r="F790" s="33" t="s">
        <v>6969</v>
      </c>
      <c r="G790" s="33" t="s">
        <v>4606</v>
      </c>
      <c r="J790" s="33" t="s">
        <v>4475</v>
      </c>
      <c r="L790" s="33">
        <v>1</v>
      </c>
      <c r="Y790" s="76" t="s">
        <v>5550</v>
      </c>
      <c r="AI790" s="33" t="s">
        <v>6981</v>
      </c>
      <c r="AL790" s="33" t="s">
        <v>4475</v>
      </c>
      <c r="AN790" s="33">
        <v>1</v>
      </c>
      <c r="AP790" s="83"/>
      <c r="AQ790" s="85"/>
      <c r="AR790" s="86"/>
      <c r="AS790" s="87"/>
      <c r="AV790" s="85"/>
      <c r="AW790" s="93"/>
      <c r="AX790" s="94"/>
      <c r="AY790" s="90"/>
      <c r="BB790" s="91"/>
      <c r="BG790" s="33" t="s">
        <v>6982</v>
      </c>
    </row>
    <row r="791" spans="1:59" ht="15" customHeight="1">
      <c r="A791" s="33" t="s">
        <v>7051</v>
      </c>
      <c r="B791" s="33" t="s">
        <v>7069</v>
      </c>
      <c r="C791" s="33" t="s">
        <v>7188</v>
      </c>
      <c r="D791" s="34">
        <v>164</v>
      </c>
      <c r="E791" s="33">
        <v>1</v>
      </c>
      <c r="F791" s="33" t="s">
        <v>6969</v>
      </c>
      <c r="G791" s="33" t="s">
        <v>6983</v>
      </c>
      <c r="J791" s="33" t="s">
        <v>4475</v>
      </c>
      <c r="L791" s="33">
        <v>2</v>
      </c>
      <c r="Y791" s="76" t="s">
        <v>38</v>
      </c>
      <c r="AF791" s="33" t="s">
        <v>6984</v>
      </c>
      <c r="AI791" s="33" t="s">
        <v>6985</v>
      </c>
      <c r="AL791" s="33" t="s">
        <v>4475</v>
      </c>
      <c r="AN791" s="33">
        <v>2</v>
      </c>
      <c r="AP791" s="83"/>
      <c r="AQ791" s="85"/>
      <c r="AR791" s="86"/>
      <c r="AS791" s="87"/>
      <c r="AV791" s="85"/>
      <c r="AW791" s="93"/>
      <c r="AX791" s="94"/>
      <c r="AY791" s="90"/>
      <c r="BB791" s="91"/>
      <c r="BG791" s="33" t="s">
        <v>6986</v>
      </c>
    </row>
    <row r="792" spans="1:59" ht="15" customHeight="1">
      <c r="A792" s="33" t="s">
        <v>7051</v>
      </c>
      <c r="B792" s="33" t="s">
        <v>7070</v>
      </c>
      <c r="C792" s="33" t="s">
        <v>7188</v>
      </c>
      <c r="D792" s="34">
        <v>165</v>
      </c>
      <c r="E792" s="33">
        <v>1</v>
      </c>
      <c r="F792" s="33" t="s">
        <v>6969</v>
      </c>
      <c r="G792" s="33" t="s">
        <v>6987</v>
      </c>
      <c r="J792" s="33" t="s">
        <v>4475</v>
      </c>
      <c r="L792" s="33">
        <v>2</v>
      </c>
      <c r="Y792" s="76" t="s">
        <v>38</v>
      </c>
      <c r="AF792" s="33" t="s">
        <v>6984</v>
      </c>
      <c r="AI792" s="33" t="s">
        <v>6988</v>
      </c>
      <c r="AL792" s="33" t="s">
        <v>4475</v>
      </c>
      <c r="AN792" s="33">
        <v>2</v>
      </c>
      <c r="AP792" s="83"/>
      <c r="AQ792" s="85"/>
      <c r="AR792" s="86"/>
      <c r="AS792" s="87"/>
      <c r="AV792" s="85"/>
      <c r="AW792" s="93"/>
      <c r="AX792" s="94"/>
      <c r="AY792" s="90"/>
      <c r="BB792" s="91"/>
      <c r="BG792" s="33" t="s">
        <v>6989</v>
      </c>
    </row>
    <row r="793" spans="1:59" ht="15" customHeight="1">
      <c r="A793" s="33" t="s">
        <v>7051</v>
      </c>
      <c r="B793" s="33" t="s">
        <v>7071</v>
      </c>
      <c r="C793" s="33" t="s">
        <v>7188</v>
      </c>
      <c r="D793" s="34">
        <v>166</v>
      </c>
      <c r="E793" s="33">
        <v>1</v>
      </c>
      <c r="F793" s="33" t="s">
        <v>6969</v>
      </c>
      <c r="G793" s="33" t="s">
        <v>6990</v>
      </c>
      <c r="J793" s="33" t="s">
        <v>4475</v>
      </c>
      <c r="L793" s="33">
        <v>3</v>
      </c>
      <c r="Y793" s="76" t="s">
        <v>38</v>
      </c>
      <c r="AF793" s="33" t="s">
        <v>6991</v>
      </c>
      <c r="AI793" s="33" t="s">
        <v>6992</v>
      </c>
      <c r="AL793" s="33" t="s">
        <v>4475</v>
      </c>
      <c r="AN793" s="33">
        <v>3</v>
      </c>
      <c r="AP793" s="83"/>
      <c r="AQ793" s="85"/>
      <c r="AR793" s="86"/>
      <c r="AS793" s="87"/>
      <c r="AV793" s="85"/>
      <c r="AW793" s="93"/>
      <c r="AX793" s="94"/>
      <c r="AY793" s="90"/>
      <c r="BB793" s="91"/>
      <c r="BG793" s="33" t="s">
        <v>6993</v>
      </c>
    </row>
    <row r="794" spans="1:59" ht="15" customHeight="1">
      <c r="A794" s="33" t="s">
        <v>7051</v>
      </c>
      <c r="B794" s="33" t="s">
        <v>7072</v>
      </c>
      <c r="C794" s="33" t="s">
        <v>7188</v>
      </c>
      <c r="D794" s="34">
        <v>167</v>
      </c>
      <c r="E794" s="33">
        <v>1</v>
      </c>
      <c r="F794" s="33" t="s">
        <v>6969</v>
      </c>
      <c r="G794" s="33" t="s">
        <v>6994</v>
      </c>
      <c r="J794" s="33" t="s">
        <v>4475</v>
      </c>
      <c r="L794" s="33">
        <v>4</v>
      </c>
      <c r="Y794" s="76" t="s">
        <v>38</v>
      </c>
      <c r="AF794" s="33" t="s">
        <v>6995</v>
      </c>
      <c r="AI794" s="33" t="s">
        <v>6996</v>
      </c>
      <c r="AL794" s="33" t="s">
        <v>4475</v>
      </c>
      <c r="AN794" s="33">
        <v>4</v>
      </c>
      <c r="AP794" s="83"/>
      <c r="AQ794" s="85"/>
      <c r="AR794" s="86"/>
      <c r="AS794" s="87"/>
      <c r="AV794" s="85"/>
      <c r="AW794" s="93"/>
      <c r="AX794" s="94"/>
      <c r="AY794" s="90"/>
      <c r="BB794" s="91"/>
      <c r="BG794" s="33" t="s">
        <v>6997</v>
      </c>
    </row>
    <row r="795" spans="1:59" ht="15" customHeight="1">
      <c r="A795" s="33" t="s">
        <v>7051</v>
      </c>
      <c r="B795" s="33" t="s">
        <v>7073</v>
      </c>
      <c r="C795" s="33" t="s">
        <v>7188</v>
      </c>
      <c r="D795" s="34">
        <v>168</v>
      </c>
      <c r="E795" s="33">
        <v>1</v>
      </c>
      <c r="F795" s="33" t="s">
        <v>6969</v>
      </c>
      <c r="G795" s="33" t="s">
        <v>6998</v>
      </c>
      <c r="H795" s="33" t="s">
        <v>6999</v>
      </c>
      <c r="J795" s="33" t="s">
        <v>31</v>
      </c>
      <c r="AD795" s="33" t="s">
        <v>7000</v>
      </c>
      <c r="AI795" s="33" t="s">
        <v>6998</v>
      </c>
      <c r="AJ795" s="33" t="s">
        <v>6999</v>
      </c>
      <c r="AL795" s="33" t="s">
        <v>31</v>
      </c>
      <c r="AP795" s="83"/>
      <c r="AQ795" s="85"/>
      <c r="AR795" s="86"/>
      <c r="AS795" s="87"/>
      <c r="AV795" s="85"/>
      <c r="AW795" s="93"/>
      <c r="AX795" s="94"/>
      <c r="AY795" s="90">
        <v>2</v>
      </c>
      <c r="AZ795" s="76">
        <v>0</v>
      </c>
      <c r="BB795" s="91"/>
      <c r="BE795" s="33" t="s">
        <v>7000</v>
      </c>
      <c r="BG795" s="33" t="s">
        <v>7001</v>
      </c>
    </row>
    <row r="796" spans="1:59" ht="15" customHeight="1">
      <c r="A796" s="33" t="s">
        <v>7051</v>
      </c>
      <c r="B796" s="33" t="s">
        <v>7074</v>
      </c>
      <c r="C796" s="33" t="s">
        <v>7188</v>
      </c>
      <c r="D796" s="34">
        <v>169</v>
      </c>
      <c r="E796" s="33">
        <v>1</v>
      </c>
      <c r="F796" s="33" t="s">
        <v>6969</v>
      </c>
      <c r="G796" s="33" t="s">
        <v>6998</v>
      </c>
      <c r="H796" s="33" t="s">
        <v>6999</v>
      </c>
      <c r="J796" s="33" t="s">
        <v>31</v>
      </c>
      <c r="AD796" s="33" t="s">
        <v>7000</v>
      </c>
      <c r="AI796" s="33" t="s">
        <v>6998</v>
      </c>
      <c r="AJ796" s="33" t="s">
        <v>6999</v>
      </c>
      <c r="AL796" s="33" t="s">
        <v>31</v>
      </c>
      <c r="AP796" s="83"/>
      <c r="AQ796" s="85"/>
      <c r="AR796" s="86"/>
      <c r="AS796" s="87"/>
      <c r="AV796" s="85"/>
      <c r="AW796" s="93"/>
      <c r="AX796" s="94"/>
      <c r="AY796" s="90">
        <v>3</v>
      </c>
      <c r="AZ796" s="76" t="s">
        <v>4925</v>
      </c>
      <c r="BB796" s="91"/>
      <c r="BE796" s="33" t="s">
        <v>7000</v>
      </c>
      <c r="BG796" s="33" t="s">
        <v>7002</v>
      </c>
    </row>
    <row r="797" spans="1:59" ht="15" customHeight="1">
      <c r="A797" s="33" t="s">
        <v>7051</v>
      </c>
      <c r="B797" s="33" t="s">
        <v>7075</v>
      </c>
      <c r="C797" s="33" t="s">
        <v>7188</v>
      </c>
      <c r="D797" s="34">
        <v>170</v>
      </c>
      <c r="E797" s="33">
        <v>1</v>
      </c>
      <c r="F797" s="33" t="s">
        <v>6969</v>
      </c>
      <c r="G797" s="33" t="s">
        <v>6998</v>
      </c>
      <c r="H797" s="33" t="s">
        <v>7003</v>
      </c>
      <c r="J797" s="33" t="s">
        <v>31</v>
      </c>
      <c r="AD797" s="33" t="s">
        <v>7000</v>
      </c>
      <c r="AI797" s="33" t="s">
        <v>6998</v>
      </c>
      <c r="AJ797" s="33" t="s">
        <v>7003</v>
      </c>
      <c r="AL797" s="33" t="s">
        <v>31</v>
      </c>
      <c r="AP797" s="83"/>
      <c r="AQ797" s="85"/>
      <c r="AR797" s="86"/>
      <c r="AS797" s="87"/>
      <c r="AV797" s="85"/>
      <c r="AW797" s="93"/>
      <c r="AX797" s="94"/>
      <c r="AY797" s="90">
        <v>3</v>
      </c>
      <c r="AZ797" s="76">
        <v>0</v>
      </c>
      <c r="BB797" s="91"/>
      <c r="BE797" s="33" t="s">
        <v>7000</v>
      </c>
      <c r="BG797" s="33" t="s">
        <v>7004</v>
      </c>
    </row>
    <row r="798" spans="1:59" ht="15" customHeight="1">
      <c r="A798" s="33" t="s">
        <v>7051</v>
      </c>
      <c r="B798" s="33" t="s">
        <v>7076</v>
      </c>
      <c r="C798" s="33" t="s">
        <v>7188</v>
      </c>
      <c r="D798" s="34">
        <v>171</v>
      </c>
      <c r="E798" s="33">
        <v>1</v>
      </c>
      <c r="F798" s="33" t="s">
        <v>6969</v>
      </c>
      <c r="G798" s="33" t="s">
        <v>6998</v>
      </c>
      <c r="H798" s="33" t="s">
        <v>7003</v>
      </c>
      <c r="J798" s="33" t="s">
        <v>31</v>
      </c>
      <c r="AD798" s="33" t="s">
        <v>7000</v>
      </c>
      <c r="AI798" s="33" t="s">
        <v>6998</v>
      </c>
      <c r="AJ798" s="33" t="s">
        <v>7003</v>
      </c>
      <c r="AL798" s="33" t="s">
        <v>31</v>
      </c>
      <c r="AP798" s="83"/>
      <c r="AQ798" s="85"/>
      <c r="AR798" s="86"/>
      <c r="AS798" s="87"/>
      <c r="AV798" s="85"/>
      <c r="AW798" s="93"/>
      <c r="AX798" s="94"/>
      <c r="AY798" s="90">
        <v>2</v>
      </c>
      <c r="AZ798" s="76" t="s">
        <v>4925</v>
      </c>
      <c r="BB798" s="91"/>
      <c r="BE798" s="33" t="s">
        <v>7000</v>
      </c>
      <c r="BG798" s="33" t="s">
        <v>7005</v>
      </c>
    </row>
    <row r="799" spans="1:59" ht="15" customHeight="1">
      <c r="A799" s="33" t="s">
        <v>7051</v>
      </c>
      <c r="B799" s="33" t="s">
        <v>7077</v>
      </c>
      <c r="C799" s="33" t="s">
        <v>7188</v>
      </c>
      <c r="D799" s="34">
        <v>172</v>
      </c>
      <c r="E799" s="33">
        <v>1</v>
      </c>
      <c r="F799" s="33" t="s">
        <v>6969</v>
      </c>
      <c r="G799" s="33" t="s">
        <v>7006</v>
      </c>
      <c r="J799" s="33" t="s">
        <v>31</v>
      </c>
      <c r="AD799" s="33" t="s">
        <v>7000</v>
      </c>
      <c r="AF799" s="33" t="s">
        <v>7007</v>
      </c>
      <c r="AI799" s="33" t="s">
        <v>7006</v>
      </c>
      <c r="AL799" s="33" t="s">
        <v>31</v>
      </c>
      <c r="AP799" s="83"/>
      <c r="AQ799" s="85"/>
      <c r="AR799" s="86"/>
      <c r="AS799" s="87"/>
      <c r="AV799" s="85"/>
      <c r="AW799" s="93"/>
      <c r="AX799" s="94"/>
      <c r="AY799" s="90">
        <v>2</v>
      </c>
      <c r="AZ799" s="76" t="s">
        <v>4925</v>
      </c>
      <c r="BB799" s="91"/>
      <c r="BE799" s="33" t="s">
        <v>7000</v>
      </c>
      <c r="BG799" s="33" t="s">
        <v>7008</v>
      </c>
    </row>
    <row r="800" spans="1:59" ht="15" customHeight="1">
      <c r="A800" s="33" t="s">
        <v>7051</v>
      </c>
      <c r="B800" s="33" t="s">
        <v>7078</v>
      </c>
      <c r="C800" s="33" t="s">
        <v>7188</v>
      </c>
      <c r="D800" s="34">
        <v>173</v>
      </c>
      <c r="E800" s="33">
        <v>1</v>
      </c>
      <c r="F800" s="33" t="s">
        <v>6969</v>
      </c>
      <c r="G800" s="33" t="s">
        <v>7009</v>
      </c>
      <c r="J800" s="33" t="s">
        <v>31</v>
      </c>
      <c r="AD800" s="33" t="s">
        <v>7000</v>
      </c>
      <c r="AI800" s="33" t="s">
        <v>7009</v>
      </c>
      <c r="AL800" s="33" t="s">
        <v>31</v>
      </c>
      <c r="AP800" s="83"/>
      <c r="AQ800" s="85"/>
      <c r="AR800" s="86"/>
      <c r="AS800" s="87"/>
      <c r="AV800" s="85"/>
      <c r="AW800" s="93"/>
      <c r="AX800" s="94"/>
      <c r="AY800" s="90">
        <v>2</v>
      </c>
      <c r="AZ800" s="76" t="s">
        <v>5551</v>
      </c>
      <c r="BB800" s="91">
        <v>1</v>
      </c>
      <c r="BE800" s="33" t="s">
        <v>7000</v>
      </c>
      <c r="BG800" s="33" t="s">
        <v>7010</v>
      </c>
    </row>
    <row r="801" spans="1:59" ht="15" customHeight="1">
      <c r="A801" s="33" t="s">
        <v>7051</v>
      </c>
      <c r="B801" s="33" t="s">
        <v>7079</v>
      </c>
      <c r="C801" s="33" t="s">
        <v>7188</v>
      </c>
      <c r="D801" s="34">
        <v>174</v>
      </c>
      <c r="E801" s="33">
        <v>1</v>
      </c>
      <c r="F801" s="33" t="s">
        <v>6969</v>
      </c>
      <c r="G801" s="33" t="s">
        <v>7011</v>
      </c>
      <c r="J801" s="33" t="s">
        <v>31</v>
      </c>
      <c r="AD801" s="33" t="s">
        <v>7000</v>
      </c>
      <c r="AI801" s="33" t="s">
        <v>7011</v>
      </c>
      <c r="AL801" s="33" t="s">
        <v>31</v>
      </c>
      <c r="AP801" s="83"/>
      <c r="AQ801" s="85"/>
      <c r="AR801" s="86"/>
      <c r="AS801" s="87"/>
      <c r="AV801" s="85"/>
      <c r="AW801" s="93"/>
      <c r="AX801" s="94"/>
      <c r="AY801" s="90">
        <v>3</v>
      </c>
      <c r="AZ801" s="76" t="s">
        <v>4925</v>
      </c>
      <c r="BB801" s="91">
        <v>1</v>
      </c>
      <c r="BE801" s="33" t="s">
        <v>7000</v>
      </c>
      <c r="BG801" s="33" t="s">
        <v>7012</v>
      </c>
    </row>
    <row r="802" spans="1:59" ht="15" customHeight="1">
      <c r="A802" s="33" t="s">
        <v>7051</v>
      </c>
      <c r="B802" s="33" t="s">
        <v>7080</v>
      </c>
      <c r="C802" s="33" t="s">
        <v>7188</v>
      </c>
      <c r="D802" s="34">
        <v>175</v>
      </c>
      <c r="E802" s="33">
        <v>1</v>
      </c>
      <c r="F802" s="33" t="s">
        <v>6969</v>
      </c>
      <c r="G802" s="33" t="s">
        <v>7013</v>
      </c>
      <c r="J802" s="33" t="s">
        <v>31</v>
      </c>
      <c r="AD802" s="33" t="s">
        <v>7000</v>
      </c>
      <c r="AI802" s="33" t="s">
        <v>7013</v>
      </c>
      <c r="AL802" s="33" t="s">
        <v>31</v>
      </c>
      <c r="AP802" s="83"/>
      <c r="AQ802" s="85"/>
      <c r="AR802" s="86"/>
      <c r="AS802" s="87"/>
      <c r="AV802" s="85"/>
      <c r="AW802" s="93"/>
      <c r="AX802" s="94"/>
      <c r="AY802" s="90">
        <v>1</v>
      </c>
      <c r="AZ802" s="76" t="s">
        <v>4925</v>
      </c>
      <c r="BB802" s="91"/>
      <c r="BE802" s="33" t="s">
        <v>7000</v>
      </c>
      <c r="BG802" s="33" t="s">
        <v>7014</v>
      </c>
    </row>
    <row r="803" spans="1:59" ht="15" customHeight="1">
      <c r="A803" s="33" t="s">
        <v>7051</v>
      </c>
      <c r="B803" s="33" t="s">
        <v>7081</v>
      </c>
      <c r="C803" s="33" t="s">
        <v>7188</v>
      </c>
      <c r="D803" s="34">
        <v>176</v>
      </c>
      <c r="E803" s="33">
        <v>1</v>
      </c>
      <c r="F803" s="33" t="s">
        <v>6969</v>
      </c>
      <c r="G803" s="33" t="s">
        <v>7015</v>
      </c>
      <c r="J803" s="33" t="s">
        <v>31</v>
      </c>
      <c r="AD803" s="33" t="s">
        <v>7000</v>
      </c>
      <c r="AF803" s="33" t="s">
        <v>7016</v>
      </c>
      <c r="AI803" s="33" t="s">
        <v>7015</v>
      </c>
      <c r="AL803" s="33" t="s">
        <v>31</v>
      </c>
      <c r="AP803" s="83"/>
      <c r="AQ803" s="85"/>
      <c r="AR803" s="86"/>
      <c r="AS803" s="87"/>
      <c r="AV803" s="85"/>
      <c r="AW803" s="93"/>
      <c r="AX803" s="94"/>
      <c r="AY803" s="90">
        <v>3</v>
      </c>
      <c r="AZ803" s="76" t="s">
        <v>4925</v>
      </c>
      <c r="BB803" s="91"/>
      <c r="BE803" s="33" t="s">
        <v>7000</v>
      </c>
      <c r="BG803" s="33" t="s">
        <v>7017</v>
      </c>
    </row>
    <row r="804" spans="1:59" ht="15" customHeight="1">
      <c r="A804" s="33" t="s">
        <v>7051</v>
      </c>
      <c r="B804" s="33" t="s">
        <v>7082</v>
      </c>
      <c r="C804" s="33" t="s">
        <v>7188</v>
      </c>
      <c r="D804" s="34">
        <v>177</v>
      </c>
      <c r="E804" s="33">
        <v>1</v>
      </c>
      <c r="F804" s="33" t="s">
        <v>6969</v>
      </c>
      <c r="G804" s="33" t="s">
        <v>7018</v>
      </c>
      <c r="J804" s="33" t="s">
        <v>31</v>
      </c>
      <c r="AD804" s="33" t="s">
        <v>7000</v>
      </c>
      <c r="AF804" s="33" t="s">
        <v>7019</v>
      </c>
      <c r="AI804" s="33" t="s">
        <v>7018</v>
      </c>
      <c r="AL804" s="33" t="s">
        <v>31</v>
      </c>
      <c r="AP804" s="83"/>
      <c r="AQ804" s="85"/>
      <c r="AR804" s="86"/>
      <c r="AS804" s="87"/>
      <c r="AV804" s="85"/>
      <c r="AW804" s="93"/>
      <c r="AX804" s="94"/>
      <c r="AY804" s="90">
        <v>4</v>
      </c>
      <c r="AZ804" s="76" t="s">
        <v>4925</v>
      </c>
      <c r="BB804" s="91">
        <v>1</v>
      </c>
      <c r="BE804" s="33" t="s">
        <v>7000</v>
      </c>
      <c r="BG804" s="33" t="s">
        <v>7020</v>
      </c>
    </row>
    <row r="805" spans="1:59" ht="15" customHeight="1">
      <c r="A805" s="33" t="s">
        <v>7051</v>
      </c>
      <c r="B805" s="33" t="s">
        <v>7083</v>
      </c>
      <c r="C805" s="33" t="s">
        <v>7188</v>
      </c>
      <c r="D805" s="34">
        <v>178</v>
      </c>
      <c r="E805" s="33">
        <v>1</v>
      </c>
      <c r="F805" s="33" t="s">
        <v>6969</v>
      </c>
      <c r="G805" s="33" t="s">
        <v>7021</v>
      </c>
      <c r="J805" s="33" t="s">
        <v>31</v>
      </c>
      <c r="AD805" s="33" t="s">
        <v>7000</v>
      </c>
      <c r="AF805" s="33" t="s">
        <v>7022</v>
      </c>
      <c r="AI805" s="33" t="s">
        <v>7021</v>
      </c>
      <c r="AJ805" s="33" t="s">
        <v>7023</v>
      </c>
      <c r="AL805" s="33" t="s">
        <v>31</v>
      </c>
      <c r="AP805" s="83"/>
      <c r="AQ805" s="85"/>
      <c r="AR805" s="86"/>
      <c r="AS805" s="87"/>
      <c r="AV805" s="85"/>
      <c r="AW805" s="93"/>
      <c r="AX805" s="94"/>
      <c r="AY805" s="90">
        <v>2</v>
      </c>
      <c r="AZ805" s="76">
        <v>1</v>
      </c>
      <c r="BB805" s="91"/>
      <c r="BE805" s="33" t="s">
        <v>7000</v>
      </c>
      <c r="BG805" s="33" t="s">
        <v>7024</v>
      </c>
    </row>
    <row r="806" spans="1:59" ht="15" customHeight="1">
      <c r="A806" s="33" t="s">
        <v>7051</v>
      </c>
      <c r="B806" s="33" t="s">
        <v>7084</v>
      </c>
      <c r="C806" s="33" t="s">
        <v>7188</v>
      </c>
      <c r="D806" s="34">
        <v>179</v>
      </c>
      <c r="E806" s="33">
        <v>1</v>
      </c>
      <c r="F806" s="33" t="s">
        <v>6969</v>
      </c>
      <c r="G806" s="33" t="s">
        <v>7021</v>
      </c>
      <c r="J806" s="33" t="s">
        <v>31</v>
      </c>
      <c r="AD806" s="33" t="s">
        <v>7000</v>
      </c>
      <c r="AF806" s="33" t="s">
        <v>7022</v>
      </c>
      <c r="AI806" s="33" t="s">
        <v>7021</v>
      </c>
      <c r="AJ806" s="33" t="s">
        <v>7025</v>
      </c>
      <c r="AL806" s="33" t="s">
        <v>31</v>
      </c>
      <c r="AP806" s="83"/>
      <c r="AQ806" s="85"/>
      <c r="AR806" s="86"/>
      <c r="AS806" s="87"/>
      <c r="AV806" s="85"/>
      <c r="AW806" s="93"/>
      <c r="AX806" s="94"/>
      <c r="AY806" s="90">
        <v>5</v>
      </c>
      <c r="AZ806" s="76">
        <v>1</v>
      </c>
      <c r="BB806" s="91"/>
      <c r="BE806" s="33" t="s">
        <v>7000</v>
      </c>
      <c r="BG806" s="33" t="s">
        <v>7026</v>
      </c>
    </row>
    <row r="807" spans="1:59" ht="15" customHeight="1">
      <c r="A807" s="33" t="s">
        <v>7051</v>
      </c>
      <c r="B807" s="33" t="s">
        <v>7085</v>
      </c>
      <c r="C807" s="33" t="s">
        <v>7188</v>
      </c>
      <c r="D807" s="34">
        <v>180</v>
      </c>
      <c r="E807" s="33">
        <v>1</v>
      </c>
      <c r="F807" s="33" t="s">
        <v>6969</v>
      </c>
      <c r="G807" s="33" t="s">
        <v>7021</v>
      </c>
      <c r="J807" s="33" t="s">
        <v>31</v>
      </c>
      <c r="AD807" s="33" t="s">
        <v>7000</v>
      </c>
      <c r="AF807" s="33" t="s">
        <v>7022</v>
      </c>
      <c r="AI807" s="33" t="s">
        <v>7021</v>
      </c>
      <c r="AJ807" s="33" t="s">
        <v>7027</v>
      </c>
      <c r="AL807" s="33" t="s">
        <v>31</v>
      </c>
      <c r="AP807" s="83"/>
      <c r="AQ807" s="85"/>
      <c r="AR807" s="86"/>
      <c r="AS807" s="87"/>
      <c r="AV807" s="85"/>
      <c r="AW807" s="93"/>
      <c r="AX807" s="94"/>
      <c r="AY807" s="90">
        <v>3</v>
      </c>
      <c r="AZ807" s="76">
        <v>1</v>
      </c>
      <c r="BB807" s="91"/>
      <c r="BE807" s="33" t="s">
        <v>7000</v>
      </c>
      <c r="BG807" s="33" t="s">
        <v>7028</v>
      </c>
    </row>
    <row r="808" spans="1:59" ht="15" customHeight="1">
      <c r="A808" s="33" t="s">
        <v>7051</v>
      </c>
      <c r="B808" s="33" t="s">
        <v>7086</v>
      </c>
      <c r="C808" s="33" t="s">
        <v>7188</v>
      </c>
      <c r="D808" s="34">
        <v>181</v>
      </c>
      <c r="E808" s="33">
        <v>1</v>
      </c>
      <c r="F808" s="33" t="s">
        <v>6969</v>
      </c>
      <c r="G808" s="33" t="s">
        <v>7021</v>
      </c>
      <c r="J808" s="33" t="s">
        <v>31</v>
      </c>
      <c r="AD808" s="33" t="s">
        <v>7000</v>
      </c>
      <c r="AF808" s="33" t="s">
        <v>7022</v>
      </c>
      <c r="AI808" s="33" t="s">
        <v>7021</v>
      </c>
      <c r="AJ808" s="33" t="s">
        <v>7029</v>
      </c>
      <c r="AL808" s="33" t="s">
        <v>31</v>
      </c>
      <c r="AP808" s="83"/>
      <c r="AQ808" s="85"/>
      <c r="AR808" s="86"/>
      <c r="AS808" s="87"/>
      <c r="AV808" s="85"/>
      <c r="AW808" s="93"/>
      <c r="AX808" s="94"/>
      <c r="AY808" s="90">
        <v>2</v>
      </c>
      <c r="AZ808" s="76">
        <v>1</v>
      </c>
      <c r="BB808" s="91"/>
      <c r="BE808" s="33" t="s">
        <v>7000</v>
      </c>
      <c r="BG808" s="33" t="s">
        <v>7030</v>
      </c>
    </row>
    <row r="809" spans="1:59" ht="15" customHeight="1">
      <c r="A809" s="33" t="s">
        <v>7051</v>
      </c>
      <c r="B809" s="33" t="s">
        <v>7087</v>
      </c>
      <c r="C809" s="33" t="s">
        <v>7188</v>
      </c>
      <c r="D809" s="34">
        <v>182</v>
      </c>
      <c r="E809" s="33">
        <v>1</v>
      </c>
      <c r="F809" s="33" t="s">
        <v>6969</v>
      </c>
      <c r="G809" s="33" t="s">
        <v>7031</v>
      </c>
      <c r="H809" s="33" t="s">
        <v>7032</v>
      </c>
      <c r="I809" s="33" t="s">
        <v>4077</v>
      </c>
      <c r="J809" s="33" t="s">
        <v>29</v>
      </c>
      <c r="Q809" s="75">
        <v>3</v>
      </c>
      <c r="R809" s="76">
        <v>3</v>
      </c>
      <c r="T809" s="78">
        <v>4</v>
      </c>
      <c r="V809" s="79">
        <v>1</v>
      </c>
      <c r="W809" s="80">
        <v>1</v>
      </c>
      <c r="AA809" s="82">
        <v>1</v>
      </c>
      <c r="AD809" s="33" t="s">
        <v>7033</v>
      </c>
      <c r="AF809" s="33" t="s">
        <v>7034</v>
      </c>
      <c r="AI809" s="33" t="s">
        <v>7031</v>
      </c>
      <c r="AJ809" s="33" t="s">
        <v>7035</v>
      </c>
      <c r="AK809" s="33" t="s">
        <v>7036</v>
      </c>
      <c r="AL809" s="33" t="s">
        <v>4111</v>
      </c>
      <c r="AP809" s="83" t="s">
        <v>38</v>
      </c>
      <c r="AQ809" s="85"/>
      <c r="AR809" s="86"/>
      <c r="AS809" s="87"/>
      <c r="AU809" s="78">
        <v>1</v>
      </c>
      <c r="AV809" s="85">
        <v>3</v>
      </c>
      <c r="AW809" s="93"/>
      <c r="AX809" s="94"/>
      <c r="AY809" s="90"/>
      <c r="BB809" s="91"/>
      <c r="BE809" s="33" t="s">
        <v>7037</v>
      </c>
      <c r="BG809" s="33" t="s">
        <v>7038</v>
      </c>
    </row>
    <row r="810" spans="1:59" ht="15" customHeight="1">
      <c r="A810" s="33" t="s">
        <v>7051</v>
      </c>
      <c r="B810" s="33" t="s">
        <v>7088</v>
      </c>
      <c r="C810" s="33" t="s">
        <v>7188</v>
      </c>
      <c r="D810" s="34">
        <v>183</v>
      </c>
      <c r="E810" s="33">
        <v>2</v>
      </c>
      <c r="F810" s="33" t="s">
        <v>6969</v>
      </c>
      <c r="G810" s="33" t="s">
        <v>7039</v>
      </c>
      <c r="J810" s="33" t="s">
        <v>29</v>
      </c>
      <c r="Q810" s="75">
        <v>4</v>
      </c>
      <c r="R810" s="76">
        <v>4</v>
      </c>
      <c r="T810" s="78">
        <v>5</v>
      </c>
      <c r="V810" s="79">
        <v>3</v>
      </c>
      <c r="W810" s="80">
        <v>3</v>
      </c>
      <c r="AD810" s="33" t="s">
        <v>5545</v>
      </c>
      <c r="AF810" s="33" t="s">
        <v>7040</v>
      </c>
      <c r="AP810" s="83"/>
      <c r="AQ810" s="85"/>
      <c r="AR810" s="86"/>
      <c r="AS810" s="87"/>
      <c r="AV810" s="85"/>
      <c r="AW810" s="93"/>
      <c r="AX810" s="94"/>
      <c r="AY810" s="90"/>
      <c r="BB810" s="91"/>
    </row>
    <row r="811" spans="1:59" ht="15" customHeight="1">
      <c r="A811" s="33" t="s">
        <v>7051</v>
      </c>
      <c r="B811" s="33" t="s">
        <v>7089</v>
      </c>
      <c r="C811" s="33" t="s">
        <v>7188</v>
      </c>
      <c r="D811" s="34">
        <v>184</v>
      </c>
      <c r="E811" s="33">
        <v>3</v>
      </c>
      <c r="F811" s="33" t="s">
        <v>6969</v>
      </c>
      <c r="G811" s="33" t="s">
        <v>7041</v>
      </c>
      <c r="J811" s="33" t="s">
        <v>29</v>
      </c>
      <c r="Q811" s="75">
        <v>2</v>
      </c>
      <c r="R811" s="76">
        <v>3</v>
      </c>
      <c r="T811" s="78">
        <v>2</v>
      </c>
      <c r="V811" s="79">
        <v>1</v>
      </c>
      <c r="AD811" s="33" t="s">
        <v>6656</v>
      </c>
      <c r="AF811" s="33" t="s">
        <v>7042</v>
      </c>
      <c r="AP811" s="83"/>
      <c r="AQ811" s="85"/>
      <c r="AR811" s="86"/>
      <c r="AS811" s="87"/>
      <c r="AV811" s="85"/>
      <c r="AW811" s="93"/>
      <c r="AX811" s="94"/>
      <c r="AY811" s="90"/>
      <c r="BB811" s="91"/>
    </row>
    <row r="812" spans="1:59" ht="15" customHeight="1">
      <c r="A812" s="33" t="s">
        <v>7051</v>
      </c>
      <c r="B812" s="33" t="s">
        <v>7090</v>
      </c>
      <c r="C812" s="33" t="s">
        <v>7188</v>
      </c>
      <c r="D812" s="34">
        <v>185</v>
      </c>
      <c r="E812" s="33">
        <v>2</v>
      </c>
      <c r="F812" s="33" t="s">
        <v>6969</v>
      </c>
      <c r="G812" s="33" t="s">
        <v>7043</v>
      </c>
      <c r="J812" s="33" t="s">
        <v>28</v>
      </c>
      <c r="AD812" s="33" t="s">
        <v>6179</v>
      </c>
      <c r="AF812" s="33" t="s">
        <v>7044</v>
      </c>
      <c r="AP812" s="83"/>
      <c r="AQ812" s="85"/>
      <c r="AR812" s="86"/>
      <c r="AS812" s="87"/>
      <c r="AV812" s="85"/>
      <c r="AW812" s="93"/>
      <c r="AX812" s="94"/>
      <c r="AY812" s="90"/>
      <c r="BB812" s="91"/>
    </row>
    <row r="813" spans="1:59" ht="15" customHeight="1">
      <c r="A813" s="33" t="s">
        <v>7051</v>
      </c>
      <c r="B813" s="33" t="s">
        <v>7091</v>
      </c>
      <c r="C813" s="33" t="s">
        <v>7188</v>
      </c>
      <c r="D813" s="34">
        <v>186</v>
      </c>
      <c r="E813" s="33">
        <v>1</v>
      </c>
      <c r="F813" s="33" t="s">
        <v>6969</v>
      </c>
      <c r="G813" s="33" t="s">
        <v>7045</v>
      </c>
      <c r="J813" s="33" t="s">
        <v>28</v>
      </c>
      <c r="AD813" s="33" t="s">
        <v>4335</v>
      </c>
      <c r="AF813" s="33" t="s">
        <v>7046</v>
      </c>
      <c r="AP813" s="83"/>
      <c r="AQ813" s="85"/>
      <c r="AR813" s="86"/>
      <c r="AS813" s="87"/>
      <c r="AV813" s="85"/>
      <c r="AW813" s="93"/>
      <c r="AX813" s="94"/>
      <c r="AY813" s="90"/>
      <c r="BB813" s="91"/>
    </row>
    <row r="814" spans="1:59" ht="15" customHeight="1">
      <c r="A814" s="33" t="s">
        <v>7051</v>
      </c>
      <c r="B814" s="33" t="s">
        <v>7092</v>
      </c>
      <c r="C814" s="33" t="s">
        <v>7188</v>
      </c>
      <c r="D814" s="34">
        <v>187</v>
      </c>
      <c r="E814" s="33">
        <v>1</v>
      </c>
      <c r="F814" s="33" t="s">
        <v>6969</v>
      </c>
      <c r="G814" s="33" t="s">
        <v>7047</v>
      </c>
      <c r="J814" s="33" t="s">
        <v>28</v>
      </c>
      <c r="AD814" s="33" t="s">
        <v>4335</v>
      </c>
      <c r="AF814" s="33" t="s">
        <v>7048</v>
      </c>
      <c r="AP814" s="83"/>
      <c r="AQ814" s="85"/>
      <c r="AR814" s="86"/>
      <c r="AS814" s="87"/>
      <c r="AV814" s="85"/>
      <c r="AW814" s="93"/>
      <c r="AX814" s="94"/>
      <c r="AY814" s="90"/>
      <c r="BB814" s="91"/>
    </row>
    <row r="815" spans="1:59" ht="15" customHeight="1">
      <c r="A815" s="33" t="s">
        <v>7051</v>
      </c>
      <c r="B815" s="33" t="s">
        <v>7093</v>
      </c>
      <c r="C815" s="33" t="s">
        <v>7188</v>
      </c>
      <c r="D815" s="34">
        <v>188</v>
      </c>
      <c r="E815" s="33">
        <v>3</v>
      </c>
      <c r="F815" s="33" t="s">
        <v>6969</v>
      </c>
      <c r="G815" s="33" t="s">
        <v>7049</v>
      </c>
      <c r="J815" s="33" t="s">
        <v>28</v>
      </c>
      <c r="AD815" s="33" t="s">
        <v>4335</v>
      </c>
      <c r="AF815" s="33" t="s">
        <v>7050</v>
      </c>
      <c r="AP815" s="83"/>
      <c r="AQ815" s="85"/>
      <c r="AR815" s="86"/>
      <c r="AS815" s="87"/>
      <c r="AV815" s="85"/>
      <c r="AW815" s="93"/>
      <c r="AX815" s="94"/>
      <c r="AY815" s="90"/>
      <c r="BB815" s="91"/>
    </row>
    <row r="816" spans="1:59" ht="15" customHeight="1">
      <c r="A816" s="36" t="s">
        <v>7190</v>
      </c>
      <c r="B816" s="36" t="s">
        <v>7191</v>
      </c>
      <c r="C816" s="33" t="s">
        <v>7189</v>
      </c>
      <c r="D816" s="34">
        <v>189</v>
      </c>
      <c r="E816" s="33">
        <v>2</v>
      </c>
      <c r="G816" s="33" t="s">
        <v>7095</v>
      </c>
      <c r="J816" s="33" t="s">
        <v>27</v>
      </c>
      <c r="K816" s="33" t="s">
        <v>4052</v>
      </c>
      <c r="L816" s="33">
        <v>0</v>
      </c>
      <c r="N816" s="72">
        <v>0</v>
      </c>
      <c r="Q816" s="75">
        <v>2</v>
      </c>
      <c r="AB816" s="33" t="s">
        <v>4942</v>
      </c>
      <c r="AD816" s="33" t="s">
        <v>5659</v>
      </c>
      <c r="AF816" s="33" t="s">
        <v>7096</v>
      </c>
      <c r="AP816" s="83"/>
      <c r="AQ816" s="85"/>
      <c r="AR816" s="86"/>
      <c r="AS816" s="87"/>
      <c r="AV816" s="85"/>
      <c r="AW816" s="93"/>
      <c r="AX816" s="94"/>
      <c r="AY816" s="90"/>
      <c r="BB816" s="91"/>
    </row>
    <row r="817" spans="1:59" ht="15" customHeight="1">
      <c r="A817" s="38" t="s">
        <v>7190</v>
      </c>
      <c r="B817" s="33" t="s">
        <v>7192</v>
      </c>
      <c r="C817" s="33" t="s">
        <v>7189</v>
      </c>
      <c r="D817" s="34">
        <v>190</v>
      </c>
      <c r="E817" s="33">
        <v>2</v>
      </c>
      <c r="G817" s="33" t="s">
        <v>4140</v>
      </c>
      <c r="J817" s="33" t="s">
        <v>4111</v>
      </c>
      <c r="K817" s="33" t="s">
        <v>4052</v>
      </c>
      <c r="L817" s="33">
        <v>2</v>
      </c>
      <c r="N817" s="72">
        <v>4</v>
      </c>
      <c r="Q817" s="75">
        <v>1</v>
      </c>
      <c r="R817" s="76">
        <v>1</v>
      </c>
      <c r="AB817" s="33" t="s">
        <v>6035</v>
      </c>
      <c r="AC817" s="33" t="s">
        <v>4112</v>
      </c>
      <c r="AD817" s="33" t="s">
        <v>4113</v>
      </c>
      <c r="AF817" s="33" t="s">
        <v>7097</v>
      </c>
      <c r="AP817" s="83"/>
      <c r="AQ817" s="85"/>
      <c r="AR817" s="86"/>
      <c r="AS817" s="87"/>
      <c r="AV817" s="85"/>
      <c r="AW817" s="93"/>
      <c r="AX817" s="94"/>
      <c r="AY817" s="90"/>
      <c r="BB817" s="91"/>
    </row>
    <row r="818" spans="1:59" ht="15" customHeight="1">
      <c r="A818" s="38" t="s">
        <v>7190</v>
      </c>
      <c r="B818" s="33" t="s">
        <v>7193</v>
      </c>
      <c r="C818" s="33" t="s">
        <v>7189</v>
      </c>
      <c r="D818" s="34">
        <v>191</v>
      </c>
      <c r="E818" s="33">
        <v>2</v>
      </c>
      <c r="G818" s="33" t="s">
        <v>7098</v>
      </c>
      <c r="J818" s="33" t="s">
        <v>27</v>
      </c>
      <c r="K818" s="33" t="s">
        <v>4053</v>
      </c>
      <c r="L818" s="33">
        <v>0</v>
      </c>
      <c r="N818" s="72">
        <v>2</v>
      </c>
      <c r="O818" s="73">
        <v>2</v>
      </c>
      <c r="AB818" s="33" t="s">
        <v>4948</v>
      </c>
      <c r="AD818" s="33" t="s">
        <v>4194</v>
      </c>
      <c r="AF818" s="33" t="s">
        <v>7099</v>
      </c>
      <c r="AP818" s="83"/>
      <c r="AQ818" s="85"/>
      <c r="AR818" s="86"/>
      <c r="AS818" s="87"/>
      <c r="AV818" s="85"/>
      <c r="AW818" s="93"/>
      <c r="AX818" s="94"/>
      <c r="AY818" s="90"/>
      <c r="BB818" s="91"/>
    </row>
    <row r="819" spans="1:59" ht="15" customHeight="1">
      <c r="A819" s="38" t="s">
        <v>7190</v>
      </c>
      <c r="B819" s="33" t="s">
        <v>7194</v>
      </c>
      <c r="C819" s="33" t="s">
        <v>7189</v>
      </c>
      <c r="D819" s="34">
        <v>192</v>
      </c>
      <c r="E819" s="33">
        <v>2</v>
      </c>
      <c r="G819" s="33" t="s">
        <v>6444</v>
      </c>
      <c r="H819" s="33" t="s">
        <v>7100</v>
      </c>
      <c r="J819" s="33" t="s">
        <v>4111</v>
      </c>
      <c r="K819" s="33" t="s">
        <v>4053</v>
      </c>
      <c r="L819" s="33">
        <v>3</v>
      </c>
      <c r="N819" s="72">
        <v>2</v>
      </c>
      <c r="O819" s="73">
        <v>1</v>
      </c>
      <c r="P819" s="74">
        <v>1</v>
      </c>
      <c r="AB819" s="33" t="s">
        <v>6176</v>
      </c>
      <c r="AC819" s="33" t="s">
        <v>4232</v>
      </c>
      <c r="AD819" s="33" t="s">
        <v>4133</v>
      </c>
      <c r="AF819" s="33" t="s">
        <v>7101</v>
      </c>
      <c r="AP819" s="83"/>
      <c r="AQ819" s="85"/>
      <c r="AR819" s="86"/>
      <c r="AS819" s="87"/>
      <c r="AV819" s="85"/>
      <c r="AW819" s="93"/>
      <c r="AX819" s="94"/>
      <c r="AY819" s="90"/>
      <c r="BB819" s="91"/>
    </row>
    <row r="820" spans="1:59" ht="15" customHeight="1">
      <c r="A820" s="38" t="s">
        <v>7190</v>
      </c>
      <c r="B820" s="33" t="s">
        <v>7195</v>
      </c>
      <c r="C820" s="33" t="s">
        <v>7189</v>
      </c>
      <c r="D820" s="34">
        <v>193</v>
      </c>
      <c r="E820" s="33">
        <v>2</v>
      </c>
      <c r="G820" s="33" t="s">
        <v>6444</v>
      </c>
      <c r="H820" s="33" t="s">
        <v>7102</v>
      </c>
      <c r="J820" s="33" t="s">
        <v>4111</v>
      </c>
      <c r="K820" s="33" t="s">
        <v>4053</v>
      </c>
      <c r="L820" s="33">
        <v>3</v>
      </c>
      <c r="N820" s="72">
        <v>2</v>
      </c>
      <c r="P820" s="74">
        <v>1</v>
      </c>
      <c r="R820" s="76">
        <v>1</v>
      </c>
      <c r="AB820" s="33" t="s">
        <v>6169</v>
      </c>
      <c r="AC820" s="33" t="s">
        <v>4232</v>
      </c>
      <c r="AD820" s="33" t="s">
        <v>4133</v>
      </c>
      <c r="AF820" s="33" t="s">
        <v>7103</v>
      </c>
      <c r="AP820" s="83"/>
      <c r="AQ820" s="85"/>
      <c r="AR820" s="86"/>
      <c r="AS820" s="87"/>
      <c r="AV820" s="85"/>
      <c r="AW820" s="93"/>
      <c r="AX820" s="94"/>
      <c r="AY820" s="90"/>
      <c r="BB820" s="91"/>
    </row>
    <row r="821" spans="1:59" ht="15" customHeight="1">
      <c r="A821" s="38" t="s">
        <v>7190</v>
      </c>
      <c r="B821" s="33" t="s">
        <v>7196</v>
      </c>
      <c r="C821" s="33" t="s">
        <v>7189</v>
      </c>
      <c r="D821" s="34">
        <v>194</v>
      </c>
      <c r="E821" s="33">
        <v>2</v>
      </c>
      <c r="G821" s="33" t="s">
        <v>7104</v>
      </c>
      <c r="J821" s="33" t="s">
        <v>27</v>
      </c>
      <c r="K821" s="33" t="s">
        <v>4055</v>
      </c>
      <c r="L821" s="33">
        <v>0</v>
      </c>
      <c r="N821" s="72">
        <v>2</v>
      </c>
      <c r="Q821" s="75">
        <v>1</v>
      </c>
      <c r="R821" s="76">
        <v>1</v>
      </c>
      <c r="AB821" s="33" t="s">
        <v>6035</v>
      </c>
      <c r="AD821" s="33" t="s">
        <v>5266</v>
      </c>
      <c r="AF821" s="33" t="s">
        <v>7105</v>
      </c>
      <c r="AP821" s="83"/>
      <c r="AQ821" s="85"/>
      <c r="AR821" s="86"/>
      <c r="AS821" s="87"/>
      <c r="AV821" s="85"/>
      <c r="AW821" s="93"/>
      <c r="AX821" s="94"/>
      <c r="AY821" s="90"/>
      <c r="BB821" s="91"/>
    </row>
    <row r="822" spans="1:59" ht="15" customHeight="1">
      <c r="A822" s="38" t="s">
        <v>7190</v>
      </c>
      <c r="B822" s="33" t="s">
        <v>7197</v>
      </c>
      <c r="C822" s="33" t="s">
        <v>7189</v>
      </c>
      <c r="D822" s="34">
        <v>195</v>
      </c>
      <c r="E822" s="33">
        <v>2</v>
      </c>
      <c r="G822" s="33" t="s">
        <v>4211</v>
      </c>
      <c r="J822" s="33" t="s">
        <v>4111</v>
      </c>
      <c r="K822" s="33" t="s">
        <v>4055</v>
      </c>
      <c r="L822" s="33">
        <v>2</v>
      </c>
      <c r="N822" s="72">
        <v>2</v>
      </c>
      <c r="R822" s="76">
        <v>2</v>
      </c>
      <c r="S822" s="123">
        <v>1</v>
      </c>
      <c r="AB822" s="33" t="s">
        <v>4949</v>
      </c>
      <c r="AD822" s="33" t="s">
        <v>4209</v>
      </c>
      <c r="AF822" s="33" t="s">
        <v>7106</v>
      </c>
      <c r="AP822" s="83"/>
      <c r="AQ822" s="85"/>
      <c r="AR822" s="86"/>
      <c r="AS822" s="87"/>
      <c r="AV822" s="85"/>
      <c r="AW822" s="93"/>
      <c r="AX822" s="94"/>
      <c r="AY822" s="90"/>
      <c r="BB822" s="91"/>
    </row>
    <row r="823" spans="1:59" ht="15" customHeight="1">
      <c r="A823" s="38" t="s">
        <v>7190</v>
      </c>
      <c r="B823" s="33" t="s">
        <v>7198</v>
      </c>
      <c r="C823" s="33" t="s">
        <v>7189</v>
      </c>
      <c r="D823" s="34">
        <v>196</v>
      </c>
      <c r="E823" s="33">
        <v>2</v>
      </c>
      <c r="G823" s="33" t="s">
        <v>7107</v>
      </c>
      <c r="J823" s="33" t="s">
        <v>27</v>
      </c>
      <c r="K823" s="33" t="s">
        <v>4054</v>
      </c>
      <c r="L823" s="33">
        <v>0</v>
      </c>
      <c r="N823" s="72">
        <v>1</v>
      </c>
      <c r="S823" s="123">
        <v>1</v>
      </c>
      <c r="AB823" s="33" t="s">
        <v>4062</v>
      </c>
      <c r="AD823" s="33" t="s">
        <v>4194</v>
      </c>
      <c r="AF823" s="33" t="s">
        <v>7108</v>
      </c>
      <c r="AP823" s="83"/>
      <c r="AQ823" s="85"/>
      <c r="AR823" s="86"/>
      <c r="AS823" s="87"/>
      <c r="AV823" s="85"/>
      <c r="AW823" s="93"/>
      <c r="AX823" s="94"/>
      <c r="AY823" s="90"/>
      <c r="BB823" s="91"/>
    </row>
    <row r="824" spans="1:59" ht="15" customHeight="1">
      <c r="A824" s="38" t="s">
        <v>7190</v>
      </c>
      <c r="B824" s="33" t="s">
        <v>7199</v>
      </c>
      <c r="C824" s="33" t="s">
        <v>7189</v>
      </c>
      <c r="D824" s="34">
        <v>197</v>
      </c>
      <c r="E824" s="33">
        <v>2</v>
      </c>
      <c r="G824" s="33" t="s">
        <v>7109</v>
      </c>
      <c r="J824" s="33" t="s">
        <v>27</v>
      </c>
      <c r="K824" s="33" t="s">
        <v>4054</v>
      </c>
      <c r="L824" s="33">
        <v>2</v>
      </c>
      <c r="N824" s="72">
        <v>0</v>
      </c>
      <c r="O824" s="73">
        <v>2</v>
      </c>
      <c r="AB824" s="33" t="s">
        <v>4948</v>
      </c>
      <c r="AD824" s="33" t="s">
        <v>4133</v>
      </c>
      <c r="AF824" s="33" t="s">
        <v>7110</v>
      </c>
      <c r="AP824" s="83"/>
      <c r="AQ824" s="85"/>
      <c r="AR824" s="86"/>
      <c r="AS824" s="87"/>
      <c r="AV824" s="85"/>
      <c r="AW824" s="93"/>
      <c r="AX824" s="94"/>
      <c r="AY824" s="90"/>
      <c r="BB824" s="91"/>
    </row>
    <row r="825" spans="1:59" ht="15" customHeight="1">
      <c r="A825" s="38" t="s">
        <v>7190</v>
      </c>
      <c r="B825" s="33" t="s">
        <v>7200</v>
      </c>
      <c r="C825" s="33" t="s">
        <v>7189</v>
      </c>
      <c r="D825" s="34">
        <v>198</v>
      </c>
      <c r="E825" s="33">
        <v>2</v>
      </c>
      <c r="G825" s="33" t="s">
        <v>7111</v>
      </c>
      <c r="H825" s="33" t="s">
        <v>7112</v>
      </c>
      <c r="I825" s="33" t="s">
        <v>4077</v>
      </c>
      <c r="J825" s="33" t="s">
        <v>4111</v>
      </c>
      <c r="K825" s="33" t="s">
        <v>4056</v>
      </c>
      <c r="L825" s="33">
        <v>0</v>
      </c>
      <c r="N825" s="72">
        <v>2</v>
      </c>
      <c r="P825" s="74">
        <v>1</v>
      </c>
      <c r="T825" s="78">
        <v>2</v>
      </c>
      <c r="U825" s="73">
        <v>2</v>
      </c>
      <c r="AB825" s="33" t="s">
        <v>4059</v>
      </c>
      <c r="AC825" s="33" t="s">
        <v>25</v>
      </c>
      <c r="AD825" s="33" t="s">
        <v>6820</v>
      </c>
      <c r="AF825" s="33" t="s">
        <v>7113</v>
      </c>
      <c r="AP825" s="83"/>
      <c r="AQ825" s="85"/>
      <c r="AR825" s="86"/>
      <c r="AS825" s="87"/>
      <c r="AV825" s="85"/>
      <c r="AW825" s="93"/>
      <c r="AX825" s="94"/>
      <c r="AY825" s="90"/>
      <c r="BB825" s="91"/>
    </row>
    <row r="826" spans="1:59" ht="15" customHeight="1">
      <c r="A826" s="38" t="s">
        <v>7190</v>
      </c>
      <c r="B826" s="33" t="s">
        <v>7201</v>
      </c>
      <c r="C826" s="33" t="s">
        <v>7189</v>
      </c>
      <c r="D826" s="34">
        <v>199</v>
      </c>
      <c r="E826" s="33">
        <v>2</v>
      </c>
      <c r="G826" s="33" t="s">
        <v>7114</v>
      </c>
      <c r="J826" s="33" t="s">
        <v>27</v>
      </c>
      <c r="K826" s="33" t="s">
        <v>4056</v>
      </c>
      <c r="L826" s="33">
        <v>2</v>
      </c>
      <c r="N826" s="72">
        <v>2</v>
      </c>
      <c r="O826" s="73">
        <v>1</v>
      </c>
      <c r="R826" s="76">
        <v>1</v>
      </c>
      <c r="AB826" s="33" t="s">
        <v>6042</v>
      </c>
      <c r="AD826" s="33" t="s">
        <v>7115</v>
      </c>
      <c r="AF826" s="33" t="s">
        <v>7116</v>
      </c>
      <c r="AP826" s="83"/>
      <c r="AQ826" s="85"/>
      <c r="AR826" s="86"/>
      <c r="AS826" s="87"/>
      <c r="AV826" s="85"/>
      <c r="AW826" s="93"/>
      <c r="AX826" s="94"/>
      <c r="AY826" s="90"/>
      <c r="BB826" s="91"/>
    </row>
    <row r="827" spans="1:59" ht="15" customHeight="1">
      <c r="A827" s="38" t="s">
        <v>7190</v>
      </c>
      <c r="B827" s="33" t="s">
        <v>7202</v>
      </c>
      <c r="C827" s="33" t="s">
        <v>7189</v>
      </c>
      <c r="D827" s="34">
        <v>200</v>
      </c>
      <c r="E827" s="33">
        <v>1</v>
      </c>
      <c r="F827" s="33" t="s">
        <v>7117</v>
      </c>
      <c r="G827" s="33" t="s">
        <v>7117</v>
      </c>
      <c r="J827" s="33" t="s">
        <v>4472</v>
      </c>
      <c r="K827" s="33" t="s">
        <v>6280</v>
      </c>
      <c r="AF827" s="33" t="s">
        <v>7118</v>
      </c>
      <c r="AI827" s="33" t="s">
        <v>7117</v>
      </c>
      <c r="AL827" s="33" t="s">
        <v>4472</v>
      </c>
      <c r="AM827" s="33" t="s">
        <v>6280</v>
      </c>
      <c r="AP827" s="83"/>
      <c r="AQ827" s="85"/>
      <c r="AR827" s="86"/>
      <c r="AS827" s="87"/>
      <c r="AV827" s="85"/>
      <c r="AW827" s="93"/>
      <c r="AX827" s="94"/>
      <c r="AY827" s="90"/>
      <c r="BB827" s="91"/>
      <c r="BG827" s="33" t="s">
        <v>7119</v>
      </c>
    </row>
    <row r="828" spans="1:59" ht="15" customHeight="1">
      <c r="A828" s="38" t="s">
        <v>7190</v>
      </c>
      <c r="B828" s="33" t="s">
        <v>7203</v>
      </c>
      <c r="C828" s="33" t="s">
        <v>7189</v>
      </c>
      <c r="D828" s="34">
        <v>201</v>
      </c>
      <c r="E828" s="33">
        <v>1</v>
      </c>
      <c r="F828" s="33" t="s">
        <v>7117</v>
      </c>
      <c r="G828" s="33" t="s">
        <v>7120</v>
      </c>
      <c r="J828" s="33" t="s">
        <v>4473</v>
      </c>
      <c r="K828" s="33" t="s">
        <v>6280</v>
      </c>
      <c r="L828" s="33">
        <v>1</v>
      </c>
      <c r="Z828" s="78">
        <v>6</v>
      </c>
      <c r="AF828" s="33" t="s">
        <v>7121</v>
      </c>
      <c r="AI828" s="33" t="s">
        <v>7122</v>
      </c>
      <c r="AL828" s="33" t="s">
        <v>4473</v>
      </c>
      <c r="AM828" s="33" t="s">
        <v>6280</v>
      </c>
      <c r="AN828" s="33">
        <v>1</v>
      </c>
      <c r="AP828" s="83"/>
      <c r="AQ828" s="85"/>
      <c r="AR828" s="86"/>
      <c r="AS828" s="87"/>
      <c r="AV828" s="85"/>
      <c r="AW828" s="93"/>
      <c r="AX828" s="94"/>
      <c r="AY828" s="90"/>
      <c r="BB828" s="91"/>
      <c r="BG828" s="33" t="s">
        <v>7123</v>
      </c>
    </row>
    <row r="829" spans="1:59" ht="15" customHeight="1">
      <c r="A829" s="38" t="s">
        <v>7190</v>
      </c>
      <c r="B829" s="33" t="s">
        <v>7204</v>
      </c>
      <c r="C829" s="33" t="s">
        <v>7189</v>
      </c>
      <c r="D829" s="34">
        <v>202</v>
      </c>
      <c r="E829" s="33">
        <v>1</v>
      </c>
      <c r="F829" s="33" t="s">
        <v>7117</v>
      </c>
      <c r="G829" s="33" t="s">
        <v>7124</v>
      </c>
      <c r="J829" s="33" t="s">
        <v>4473</v>
      </c>
      <c r="K829" s="33" t="s">
        <v>6280</v>
      </c>
      <c r="L829" s="33">
        <v>2</v>
      </c>
      <c r="Z829" s="78">
        <v>5</v>
      </c>
      <c r="AF829" s="33" t="s">
        <v>7121</v>
      </c>
      <c r="AI829" s="33" t="s">
        <v>7125</v>
      </c>
      <c r="AL829" s="33" t="s">
        <v>4473</v>
      </c>
      <c r="AM829" s="33" t="s">
        <v>6280</v>
      </c>
      <c r="AN829" s="33">
        <v>2</v>
      </c>
      <c r="AP829" s="83"/>
      <c r="AQ829" s="85"/>
      <c r="AR829" s="86"/>
      <c r="AS829" s="87"/>
      <c r="AV829" s="85"/>
      <c r="AW829" s="93"/>
      <c r="AX829" s="94"/>
      <c r="AY829" s="90"/>
      <c r="BB829" s="91"/>
      <c r="BG829" s="33" t="s">
        <v>7126</v>
      </c>
    </row>
    <row r="830" spans="1:59" ht="15" customHeight="1">
      <c r="A830" s="38" t="s">
        <v>7190</v>
      </c>
      <c r="B830" s="33" t="s">
        <v>7205</v>
      </c>
      <c r="C830" s="33" t="s">
        <v>7189</v>
      </c>
      <c r="D830" s="34">
        <v>203</v>
      </c>
      <c r="E830" s="33">
        <v>1</v>
      </c>
      <c r="F830" s="33" t="s">
        <v>7117</v>
      </c>
      <c r="G830" s="33" t="s">
        <v>7127</v>
      </c>
      <c r="J830" s="33" t="s">
        <v>4473</v>
      </c>
      <c r="K830" s="33" t="s">
        <v>6280</v>
      </c>
      <c r="L830" s="33">
        <v>3</v>
      </c>
      <c r="Z830" s="78">
        <v>5</v>
      </c>
      <c r="AF830" s="33" t="s">
        <v>7121</v>
      </c>
      <c r="AI830" s="33" t="s">
        <v>7128</v>
      </c>
      <c r="AL830" s="33" t="s">
        <v>4473</v>
      </c>
      <c r="AM830" s="33" t="s">
        <v>6280</v>
      </c>
      <c r="AN830" s="33">
        <v>3</v>
      </c>
      <c r="AP830" s="83"/>
      <c r="AQ830" s="85"/>
      <c r="AR830" s="86"/>
      <c r="AS830" s="87"/>
      <c r="AV830" s="85"/>
      <c r="AW830" s="93"/>
      <c r="AX830" s="94"/>
      <c r="AY830" s="90"/>
      <c r="BB830" s="91"/>
      <c r="BG830" s="33" t="s">
        <v>7129</v>
      </c>
    </row>
    <row r="831" spans="1:59" ht="15" customHeight="1">
      <c r="A831" s="38" t="s">
        <v>7190</v>
      </c>
      <c r="B831" s="33" t="s">
        <v>7206</v>
      </c>
      <c r="C831" s="33" t="s">
        <v>7189</v>
      </c>
      <c r="D831" s="34">
        <v>204</v>
      </c>
      <c r="E831" s="33">
        <v>1</v>
      </c>
      <c r="F831" s="33" t="s">
        <v>7117</v>
      </c>
      <c r="G831" s="33" t="s">
        <v>7130</v>
      </c>
      <c r="J831" s="33" t="s">
        <v>4475</v>
      </c>
      <c r="K831" s="33" t="s">
        <v>6280</v>
      </c>
      <c r="L831" s="33">
        <v>1</v>
      </c>
      <c r="Y831" s="76" t="s">
        <v>5551</v>
      </c>
      <c r="AF831" s="33" t="s">
        <v>7131</v>
      </c>
      <c r="AI831" s="33" t="s">
        <v>7132</v>
      </c>
      <c r="AL831" s="33" t="s">
        <v>4475</v>
      </c>
      <c r="AM831" s="33" t="s">
        <v>6280</v>
      </c>
      <c r="AN831" s="33">
        <v>1</v>
      </c>
      <c r="AP831" s="83"/>
      <c r="AQ831" s="85"/>
      <c r="AR831" s="86"/>
      <c r="AS831" s="87"/>
      <c r="AV831" s="85"/>
      <c r="AW831" s="93"/>
      <c r="AX831" s="94"/>
      <c r="AY831" s="90"/>
      <c r="BB831" s="91"/>
      <c r="BG831" s="33" t="s">
        <v>7133</v>
      </c>
    </row>
    <row r="832" spans="1:59" ht="15" customHeight="1">
      <c r="A832" s="38" t="s">
        <v>7190</v>
      </c>
      <c r="B832" s="33" t="s">
        <v>7207</v>
      </c>
      <c r="C832" s="33" t="s">
        <v>7189</v>
      </c>
      <c r="D832" s="34">
        <v>205</v>
      </c>
      <c r="E832" s="33">
        <v>1</v>
      </c>
      <c r="F832" s="33" t="s">
        <v>7117</v>
      </c>
      <c r="G832" s="33" t="s">
        <v>7134</v>
      </c>
      <c r="J832" s="33" t="s">
        <v>4475</v>
      </c>
      <c r="K832" s="33" t="s">
        <v>6280</v>
      </c>
      <c r="L832" s="33">
        <v>1</v>
      </c>
      <c r="Y832" s="76" t="s">
        <v>5551</v>
      </c>
      <c r="AF832" s="33" t="s">
        <v>7131</v>
      </c>
      <c r="AI832" s="33" t="s">
        <v>7135</v>
      </c>
      <c r="AL832" s="33" t="s">
        <v>4475</v>
      </c>
      <c r="AM832" s="33" t="s">
        <v>6280</v>
      </c>
      <c r="AN832" s="33">
        <v>1</v>
      </c>
      <c r="AP832" s="83"/>
      <c r="AQ832" s="85"/>
      <c r="AR832" s="86"/>
      <c r="AS832" s="87"/>
      <c r="AV832" s="85"/>
      <c r="AW832" s="93"/>
      <c r="AX832" s="94"/>
      <c r="AY832" s="90"/>
      <c r="BB832" s="91"/>
      <c r="BG832" s="33" t="s">
        <v>7136</v>
      </c>
    </row>
    <row r="833" spans="1:59" ht="15" customHeight="1">
      <c r="A833" s="38" t="s">
        <v>7190</v>
      </c>
      <c r="B833" s="33" t="s">
        <v>7208</v>
      </c>
      <c r="C833" s="33" t="s">
        <v>7189</v>
      </c>
      <c r="D833" s="34">
        <v>206</v>
      </c>
      <c r="E833" s="33">
        <v>1</v>
      </c>
      <c r="F833" s="33" t="s">
        <v>7117</v>
      </c>
      <c r="G833" s="33" t="s">
        <v>7137</v>
      </c>
      <c r="J833" s="33" t="s">
        <v>4475</v>
      </c>
      <c r="K833" s="33" t="s">
        <v>6280</v>
      </c>
      <c r="L833" s="33">
        <v>2</v>
      </c>
      <c r="Y833" s="76" t="s">
        <v>38</v>
      </c>
      <c r="AF833" s="33" t="s">
        <v>7138</v>
      </c>
      <c r="AI833" s="33" t="s">
        <v>7139</v>
      </c>
      <c r="AL833" s="33" t="s">
        <v>4475</v>
      </c>
      <c r="AM833" s="33" t="s">
        <v>6280</v>
      </c>
      <c r="AN833" s="33">
        <v>2</v>
      </c>
      <c r="AP833" s="83"/>
      <c r="AQ833" s="85"/>
      <c r="AR833" s="86"/>
      <c r="AS833" s="87"/>
      <c r="AV833" s="85"/>
      <c r="AW833" s="93"/>
      <c r="AX833" s="94"/>
      <c r="AY833" s="90"/>
      <c r="BB833" s="91"/>
      <c r="BG833" s="33" t="s">
        <v>7140</v>
      </c>
    </row>
    <row r="834" spans="1:59" ht="15" customHeight="1">
      <c r="A834" s="38" t="s">
        <v>7190</v>
      </c>
      <c r="B834" s="33" t="s">
        <v>7209</v>
      </c>
      <c r="C834" s="33" t="s">
        <v>7189</v>
      </c>
      <c r="D834" s="34">
        <v>207</v>
      </c>
      <c r="E834" s="33">
        <v>1</v>
      </c>
      <c r="F834" s="33" t="s">
        <v>7117</v>
      </c>
      <c r="G834" s="33" t="s">
        <v>7141</v>
      </c>
      <c r="J834" s="33" t="s">
        <v>4475</v>
      </c>
      <c r="K834" s="33" t="s">
        <v>6280</v>
      </c>
      <c r="L834" s="33">
        <v>2</v>
      </c>
      <c r="Y834" s="76" t="s">
        <v>38</v>
      </c>
      <c r="AF834" s="33" t="s">
        <v>7142</v>
      </c>
      <c r="AI834" s="33" t="s">
        <v>7143</v>
      </c>
      <c r="AL834" s="33" t="s">
        <v>4475</v>
      </c>
      <c r="AM834" s="33" t="s">
        <v>6280</v>
      </c>
      <c r="AN834" s="33">
        <v>2</v>
      </c>
      <c r="AP834" s="83"/>
      <c r="AQ834" s="85"/>
      <c r="AR834" s="86"/>
      <c r="AS834" s="87"/>
      <c r="AV834" s="85"/>
      <c r="AW834" s="93"/>
      <c r="AX834" s="94"/>
      <c r="AY834" s="90"/>
      <c r="BB834" s="91"/>
      <c r="BG834" s="33" t="s">
        <v>7140</v>
      </c>
    </row>
    <row r="835" spans="1:59" ht="15" customHeight="1">
      <c r="A835" s="38" t="s">
        <v>7190</v>
      </c>
      <c r="B835" s="33" t="s">
        <v>7210</v>
      </c>
      <c r="C835" s="33" t="s">
        <v>7189</v>
      </c>
      <c r="D835" s="34">
        <v>208</v>
      </c>
      <c r="E835" s="33">
        <v>1</v>
      </c>
      <c r="F835" s="33" t="s">
        <v>7117</v>
      </c>
      <c r="G835" s="33" t="s">
        <v>7144</v>
      </c>
      <c r="J835" s="33" t="s">
        <v>31</v>
      </c>
      <c r="K835" s="33" t="s">
        <v>6280</v>
      </c>
      <c r="AD835" s="33" t="s">
        <v>7145</v>
      </c>
      <c r="AI835" s="33" t="s">
        <v>7144</v>
      </c>
      <c r="AL835" s="33" t="s">
        <v>31</v>
      </c>
      <c r="AM835" s="33" t="s">
        <v>6280</v>
      </c>
      <c r="AP835" s="83"/>
      <c r="AQ835" s="85"/>
      <c r="AR835" s="86"/>
      <c r="AS835" s="87"/>
      <c r="AV835" s="85"/>
      <c r="AW835" s="93"/>
      <c r="AX835" s="94"/>
      <c r="AY835" s="90">
        <v>2</v>
      </c>
      <c r="AZ835" s="76" t="s">
        <v>4927</v>
      </c>
      <c r="BB835" s="91"/>
      <c r="BE835" s="33" t="s">
        <v>7145</v>
      </c>
      <c r="BG835" s="33" t="s">
        <v>7146</v>
      </c>
    </row>
    <row r="836" spans="1:59" ht="15" customHeight="1">
      <c r="A836" s="38" t="s">
        <v>7190</v>
      </c>
      <c r="B836" s="33" t="s">
        <v>7211</v>
      </c>
      <c r="C836" s="33" t="s">
        <v>7189</v>
      </c>
      <c r="D836" s="34">
        <v>209</v>
      </c>
      <c r="E836" s="33">
        <v>1</v>
      </c>
      <c r="F836" s="33" t="s">
        <v>7117</v>
      </c>
      <c r="G836" s="33" t="s">
        <v>7147</v>
      </c>
      <c r="J836" s="33" t="s">
        <v>31</v>
      </c>
      <c r="K836" s="33" t="s">
        <v>6280</v>
      </c>
      <c r="AD836" s="33" t="s">
        <v>7145</v>
      </c>
      <c r="AI836" s="33" t="s">
        <v>7147</v>
      </c>
      <c r="AL836" s="33" t="s">
        <v>31</v>
      </c>
      <c r="AM836" s="33" t="s">
        <v>6280</v>
      </c>
      <c r="AP836" s="83"/>
      <c r="AQ836" s="85"/>
      <c r="AR836" s="86"/>
      <c r="AS836" s="87"/>
      <c r="AV836" s="85"/>
      <c r="AW836" s="93"/>
      <c r="AX836" s="94"/>
      <c r="AY836" s="90">
        <v>3</v>
      </c>
      <c r="AZ836" s="76" t="s">
        <v>4927</v>
      </c>
      <c r="BB836" s="91"/>
      <c r="BE836" s="33" t="s">
        <v>7145</v>
      </c>
      <c r="BG836" s="33" t="s">
        <v>7148</v>
      </c>
    </row>
    <row r="837" spans="1:59" ht="15" customHeight="1">
      <c r="A837" s="38" t="s">
        <v>7190</v>
      </c>
      <c r="B837" s="33" t="s">
        <v>7212</v>
      </c>
      <c r="C837" s="33" t="s">
        <v>7189</v>
      </c>
      <c r="D837" s="34">
        <v>210</v>
      </c>
      <c r="E837" s="33">
        <v>1</v>
      </c>
      <c r="F837" s="33" t="s">
        <v>7117</v>
      </c>
      <c r="G837" s="33" t="s">
        <v>7147</v>
      </c>
      <c r="J837" s="33" t="s">
        <v>31</v>
      </c>
      <c r="K837" s="33" t="s">
        <v>6280</v>
      </c>
      <c r="AD837" s="33" t="s">
        <v>7145</v>
      </c>
      <c r="AI837" s="33" t="s">
        <v>7147</v>
      </c>
      <c r="AL837" s="33" t="s">
        <v>31</v>
      </c>
      <c r="AM837" s="33" t="s">
        <v>6280</v>
      </c>
      <c r="AP837" s="83"/>
      <c r="AQ837" s="85"/>
      <c r="AR837" s="86"/>
      <c r="AS837" s="87"/>
      <c r="AV837" s="85"/>
      <c r="AW837" s="93"/>
      <c r="AX837" s="94"/>
      <c r="AY837" s="90">
        <v>2</v>
      </c>
      <c r="AZ837" s="76" t="s">
        <v>4927</v>
      </c>
      <c r="BB837" s="91"/>
      <c r="BE837" s="33" t="s">
        <v>7145</v>
      </c>
      <c r="BG837" s="33" t="s">
        <v>7149</v>
      </c>
    </row>
    <row r="838" spans="1:59" ht="15" customHeight="1">
      <c r="A838" s="38" t="s">
        <v>7190</v>
      </c>
      <c r="B838" s="33" t="s">
        <v>7213</v>
      </c>
      <c r="C838" s="33" t="s">
        <v>7189</v>
      </c>
      <c r="D838" s="34">
        <v>211</v>
      </c>
      <c r="E838" s="33">
        <v>1</v>
      </c>
      <c r="F838" s="33" t="s">
        <v>7117</v>
      </c>
      <c r="G838" s="33" t="s">
        <v>7150</v>
      </c>
      <c r="H838" s="33" t="s">
        <v>7151</v>
      </c>
      <c r="J838" s="33" t="s">
        <v>31</v>
      </c>
      <c r="K838" s="33" t="s">
        <v>6280</v>
      </c>
      <c r="AD838" s="33" t="s">
        <v>7152</v>
      </c>
      <c r="AI838" s="33" t="s">
        <v>7150</v>
      </c>
      <c r="AJ838" s="33" t="s">
        <v>7151</v>
      </c>
      <c r="AL838" s="33" t="s">
        <v>31</v>
      </c>
      <c r="AM838" s="33" t="s">
        <v>6280</v>
      </c>
      <c r="AP838" s="83"/>
      <c r="AQ838" s="85"/>
      <c r="AR838" s="86"/>
      <c r="AS838" s="87"/>
      <c r="AV838" s="85"/>
      <c r="AW838" s="93"/>
      <c r="AX838" s="94"/>
      <c r="AY838" s="90">
        <v>3</v>
      </c>
      <c r="AZ838" s="76" t="s">
        <v>4927</v>
      </c>
      <c r="BB838" s="91">
        <v>1</v>
      </c>
      <c r="BE838" s="33" t="s">
        <v>7152</v>
      </c>
      <c r="BG838" s="33" t="s">
        <v>7153</v>
      </c>
    </row>
    <row r="839" spans="1:59" ht="15" customHeight="1">
      <c r="A839" s="38" t="s">
        <v>7190</v>
      </c>
      <c r="B839" s="33" t="s">
        <v>7214</v>
      </c>
      <c r="C839" s="33" t="s">
        <v>7189</v>
      </c>
      <c r="D839" s="34">
        <v>212</v>
      </c>
      <c r="E839" s="33">
        <v>1</v>
      </c>
      <c r="F839" s="33" t="s">
        <v>7117</v>
      </c>
      <c r="G839" s="33" t="s">
        <v>7154</v>
      </c>
      <c r="J839" s="33" t="s">
        <v>31</v>
      </c>
      <c r="K839" s="33" t="s">
        <v>6280</v>
      </c>
      <c r="AD839" s="33" t="s">
        <v>7145</v>
      </c>
      <c r="AI839" s="33" t="s">
        <v>7154</v>
      </c>
      <c r="AL839" s="33" t="s">
        <v>31</v>
      </c>
      <c r="AM839" s="33" t="s">
        <v>6280</v>
      </c>
      <c r="AP839" s="83"/>
      <c r="AQ839" s="85"/>
      <c r="AR839" s="86"/>
      <c r="AS839" s="87"/>
      <c r="AV839" s="85"/>
      <c r="AW839" s="93"/>
      <c r="AX839" s="94"/>
      <c r="AY839" s="90">
        <v>5</v>
      </c>
      <c r="AZ839" s="76" t="s">
        <v>4927</v>
      </c>
      <c r="BB839" s="91"/>
      <c r="BE839" s="33" t="s">
        <v>7145</v>
      </c>
      <c r="BG839" s="33" t="s">
        <v>7155</v>
      </c>
    </row>
    <row r="840" spans="1:59" ht="15" customHeight="1">
      <c r="A840" s="38" t="s">
        <v>7190</v>
      </c>
      <c r="B840" s="33" t="s">
        <v>7215</v>
      </c>
      <c r="C840" s="33" t="s">
        <v>7189</v>
      </c>
      <c r="D840" s="34">
        <v>213</v>
      </c>
      <c r="E840" s="33">
        <v>1</v>
      </c>
      <c r="F840" s="33" t="s">
        <v>7117</v>
      </c>
      <c r="G840" s="33" t="s">
        <v>7154</v>
      </c>
      <c r="J840" s="33" t="s">
        <v>31</v>
      </c>
      <c r="K840" s="33" t="s">
        <v>6280</v>
      </c>
      <c r="AD840" s="33" t="s">
        <v>7145</v>
      </c>
      <c r="AI840" s="33" t="s">
        <v>7154</v>
      </c>
      <c r="AL840" s="33" t="s">
        <v>31</v>
      </c>
      <c r="AM840" s="33" t="s">
        <v>6280</v>
      </c>
      <c r="AP840" s="83"/>
      <c r="AQ840" s="85"/>
      <c r="AR840" s="86"/>
      <c r="AS840" s="87"/>
      <c r="AV840" s="85"/>
      <c r="AW840" s="93"/>
      <c r="AX840" s="94"/>
      <c r="AY840" s="90">
        <v>6</v>
      </c>
      <c r="AZ840" s="76" t="s">
        <v>4927</v>
      </c>
      <c r="BB840" s="91"/>
      <c r="BE840" s="33" t="s">
        <v>7145</v>
      </c>
      <c r="BG840" s="33" t="s">
        <v>7156</v>
      </c>
    </row>
    <row r="841" spans="1:59" ht="15" customHeight="1">
      <c r="A841" s="38" t="s">
        <v>7190</v>
      </c>
      <c r="B841" s="33" t="s">
        <v>7216</v>
      </c>
      <c r="C841" s="33" t="s">
        <v>7189</v>
      </c>
      <c r="D841" s="34">
        <v>214</v>
      </c>
      <c r="E841" s="33">
        <v>1</v>
      </c>
      <c r="F841" s="33" t="s">
        <v>7117</v>
      </c>
      <c r="G841" s="33" t="s">
        <v>7157</v>
      </c>
      <c r="J841" s="33" t="s">
        <v>31</v>
      </c>
      <c r="K841" s="33" t="s">
        <v>6280</v>
      </c>
      <c r="AD841" s="33" t="s">
        <v>7145</v>
      </c>
      <c r="AI841" s="33" t="s">
        <v>7157</v>
      </c>
      <c r="AL841" s="33" t="s">
        <v>31</v>
      </c>
      <c r="AM841" s="33" t="s">
        <v>6280</v>
      </c>
      <c r="AP841" s="83"/>
      <c r="AQ841" s="85"/>
      <c r="AR841" s="86"/>
      <c r="AS841" s="87"/>
      <c r="AV841" s="85"/>
      <c r="AW841" s="93"/>
      <c r="AX841" s="94"/>
      <c r="AY841" s="90">
        <v>4</v>
      </c>
      <c r="AZ841" s="76" t="s">
        <v>4927</v>
      </c>
      <c r="BB841" s="91"/>
      <c r="BE841" s="33" t="s">
        <v>7145</v>
      </c>
      <c r="BG841" s="33" t="s">
        <v>7158</v>
      </c>
    </row>
    <row r="842" spans="1:59" ht="15" customHeight="1">
      <c r="A842" s="38" t="s">
        <v>7190</v>
      </c>
      <c r="B842" s="33" t="s">
        <v>7217</v>
      </c>
      <c r="C842" s="33" t="s">
        <v>7189</v>
      </c>
      <c r="D842" s="34">
        <v>215</v>
      </c>
      <c r="E842" s="33">
        <v>1</v>
      </c>
      <c r="F842" s="33" t="s">
        <v>7117</v>
      </c>
      <c r="G842" s="33" t="s">
        <v>7159</v>
      </c>
      <c r="J842" s="33" t="s">
        <v>31</v>
      </c>
      <c r="K842" s="33" t="s">
        <v>6280</v>
      </c>
      <c r="AD842" s="33" t="s">
        <v>7152</v>
      </c>
      <c r="AI842" s="33" t="s">
        <v>7159</v>
      </c>
      <c r="AL842" s="33" t="s">
        <v>31</v>
      </c>
      <c r="AM842" s="33" t="s">
        <v>6280</v>
      </c>
      <c r="AP842" s="83"/>
      <c r="AQ842" s="85"/>
      <c r="AR842" s="86"/>
      <c r="AS842" s="87"/>
      <c r="AV842" s="85"/>
      <c r="AW842" s="93"/>
      <c r="AX842" s="94"/>
      <c r="AY842" s="90">
        <v>1</v>
      </c>
      <c r="AZ842" s="76" t="s">
        <v>4965</v>
      </c>
      <c r="BB842" s="91">
        <v>1</v>
      </c>
      <c r="BE842" s="33" t="s">
        <v>7152</v>
      </c>
      <c r="BG842" s="33" t="s">
        <v>7160</v>
      </c>
    </row>
    <row r="843" spans="1:59" ht="15" customHeight="1">
      <c r="A843" s="38" t="s">
        <v>7190</v>
      </c>
      <c r="B843" s="33" t="s">
        <v>7218</v>
      </c>
      <c r="C843" s="33" t="s">
        <v>7189</v>
      </c>
      <c r="D843" s="34">
        <v>216</v>
      </c>
      <c r="E843" s="33">
        <v>1</v>
      </c>
      <c r="F843" s="33" t="s">
        <v>7117</v>
      </c>
      <c r="G843" s="33" t="s">
        <v>7161</v>
      </c>
      <c r="J843" s="33" t="s">
        <v>31</v>
      </c>
      <c r="K843" s="33" t="s">
        <v>6280</v>
      </c>
      <c r="AD843" s="33" t="s">
        <v>7152</v>
      </c>
      <c r="AI843" s="33" t="s">
        <v>7161</v>
      </c>
      <c r="AL843" s="33" t="s">
        <v>31</v>
      </c>
      <c r="AM843" s="33" t="s">
        <v>6280</v>
      </c>
      <c r="AP843" s="83"/>
      <c r="AQ843" s="85"/>
      <c r="AR843" s="86"/>
      <c r="AS843" s="87"/>
      <c r="AV843" s="85"/>
      <c r="AW843" s="93"/>
      <c r="AX843" s="94"/>
      <c r="AY843" s="90">
        <v>4</v>
      </c>
      <c r="AZ843" s="76" t="s">
        <v>4927</v>
      </c>
      <c r="BB843" s="91">
        <v>1</v>
      </c>
      <c r="BE843" s="33" t="s">
        <v>7152</v>
      </c>
      <c r="BG843" s="33" t="s">
        <v>7162</v>
      </c>
    </row>
    <row r="844" spans="1:59" ht="15" customHeight="1">
      <c r="A844" s="38" t="s">
        <v>7190</v>
      </c>
      <c r="B844" s="40" t="s">
        <v>7219</v>
      </c>
      <c r="C844" s="33" t="s">
        <v>7189</v>
      </c>
      <c r="D844" s="34">
        <v>217</v>
      </c>
      <c r="E844" s="33">
        <v>1</v>
      </c>
      <c r="F844" s="33" t="s">
        <v>7117</v>
      </c>
      <c r="G844" s="33" t="s">
        <v>7163</v>
      </c>
      <c r="J844" s="33" t="s">
        <v>31</v>
      </c>
      <c r="K844" s="33" t="s">
        <v>6280</v>
      </c>
      <c r="AD844" s="33" t="s">
        <v>7145</v>
      </c>
      <c r="AI844" s="33" t="s">
        <v>7163</v>
      </c>
      <c r="AL844" s="33" t="s">
        <v>31</v>
      </c>
      <c r="AM844" s="33" t="s">
        <v>6280</v>
      </c>
      <c r="AP844" s="83"/>
      <c r="AQ844" s="85"/>
      <c r="AR844" s="86"/>
      <c r="AS844" s="87"/>
      <c r="AV844" s="85"/>
      <c r="AW844" s="93"/>
      <c r="AX844" s="94"/>
      <c r="AY844" s="90">
        <v>3</v>
      </c>
      <c r="AZ844" s="76" t="s">
        <v>4927</v>
      </c>
      <c r="BB844" s="91"/>
      <c r="BE844" s="33" t="s">
        <v>7145</v>
      </c>
      <c r="BG844" s="33" t="s">
        <v>7164</v>
      </c>
    </row>
    <row r="845" spans="1:59" ht="15" customHeight="1">
      <c r="A845" s="38" t="s">
        <v>7190</v>
      </c>
      <c r="B845" s="33" t="s">
        <v>7220</v>
      </c>
      <c r="C845" s="33" t="s">
        <v>7189</v>
      </c>
      <c r="D845" s="34">
        <v>218</v>
      </c>
      <c r="E845" s="33">
        <v>1</v>
      </c>
      <c r="F845" s="33" t="s">
        <v>7117</v>
      </c>
      <c r="G845" s="33" t="s">
        <v>7163</v>
      </c>
      <c r="J845" s="33" t="s">
        <v>31</v>
      </c>
      <c r="K845" s="33" t="s">
        <v>6280</v>
      </c>
      <c r="AD845" s="33" t="s">
        <v>7145</v>
      </c>
      <c r="AI845" s="33" t="s">
        <v>7163</v>
      </c>
      <c r="AL845" s="33" t="s">
        <v>31</v>
      </c>
      <c r="AM845" s="33" t="s">
        <v>6280</v>
      </c>
      <c r="AP845" s="83"/>
      <c r="AQ845" s="85"/>
      <c r="AR845" s="86"/>
      <c r="AS845" s="87"/>
      <c r="AV845" s="85"/>
      <c r="AW845" s="93"/>
      <c r="AX845" s="94"/>
      <c r="AY845" s="90">
        <v>1</v>
      </c>
      <c r="AZ845" s="76" t="s">
        <v>4927</v>
      </c>
      <c r="BB845" s="91"/>
      <c r="BE845" s="33" t="s">
        <v>7145</v>
      </c>
      <c r="BG845" s="33" t="s">
        <v>7165</v>
      </c>
    </row>
    <row r="846" spans="1:59" ht="15" customHeight="1">
      <c r="A846" s="38" t="s">
        <v>7190</v>
      </c>
      <c r="B846" s="33" t="s">
        <v>7221</v>
      </c>
      <c r="C846" s="33" t="s">
        <v>7189</v>
      </c>
      <c r="D846" s="34">
        <v>219</v>
      </c>
      <c r="E846" s="33">
        <v>1</v>
      </c>
      <c r="F846" s="33" t="s">
        <v>7117</v>
      </c>
      <c r="G846" s="33" t="s">
        <v>7166</v>
      </c>
      <c r="J846" s="33" t="s">
        <v>31</v>
      </c>
      <c r="K846" s="33" t="s">
        <v>6280</v>
      </c>
      <c r="AD846" s="33" t="s">
        <v>7145</v>
      </c>
      <c r="AI846" s="33" t="s">
        <v>7166</v>
      </c>
      <c r="AL846" s="33" t="s">
        <v>31</v>
      </c>
      <c r="AM846" s="33" t="s">
        <v>6280</v>
      </c>
      <c r="AP846" s="83"/>
      <c r="AQ846" s="85"/>
      <c r="AR846" s="86"/>
      <c r="AS846" s="87"/>
      <c r="AV846" s="85"/>
      <c r="AW846" s="93"/>
      <c r="AX846" s="94"/>
      <c r="AY846" s="90">
        <v>3</v>
      </c>
      <c r="AZ846" s="76" t="s">
        <v>4927</v>
      </c>
      <c r="BB846" s="91"/>
      <c r="BE846" s="33" t="s">
        <v>7145</v>
      </c>
      <c r="BG846" s="33" t="s">
        <v>7167</v>
      </c>
    </row>
    <row r="847" spans="1:59" ht="15" customHeight="1">
      <c r="A847" s="38" t="s">
        <v>7190</v>
      </c>
      <c r="B847" s="33" t="s">
        <v>7222</v>
      </c>
      <c r="C847" s="33" t="s">
        <v>7189</v>
      </c>
      <c r="D847" s="34">
        <v>220</v>
      </c>
      <c r="E847" s="33">
        <v>1</v>
      </c>
      <c r="F847" s="33" t="s">
        <v>7117</v>
      </c>
      <c r="G847" s="33" t="s">
        <v>7168</v>
      </c>
      <c r="J847" s="33" t="s">
        <v>31</v>
      </c>
      <c r="K847" s="33" t="s">
        <v>6280</v>
      </c>
      <c r="AD847" s="33" t="s">
        <v>7152</v>
      </c>
      <c r="AI847" s="33" t="s">
        <v>7168</v>
      </c>
      <c r="AL847" s="33" t="s">
        <v>31</v>
      </c>
      <c r="AM847" s="33" t="s">
        <v>6280</v>
      </c>
      <c r="AP847" s="83"/>
      <c r="AQ847" s="85"/>
      <c r="AR847" s="86"/>
      <c r="AS847" s="87"/>
      <c r="AV847" s="85"/>
      <c r="AW847" s="93"/>
      <c r="AX847" s="94"/>
      <c r="AY847" s="90">
        <v>3</v>
      </c>
      <c r="AZ847" s="76" t="s">
        <v>4927</v>
      </c>
      <c r="BB847" s="91">
        <v>1</v>
      </c>
      <c r="BE847" s="33" t="s">
        <v>7152</v>
      </c>
      <c r="BG847" s="33" t="s">
        <v>7169</v>
      </c>
    </row>
    <row r="848" spans="1:59" ht="15" customHeight="1">
      <c r="A848" s="38" t="s">
        <v>7190</v>
      </c>
      <c r="B848" s="33" t="s">
        <v>7223</v>
      </c>
      <c r="C848" s="33" t="s">
        <v>7189</v>
      </c>
      <c r="D848" s="34">
        <v>221</v>
      </c>
      <c r="E848" s="33">
        <v>1</v>
      </c>
      <c r="F848" s="33" t="s">
        <v>7117</v>
      </c>
      <c r="G848" s="33" t="s">
        <v>7170</v>
      </c>
      <c r="H848" s="33" t="s">
        <v>7171</v>
      </c>
      <c r="I848" s="33" t="s">
        <v>4077</v>
      </c>
      <c r="J848" s="33" t="s">
        <v>29</v>
      </c>
      <c r="K848" s="33" t="s">
        <v>6280</v>
      </c>
      <c r="Q848" s="75">
        <v>3</v>
      </c>
      <c r="R848" s="76">
        <v>5</v>
      </c>
      <c r="T848" s="78" t="s">
        <v>38</v>
      </c>
      <c r="W848" s="80">
        <v>1</v>
      </c>
      <c r="AD848" s="33" t="s">
        <v>7172</v>
      </c>
      <c r="AF848" s="33" t="s">
        <v>7173</v>
      </c>
      <c r="AI848" s="33" t="s">
        <v>7170</v>
      </c>
      <c r="AJ848" s="33" t="s">
        <v>7174</v>
      </c>
      <c r="AL848" s="33" t="s">
        <v>29</v>
      </c>
      <c r="AM848" s="33" t="s">
        <v>6280</v>
      </c>
      <c r="AP848" s="83"/>
      <c r="AQ848" s="85"/>
      <c r="AR848" s="86"/>
      <c r="AS848" s="87">
        <v>5</v>
      </c>
      <c r="AT848" s="76">
        <v>3</v>
      </c>
      <c r="AU848" s="78" t="s">
        <v>38</v>
      </c>
      <c r="AV848" s="85"/>
      <c r="AW848" s="93"/>
      <c r="AX848" s="94">
        <v>3</v>
      </c>
      <c r="AY848" s="90"/>
      <c r="BB848" s="91"/>
      <c r="BE848" s="33" t="s">
        <v>7172</v>
      </c>
      <c r="BG848" s="33" t="s">
        <v>7175</v>
      </c>
    </row>
    <row r="849" spans="1:58" ht="15" customHeight="1">
      <c r="A849" s="38" t="s">
        <v>7190</v>
      </c>
      <c r="B849" s="33" t="s">
        <v>7224</v>
      </c>
      <c r="C849" s="33" t="s">
        <v>7189</v>
      </c>
      <c r="D849" s="34">
        <v>222</v>
      </c>
      <c r="E849" s="33">
        <v>2</v>
      </c>
      <c r="F849" s="33" t="s">
        <v>7117</v>
      </c>
      <c r="G849" s="33" t="s">
        <v>7176</v>
      </c>
      <c r="J849" s="33" t="s">
        <v>29</v>
      </c>
      <c r="K849" s="33" t="s">
        <v>6280</v>
      </c>
      <c r="Q849" s="75">
        <v>5</v>
      </c>
      <c r="R849" s="76">
        <v>3</v>
      </c>
      <c r="T849" s="78">
        <v>2</v>
      </c>
      <c r="V849" s="79">
        <v>2</v>
      </c>
      <c r="W849" s="80">
        <v>1</v>
      </c>
      <c r="AD849" s="33" t="s">
        <v>4690</v>
      </c>
      <c r="AF849" s="33" t="s">
        <v>7177</v>
      </c>
      <c r="AP849" s="83"/>
      <c r="AQ849" s="85"/>
      <c r="AR849" s="86"/>
      <c r="AS849" s="87"/>
      <c r="AV849" s="85"/>
      <c r="AW849" s="93"/>
      <c r="AX849" s="94"/>
      <c r="AY849" s="90"/>
      <c r="BB849" s="91"/>
    </row>
    <row r="850" spans="1:58" ht="15" customHeight="1">
      <c r="A850" s="38" t="s">
        <v>7190</v>
      </c>
      <c r="B850" s="33" t="s">
        <v>7225</v>
      </c>
      <c r="C850" s="33" t="s">
        <v>7189</v>
      </c>
      <c r="D850" s="34">
        <v>223</v>
      </c>
      <c r="E850" s="33">
        <v>2</v>
      </c>
      <c r="F850" s="33" t="s">
        <v>7117</v>
      </c>
      <c r="G850" s="33" t="s">
        <v>7178</v>
      </c>
      <c r="J850" s="33" t="s">
        <v>28</v>
      </c>
      <c r="K850" s="33" t="s">
        <v>6280</v>
      </c>
      <c r="AD850" s="33" t="s">
        <v>4346</v>
      </c>
      <c r="AF850" s="33" t="s">
        <v>7179</v>
      </c>
      <c r="AP850" s="83"/>
      <c r="AQ850" s="85"/>
      <c r="AR850" s="86"/>
      <c r="AS850" s="87"/>
      <c r="AV850" s="85"/>
      <c r="AW850" s="93"/>
      <c r="AX850" s="94"/>
      <c r="AY850" s="90"/>
      <c r="BB850" s="91"/>
    </row>
    <row r="851" spans="1:58" ht="15" customHeight="1">
      <c r="A851" s="38" t="s">
        <v>7190</v>
      </c>
      <c r="B851" s="40" t="s">
        <v>7226</v>
      </c>
      <c r="C851" s="33" t="s">
        <v>7189</v>
      </c>
      <c r="D851" s="34">
        <v>224</v>
      </c>
      <c r="E851" s="33">
        <v>3</v>
      </c>
      <c r="F851" s="33" t="s">
        <v>7117</v>
      </c>
      <c r="G851" s="33" t="s">
        <v>7180</v>
      </c>
      <c r="J851" s="33" t="s">
        <v>28</v>
      </c>
      <c r="K851" s="33" t="s">
        <v>6280</v>
      </c>
      <c r="AD851" s="33" t="s">
        <v>4346</v>
      </c>
      <c r="AF851" s="33" t="s">
        <v>7181</v>
      </c>
      <c r="AP851" s="83"/>
      <c r="AQ851" s="85"/>
      <c r="AR851" s="86"/>
      <c r="AS851" s="87"/>
      <c r="AV851" s="85"/>
      <c r="AW851" s="93"/>
      <c r="AX851" s="94"/>
      <c r="AY851" s="90"/>
      <c r="BB851" s="91"/>
    </row>
    <row r="852" spans="1:58" ht="15" customHeight="1">
      <c r="A852" s="38" t="s">
        <v>7190</v>
      </c>
      <c r="B852" s="33" t="s">
        <v>7227</v>
      </c>
      <c r="C852" s="33" t="s">
        <v>7189</v>
      </c>
      <c r="D852" s="34">
        <v>225</v>
      </c>
      <c r="E852" s="33">
        <v>3</v>
      </c>
      <c r="F852" s="33" t="s">
        <v>7117</v>
      </c>
      <c r="G852" s="33" t="s">
        <v>7182</v>
      </c>
      <c r="J852" s="33" t="s">
        <v>28</v>
      </c>
      <c r="K852" s="33" t="s">
        <v>6280</v>
      </c>
      <c r="AD852" s="33" t="s">
        <v>5536</v>
      </c>
      <c r="AF852" s="33" t="s">
        <v>7183</v>
      </c>
      <c r="AP852" s="83"/>
      <c r="AQ852" s="85"/>
      <c r="AR852" s="86"/>
      <c r="AS852" s="87"/>
      <c r="AV852" s="85"/>
      <c r="AW852" s="93"/>
      <c r="AX852" s="94"/>
      <c r="AY852" s="90"/>
      <c r="BB852" s="91"/>
    </row>
    <row r="853" spans="1:58" ht="15" customHeight="1">
      <c r="A853" s="38" t="s">
        <v>7190</v>
      </c>
      <c r="B853" s="33" t="s">
        <v>7228</v>
      </c>
      <c r="C853" s="33" t="s">
        <v>7189</v>
      </c>
      <c r="D853" s="34">
        <v>226</v>
      </c>
      <c r="E853" s="33">
        <v>2</v>
      </c>
      <c r="F853" s="33" t="s">
        <v>7117</v>
      </c>
      <c r="G853" s="33" t="s">
        <v>4336</v>
      </c>
      <c r="J853" s="33" t="s">
        <v>28</v>
      </c>
      <c r="K853" s="33" t="s">
        <v>6280</v>
      </c>
      <c r="AD853" s="33" t="s">
        <v>4335</v>
      </c>
      <c r="AF853" s="33" t="s">
        <v>4490</v>
      </c>
      <c r="AP853" s="83"/>
      <c r="AQ853" s="85"/>
      <c r="AR853" s="86"/>
      <c r="AS853" s="87"/>
      <c r="AV853" s="85"/>
      <c r="AW853" s="93"/>
      <c r="AX853" s="94"/>
      <c r="AY853" s="90"/>
      <c r="BB853" s="91"/>
    </row>
    <row r="854" spans="1:58" ht="15" customHeight="1">
      <c r="A854" s="38" t="s">
        <v>7190</v>
      </c>
      <c r="B854" s="33" t="s">
        <v>7229</v>
      </c>
      <c r="C854" s="33" t="s">
        <v>7189</v>
      </c>
      <c r="D854" s="34">
        <v>227</v>
      </c>
      <c r="E854" s="33">
        <v>4</v>
      </c>
      <c r="F854" s="33" t="s">
        <v>7117</v>
      </c>
      <c r="G854" s="33" t="s">
        <v>7184</v>
      </c>
      <c r="J854" s="33" t="s">
        <v>28</v>
      </c>
      <c r="K854" s="33" t="s">
        <v>26</v>
      </c>
      <c r="M854" s="33" t="s">
        <v>4502</v>
      </c>
      <c r="AD854" s="33" t="s">
        <v>7185</v>
      </c>
      <c r="AF854" s="33" t="s">
        <v>7186</v>
      </c>
      <c r="AP854" s="83"/>
      <c r="AQ854" s="85"/>
      <c r="AR854" s="86"/>
      <c r="AS854" s="87"/>
      <c r="AV854" s="85"/>
      <c r="AW854" s="93"/>
      <c r="AX854" s="94"/>
      <c r="AY854" s="90"/>
      <c r="BB854" s="91"/>
    </row>
    <row r="855" spans="1:58" ht="15" customHeight="1">
      <c r="A855" s="33" t="s">
        <v>7230</v>
      </c>
      <c r="B855" s="33" t="s">
        <v>7231</v>
      </c>
      <c r="C855" s="33" t="s">
        <v>7232</v>
      </c>
      <c r="D855" s="33">
        <v>228</v>
      </c>
      <c r="E855" s="33">
        <v>2</v>
      </c>
      <c r="G855" s="33" t="s">
        <v>7233</v>
      </c>
      <c r="J855" s="33" t="s">
        <v>4166</v>
      </c>
      <c r="K855" s="33" t="s">
        <v>4052</v>
      </c>
      <c r="L855" s="33">
        <v>0</v>
      </c>
      <c r="N855" s="33"/>
      <c r="O855" s="128">
        <v>1</v>
      </c>
      <c r="P855" s="129">
        <v>1</v>
      </c>
      <c r="Q855" s="130">
        <v>1</v>
      </c>
      <c r="R855" s="39"/>
      <c r="S855" s="131"/>
      <c r="T855" s="132"/>
      <c r="U855" s="128"/>
      <c r="V855" s="133"/>
      <c r="W855" s="134"/>
      <c r="X855" s="135"/>
      <c r="Y855" s="39"/>
      <c r="Z855" s="132"/>
      <c r="AA855" s="136"/>
      <c r="AB855" s="26" t="s">
        <v>7234</v>
      </c>
      <c r="AD855" s="33" t="s">
        <v>4266</v>
      </c>
      <c r="AE855" s="33"/>
      <c r="AF855" s="33" t="s">
        <v>7235</v>
      </c>
      <c r="AO855" s="34"/>
      <c r="AP855" s="33"/>
      <c r="AQ855" s="139"/>
      <c r="AR855" s="140"/>
      <c r="AS855" s="141"/>
      <c r="AT855" s="39"/>
      <c r="AU855" s="132"/>
      <c r="AV855" s="139"/>
      <c r="AW855" s="146"/>
      <c r="AX855" s="147"/>
      <c r="AY855" s="144"/>
      <c r="AZ855" s="39"/>
      <c r="BA855" s="132"/>
      <c r="BB855" s="145"/>
      <c r="BE855" s="34"/>
      <c r="BF855" s="33"/>
    </row>
    <row r="856" spans="1:58" ht="15" customHeight="1">
      <c r="A856" s="33" t="s">
        <v>7230</v>
      </c>
      <c r="B856" s="33" t="s">
        <v>7236</v>
      </c>
      <c r="C856" s="33" t="s">
        <v>7232</v>
      </c>
      <c r="D856" s="33">
        <v>229</v>
      </c>
      <c r="E856" s="33">
        <v>2</v>
      </c>
      <c r="G856" s="33" t="s">
        <v>7237</v>
      </c>
      <c r="J856" s="33" t="s">
        <v>27</v>
      </c>
      <c r="K856" s="33" t="s">
        <v>4052</v>
      </c>
      <c r="L856" s="33">
        <v>1</v>
      </c>
      <c r="N856" s="33">
        <v>0</v>
      </c>
      <c r="O856" s="128">
        <v>1</v>
      </c>
      <c r="P856" s="129"/>
      <c r="Q856" s="130">
        <v>1</v>
      </c>
      <c r="R856" s="39"/>
      <c r="S856" s="131"/>
      <c r="T856" s="132"/>
      <c r="U856" s="128"/>
      <c r="V856" s="133"/>
      <c r="W856" s="134"/>
      <c r="X856" s="135"/>
      <c r="Y856" s="155"/>
      <c r="Z856" s="132"/>
      <c r="AA856" s="136"/>
      <c r="AB856" s="26" t="s">
        <v>6033</v>
      </c>
      <c r="AD856" s="33" t="s">
        <v>7238</v>
      </c>
      <c r="AE856" s="33"/>
      <c r="AF856" s="33" t="s">
        <v>7239</v>
      </c>
      <c r="AO856" s="34"/>
      <c r="AP856" s="33"/>
      <c r="AQ856" s="139"/>
      <c r="AR856" s="140"/>
      <c r="AS856" s="141"/>
      <c r="AT856" s="39"/>
      <c r="AU856" s="132"/>
      <c r="AV856" s="139"/>
      <c r="AW856" s="146"/>
      <c r="AX856" s="147"/>
      <c r="AY856" s="144"/>
      <c r="AZ856" s="39"/>
      <c r="BA856" s="132"/>
      <c r="BB856" s="145"/>
      <c r="BE856" s="34"/>
      <c r="BF856" s="33"/>
    </row>
    <row r="857" spans="1:58" ht="15" customHeight="1">
      <c r="A857" s="33" t="s">
        <v>7230</v>
      </c>
      <c r="B857" s="33" t="s">
        <v>7240</v>
      </c>
      <c r="C857" s="33" t="s">
        <v>7232</v>
      </c>
      <c r="D857" s="33">
        <v>230</v>
      </c>
      <c r="E857" s="33">
        <v>2</v>
      </c>
      <c r="G857" s="33" t="s">
        <v>4148</v>
      </c>
      <c r="J857" s="33" t="s">
        <v>4111</v>
      </c>
      <c r="K857" s="33" t="s">
        <v>4052</v>
      </c>
      <c r="L857" s="33">
        <v>3</v>
      </c>
      <c r="N857" s="33">
        <v>2</v>
      </c>
      <c r="O857" s="128">
        <v>2</v>
      </c>
      <c r="P857" s="129"/>
      <c r="Q857" s="130"/>
      <c r="R857" s="39"/>
      <c r="S857" s="131"/>
      <c r="T857" s="132"/>
      <c r="U857" s="128"/>
      <c r="V857" s="133"/>
      <c r="W857" s="134"/>
      <c r="X857" s="135"/>
      <c r="Y857" s="39"/>
      <c r="Z857" s="132"/>
      <c r="AA857" s="136"/>
      <c r="AB857" s="26" t="s">
        <v>4948</v>
      </c>
      <c r="AD857" s="33" t="s">
        <v>4149</v>
      </c>
      <c r="AE857" s="33"/>
      <c r="AF857" s="33" t="s">
        <v>7241</v>
      </c>
      <c r="AO857" s="34"/>
      <c r="AP857" s="33"/>
      <c r="AQ857" s="139"/>
      <c r="AR857" s="140"/>
      <c r="AS857" s="141"/>
      <c r="AT857" s="39"/>
      <c r="AU857" s="132"/>
      <c r="AV857" s="139"/>
      <c r="AW857" s="146"/>
      <c r="AX857" s="147"/>
      <c r="AY857" s="144"/>
      <c r="AZ857" s="39"/>
      <c r="BA857" s="132"/>
      <c r="BB857" s="145"/>
      <c r="BE857" s="34"/>
      <c r="BF857" s="33"/>
    </row>
    <row r="858" spans="1:58" ht="15" customHeight="1">
      <c r="A858" s="33" t="s">
        <v>7230</v>
      </c>
      <c r="B858" s="33" t="s">
        <v>7242</v>
      </c>
      <c r="C858" s="33" t="s">
        <v>7232</v>
      </c>
      <c r="D858" s="33">
        <v>231</v>
      </c>
      <c r="E858" s="33">
        <v>2</v>
      </c>
      <c r="G858" s="33" t="s">
        <v>7243</v>
      </c>
      <c r="J858" s="33" t="s">
        <v>4166</v>
      </c>
      <c r="K858" s="33" t="s">
        <v>4053</v>
      </c>
      <c r="L858" s="33">
        <v>0</v>
      </c>
      <c r="N858" s="33"/>
      <c r="O858" s="128">
        <v>1</v>
      </c>
      <c r="P858" s="129">
        <v>1</v>
      </c>
      <c r="Q858" s="130"/>
      <c r="R858" s="39">
        <v>1</v>
      </c>
      <c r="S858" s="131"/>
      <c r="T858" s="132"/>
      <c r="U858" s="128"/>
      <c r="V858" s="133"/>
      <c r="W858" s="134"/>
      <c r="X858" s="135"/>
      <c r="Y858" s="39"/>
      <c r="Z858" s="132"/>
      <c r="AA858" s="136"/>
      <c r="AB858" s="26" t="s">
        <v>7244</v>
      </c>
      <c r="AD858" s="33" t="s">
        <v>4266</v>
      </c>
      <c r="AE858" s="33"/>
      <c r="AF858" s="33" t="s">
        <v>7245</v>
      </c>
      <c r="AO858" s="34"/>
      <c r="AP858" s="33"/>
      <c r="AQ858" s="139"/>
      <c r="AR858" s="140"/>
      <c r="AS858" s="141"/>
      <c r="AT858" s="39"/>
      <c r="AU858" s="132"/>
      <c r="AV858" s="139"/>
      <c r="AW858" s="146"/>
      <c r="AX858" s="147"/>
      <c r="AY858" s="144"/>
      <c r="AZ858" s="39"/>
      <c r="BA858" s="132"/>
      <c r="BB858" s="145"/>
      <c r="BE858" s="34"/>
      <c r="BF858" s="33"/>
    </row>
    <row r="859" spans="1:58" ht="15" customHeight="1">
      <c r="A859" s="33" t="s">
        <v>7230</v>
      </c>
      <c r="B859" s="33" t="s">
        <v>7246</v>
      </c>
      <c r="C859" s="33" t="s">
        <v>7232</v>
      </c>
      <c r="D859" s="33">
        <v>232</v>
      </c>
      <c r="E859" s="33">
        <v>2</v>
      </c>
      <c r="G859" s="33" t="s">
        <v>5255</v>
      </c>
      <c r="J859" s="33" t="s">
        <v>27</v>
      </c>
      <c r="K859" s="33" t="s">
        <v>4053</v>
      </c>
      <c r="L859" s="33">
        <v>2</v>
      </c>
      <c r="N859" s="33">
        <v>1</v>
      </c>
      <c r="O859" s="128">
        <v>1</v>
      </c>
      <c r="P859" s="129">
        <v>1</v>
      </c>
      <c r="Q859" s="130"/>
      <c r="R859" s="39">
        <v>1</v>
      </c>
      <c r="S859" s="131"/>
      <c r="T859" s="132"/>
      <c r="U859" s="128"/>
      <c r="V859" s="133"/>
      <c r="W859" s="134"/>
      <c r="X859" s="135"/>
      <c r="Y859" s="39"/>
      <c r="Z859" s="132"/>
      <c r="AA859" s="136"/>
      <c r="AB859" s="26" t="s">
        <v>7244</v>
      </c>
      <c r="AD859" s="33" t="s">
        <v>4198</v>
      </c>
      <c r="AE859" s="33"/>
      <c r="AF859" s="33" t="s">
        <v>7247</v>
      </c>
      <c r="AO859" s="34"/>
      <c r="AP859" s="33"/>
      <c r="AQ859" s="139"/>
      <c r="AR859" s="140"/>
      <c r="AS859" s="141"/>
      <c r="AT859" s="39"/>
      <c r="AU859" s="132"/>
      <c r="AV859" s="139"/>
      <c r="AW859" s="146"/>
      <c r="AX859" s="147"/>
      <c r="AY859" s="144"/>
      <c r="AZ859" s="39"/>
      <c r="BA859" s="132"/>
      <c r="BB859" s="145"/>
      <c r="BE859" s="34"/>
      <c r="BF859" s="33"/>
    </row>
    <row r="860" spans="1:58" ht="15" customHeight="1">
      <c r="A860" s="33" t="s">
        <v>7230</v>
      </c>
      <c r="B860" s="33" t="s">
        <v>7248</v>
      </c>
      <c r="C860" s="33" t="s">
        <v>7232</v>
      </c>
      <c r="D860" s="33">
        <v>233</v>
      </c>
      <c r="E860" s="33">
        <v>2</v>
      </c>
      <c r="G860" s="33" t="s">
        <v>7249</v>
      </c>
      <c r="J860" s="33" t="s">
        <v>4166</v>
      </c>
      <c r="K860" s="33" t="s">
        <v>4055</v>
      </c>
      <c r="L860" s="33">
        <v>0</v>
      </c>
      <c r="N860" s="33"/>
      <c r="O860" s="128">
        <v>1</v>
      </c>
      <c r="P860" s="129"/>
      <c r="Q860" s="130">
        <v>1</v>
      </c>
      <c r="R860" s="39">
        <v>1</v>
      </c>
      <c r="S860" s="131"/>
      <c r="T860" s="132"/>
      <c r="U860" s="128"/>
      <c r="V860" s="133"/>
      <c r="W860" s="134"/>
      <c r="X860" s="135"/>
      <c r="Y860" s="39"/>
      <c r="Z860" s="132"/>
      <c r="AA860" s="136"/>
      <c r="AB860" s="26" t="s">
        <v>7250</v>
      </c>
      <c r="AD860" s="33" t="s">
        <v>6457</v>
      </c>
      <c r="AE860" s="33"/>
      <c r="AF860" s="33" t="s">
        <v>7251</v>
      </c>
      <c r="AO860" s="34"/>
      <c r="AP860" s="33"/>
      <c r="AQ860" s="139"/>
      <c r="AR860" s="140"/>
      <c r="AS860" s="141"/>
      <c r="AT860" s="39"/>
      <c r="AU860" s="132"/>
      <c r="AV860" s="139"/>
      <c r="AW860" s="146"/>
      <c r="AX860" s="147"/>
      <c r="AY860" s="144"/>
      <c r="AZ860" s="39"/>
      <c r="BA860" s="132"/>
      <c r="BB860" s="145"/>
      <c r="BE860" s="34"/>
      <c r="BF860" s="33"/>
    </row>
    <row r="861" spans="1:58" ht="15" customHeight="1">
      <c r="A861" s="33" t="s">
        <v>7230</v>
      </c>
      <c r="B861" s="33" t="s">
        <v>7252</v>
      </c>
      <c r="C861" s="33" t="s">
        <v>7232</v>
      </c>
      <c r="D861" s="33">
        <v>234</v>
      </c>
      <c r="E861" s="33">
        <v>2</v>
      </c>
      <c r="G861" s="33" t="s">
        <v>4213</v>
      </c>
      <c r="J861" s="33" t="s">
        <v>4111</v>
      </c>
      <c r="K861" s="33" t="s">
        <v>4055</v>
      </c>
      <c r="L861" s="33">
        <v>2</v>
      </c>
      <c r="N861" s="33">
        <v>3</v>
      </c>
      <c r="O861" s="128"/>
      <c r="P861" s="129"/>
      <c r="Q861" s="130">
        <v>1</v>
      </c>
      <c r="R861" s="39">
        <v>1</v>
      </c>
      <c r="S861" s="131"/>
      <c r="T861" s="132"/>
      <c r="U861" s="128"/>
      <c r="V861" s="133"/>
      <c r="W861" s="134"/>
      <c r="X861" s="135"/>
      <c r="Y861" s="39"/>
      <c r="Z861" s="132"/>
      <c r="AA861" s="136"/>
      <c r="AB861" s="26" t="s">
        <v>6035</v>
      </c>
      <c r="AC861" s="33" t="s">
        <v>4112</v>
      </c>
      <c r="AD861" s="33" t="s">
        <v>4777</v>
      </c>
      <c r="AE861" s="33"/>
      <c r="AF861" s="33" t="s">
        <v>7253</v>
      </c>
      <c r="AP861" s="33"/>
      <c r="AQ861" s="128"/>
      <c r="AR861" s="129"/>
      <c r="AS861" s="130"/>
      <c r="AT861" s="39"/>
      <c r="AU861" s="132"/>
      <c r="AV861" s="128"/>
      <c r="AW861" s="133"/>
      <c r="AX861" s="134"/>
      <c r="AY861" s="135"/>
      <c r="AZ861" s="39"/>
      <c r="BA861" s="132"/>
      <c r="BB861" s="136"/>
      <c r="BF861" s="33"/>
    </row>
    <row r="862" spans="1:58" ht="15" customHeight="1">
      <c r="A862" s="33" t="s">
        <v>7230</v>
      </c>
      <c r="B862" s="33" t="s">
        <v>7254</v>
      </c>
      <c r="C862" s="33" t="s">
        <v>7232</v>
      </c>
      <c r="D862" s="33">
        <v>235</v>
      </c>
      <c r="E862" s="33">
        <v>2</v>
      </c>
      <c r="G862" s="33" t="s">
        <v>7255</v>
      </c>
      <c r="J862" s="33" t="s">
        <v>4166</v>
      </c>
      <c r="K862" s="33" t="s">
        <v>4054</v>
      </c>
      <c r="L862" s="33">
        <v>0</v>
      </c>
      <c r="N862" s="33"/>
      <c r="O862" s="128"/>
      <c r="P862" s="129"/>
      <c r="Q862" s="130"/>
      <c r="R862" s="39"/>
      <c r="S862" s="131">
        <v>1</v>
      </c>
      <c r="T862" s="132"/>
      <c r="U862" s="128"/>
      <c r="V862" s="133"/>
      <c r="W862" s="134"/>
      <c r="X862" s="135"/>
      <c r="Y862" s="39"/>
      <c r="Z862" s="132"/>
      <c r="AA862" s="136"/>
      <c r="AB862" s="26" t="s">
        <v>4062</v>
      </c>
      <c r="AD862" s="33" t="s">
        <v>4167</v>
      </c>
      <c r="AE862" s="33"/>
      <c r="AF862" s="33" t="s">
        <v>7256</v>
      </c>
      <c r="AP862" s="33"/>
      <c r="AQ862" s="128"/>
      <c r="AR862" s="129"/>
      <c r="AS862" s="130"/>
      <c r="AT862" s="39"/>
      <c r="AU862" s="132"/>
      <c r="AV862" s="128"/>
      <c r="AW862" s="133"/>
      <c r="AX862" s="134"/>
      <c r="AY862" s="135"/>
      <c r="AZ862" s="39"/>
      <c r="BA862" s="132"/>
      <c r="BB862" s="136"/>
      <c r="BF862" s="33"/>
    </row>
    <row r="863" spans="1:58" ht="15" customHeight="1">
      <c r="A863" s="33" t="s">
        <v>7230</v>
      </c>
      <c r="B863" s="33" t="s">
        <v>7257</v>
      </c>
      <c r="C863" s="33" t="s">
        <v>7232</v>
      </c>
      <c r="D863" s="33">
        <v>236</v>
      </c>
      <c r="E863" s="33">
        <v>2</v>
      </c>
      <c r="G863" s="33" t="s">
        <v>4234</v>
      </c>
      <c r="J863" s="33" t="s">
        <v>4111</v>
      </c>
      <c r="K863" s="33" t="s">
        <v>4054</v>
      </c>
      <c r="L863" s="33">
        <v>3</v>
      </c>
      <c r="N863" s="33">
        <v>1</v>
      </c>
      <c r="O863" s="128"/>
      <c r="P863" s="129">
        <v>2</v>
      </c>
      <c r="Q863" s="130"/>
      <c r="R863" s="39"/>
      <c r="S863" s="131"/>
      <c r="T863" s="132"/>
      <c r="U863" s="128"/>
      <c r="V863" s="133"/>
      <c r="W863" s="134"/>
      <c r="X863" s="135"/>
      <c r="Y863" s="39"/>
      <c r="Z863" s="132"/>
      <c r="AA863" s="136"/>
      <c r="AB863" s="26" t="s">
        <v>4938</v>
      </c>
      <c r="AC863" s="33" t="s">
        <v>4232</v>
      </c>
      <c r="AD863" s="33" t="s">
        <v>4133</v>
      </c>
      <c r="AE863" s="33"/>
      <c r="AF863" s="33" t="s">
        <v>7258</v>
      </c>
      <c r="AO863" s="34"/>
      <c r="AP863" s="33"/>
      <c r="AQ863" s="139"/>
      <c r="AR863" s="140"/>
      <c r="AS863" s="141"/>
      <c r="AT863" s="39"/>
      <c r="AU863" s="132"/>
      <c r="AV863" s="139"/>
      <c r="AW863" s="146"/>
      <c r="AX863" s="147"/>
      <c r="AY863" s="144"/>
      <c r="AZ863" s="39"/>
      <c r="BA863" s="132"/>
      <c r="BB863" s="145"/>
      <c r="BE863" s="34"/>
      <c r="BF863" s="33"/>
    </row>
    <row r="864" spans="1:58" ht="15" customHeight="1">
      <c r="A864" s="33" t="s">
        <v>7230</v>
      </c>
      <c r="B864" s="33" t="s">
        <v>7259</v>
      </c>
      <c r="C864" s="33" t="s">
        <v>7232</v>
      </c>
      <c r="D864" s="33">
        <v>237</v>
      </c>
      <c r="E864" s="33">
        <v>2</v>
      </c>
      <c r="G864" s="33" t="s">
        <v>7260</v>
      </c>
      <c r="J864" s="33" t="s">
        <v>27</v>
      </c>
      <c r="K864" s="33" t="s">
        <v>4056</v>
      </c>
      <c r="L864" s="33">
        <v>0</v>
      </c>
      <c r="N864" s="33">
        <v>3</v>
      </c>
      <c r="O864" s="128"/>
      <c r="P864" s="129"/>
      <c r="Q864" s="130"/>
      <c r="R864" s="39">
        <v>2</v>
      </c>
      <c r="S864" s="131"/>
      <c r="T864" s="132"/>
      <c r="U864" s="128"/>
      <c r="V864" s="133"/>
      <c r="W864" s="134"/>
      <c r="X864" s="135"/>
      <c r="Y864" s="39"/>
      <c r="Z864" s="132"/>
      <c r="AA864" s="136"/>
      <c r="AB864" s="26" t="s">
        <v>4949</v>
      </c>
      <c r="AD864" s="33" t="s">
        <v>4161</v>
      </c>
      <c r="AE864" s="33"/>
      <c r="AF864" s="33" t="s">
        <v>7261</v>
      </c>
      <c r="AO864" s="34"/>
      <c r="AP864" s="33"/>
      <c r="AQ864" s="139"/>
      <c r="AR864" s="140"/>
      <c r="AS864" s="141"/>
      <c r="AT864" s="39"/>
      <c r="AU864" s="132"/>
      <c r="AV864" s="139"/>
      <c r="AW864" s="146"/>
      <c r="AX864" s="147"/>
      <c r="AY864" s="144"/>
      <c r="AZ864" s="39"/>
      <c r="BA864" s="132"/>
      <c r="BB864" s="145"/>
      <c r="BE864" s="34"/>
      <c r="BF864" s="33"/>
    </row>
    <row r="865" spans="1:59" ht="15" customHeight="1">
      <c r="A865" s="33" t="s">
        <v>7230</v>
      </c>
      <c r="B865" s="33" t="s">
        <v>7262</v>
      </c>
      <c r="C865" s="33" t="s">
        <v>7232</v>
      </c>
      <c r="D865" s="33">
        <v>238</v>
      </c>
      <c r="E865" s="33">
        <v>2</v>
      </c>
      <c r="G865" s="33" t="s">
        <v>6105</v>
      </c>
      <c r="J865" s="33" t="s">
        <v>27</v>
      </c>
      <c r="K865" s="33" t="s">
        <v>4056</v>
      </c>
      <c r="L865" s="33">
        <v>2</v>
      </c>
      <c r="N865" s="33" t="s">
        <v>32</v>
      </c>
      <c r="O865" s="128">
        <v>1</v>
      </c>
      <c r="P865" s="129">
        <v>1</v>
      </c>
      <c r="Q865" s="130"/>
      <c r="R865" s="39"/>
      <c r="S865" s="131"/>
      <c r="T865" s="132"/>
      <c r="U865" s="128"/>
      <c r="V865" s="133"/>
      <c r="W865" s="134"/>
      <c r="X865" s="135"/>
      <c r="Y865" s="39"/>
      <c r="Z865" s="132"/>
      <c r="AA865" s="136"/>
      <c r="AB865" s="26" t="s">
        <v>6176</v>
      </c>
      <c r="AD865" s="33" t="s">
        <v>4226</v>
      </c>
      <c r="AE865" s="33"/>
      <c r="AF865" s="33" t="s">
        <v>7263</v>
      </c>
      <c r="AO865" s="34"/>
      <c r="AP865" s="33"/>
      <c r="AQ865" s="139"/>
      <c r="AR865" s="140"/>
      <c r="AS865" s="141"/>
      <c r="AT865" s="39"/>
      <c r="AU865" s="132"/>
      <c r="AV865" s="139"/>
      <c r="AW865" s="146"/>
      <c r="AX865" s="147"/>
      <c r="AY865" s="144"/>
      <c r="AZ865" s="39"/>
      <c r="BA865" s="132"/>
      <c r="BB865" s="145"/>
      <c r="BE865" s="34"/>
      <c r="BF865" s="33"/>
    </row>
    <row r="866" spans="1:59" ht="15" customHeight="1">
      <c r="A866" s="33" t="s">
        <v>7230</v>
      </c>
      <c r="B866" s="33" t="s">
        <v>7264</v>
      </c>
      <c r="C866" s="33" t="s">
        <v>7232</v>
      </c>
      <c r="D866" s="33">
        <v>239</v>
      </c>
      <c r="E866" s="33">
        <v>2</v>
      </c>
      <c r="G866" s="33" t="s">
        <v>4277</v>
      </c>
      <c r="J866" s="33" t="s">
        <v>27</v>
      </c>
      <c r="K866" s="33" t="s">
        <v>26</v>
      </c>
      <c r="L866" s="33">
        <v>3</v>
      </c>
      <c r="N866" s="33">
        <v>0</v>
      </c>
      <c r="O866" s="128"/>
      <c r="P866" s="129"/>
      <c r="Q866" s="130"/>
      <c r="R866" s="39"/>
      <c r="S866" s="131"/>
      <c r="T866" s="132"/>
      <c r="U866" s="128"/>
      <c r="V866" s="133"/>
      <c r="W866" s="134"/>
      <c r="X866" s="135"/>
      <c r="Y866" s="39"/>
      <c r="Z866" s="132"/>
      <c r="AA866" s="136"/>
      <c r="AB866" s="26"/>
      <c r="AD866" s="33" t="s">
        <v>4170</v>
      </c>
      <c r="AE866" s="33"/>
      <c r="AF866" s="33" t="s">
        <v>7265</v>
      </c>
      <c r="AO866" s="34"/>
      <c r="AP866" s="33"/>
      <c r="AQ866" s="139"/>
      <c r="AR866" s="140"/>
      <c r="AS866" s="141"/>
      <c r="AT866" s="39"/>
      <c r="AU866" s="132"/>
      <c r="AV866" s="139"/>
      <c r="AW866" s="146"/>
      <c r="AX866" s="147"/>
      <c r="AY866" s="144"/>
      <c r="AZ866" s="39"/>
      <c r="BA866" s="132"/>
      <c r="BB866" s="145"/>
      <c r="BE866" s="34"/>
      <c r="BF866" s="33"/>
    </row>
    <row r="867" spans="1:59" ht="15" customHeight="1">
      <c r="A867" s="33" t="s">
        <v>7230</v>
      </c>
      <c r="B867" s="33" t="s">
        <v>7266</v>
      </c>
      <c r="C867" s="33" t="s">
        <v>7232</v>
      </c>
      <c r="D867" s="33">
        <v>240</v>
      </c>
      <c r="E867" s="33">
        <v>1</v>
      </c>
      <c r="F867" s="33" t="s">
        <v>7267</v>
      </c>
      <c r="G867" s="33" t="s">
        <v>7267</v>
      </c>
      <c r="J867" s="33" t="s">
        <v>4472</v>
      </c>
      <c r="K867" s="33" t="s">
        <v>6280</v>
      </c>
      <c r="N867" s="33"/>
      <c r="O867" s="128"/>
      <c r="P867" s="129"/>
      <c r="Q867" s="130"/>
      <c r="R867" s="39"/>
      <c r="S867" s="131"/>
      <c r="T867" s="132"/>
      <c r="U867" s="128"/>
      <c r="V867" s="133"/>
      <c r="W867" s="134"/>
      <c r="X867" s="135"/>
      <c r="Y867" s="39"/>
      <c r="Z867" s="132"/>
      <c r="AA867" s="136"/>
      <c r="AB867" s="26"/>
      <c r="AE867" s="33"/>
      <c r="AF867" s="33" t="s">
        <v>7268</v>
      </c>
      <c r="AI867" s="33" t="s">
        <v>7267</v>
      </c>
      <c r="AL867" s="33" t="s">
        <v>4472</v>
      </c>
      <c r="AM867" s="33" t="s">
        <v>6280</v>
      </c>
      <c r="AO867" s="34"/>
      <c r="AP867" s="33"/>
      <c r="AQ867" s="139"/>
      <c r="AR867" s="140"/>
      <c r="AS867" s="141"/>
      <c r="AT867" s="39"/>
      <c r="AU867" s="132"/>
      <c r="AV867" s="139"/>
      <c r="AW867" s="146"/>
      <c r="AX867" s="147"/>
      <c r="AY867" s="144"/>
      <c r="AZ867" s="39"/>
      <c r="BA867" s="132"/>
      <c r="BB867" s="145"/>
      <c r="BE867" s="34"/>
      <c r="BF867" s="33"/>
      <c r="BG867" s="33" t="s">
        <v>7269</v>
      </c>
    </row>
    <row r="868" spans="1:59" ht="15" customHeight="1">
      <c r="A868" s="33" t="s">
        <v>7230</v>
      </c>
      <c r="B868" s="33" t="s">
        <v>7270</v>
      </c>
      <c r="C868" s="33" t="s">
        <v>7232</v>
      </c>
      <c r="D868" s="33">
        <v>241</v>
      </c>
      <c r="E868" s="33">
        <v>1</v>
      </c>
      <c r="F868" s="33" t="s">
        <v>7267</v>
      </c>
      <c r="G868" s="33" t="s">
        <v>7271</v>
      </c>
      <c r="J868" s="33" t="s">
        <v>4473</v>
      </c>
      <c r="K868" s="33" t="s">
        <v>6280</v>
      </c>
      <c r="L868" s="33">
        <v>1</v>
      </c>
      <c r="N868" s="33"/>
      <c r="O868" s="128"/>
      <c r="P868" s="129"/>
      <c r="Q868" s="130"/>
      <c r="R868" s="39"/>
      <c r="S868" s="131"/>
      <c r="T868" s="132"/>
      <c r="U868" s="128"/>
      <c r="V868" s="133"/>
      <c r="W868" s="134"/>
      <c r="X868" s="135"/>
      <c r="Y868" s="39"/>
      <c r="Z868" s="132">
        <v>6</v>
      </c>
      <c r="AA868" s="136"/>
      <c r="AB868" s="26"/>
      <c r="AE868" s="33"/>
      <c r="AF868" s="33" t="s">
        <v>7272</v>
      </c>
      <c r="AI868" s="33" t="s">
        <v>7273</v>
      </c>
      <c r="AJ868" s="33" t="s">
        <v>7274</v>
      </c>
      <c r="AL868" s="33" t="s">
        <v>29</v>
      </c>
      <c r="AM868" s="33" t="s">
        <v>6280</v>
      </c>
      <c r="AO868" s="34"/>
      <c r="AP868" s="33"/>
      <c r="AQ868" s="139"/>
      <c r="AR868" s="140"/>
      <c r="AS868" s="141">
        <v>3</v>
      </c>
      <c r="AT868" s="39">
        <v>3</v>
      </c>
      <c r="AU868" s="132" t="s">
        <v>7275</v>
      </c>
      <c r="AV868" s="139"/>
      <c r="AW868" s="146">
        <v>2</v>
      </c>
      <c r="AX868" s="147">
        <v>2</v>
      </c>
      <c r="AY868" s="144"/>
      <c r="AZ868" s="39"/>
      <c r="BA868" s="132"/>
      <c r="BB868" s="145">
        <v>2</v>
      </c>
      <c r="BE868" s="34" t="s">
        <v>7276</v>
      </c>
      <c r="BF868" s="33"/>
      <c r="BG868" s="33" t="s">
        <v>7277</v>
      </c>
    </row>
    <row r="869" spans="1:59" ht="15" customHeight="1">
      <c r="A869" s="33" t="s">
        <v>7230</v>
      </c>
      <c r="B869" s="33" t="s">
        <v>7278</v>
      </c>
      <c r="C869" s="33" t="s">
        <v>7232</v>
      </c>
      <c r="D869" s="33">
        <v>242</v>
      </c>
      <c r="E869" s="33">
        <v>1</v>
      </c>
      <c r="F869" s="33" t="s">
        <v>7267</v>
      </c>
      <c r="G869" s="33" t="s">
        <v>7279</v>
      </c>
      <c r="J869" s="33" t="s">
        <v>4473</v>
      </c>
      <c r="K869" s="33" t="s">
        <v>6280</v>
      </c>
      <c r="L869" s="33">
        <v>2</v>
      </c>
      <c r="N869" s="33"/>
      <c r="O869" s="128"/>
      <c r="P869" s="129"/>
      <c r="Q869" s="130"/>
      <c r="R869" s="39"/>
      <c r="S869" s="131"/>
      <c r="T869" s="132"/>
      <c r="U869" s="128"/>
      <c r="V869" s="133"/>
      <c r="W869" s="134"/>
      <c r="X869" s="135"/>
      <c r="Y869" s="39"/>
      <c r="Z869" s="132">
        <v>12</v>
      </c>
      <c r="AA869" s="136"/>
      <c r="AB869" s="26"/>
      <c r="AE869" s="33"/>
      <c r="AF869" s="33" t="s">
        <v>7272</v>
      </c>
      <c r="AI869" s="33" t="s">
        <v>7280</v>
      </c>
      <c r="AL869" s="33" t="s">
        <v>4473</v>
      </c>
      <c r="AM869" s="33" t="s">
        <v>6280</v>
      </c>
      <c r="AN869" s="33">
        <v>2</v>
      </c>
      <c r="AO869" s="34"/>
      <c r="AP869" s="33"/>
      <c r="AQ869" s="139"/>
      <c r="AR869" s="140"/>
      <c r="AS869" s="141"/>
      <c r="AT869" s="39"/>
      <c r="AU869" s="132"/>
      <c r="AV869" s="139"/>
      <c r="AW869" s="146"/>
      <c r="AX869" s="147"/>
      <c r="AY869" s="144"/>
      <c r="AZ869" s="39"/>
      <c r="BA869" s="132"/>
      <c r="BB869" s="145"/>
      <c r="BE869" s="34"/>
      <c r="BF869" s="33"/>
      <c r="BG869" s="33" t="s">
        <v>7281</v>
      </c>
    </row>
    <row r="870" spans="1:59" ht="15" customHeight="1">
      <c r="A870" s="33" t="s">
        <v>7230</v>
      </c>
      <c r="B870" s="33" t="s">
        <v>7282</v>
      </c>
      <c r="C870" s="33" t="s">
        <v>7232</v>
      </c>
      <c r="D870" s="33">
        <v>243</v>
      </c>
      <c r="E870" s="33">
        <v>1</v>
      </c>
      <c r="F870" s="33" t="s">
        <v>7267</v>
      </c>
      <c r="G870" s="33" t="s">
        <v>7283</v>
      </c>
      <c r="J870" s="33" t="s">
        <v>4475</v>
      </c>
      <c r="K870" s="33" t="s">
        <v>6280</v>
      </c>
      <c r="L870" s="33">
        <v>1</v>
      </c>
      <c r="N870" s="33"/>
      <c r="O870" s="128"/>
      <c r="P870" s="129"/>
      <c r="Q870" s="130"/>
      <c r="R870" s="39"/>
      <c r="S870" s="131"/>
      <c r="T870" s="132"/>
      <c r="U870" s="128"/>
      <c r="V870" s="133"/>
      <c r="W870" s="134"/>
      <c r="X870" s="135"/>
      <c r="Y870" s="39" t="s">
        <v>38</v>
      </c>
      <c r="Z870" s="132"/>
      <c r="AA870" s="136"/>
      <c r="AB870" s="26"/>
      <c r="AE870" s="33"/>
      <c r="AF870" s="33" t="s">
        <v>7284</v>
      </c>
      <c r="AI870" s="33" t="s">
        <v>7285</v>
      </c>
      <c r="AL870" s="33" t="s">
        <v>4475</v>
      </c>
      <c r="AM870" s="33" t="s">
        <v>6280</v>
      </c>
      <c r="AN870" s="33">
        <v>1</v>
      </c>
      <c r="AO870" s="34"/>
      <c r="AP870" s="33"/>
      <c r="AQ870" s="139"/>
      <c r="AR870" s="140"/>
      <c r="AS870" s="141"/>
      <c r="AT870" s="39"/>
      <c r="AU870" s="132"/>
      <c r="AV870" s="139"/>
      <c r="AW870" s="146"/>
      <c r="AX870" s="147"/>
      <c r="AY870" s="144"/>
      <c r="AZ870" s="39"/>
      <c r="BA870" s="132"/>
      <c r="BB870" s="145"/>
      <c r="BE870" s="34"/>
      <c r="BF870" s="33"/>
      <c r="BG870" s="33" t="s">
        <v>7286</v>
      </c>
    </row>
    <row r="871" spans="1:59" ht="15" customHeight="1">
      <c r="A871" s="33" t="s">
        <v>7230</v>
      </c>
      <c r="B871" s="33" t="s">
        <v>7287</v>
      </c>
      <c r="C871" s="33" t="s">
        <v>7232</v>
      </c>
      <c r="D871" s="33">
        <v>244</v>
      </c>
      <c r="E871" s="33">
        <v>1</v>
      </c>
      <c r="F871" s="33" t="s">
        <v>7267</v>
      </c>
      <c r="G871" s="33" t="s">
        <v>7288</v>
      </c>
      <c r="J871" s="33" t="s">
        <v>4475</v>
      </c>
      <c r="K871" s="33" t="s">
        <v>6280</v>
      </c>
      <c r="L871" s="33">
        <v>2</v>
      </c>
      <c r="N871" s="33"/>
      <c r="O871" s="128"/>
      <c r="P871" s="129"/>
      <c r="Q871" s="130"/>
      <c r="R871" s="39"/>
      <c r="S871" s="131"/>
      <c r="T871" s="132"/>
      <c r="U871" s="128"/>
      <c r="V871" s="133"/>
      <c r="W871" s="134"/>
      <c r="X871" s="135"/>
      <c r="Y871" s="39" t="s">
        <v>4965</v>
      </c>
      <c r="Z871" s="132"/>
      <c r="AA871" s="136"/>
      <c r="AB871" s="26"/>
      <c r="AE871" s="33"/>
      <c r="AF871" s="33" t="s">
        <v>7289</v>
      </c>
      <c r="AI871" s="33" t="s">
        <v>7290</v>
      </c>
      <c r="AL871" s="33" t="s">
        <v>4475</v>
      </c>
      <c r="AM871" s="33" t="s">
        <v>6280</v>
      </c>
      <c r="AN871" s="33">
        <v>2</v>
      </c>
      <c r="AO871" s="34"/>
      <c r="AP871" s="33"/>
      <c r="AQ871" s="139"/>
      <c r="AR871" s="140"/>
      <c r="AS871" s="141"/>
      <c r="AT871" s="39"/>
      <c r="AU871" s="132"/>
      <c r="AV871" s="139"/>
      <c r="AW871" s="146"/>
      <c r="AX871" s="147"/>
      <c r="AY871" s="144"/>
      <c r="AZ871" s="39"/>
      <c r="BA871" s="132"/>
      <c r="BB871" s="145"/>
      <c r="BE871" s="34"/>
      <c r="BF871" s="33"/>
      <c r="BG871" s="33" t="s">
        <v>7350</v>
      </c>
    </row>
    <row r="872" spans="1:59" ht="15" customHeight="1">
      <c r="A872" s="33" t="s">
        <v>7230</v>
      </c>
      <c r="B872" s="33" t="s">
        <v>7291</v>
      </c>
      <c r="C872" s="33" t="s">
        <v>7232</v>
      </c>
      <c r="D872" s="33">
        <v>245</v>
      </c>
      <c r="E872" s="33">
        <v>1</v>
      </c>
      <c r="F872" s="33" t="s">
        <v>7267</v>
      </c>
      <c r="G872" s="33" t="s">
        <v>7292</v>
      </c>
      <c r="J872" s="33" t="s">
        <v>4475</v>
      </c>
      <c r="K872" s="33" t="s">
        <v>6280</v>
      </c>
      <c r="L872" s="33">
        <v>3</v>
      </c>
      <c r="N872" s="33"/>
      <c r="O872" s="128"/>
      <c r="P872" s="129"/>
      <c r="Q872" s="130"/>
      <c r="R872" s="39"/>
      <c r="S872" s="131"/>
      <c r="T872" s="132"/>
      <c r="U872" s="128"/>
      <c r="V872" s="133"/>
      <c r="W872" s="134"/>
      <c r="X872" s="135"/>
      <c r="Y872" s="39" t="s">
        <v>38</v>
      </c>
      <c r="Z872" s="132"/>
      <c r="AA872" s="136"/>
      <c r="AB872" s="26"/>
      <c r="AE872" s="33"/>
      <c r="AF872" s="33" t="s">
        <v>7293</v>
      </c>
      <c r="AI872" s="33" t="s">
        <v>7294</v>
      </c>
      <c r="AL872" s="33" t="s">
        <v>4475</v>
      </c>
      <c r="AM872" s="33" t="s">
        <v>6280</v>
      </c>
      <c r="AN872" s="33">
        <v>3</v>
      </c>
      <c r="AO872" s="34"/>
      <c r="AP872" s="33"/>
      <c r="AQ872" s="139"/>
      <c r="AR872" s="140"/>
      <c r="AS872" s="141"/>
      <c r="AT872" s="39"/>
      <c r="AU872" s="132"/>
      <c r="AV872" s="139"/>
      <c r="AW872" s="146"/>
      <c r="AX872" s="147"/>
      <c r="AY872" s="144"/>
      <c r="AZ872" s="39"/>
      <c r="BA872" s="132"/>
      <c r="BB872" s="145"/>
      <c r="BE872" s="34"/>
      <c r="BF872" s="33"/>
      <c r="BG872" s="33" t="s">
        <v>5740</v>
      </c>
    </row>
    <row r="873" spans="1:59" ht="15" customHeight="1">
      <c r="A873" s="33" t="s">
        <v>7230</v>
      </c>
      <c r="B873" s="33" t="s">
        <v>7295</v>
      </c>
      <c r="C873" s="33" t="s">
        <v>7232</v>
      </c>
      <c r="D873" s="33">
        <v>246</v>
      </c>
      <c r="E873" s="33">
        <v>1</v>
      </c>
      <c r="F873" s="33" t="s">
        <v>7267</v>
      </c>
      <c r="G873" s="33" t="s">
        <v>7296</v>
      </c>
      <c r="J873" s="33" t="s">
        <v>4475</v>
      </c>
      <c r="K873" s="33" t="s">
        <v>6280</v>
      </c>
      <c r="L873" s="33">
        <v>3</v>
      </c>
      <c r="N873" s="33"/>
      <c r="O873" s="128"/>
      <c r="P873" s="129"/>
      <c r="Q873" s="130"/>
      <c r="R873" s="39"/>
      <c r="S873" s="131"/>
      <c r="T873" s="132"/>
      <c r="U873" s="128"/>
      <c r="V873" s="133"/>
      <c r="W873" s="134"/>
      <c r="X873" s="135"/>
      <c r="Y873" s="39" t="s">
        <v>38</v>
      </c>
      <c r="Z873" s="132"/>
      <c r="AA873" s="136"/>
      <c r="AB873" s="26"/>
      <c r="AE873" s="33"/>
      <c r="AF873" s="33" t="s">
        <v>7297</v>
      </c>
      <c r="AI873" s="33" t="s">
        <v>7298</v>
      </c>
      <c r="AL873" s="33" t="s">
        <v>4475</v>
      </c>
      <c r="AM873" s="33" t="s">
        <v>6280</v>
      </c>
      <c r="AN873" s="33">
        <v>3</v>
      </c>
      <c r="AO873" s="34"/>
      <c r="AP873" s="33"/>
      <c r="AQ873" s="139"/>
      <c r="AR873" s="140"/>
      <c r="AS873" s="141"/>
      <c r="AT873" s="39"/>
      <c r="AU873" s="132"/>
      <c r="AV873" s="139"/>
      <c r="AW873" s="146"/>
      <c r="AX873" s="147"/>
      <c r="AY873" s="144"/>
      <c r="AZ873" s="39"/>
      <c r="BA873" s="132"/>
      <c r="BB873" s="145"/>
      <c r="BE873" s="34"/>
      <c r="BF873" s="33"/>
      <c r="BG873" s="33" t="s">
        <v>6066</v>
      </c>
    </row>
    <row r="874" spans="1:59" ht="15" customHeight="1">
      <c r="A874" s="33" t="s">
        <v>7230</v>
      </c>
      <c r="B874" s="33" t="s">
        <v>7299</v>
      </c>
      <c r="C874" s="33" t="s">
        <v>7232</v>
      </c>
      <c r="D874" s="33">
        <v>247</v>
      </c>
      <c r="E874" s="33">
        <v>1</v>
      </c>
      <c r="F874" s="33" t="s">
        <v>7267</v>
      </c>
      <c r="G874" s="33" t="s">
        <v>7300</v>
      </c>
      <c r="J874" s="33" t="s">
        <v>31</v>
      </c>
      <c r="K874" s="33" t="s">
        <v>6280</v>
      </c>
      <c r="N874" s="33"/>
      <c r="O874" s="128"/>
      <c r="P874" s="129"/>
      <c r="Q874" s="130"/>
      <c r="R874" s="39"/>
      <c r="S874" s="131"/>
      <c r="T874" s="132"/>
      <c r="U874" s="128"/>
      <c r="V874" s="133"/>
      <c r="W874" s="134"/>
      <c r="X874" s="135"/>
      <c r="Y874" s="39"/>
      <c r="Z874" s="132"/>
      <c r="AA874" s="136"/>
      <c r="AB874" s="26"/>
      <c r="AE874" s="33"/>
      <c r="AF874" s="33" t="s">
        <v>7301</v>
      </c>
      <c r="AI874" s="33" t="s">
        <v>7302</v>
      </c>
      <c r="AL874" s="33" t="s">
        <v>31</v>
      </c>
      <c r="AM874" s="33" t="s">
        <v>6280</v>
      </c>
      <c r="AO874" s="34"/>
      <c r="AP874" s="33"/>
      <c r="AQ874" s="139"/>
      <c r="AR874" s="140"/>
      <c r="AS874" s="141"/>
      <c r="AT874" s="39"/>
      <c r="AU874" s="132"/>
      <c r="AV874" s="139"/>
      <c r="AW874" s="146"/>
      <c r="AX874" s="147"/>
      <c r="AY874" s="144">
        <v>1</v>
      </c>
      <c r="AZ874" s="39" t="s">
        <v>4965</v>
      </c>
      <c r="BA874" s="132"/>
      <c r="BB874" s="145"/>
      <c r="BE874" s="34"/>
      <c r="BF874" s="33"/>
      <c r="BG874" s="33" t="s">
        <v>7303</v>
      </c>
    </row>
    <row r="875" spans="1:59" ht="15" customHeight="1">
      <c r="A875" s="33" t="s">
        <v>7230</v>
      </c>
      <c r="B875" s="33" t="s">
        <v>7304</v>
      </c>
      <c r="C875" s="33" t="s">
        <v>7232</v>
      </c>
      <c r="D875" s="33">
        <v>248</v>
      </c>
      <c r="E875" s="33">
        <v>2</v>
      </c>
      <c r="F875" s="33" t="s">
        <v>7267</v>
      </c>
      <c r="G875" s="33" t="s">
        <v>7300</v>
      </c>
      <c r="J875" s="33" t="s">
        <v>31</v>
      </c>
      <c r="K875" s="33" t="s">
        <v>6280</v>
      </c>
      <c r="N875" s="33"/>
      <c r="O875" s="128"/>
      <c r="P875" s="129"/>
      <c r="Q875" s="130"/>
      <c r="R875" s="39"/>
      <c r="S875" s="131"/>
      <c r="T875" s="132"/>
      <c r="U875" s="128"/>
      <c r="V875" s="133"/>
      <c r="W875" s="134"/>
      <c r="X875" s="135"/>
      <c r="Y875" s="39"/>
      <c r="Z875" s="132"/>
      <c r="AA875" s="136"/>
      <c r="AB875" s="26"/>
      <c r="AE875" s="33"/>
      <c r="AF875" s="33" t="s">
        <v>7301</v>
      </c>
      <c r="AI875" s="33" t="s">
        <v>7305</v>
      </c>
      <c r="AL875" s="33" t="s">
        <v>31</v>
      </c>
      <c r="AM875" s="33" t="s">
        <v>6280</v>
      </c>
      <c r="AO875" s="34"/>
      <c r="AP875" s="33"/>
      <c r="AQ875" s="139"/>
      <c r="AR875" s="140"/>
      <c r="AS875" s="141"/>
      <c r="AT875" s="39"/>
      <c r="AU875" s="132"/>
      <c r="AV875" s="139"/>
      <c r="AW875" s="146"/>
      <c r="AX875" s="147"/>
      <c r="AY875" s="144">
        <v>2</v>
      </c>
      <c r="AZ875" s="39">
        <v>0</v>
      </c>
      <c r="BA875" s="132"/>
      <c r="BB875" s="145"/>
      <c r="BE875" s="34"/>
      <c r="BF875" s="33"/>
      <c r="BG875" s="33" t="s">
        <v>7306</v>
      </c>
    </row>
    <row r="876" spans="1:59" ht="15" customHeight="1">
      <c r="A876" s="33" t="s">
        <v>7230</v>
      </c>
      <c r="B876" s="33" t="s">
        <v>7307</v>
      </c>
      <c r="C876" s="33" t="s">
        <v>7232</v>
      </c>
      <c r="D876" s="33">
        <v>249</v>
      </c>
      <c r="E876" s="33">
        <v>1</v>
      </c>
      <c r="F876" s="33" t="s">
        <v>7267</v>
      </c>
      <c r="G876" s="33" t="s">
        <v>7300</v>
      </c>
      <c r="J876" s="33" t="s">
        <v>31</v>
      </c>
      <c r="K876" s="33" t="s">
        <v>6280</v>
      </c>
      <c r="N876" s="33"/>
      <c r="O876" s="128"/>
      <c r="P876" s="129"/>
      <c r="Q876" s="130"/>
      <c r="R876" s="39"/>
      <c r="S876" s="131"/>
      <c r="T876" s="132"/>
      <c r="U876" s="128"/>
      <c r="V876" s="133"/>
      <c r="W876" s="134"/>
      <c r="X876" s="135"/>
      <c r="Y876" s="39"/>
      <c r="Z876" s="132"/>
      <c r="AA876" s="136"/>
      <c r="AB876" s="26"/>
      <c r="AE876" s="33"/>
      <c r="AF876" s="33" t="s">
        <v>7301</v>
      </c>
      <c r="AI876" s="33" t="s">
        <v>7308</v>
      </c>
      <c r="AL876" s="33" t="s">
        <v>31</v>
      </c>
      <c r="AM876" s="33" t="s">
        <v>6280</v>
      </c>
      <c r="AO876" s="34"/>
      <c r="AP876" s="33"/>
      <c r="AQ876" s="139"/>
      <c r="AR876" s="140"/>
      <c r="AS876" s="141"/>
      <c r="AT876" s="39"/>
      <c r="AU876" s="132"/>
      <c r="AV876" s="139"/>
      <c r="AW876" s="146"/>
      <c r="AX876" s="147"/>
      <c r="AY876" s="144">
        <v>2</v>
      </c>
      <c r="AZ876" s="39" t="s">
        <v>4965</v>
      </c>
      <c r="BA876" s="132"/>
      <c r="BB876" s="145"/>
      <c r="BE876" s="34"/>
      <c r="BF876" s="33"/>
      <c r="BG876" s="33" t="s">
        <v>7309</v>
      </c>
    </row>
    <row r="877" spans="1:59" ht="15" customHeight="1">
      <c r="A877" s="33" t="s">
        <v>7230</v>
      </c>
      <c r="B877" s="33" t="s">
        <v>7310</v>
      </c>
      <c r="C877" s="33" t="s">
        <v>7232</v>
      </c>
      <c r="D877" s="33">
        <v>250</v>
      </c>
      <c r="E877" s="33">
        <v>1</v>
      </c>
      <c r="F877" s="33" t="s">
        <v>7267</v>
      </c>
      <c r="G877" s="33" t="s">
        <v>7300</v>
      </c>
      <c r="J877" s="33" t="s">
        <v>31</v>
      </c>
      <c r="K877" s="33" t="s">
        <v>6280</v>
      </c>
      <c r="N877" s="33"/>
      <c r="O877" s="128"/>
      <c r="P877" s="129"/>
      <c r="Q877" s="130"/>
      <c r="R877" s="39"/>
      <c r="S877" s="131"/>
      <c r="T877" s="132"/>
      <c r="U877" s="128"/>
      <c r="V877" s="133"/>
      <c r="W877" s="134"/>
      <c r="X877" s="135"/>
      <c r="Y877" s="39"/>
      <c r="Z877" s="132"/>
      <c r="AA877" s="136"/>
      <c r="AB877" s="26"/>
      <c r="AE877" s="33"/>
      <c r="AF877" s="33" t="s">
        <v>7301</v>
      </c>
      <c r="AI877" s="33" t="s">
        <v>7311</v>
      </c>
      <c r="AL877" s="33" t="s">
        <v>31</v>
      </c>
      <c r="AM877" s="33" t="s">
        <v>6280</v>
      </c>
      <c r="AO877" s="34"/>
      <c r="AP877" s="33"/>
      <c r="AQ877" s="139"/>
      <c r="AR877" s="140"/>
      <c r="AS877" s="141"/>
      <c r="AT877" s="39"/>
      <c r="AU877" s="132"/>
      <c r="AV877" s="139"/>
      <c r="AW877" s="146"/>
      <c r="AX877" s="147"/>
      <c r="AY877" s="144">
        <v>3</v>
      </c>
      <c r="AZ877" s="39" t="s">
        <v>4965</v>
      </c>
      <c r="BA877" s="132"/>
      <c r="BB877" s="145">
        <v>1</v>
      </c>
      <c r="BE877" s="34"/>
      <c r="BF877" s="33"/>
      <c r="BG877" s="33" t="s">
        <v>7312</v>
      </c>
    </row>
    <row r="878" spans="1:59" ht="15" customHeight="1">
      <c r="A878" s="33" t="s">
        <v>7230</v>
      </c>
      <c r="B878" s="33" t="s">
        <v>7313</v>
      </c>
      <c r="C878" s="33" t="s">
        <v>7232</v>
      </c>
      <c r="D878" s="33">
        <v>251</v>
      </c>
      <c r="E878" s="33">
        <v>1</v>
      </c>
      <c r="F878" s="33" t="s">
        <v>7267</v>
      </c>
      <c r="G878" s="33" t="s">
        <v>7300</v>
      </c>
      <c r="J878" s="33" t="s">
        <v>31</v>
      </c>
      <c r="K878" s="33" t="s">
        <v>6280</v>
      </c>
      <c r="N878" s="33"/>
      <c r="O878" s="128"/>
      <c r="P878" s="129"/>
      <c r="Q878" s="130"/>
      <c r="R878" s="39"/>
      <c r="S878" s="131"/>
      <c r="T878" s="132"/>
      <c r="U878" s="128"/>
      <c r="V878" s="133"/>
      <c r="W878" s="134"/>
      <c r="X878" s="135"/>
      <c r="Y878" s="39"/>
      <c r="Z878" s="132"/>
      <c r="AA878" s="136"/>
      <c r="AB878" s="26"/>
      <c r="AE878" s="33"/>
      <c r="AF878" s="33" t="s">
        <v>7301</v>
      </c>
      <c r="AI878" s="33" t="s">
        <v>7314</v>
      </c>
      <c r="AL878" s="33" t="s">
        <v>31</v>
      </c>
      <c r="AM878" s="33" t="s">
        <v>6280</v>
      </c>
      <c r="AO878" s="34"/>
      <c r="AP878" s="33"/>
      <c r="AQ878" s="139"/>
      <c r="AR878" s="140"/>
      <c r="AS878" s="141"/>
      <c r="AT878" s="39"/>
      <c r="AU878" s="132"/>
      <c r="AV878" s="139"/>
      <c r="AW878" s="146"/>
      <c r="AX878" s="147"/>
      <c r="AY878" s="144">
        <v>4</v>
      </c>
      <c r="AZ878" s="39" t="s">
        <v>4927</v>
      </c>
      <c r="BA878" s="132"/>
      <c r="BB878" s="145">
        <v>1</v>
      </c>
      <c r="BE878" s="34"/>
      <c r="BF878" s="33"/>
      <c r="BG878" s="33" t="s">
        <v>7315</v>
      </c>
    </row>
    <row r="879" spans="1:59" ht="15" customHeight="1">
      <c r="A879" s="33" t="s">
        <v>7230</v>
      </c>
      <c r="B879" s="33" t="s">
        <v>7316</v>
      </c>
      <c r="C879" s="33" t="s">
        <v>7232</v>
      </c>
      <c r="D879" s="33">
        <v>252</v>
      </c>
      <c r="E879" s="33">
        <v>2</v>
      </c>
      <c r="F879" s="33" t="s">
        <v>7267</v>
      </c>
      <c r="G879" s="33" t="s">
        <v>7300</v>
      </c>
      <c r="J879" s="33" t="s">
        <v>31</v>
      </c>
      <c r="K879" s="33" t="s">
        <v>6280</v>
      </c>
      <c r="N879" s="33"/>
      <c r="O879" s="128"/>
      <c r="P879" s="129"/>
      <c r="Q879" s="130"/>
      <c r="R879" s="39"/>
      <c r="S879" s="131"/>
      <c r="T879" s="132"/>
      <c r="U879" s="128"/>
      <c r="V879" s="133"/>
      <c r="W879" s="134"/>
      <c r="X879" s="135"/>
      <c r="Y879" s="39"/>
      <c r="Z879" s="132"/>
      <c r="AA879" s="136"/>
      <c r="AB879" s="26"/>
      <c r="AE879" s="33"/>
      <c r="AF879" s="33" t="s">
        <v>7301</v>
      </c>
      <c r="AI879" s="33" t="s">
        <v>7317</v>
      </c>
      <c r="AL879" s="33" t="s">
        <v>31</v>
      </c>
      <c r="AM879" s="33" t="s">
        <v>6280</v>
      </c>
      <c r="AO879" s="34"/>
      <c r="AP879" s="33"/>
      <c r="AQ879" s="139"/>
      <c r="AR879" s="140"/>
      <c r="AS879" s="141"/>
      <c r="AT879" s="39"/>
      <c r="AU879" s="132"/>
      <c r="AV879" s="139"/>
      <c r="AW879" s="146"/>
      <c r="AX879" s="147"/>
      <c r="AY879" s="144">
        <v>3</v>
      </c>
      <c r="AZ879" s="39" t="s">
        <v>4965</v>
      </c>
      <c r="BA879" s="132"/>
      <c r="BB879" s="145"/>
      <c r="BE879" s="34"/>
      <c r="BF879" s="33"/>
      <c r="BG879" s="33" t="s">
        <v>7318</v>
      </c>
    </row>
    <row r="880" spans="1:59" ht="15" customHeight="1">
      <c r="A880" s="33" t="s">
        <v>7230</v>
      </c>
      <c r="B880" s="33" t="s">
        <v>7319</v>
      </c>
      <c r="C880" s="33" t="s">
        <v>7232</v>
      </c>
      <c r="D880" s="33">
        <v>253</v>
      </c>
      <c r="E880" s="33">
        <v>2</v>
      </c>
      <c r="F880" s="33" t="s">
        <v>7267</v>
      </c>
      <c r="G880" s="33" t="s">
        <v>7300</v>
      </c>
      <c r="J880" s="33" t="s">
        <v>31</v>
      </c>
      <c r="K880" s="33" t="s">
        <v>6280</v>
      </c>
      <c r="N880" s="33"/>
      <c r="O880" s="128"/>
      <c r="P880" s="129"/>
      <c r="Q880" s="130"/>
      <c r="R880" s="39"/>
      <c r="S880" s="131"/>
      <c r="T880" s="132"/>
      <c r="U880" s="128"/>
      <c r="V880" s="133"/>
      <c r="W880" s="134"/>
      <c r="X880" s="135"/>
      <c r="Y880" s="155"/>
      <c r="Z880" s="132"/>
      <c r="AA880" s="136"/>
      <c r="AB880" s="26"/>
      <c r="AE880" s="33"/>
      <c r="AF880" s="33" t="s">
        <v>7301</v>
      </c>
      <c r="AI880" s="33" t="s">
        <v>7320</v>
      </c>
      <c r="AL880" s="33" t="s">
        <v>31</v>
      </c>
      <c r="AM880" s="33" t="s">
        <v>6280</v>
      </c>
      <c r="AO880" s="34"/>
      <c r="AP880" s="33"/>
      <c r="AQ880" s="139"/>
      <c r="AR880" s="140"/>
      <c r="AS880" s="141"/>
      <c r="AT880" s="39"/>
      <c r="AU880" s="132"/>
      <c r="AV880" s="139"/>
      <c r="AW880" s="146"/>
      <c r="AX880" s="147"/>
      <c r="AY880" s="144">
        <v>2</v>
      </c>
      <c r="AZ880" s="39" t="s">
        <v>4965</v>
      </c>
      <c r="BA880" s="132"/>
      <c r="BB880" s="145"/>
      <c r="BE880" s="34"/>
      <c r="BF880" s="33"/>
      <c r="BG880" s="33" t="s">
        <v>7321</v>
      </c>
    </row>
    <row r="881" spans="1:59" ht="15" customHeight="1">
      <c r="A881" s="33" t="s">
        <v>7230</v>
      </c>
      <c r="B881" s="33" t="s">
        <v>7322</v>
      </c>
      <c r="C881" s="33" t="s">
        <v>7232</v>
      </c>
      <c r="D881" s="33">
        <v>254</v>
      </c>
      <c r="E881" s="33">
        <v>1</v>
      </c>
      <c r="F881" s="33" t="s">
        <v>7267</v>
      </c>
      <c r="G881" s="33" t="s">
        <v>7300</v>
      </c>
      <c r="J881" s="33" t="s">
        <v>31</v>
      </c>
      <c r="K881" s="33" t="s">
        <v>6280</v>
      </c>
      <c r="N881" s="33"/>
      <c r="O881" s="128"/>
      <c r="P881" s="129"/>
      <c r="Q881" s="130"/>
      <c r="R881" s="39"/>
      <c r="S881" s="131"/>
      <c r="T881" s="132"/>
      <c r="U881" s="128"/>
      <c r="V881" s="133"/>
      <c r="W881" s="134"/>
      <c r="X881" s="135"/>
      <c r="Y881" s="155"/>
      <c r="Z881" s="132"/>
      <c r="AA881" s="136"/>
      <c r="AB881" s="26"/>
      <c r="AE881" s="33"/>
      <c r="AF881" s="33" t="s">
        <v>7301</v>
      </c>
      <c r="AI881" s="33" t="s">
        <v>7323</v>
      </c>
      <c r="AL881" s="33" t="s">
        <v>31</v>
      </c>
      <c r="AM881" s="33" t="s">
        <v>6280</v>
      </c>
      <c r="AO881" s="34"/>
      <c r="AP881" s="33"/>
      <c r="AQ881" s="139"/>
      <c r="AR881" s="140"/>
      <c r="AS881" s="141"/>
      <c r="AT881" s="39"/>
      <c r="AU881" s="132"/>
      <c r="AV881" s="139"/>
      <c r="AW881" s="146"/>
      <c r="AX881" s="147"/>
      <c r="AY881" s="144">
        <v>2</v>
      </c>
      <c r="AZ881" s="39" t="s">
        <v>4927</v>
      </c>
      <c r="BA881" s="132"/>
      <c r="BB881" s="145">
        <v>1</v>
      </c>
      <c r="BE881" s="34"/>
      <c r="BF881" s="33"/>
      <c r="BG881" s="33" t="s">
        <v>7324</v>
      </c>
    </row>
    <row r="882" spans="1:59" ht="15" customHeight="1">
      <c r="A882" s="33" t="s">
        <v>7230</v>
      </c>
      <c r="B882" s="33" t="s">
        <v>7325</v>
      </c>
      <c r="C882" s="33" t="s">
        <v>7232</v>
      </c>
      <c r="D882" s="33">
        <v>255</v>
      </c>
      <c r="E882" s="33">
        <v>1</v>
      </c>
      <c r="F882" s="33" t="s">
        <v>7267</v>
      </c>
      <c r="G882" s="33" t="s">
        <v>7300</v>
      </c>
      <c r="J882" s="33" t="s">
        <v>31</v>
      </c>
      <c r="K882" s="33" t="s">
        <v>6280</v>
      </c>
      <c r="N882" s="33"/>
      <c r="O882" s="128"/>
      <c r="P882" s="129"/>
      <c r="Q882" s="130"/>
      <c r="R882" s="39"/>
      <c r="S882" s="131"/>
      <c r="T882" s="132"/>
      <c r="U882" s="128"/>
      <c r="V882" s="133"/>
      <c r="W882" s="134"/>
      <c r="X882" s="135"/>
      <c r="Y882" s="39"/>
      <c r="Z882" s="132"/>
      <c r="AA882" s="136"/>
      <c r="AB882" s="26"/>
      <c r="AE882" s="33"/>
      <c r="AF882" s="33" t="s">
        <v>7301</v>
      </c>
      <c r="AI882" s="33" t="s">
        <v>7326</v>
      </c>
      <c r="AL882" s="33" t="s">
        <v>31</v>
      </c>
      <c r="AM882" s="33" t="s">
        <v>6280</v>
      </c>
      <c r="AP882" s="33"/>
      <c r="AQ882" s="128"/>
      <c r="AR882" s="129"/>
      <c r="AS882" s="130"/>
      <c r="AT882" s="39"/>
      <c r="AU882" s="132"/>
      <c r="AV882" s="128"/>
      <c r="AW882" s="133"/>
      <c r="AX882" s="134"/>
      <c r="AY882" s="135">
        <v>5</v>
      </c>
      <c r="AZ882" s="39" t="s">
        <v>4927</v>
      </c>
      <c r="BA882" s="132"/>
      <c r="BB882" s="136">
        <v>1</v>
      </c>
      <c r="BF882" s="33"/>
      <c r="BG882" s="33" t="s">
        <v>7327</v>
      </c>
    </row>
    <row r="883" spans="1:59" ht="15" customHeight="1">
      <c r="A883" s="33" t="s">
        <v>7230</v>
      </c>
      <c r="B883" s="33" t="s">
        <v>7328</v>
      </c>
      <c r="C883" s="33" t="s">
        <v>7232</v>
      </c>
      <c r="D883" s="33">
        <v>256</v>
      </c>
      <c r="E883" s="33">
        <v>1</v>
      </c>
      <c r="F883" s="33" t="s">
        <v>7267</v>
      </c>
      <c r="G883" s="33" t="s">
        <v>7300</v>
      </c>
      <c r="J883" s="33" t="s">
        <v>31</v>
      </c>
      <c r="K883" s="33" t="s">
        <v>6280</v>
      </c>
      <c r="N883" s="33"/>
      <c r="O883" s="128"/>
      <c r="P883" s="129"/>
      <c r="Q883" s="130"/>
      <c r="R883" s="39"/>
      <c r="S883" s="131"/>
      <c r="T883" s="132"/>
      <c r="U883" s="128"/>
      <c r="V883" s="133"/>
      <c r="W883" s="134"/>
      <c r="X883" s="135"/>
      <c r="Y883" s="39"/>
      <c r="Z883" s="132"/>
      <c r="AA883" s="136"/>
      <c r="AB883" s="26"/>
      <c r="AE883" s="33"/>
      <c r="AF883" s="33" t="s">
        <v>7301</v>
      </c>
      <c r="AI883" s="33" t="s">
        <v>7329</v>
      </c>
      <c r="AL883" s="33" t="s">
        <v>31</v>
      </c>
      <c r="AM883" s="33" t="s">
        <v>6280</v>
      </c>
      <c r="AP883" s="33"/>
      <c r="AQ883" s="128"/>
      <c r="AR883" s="129"/>
      <c r="AS883" s="130"/>
      <c r="AT883" s="39"/>
      <c r="AU883" s="132"/>
      <c r="AV883" s="128"/>
      <c r="AW883" s="133"/>
      <c r="AX883" s="134"/>
      <c r="AY883" s="135">
        <v>7</v>
      </c>
      <c r="AZ883" s="39">
        <v>0</v>
      </c>
      <c r="BA883" s="132"/>
      <c r="BB883" s="136"/>
      <c r="BF883" s="33"/>
      <c r="BG883" s="33" t="s">
        <v>7330</v>
      </c>
    </row>
    <row r="884" spans="1:59" ht="15" customHeight="1">
      <c r="A884" s="33" t="s">
        <v>7230</v>
      </c>
      <c r="B884" s="33" t="s">
        <v>7331</v>
      </c>
      <c r="C884" s="33" t="s">
        <v>7232</v>
      </c>
      <c r="D884" s="33">
        <v>257</v>
      </c>
      <c r="E884" s="33">
        <v>1</v>
      </c>
      <c r="F884" s="33" t="s">
        <v>7267</v>
      </c>
      <c r="G884" s="33" t="s">
        <v>7300</v>
      </c>
      <c r="J884" s="33" t="s">
        <v>31</v>
      </c>
      <c r="K884" s="33" t="s">
        <v>6280</v>
      </c>
      <c r="N884" s="33"/>
      <c r="O884" s="128"/>
      <c r="P884" s="129"/>
      <c r="Q884" s="130"/>
      <c r="R884" s="39"/>
      <c r="S884" s="131"/>
      <c r="T884" s="132"/>
      <c r="U884" s="128"/>
      <c r="V884" s="133"/>
      <c r="W884" s="134"/>
      <c r="X884" s="135"/>
      <c r="Y884" s="39"/>
      <c r="Z884" s="132"/>
      <c r="AA884" s="136"/>
      <c r="AB884" s="26"/>
      <c r="AE884" s="33"/>
      <c r="AF884" s="33" t="s">
        <v>7301</v>
      </c>
      <c r="AI884" s="33" t="s">
        <v>7332</v>
      </c>
      <c r="AL884" s="33" t="s">
        <v>31</v>
      </c>
      <c r="AM884" s="33" t="s">
        <v>6280</v>
      </c>
      <c r="AP884" s="33"/>
      <c r="AQ884" s="128"/>
      <c r="AR884" s="129"/>
      <c r="AS884" s="130"/>
      <c r="AT884" s="39"/>
      <c r="AU884" s="132"/>
      <c r="AV884" s="128"/>
      <c r="AW884" s="133"/>
      <c r="AX884" s="134"/>
      <c r="AY884" s="135">
        <v>4</v>
      </c>
      <c r="AZ884" s="39" t="s">
        <v>4965</v>
      </c>
      <c r="BA884" s="132"/>
      <c r="BB884" s="136">
        <v>1</v>
      </c>
      <c r="BF884" s="33"/>
      <c r="BG884" s="33" t="s">
        <v>7333</v>
      </c>
    </row>
    <row r="885" spans="1:59" ht="15" customHeight="1">
      <c r="A885" s="33" t="s">
        <v>7230</v>
      </c>
      <c r="B885" s="33" t="s">
        <v>7334</v>
      </c>
      <c r="C885" s="33" t="s">
        <v>7232</v>
      </c>
      <c r="D885" s="33">
        <v>258</v>
      </c>
      <c r="E885" s="33">
        <v>3</v>
      </c>
      <c r="F885" s="33" t="s">
        <v>7267</v>
      </c>
      <c r="G885" s="33" t="s">
        <v>7335</v>
      </c>
      <c r="J885" s="33" t="s">
        <v>29</v>
      </c>
      <c r="K885" s="33" t="s">
        <v>6280</v>
      </c>
      <c r="N885" s="33"/>
      <c r="O885" s="128"/>
      <c r="P885" s="129"/>
      <c r="Q885" s="130">
        <v>3</v>
      </c>
      <c r="R885" s="39">
        <v>2</v>
      </c>
      <c r="S885" s="131"/>
      <c r="T885" s="132">
        <v>2</v>
      </c>
      <c r="U885" s="128"/>
      <c r="V885" s="133"/>
      <c r="W885" s="134">
        <v>1</v>
      </c>
      <c r="X885" s="135"/>
      <c r="Y885" s="39"/>
      <c r="Z885" s="132"/>
      <c r="AA885" s="136"/>
      <c r="AB885" s="26"/>
      <c r="AD885" s="33" t="s">
        <v>6656</v>
      </c>
      <c r="AE885" s="33"/>
      <c r="AF885" s="33" t="s">
        <v>7336</v>
      </c>
      <c r="AP885" s="33"/>
      <c r="AQ885" s="128"/>
      <c r="AR885" s="129"/>
      <c r="AS885" s="130"/>
      <c r="AT885" s="39"/>
      <c r="AU885" s="132"/>
      <c r="AV885" s="128"/>
      <c r="AW885" s="133"/>
      <c r="AX885" s="134"/>
      <c r="AY885" s="135"/>
      <c r="AZ885" s="39"/>
      <c r="BA885" s="132"/>
      <c r="BB885" s="136"/>
      <c r="BF885" s="33"/>
    </row>
    <row r="886" spans="1:59" ht="15" customHeight="1">
      <c r="A886" s="33" t="s">
        <v>7230</v>
      </c>
      <c r="B886" s="33" t="s">
        <v>7337</v>
      </c>
      <c r="C886" s="33" t="s">
        <v>7232</v>
      </c>
      <c r="D886" s="33">
        <v>259</v>
      </c>
      <c r="E886" s="33">
        <v>3</v>
      </c>
      <c r="F886" s="33" t="s">
        <v>7267</v>
      </c>
      <c r="G886" s="33" t="s">
        <v>7338</v>
      </c>
      <c r="J886" s="33" t="s">
        <v>29</v>
      </c>
      <c r="K886" s="33" t="s">
        <v>6280</v>
      </c>
      <c r="N886" s="33"/>
      <c r="O886" s="128"/>
      <c r="P886" s="129"/>
      <c r="Q886" s="130">
        <v>3</v>
      </c>
      <c r="R886" s="39">
        <v>4</v>
      </c>
      <c r="S886" s="131"/>
      <c r="T886" s="132">
        <v>5</v>
      </c>
      <c r="U886" s="128"/>
      <c r="V886" s="133">
        <v>2</v>
      </c>
      <c r="W886" s="134">
        <v>1</v>
      </c>
      <c r="X886" s="135"/>
      <c r="Y886" s="39"/>
      <c r="Z886" s="132"/>
      <c r="AA886" s="136"/>
      <c r="AB886" s="26"/>
      <c r="AD886" s="33" t="s">
        <v>6638</v>
      </c>
      <c r="AE886" s="33"/>
      <c r="AF886" s="33" t="s">
        <v>7339</v>
      </c>
      <c r="AP886" s="33"/>
      <c r="AQ886" s="128"/>
      <c r="AR886" s="129"/>
      <c r="AS886" s="130"/>
      <c r="AT886" s="39"/>
      <c r="AU886" s="132"/>
      <c r="AV886" s="128"/>
      <c r="AW886" s="133"/>
      <c r="AX886" s="134"/>
      <c r="AY886" s="135"/>
      <c r="AZ886" s="39"/>
      <c r="BA886" s="132"/>
      <c r="BB886" s="136"/>
      <c r="BF886" s="33"/>
    </row>
    <row r="887" spans="1:59" ht="15" customHeight="1">
      <c r="A887" s="33" t="s">
        <v>7230</v>
      </c>
      <c r="B887" s="33" t="s">
        <v>7340</v>
      </c>
      <c r="C887" s="33" t="s">
        <v>7232</v>
      </c>
      <c r="D887" s="33">
        <v>260</v>
      </c>
      <c r="E887" s="33">
        <v>3</v>
      </c>
      <c r="F887" s="33" t="s">
        <v>7267</v>
      </c>
      <c r="G887" s="33" t="s">
        <v>7341</v>
      </c>
      <c r="J887" s="33" t="s">
        <v>28</v>
      </c>
      <c r="K887" s="33" t="s">
        <v>6280</v>
      </c>
      <c r="N887" s="33"/>
      <c r="O887" s="128"/>
      <c r="P887" s="129"/>
      <c r="Q887" s="130"/>
      <c r="R887" s="39"/>
      <c r="S887" s="131"/>
      <c r="T887" s="132"/>
      <c r="U887" s="128"/>
      <c r="V887" s="133"/>
      <c r="W887" s="134"/>
      <c r="X887" s="135"/>
      <c r="Y887" s="39"/>
      <c r="Z887" s="132"/>
      <c r="AA887" s="136"/>
      <c r="AB887" s="26"/>
      <c r="AD887" s="33" t="s">
        <v>4335</v>
      </c>
      <c r="AE887" s="33"/>
      <c r="AF887" s="33" t="s">
        <v>7342</v>
      </c>
      <c r="AP887" s="33"/>
      <c r="AQ887" s="128"/>
      <c r="AR887" s="129"/>
      <c r="AS887" s="130"/>
      <c r="AT887" s="39"/>
      <c r="AU887" s="132"/>
      <c r="AV887" s="128"/>
      <c r="AW887" s="133"/>
      <c r="AX887" s="134"/>
      <c r="AY887" s="135"/>
      <c r="AZ887" s="39"/>
      <c r="BA887" s="132"/>
      <c r="BB887" s="136"/>
      <c r="BF887" s="33"/>
    </row>
    <row r="888" spans="1:59" ht="15" customHeight="1">
      <c r="A888" s="33" t="s">
        <v>7230</v>
      </c>
      <c r="B888" s="33" t="s">
        <v>7343</v>
      </c>
      <c r="C888" s="33" t="s">
        <v>7232</v>
      </c>
      <c r="D888" s="33">
        <v>261</v>
      </c>
      <c r="E888" s="33">
        <v>3</v>
      </c>
      <c r="F888" s="33" t="s">
        <v>7267</v>
      </c>
      <c r="G888" s="33" t="s">
        <v>7344</v>
      </c>
      <c r="J888" s="33" t="s">
        <v>28</v>
      </c>
      <c r="K888" s="33" t="s">
        <v>6280</v>
      </c>
      <c r="N888" s="33"/>
      <c r="O888" s="128"/>
      <c r="P888" s="129"/>
      <c r="Q888" s="130"/>
      <c r="R888" s="39"/>
      <c r="S888" s="131"/>
      <c r="T888" s="132"/>
      <c r="U888" s="128"/>
      <c r="V888" s="133"/>
      <c r="W888" s="134"/>
      <c r="X888" s="135"/>
      <c r="Y888" s="39"/>
      <c r="Z888" s="132"/>
      <c r="AA888" s="136"/>
      <c r="AB888" s="26"/>
      <c r="AD888" s="33" t="s">
        <v>4335</v>
      </c>
      <c r="AE888" s="33"/>
      <c r="AF888" s="33" t="s">
        <v>7345</v>
      </c>
      <c r="AP888" s="33"/>
      <c r="AQ888" s="128"/>
      <c r="AR888" s="129"/>
      <c r="AS888" s="130"/>
      <c r="AT888" s="39"/>
      <c r="AU888" s="132"/>
      <c r="AV888" s="128"/>
      <c r="AW888" s="133"/>
      <c r="AX888" s="134"/>
      <c r="AY888" s="135"/>
      <c r="AZ888" s="39"/>
      <c r="BA888" s="132"/>
      <c r="BB888" s="136"/>
      <c r="BF888" s="33"/>
    </row>
    <row r="889" spans="1:59" ht="15" customHeight="1">
      <c r="A889" s="33" t="s">
        <v>7230</v>
      </c>
      <c r="B889" s="33" t="s">
        <v>7346</v>
      </c>
      <c r="C889" s="33" t="s">
        <v>7232</v>
      </c>
      <c r="D889" s="33">
        <v>262</v>
      </c>
      <c r="E889" s="33">
        <v>3</v>
      </c>
      <c r="F889" s="33" t="s">
        <v>7267</v>
      </c>
      <c r="G889" s="33" t="s">
        <v>7347</v>
      </c>
      <c r="J889" s="33" t="s">
        <v>28</v>
      </c>
      <c r="K889" s="33" t="s">
        <v>6280</v>
      </c>
      <c r="N889" s="33"/>
      <c r="O889" s="128"/>
      <c r="P889" s="129"/>
      <c r="Q889" s="130"/>
      <c r="R889" s="39"/>
      <c r="S889" s="131"/>
      <c r="T889" s="132"/>
      <c r="U889" s="128"/>
      <c r="V889" s="133"/>
      <c r="W889" s="134"/>
      <c r="X889" s="135"/>
      <c r="Y889" s="39"/>
      <c r="Z889" s="132"/>
      <c r="AA889" s="136"/>
      <c r="AB889" s="26"/>
      <c r="AD889" s="33" t="s">
        <v>4333</v>
      </c>
      <c r="AE889" s="33"/>
      <c r="AF889" s="33" t="s">
        <v>7348</v>
      </c>
      <c r="AP889" s="33"/>
      <c r="AQ889" s="128"/>
      <c r="AR889" s="129"/>
      <c r="AS889" s="130"/>
      <c r="AT889" s="39"/>
      <c r="AU889" s="132"/>
      <c r="AV889" s="128"/>
      <c r="AW889" s="133"/>
      <c r="AX889" s="134"/>
      <c r="AY889" s="135"/>
      <c r="AZ889" s="39"/>
      <c r="BA889" s="132"/>
      <c r="BB889" s="136"/>
      <c r="BF889" s="33"/>
    </row>
    <row r="890" spans="1:59" ht="15" customHeight="1">
      <c r="A890" s="33" t="s">
        <v>7351</v>
      </c>
      <c r="B890" s="33" t="s">
        <v>7352</v>
      </c>
      <c r="C890" s="33" t="s">
        <v>7487</v>
      </c>
      <c r="D890" s="34">
        <v>263</v>
      </c>
      <c r="E890" s="33">
        <v>2</v>
      </c>
      <c r="G890" s="33" t="s">
        <v>7353</v>
      </c>
      <c r="J890" s="33" t="s">
        <v>27</v>
      </c>
      <c r="K890" s="33" t="s">
        <v>4052</v>
      </c>
      <c r="L890" s="33">
        <v>0</v>
      </c>
      <c r="N890" s="72">
        <v>1</v>
      </c>
      <c r="P890" s="74">
        <v>1</v>
      </c>
      <c r="Q890" s="75">
        <v>1</v>
      </c>
      <c r="AB890" s="33" t="s">
        <v>4945</v>
      </c>
      <c r="AD890" s="33" t="s">
        <v>4161</v>
      </c>
      <c r="AF890" s="33" t="s">
        <v>7354</v>
      </c>
      <c r="AP890" s="83"/>
      <c r="AQ890" s="85"/>
      <c r="AR890" s="86"/>
      <c r="AS890" s="87"/>
      <c r="AV890" s="85"/>
      <c r="AW890" s="93"/>
      <c r="AX890" s="94"/>
      <c r="AY890" s="90"/>
      <c r="BB890" s="91"/>
    </row>
    <row r="891" spans="1:59" ht="15" customHeight="1">
      <c r="A891" s="33" t="s">
        <v>7351</v>
      </c>
      <c r="B891" s="33" t="s">
        <v>7355</v>
      </c>
      <c r="C891" s="33" t="s">
        <v>7487</v>
      </c>
      <c r="D891" s="34">
        <v>264</v>
      </c>
      <c r="E891" s="33">
        <v>2</v>
      </c>
      <c r="G891" s="33" t="s">
        <v>7356</v>
      </c>
      <c r="J891" s="33" t="s">
        <v>4111</v>
      </c>
      <c r="K891" s="33" t="s">
        <v>4052</v>
      </c>
      <c r="L891" s="33">
        <v>3</v>
      </c>
      <c r="N891" s="72" t="s">
        <v>38</v>
      </c>
      <c r="AD891" s="33" t="s">
        <v>4143</v>
      </c>
      <c r="AF891" s="33" t="s">
        <v>7357</v>
      </c>
      <c r="AP891" s="83"/>
      <c r="AQ891" s="85"/>
      <c r="AR891" s="86"/>
      <c r="AS891" s="87"/>
      <c r="AV891" s="85"/>
      <c r="AW891" s="93"/>
      <c r="AX891" s="94"/>
      <c r="AY891" s="90"/>
      <c r="BB891" s="91"/>
    </row>
    <row r="892" spans="1:59" ht="15" customHeight="1">
      <c r="A892" s="33" t="s">
        <v>7351</v>
      </c>
      <c r="B892" s="33" t="s">
        <v>7358</v>
      </c>
      <c r="C892" s="33" t="s">
        <v>7487</v>
      </c>
      <c r="D892" s="34">
        <v>265</v>
      </c>
      <c r="E892" s="33">
        <v>2</v>
      </c>
      <c r="G892" s="33" t="s">
        <v>7359</v>
      </c>
      <c r="J892" s="33" t="s">
        <v>27</v>
      </c>
      <c r="K892" s="33" t="s">
        <v>4053</v>
      </c>
      <c r="L892" s="33">
        <v>0</v>
      </c>
      <c r="N892" s="72">
        <v>0</v>
      </c>
      <c r="S892" s="123">
        <v>1</v>
      </c>
      <c r="AB892" s="33" t="s">
        <v>4062</v>
      </c>
      <c r="AD892" s="33" t="s">
        <v>4194</v>
      </c>
      <c r="AF892" s="33" t="s">
        <v>7360</v>
      </c>
      <c r="AP892" s="83"/>
      <c r="AQ892" s="85"/>
      <c r="AR892" s="86"/>
      <c r="AS892" s="87"/>
      <c r="AV892" s="85"/>
      <c r="AW892" s="93"/>
      <c r="AX892" s="94"/>
      <c r="AY892" s="90"/>
      <c r="BB892" s="91"/>
    </row>
    <row r="893" spans="1:59" ht="15" customHeight="1">
      <c r="A893" s="33" t="s">
        <v>7351</v>
      </c>
      <c r="B893" s="33" t="s">
        <v>7361</v>
      </c>
      <c r="C893" s="33" t="s">
        <v>7487</v>
      </c>
      <c r="D893" s="34">
        <v>266</v>
      </c>
      <c r="E893" s="33">
        <v>2</v>
      </c>
      <c r="G893" s="33" t="s">
        <v>7362</v>
      </c>
      <c r="J893" s="33" t="s">
        <v>4111</v>
      </c>
      <c r="K893" s="33" t="s">
        <v>4053</v>
      </c>
      <c r="L893" s="33">
        <v>4</v>
      </c>
      <c r="N893" s="72">
        <v>3</v>
      </c>
      <c r="O893" s="73">
        <v>1</v>
      </c>
      <c r="P893" s="74">
        <v>1</v>
      </c>
      <c r="AB893" s="33" t="s">
        <v>6176</v>
      </c>
      <c r="AC893" s="33" t="s">
        <v>4232</v>
      </c>
      <c r="AD893" s="33" t="s">
        <v>4133</v>
      </c>
      <c r="AF893" s="33" t="s">
        <v>7363</v>
      </c>
      <c r="AP893" s="83"/>
      <c r="AQ893" s="85"/>
      <c r="AR893" s="86"/>
      <c r="AS893" s="87"/>
      <c r="AV893" s="85"/>
      <c r="AW893" s="93"/>
      <c r="AX893" s="94"/>
      <c r="AY893" s="90"/>
      <c r="BB893" s="91"/>
    </row>
    <row r="894" spans="1:59" ht="15" customHeight="1">
      <c r="A894" s="33" t="s">
        <v>7351</v>
      </c>
      <c r="B894" s="33" t="s">
        <v>7364</v>
      </c>
      <c r="C894" s="33" t="s">
        <v>7487</v>
      </c>
      <c r="D894" s="34">
        <v>267</v>
      </c>
      <c r="E894" s="33">
        <v>2</v>
      </c>
      <c r="G894" s="33" t="s">
        <v>7365</v>
      </c>
      <c r="J894" s="33" t="s">
        <v>27</v>
      </c>
      <c r="K894" s="33" t="s">
        <v>4055</v>
      </c>
      <c r="L894" s="33">
        <v>0</v>
      </c>
      <c r="N894" s="72">
        <v>0</v>
      </c>
      <c r="R894" s="76">
        <v>2</v>
      </c>
      <c r="AB894" s="33" t="s">
        <v>4949</v>
      </c>
      <c r="AD894" s="33" t="s">
        <v>4226</v>
      </c>
      <c r="AF894" s="33" t="s">
        <v>7366</v>
      </c>
      <c r="AP894" s="83"/>
      <c r="AQ894" s="85"/>
      <c r="AR894" s="86"/>
      <c r="AS894" s="87"/>
      <c r="AV894" s="85"/>
      <c r="AW894" s="93"/>
      <c r="AX894" s="94"/>
      <c r="AY894" s="90"/>
      <c r="BB894" s="91"/>
    </row>
    <row r="895" spans="1:59" ht="15" customHeight="1">
      <c r="A895" s="33" t="s">
        <v>7351</v>
      </c>
      <c r="B895" s="33" t="s">
        <v>7367</v>
      </c>
      <c r="C895" s="33" t="s">
        <v>7487</v>
      </c>
      <c r="D895" s="34">
        <v>268</v>
      </c>
      <c r="E895" s="33">
        <v>2</v>
      </c>
      <c r="G895" s="33" t="s">
        <v>7368</v>
      </c>
      <c r="J895" s="33" t="s">
        <v>4111</v>
      </c>
      <c r="K895" s="33" t="s">
        <v>4055</v>
      </c>
      <c r="L895" s="33">
        <v>4</v>
      </c>
      <c r="N895" s="72">
        <v>3</v>
      </c>
      <c r="O895" s="73">
        <v>1</v>
      </c>
      <c r="R895" s="76">
        <v>1</v>
      </c>
      <c r="AB895" s="33" t="s">
        <v>6042</v>
      </c>
      <c r="AC895" s="33" t="s">
        <v>4232</v>
      </c>
      <c r="AD895" s="33" t="s">
        <v>4133</v>
      </c>
      <c r="AF895" s="33" t="s">
        <v>7369</v>
      </c>
      <c r="AP895" s="83"/>
      <c r="AQ895" s="85"/>
      <c r="AR895" s="86"/>
      <c r="AS895" s="87"/>
      <c r="AV895" s="85"/>
      <c r="AW895" s="93"/>
      <c r="AX895" s="94"/>
      <c r="AY895" s="90"/>
      <c r="BB895" s="91"/>
    </row>
    <row r="896" spans="1:59" ht="15" customHeight="1">
      <c r="A896" s="33" t="s">
        <v>7351</v>
      </c>
      <c r="B896" s="33" t="s">
        <v>7370</v>
      </c>
      <c r="C896" s="33" t="s">
        <v>7487</v>
      </c>
      <c r="D896" s="34">
        <v>269</v>
      </c>
      <c r="E896" s="33">
        <v>2</v>
      </c>
      <c r="G896" s="33" t="s">
        <v>7371</v>
      </c>
      <c r="H896" s="33" t="s">
        <v>7372</v>
      </c>
      <c r="I896" s="33" t="s">
        <v>4077</v>
      </c>
      <c r="J896" s="33" t="s">
        <v>4111</v>
      </c>
      <c r="K896" s="33" t="s">
        <v>4054</v>
      </c>
      <c r="L896" s="33">
        <v>0</v>
      </c>
      <c r="N896" s="72">
        <v>4</v>
      </c>
      <c r="O896" s="73">
        <v>1</v>
      </c>
      <c r="AB896" s="33" t="s">
        <v>4058</v>
      </c>
      <c r="AC896" s="33" t="s">
        <v>4129</v>
      </c>
      <c r="AD896" s="33" t="s">
        <v>4229</v>
      </c>
      <c r="AF896" s="33" t="s">
        <v>7373</v>
      </c>
      <c r="AP896" s="83"/>
      <c r="AQ896" s="85"/>
      <c r="AR896" s="86"/>
      <c r="AS896" s="87"/>
      <c r="AV896" s="85"/>
      <c r="AW896" s="93"/>
      <c r="AX896" s="94"/>
      <c r="AY896" s="90"/>
      <c r="BB896" s="91"/>
    </row>
    <row r="897" spans="1:59" ht="15" customHeight="1">
      <c r="A897" s="33" t="s">
        <v>7351</v>
      </c>
      <c r="B897" s="33" t="s">
        <v>7374</v>
      </c>
      <c r="C897" s="33" t="s">
        <v>7487</v>
      </c>
      <c r="D897" s="34">
        <v>270</v>
      </c>
      <c r="E897" s="33">
        <v>2</v>
      </c>
      <c r="G897" s="33" t="s">
        <v>4527</v>
      </c>
      <c r="J897" s="33" t="s">
        <v>27</v>
      </c>
      <c r="K897" s="33" t="s">
        <v>4054</v>
      </c>
      <c r="L897" s="33">
        <v>2</v>
      </c>
      <c r="N897" s="72">
        <v>1</v>
      </c>
      <c r="S897" s="123">
        <v>1</v>
      </c>
      <c r="AB897" s="33" t="s">
        <v>4062</v>
      </c>
      <c r="AD897" s="33" t="s">
        <v>4528</v>
      </c>
      <c r="AF897" s="33" t="s">
        <v>7375</v>
      </c>
      <c r="AP897" s="83"/>
      <c r="AQ897" s="85"/>
      <c r="AR897" s="86"/>
      <c r="AS897" s="87"/>
      <c r="AV897" s="85"/>
      <c r="AW897" s="93"/>
      <c r="AX897" s="94"/>
      <c r="AY897" s="90"/>
      <c r="BB897" s="91"/>
    </row>
    <row r="898" spans="1:59" ht="15" customHeight="1">
      <c r="A898" s="33" t="s">
        <v>7351</v>
      </c>
      <c r="B898" s="33" t="s">
        <v>7376</v>
      </c>
      <c r="C898" s="33" t="s">
        <v>7487</v>
      </c>
      <c r="D898" s="34">
        <v>271</v>
      </c>
      <c r="E898" s="33">
        <v>2</v>
      </c>
      <c r="G898" s="33" t="s">
        <v>4523</v>
      </c>
      <c r="J898" s="33" t="s">
        <v>4111</v>
      </c>
      <c r="K898" s="33" t="s">
        <v>4054</v>
      </c>
      <c r="L898" s="33">
        <v>3</v>
      </c>
      <c r="N898" s="72">
        <v>0</v>
      </c>
      <c r="O898" s="73">
        <v>1</v>
      </c>
      <c r="Q898" s="75">
        <v>1</v>
      </c>
      <c r="T898" s="78">
        <v>1</v>
      </c>
      <c r="U898" s="73">
        <v>3</v>
      </c>
      <c r="AB898" s="33" t="s">
        <v>6033</v>
      </c>
      <c r="AC898" s="33" t="s">
        <v>25</v>
      </c>
      <c r="AD898" s="33" t="s">
        <v>4524</v>
      </c>
      <c r="AF898" s="33" t="s">
        <v>7377</v>
      </c>
      <c r="AP898" s="83"/>
      <c r="AQ898" s="85"/>
      <c r="AR898" s="86"/>
      <c r="AS898" s="87"/>
      <c r="AV898" s="85"/>
      <c r="AW898" s="93"/>
      <c r="AX898" s="94"/>
      <c r="AY898" s="90"/>
      <c r="BB898" s="91"/>
    </row>
    <row r="899" spans="1:59" ht="15" customHeight="1">
      <c r="A899" s="33" t="s">
        <v>7351</v>
      </c>
      <c r="B899" s="33" t="s">
        <v>7378</v>
      </c>
      <c r="C899" s="33" t="s">
        <v>7487</v>
      </c>
      <c r="D899" s="34">
        <v>272</v>
      </c>
      <c r="E899" s="33">
        <v>2</v>
      </c>
      <c r="G899" s="33" t="s">
        <v>7379</v>
      </c>
      <c r="J899" s="33" t="s">
        <v>4166</v>
      </c>
      <c r="K899" s="33" t="s">
        <v>4056</v>
      </c>
      <c r="L899" s="33">
        <v>0</v>
      </c>
      <c r="O899" s="73">
        <v>1</v>
      </c>
      <c r="Q899" s="75">
        <v>1</v>
      </c>
      <c r="R899" s="76">
        <v>1</v>
      </c>
      <c r="AB899" s="33" t="s">
        <v>7250</v>
      </c>
      <c r="AD899" s="33" t="s">
        <v>4266</v>
      </c>
      <c r="AF899" s="33" t="s">
        <v>7380</v>
      </c>
      <c r="AP899" s="83"/>
      <c r="AQ899" s="85"/>
      <c r="AR899" s="86"/>
      <c r="AS899" s="87"/>
      <c r="AV899" s="85"/>
      <c r="AW899" s="93"/>
      <c r="AX899" s="94"/>
      <c r="AY899" s="90"/>
      <c r="BB899" s="91"/>
    </row>
    <row r="900" spans="1:59" ht="15" customHeight="1">
      <c r="A900" s="33" t="s">
        <v>7351</v>
      </c>
      <c r="B900" s="33" t="s">
        <v>7381</v>
      </c>
      <c r="C900" s="33" t="s">
        <v>7487</v>
      </c>
      <c r="D900" s="34">
        <v>273</v>
      </c>
      <c r="E900" s="33">
        <v>2</v>
      </c>
      <c r="G900" s="33" t="s">
        <v>7382</v>
      </c>
      <c r="J900" s="33" t="s">
        <v>27</v>
      </c>
      <c r="K900" s="33" t="s">
        <v>4056</v>
      </c>
      <c r="L900" s="33">
        <v>3</v>
      </c>
      <c r="N900" s="72">
        <v>3</v>
      </c>
      <c r="AD900" s="33" t="s">
        <v>5659</v>
      </c>
      <c r="AF900" s="33" t="s">
        <v>7383</v>
      </c>
      <c r="AP900" s="83"/>
      <c r="AQ900" s="85"/>
      <c r="AR900" s="86"/>
      <c r="AS900" s="87"/>
      <c r="AV900" s="85"/>
      <c r="AW900" s="93"/>
      <c r="AX900" s="94"/>
      <c r="AY900" s="90"/>
      <c r="BB900" s="91"/>
    </row>
    <row r="901" spans="1:59" ht="15" customHeight="1">
      <c r="A901" s="33" t="s">
        <v>7351</v>
      </c>
      <c r="B901" s="33" t="s">
        <v>7384</v>
      </c>
      <c r="C901" s="33" t="s">
        <v>7487</v>
      </c>
      <c r="D901" s="34">
        <v>274</v>
      </c>
      <c r="E901" s="33">
        <v>1</v>
      </c>
      <c r="F901" s="33" t="s">
        <v>6641</v>
      </c>
      <c r="G901" s="33" t="s">
        <v>6641</v>
      </c>
      <c r="J901" s="33" t="s">
        <v>4472</v>
      </c>
      <c r="K901" s="33" t="s">
        <v>6280</v>
      </c>
      <c r="AF901" s="33" t="s">
        <v>7385</v>
      </c>
      <c r="AI901" s="33" t="s">
        <v>6641</v>
      </c>
      <c r="AL901" s="33" t="s">
        <v>4472</v>
      </c>
      <c r="AM901" s="33" t="s">
        <v>6280</v>
      </c>
      <c r="AP901" s="83"/>
      <c r="AQ901" s="85"/>
      <c r="AR901" s="86"/>
      <c r="AS901" s="87"/>
      <c r="AV901" s="85"/>
      <c r="AW901" s="93"/>
      <c r="AX901" s="94"/>
      <c r="AY901" s="90"/>
      <c r="BB901" s="91"/>
      <c r="BG901" s="33" t="s">
        <v>7386</v>
      </c>
    </row>
    <row r="902" spans="1:59" ht="15" customHeight="1">
      <c r="A902" s="33" t="s">
        <v>7351</v>
      </c>
      <c r="B902" s="33" t="s">
        <v>7387</v>
      </c>
      <c r="C902" s="33" t="s">
        <v>7487</v>
      </c>
      <c r="D902" s="34">
        <v>275</v>
      </c>
      <c r="E902" s="33">
        <v>1</v>
      </c>
      <c r="F902" s="33" t="s">
        <v>6641</v>
      </c>
      <c r="G902" s="33" t="s">
        <v>7388</v>
      </c>
      <c r="J902" s="33" t="s">
        <v>4473</v>
      </c>
      <c r="K902" s="33" t="s">
        <v>6280</v>
      </c>
      <c r="L902" s="33">
        <v>1</v>
      </c>
      <c r="Z902" s="78">
        <v>5</v>
      </c>
      <c r="AF902" s="33" t="s">
        <v>7389</v>
      </c>
      <c r="AI902" s="33" t="s">
        <v>7390</v>
      </c>
      <c r="AL902" s="33" t="s">
        <v>4473</v>
      </c>
      <c r="AM902" s="33" t="s">
        <v>6280</v>
      </c>
      <c r="AN902" s="33">
        <v>1</v>
      </c>
      <c r="AP902" s="83"/>
      <c r="AQ902" s="85"/>
      <c r="AR902" s="86"/>
      <c r="AS902" s="87"/>
      <c r="AV902" s="85"/>
      <c r="AW902" s="93"/>
      <c r="AX902" s="94"/>
      <c r="AY902" s="90"/>
      <c r="BB902" s="91"/>
      <c r="BG902" s="33" t="s">
        <v>7391</v>
      </c>
    </row>
    <row r="903" spans="1:59" ht="15" customHeight="1">
      <c r="A903" s="33" t="s">
        <v>7351</v>
      </c>
      <c r="B903" s="33" t="s">
        <v>7392</v>
      </c>
      <c r="C903" s="33" t="s">
        <v>7487</v>
      </c>
      <c r="D903" s="34">
        <v>276</v>
      </c>
      <c r="E903" s="33">
        <v>1</v>
      </c>
      <c r="F903" s="33" t="s">
        <v>7393</v>
      </c>
      <c r="G903" s="33" t="s">
        <v>7394</v>
      </c>
      <c r="J903" s="33" t="s">
        <v>4473</v>
      </c>
      <c r="K903" s="33" t="s">
        <v>6280</v>
      </c>
      <c r="L903" s="33">
        <v>2</v>
      </c>
      <c r="Z903" s="78">
        <v>6</v>
      </c>
      <c r="AF903" s="33" t="s">
        <v>7395</v>
      </c>
      <c r="AI903" s="33" t="s">
        <v>7396</v>
      </c>
      <c r="AL903" s="33" t="s">
        <v>4473</v>
      </c>
      <c r="AM903" s="33" t="s">
        <v>6280</v>
      </c>
      <c r="AN903" s="33">
        <v>2</v>
      </c>
      <c r="AP903" s="83"/>
      <c r="AQ903" s="85"/>
      <c r="AR903" s="86"/>
      <c r="AS903" s="87"/>
      <c r="AV903" s="85"/>
      <c r="AW903" s="93"/>
      <c r="AX903" s="94"/>
      <c r="AY903" s="90"/>
      <c r="BB903" s="91"/>
      <c r="BG903" s="33" t="s">
        <v>7397</v>
      </c>
    </row>
    <row r="904" spans="1:59" ht="15" customHeight="1">
      <c r="A904" s="33" t="s">
        <v>7351</v>
      </c>
      <c r="B904" s="33" t="s">
        <v>7398</v>
      </c>
      <c r="C904" s="33" t="s">
        <v>7487</v>
      </c>
      <c r="D904" s="34">
        <v>276</v>
      </c>
      <c r="E904" s="33">
        <v>1</v>
      </c>
      <c r="F904" s="33" t="s">
        <v>7399</v>
      </c>
      <c r="G904" s="33" t="s">
        <v>7394</v>
      </c>
      <c r="J904" s="33" t="s">
        <v>4473</v>
      </c>
      <c r="K904" s="33" t="s">
        <v>6280</v>
      </c>
      <c r="L904" s="33">
        <v>2</v>
      </c>
      <c r="Z904" s="78">
        <v>6</v>
      </c>
      <c r="AF904" s="33" t="s">
        <v>7395</v>
      </c>
      <c r="AI904" s="33" t="s">
        <v>6792</v>
      </c>
      <c r="AL904" s="33" t="s">
        <v>4473</v>
      </c>
      <c r="AM904" s="33" t="s">
        <v>6280</v>
      </c>
      <c r="AN904" s="33">
        <v>2</v>
      </c>
      <c r="AP904" s="83"/>
      <c r="AQ904" s="85"/>
      <c r="AR904" s="86"/>
      <c r="AS904" s="87"/>
      <c r="AV904" s="85"/>
      <c r="AW904" s="93"/>
      <c r="AX904" s="94"/>
      <c r="AY904" s="90"/>
      <c r="BB904" s="91"/>
      <c r="BG904" s="33" t="s">
        <v>7400</v>
      </c>
    </row>
    <row r="905" spans="1:59" ht="15" customHeight="1">
      <c r="A905" s="33" t="s">
        <v>7351</v>
      </c>
      <c r="B905" s="33" t="s">
        <v>7401</v>
      </c>
      <c r="C905" s="33" t="s">
        <v>7487</v>
      </c>
      <c r="D905" s="34">
        <v>277</v>
      </c>
      <c r="E905" s="33">
        <v>1</v>
      </c>
      <c r="F905" s="33" t="s">
        <v>6641</v>
      </c>
      <c r="G905" s="33" t="s">
        <v>7402</v>
      </c>
      <c r="J905" s="33" t="s">
        <v>4473</v>
      </c>
      <c r="K905" s="33" t="s">
        <v>6280</v>
      </c>
      <c r="L905" s="33">
        <v>3</v>
      </c>
      <c r="Z905" s="78">
        <v>8</v>
      </c>
      <c r="AF905" s="33" t="s">
        <v>7403</v>
      </c>
      <c r="AI905" s="33" t="s">
        <v>7404</v>
      </c>
      <c r="AL905" s="33" t="s">
        <v>4473</v>
      </c>
      <c r="AM905" s="33" t="s">
        <v>6280</v>
      </c>
      <c r="AN905" s="33">
        <v>3</v>
      </c>
      <c r="AP905" s="83"/>
      <c r="AQ905" s="85"/>
      <c r="AR905" s="86"/>
      <c r="AS905" s="87"/>
      <c r="AV905" s="85"/>
      <c r="AW905" s="93"/>
      <c r="AX905" s="94"/>
      <c r="AY905" s="90"/>
      <c r="BB905" s="91"/>
      <c r="BG905" s="33" t="s">
        <v>5341</v>
      </c>
    </row>
    <row r="906" spans="1:59" ht="15" customHeight="1">
      <c r="A906" s="33" t="s">
        <v>7351</v>
      </c>
      <c r="B906" s="33" t="s">
        <v>7405</v>
      </c>
      <c r="C906" s="33" t="s">
        <v>7487</v>
      </c>
      <c r="D906" s="34">
        <v>278</v>
      </c>
      <c r="E906" s="33">
        <v>1</v>
      </c>
      <c r="F906" s="33" t="s">
        <v>6641</v>
      </c>
      <c r="G906" s="33" t="s">
        <v>4642</v>
      </c>
      <c r="J906" s="33" t="s">
        <v>4473</v>
      </c>
      <c r="K906" s="33" t="s">
        <v>6280</v>
      </c>
      <c r="L906" s="33">
        <v>1</v>
      </c>
      <c r="Z906" s="78">
        <v>5</v>
      </c>
      <c r="AF906" s="33" t="s">
        <v>7406</v>
      </c>
      <c r="AI906" s="33" t="s">
        <v>7407</v>
      </c>
      <c r="AL906" s="33" t="s">
        <v>4473</v>
      </c>
      <c r="AM906" s="33" t="s">
        <v>6280</v>
      </c>
      <c r="AN906" s="33">
        <v>1</v>
      </c>
      <c r="AP906" s="83"/>
      <c r="AQ906" s="85"/>
      <c r="AR906" s="86"/>
      <c r="AS906" s="87"/>
      <c r="AV906" s="85"/>
      <c r="AW906" s="93"/>
      <c r="AX906" s="94"/>
      <c r="AY906" s="90"/>
      <c r="BB906" s="91"/>
      <c r="BG906" s="33" t="s">
        <v>7408</v>
      </c>
    </row>
    <row r="907" spans="1:59" ht="15" customHeight="1">
      <c r="A907" s="33" t="s">
        <v>7351</v>
      </c>
      <c r="B907" s="33" t="s">
        <v>7409</v>
      </c>
      <c r="C907" s="33" t="s">
        <v>7487</v>
      </c>
      <c r="D907" s="34">
        <v>279</v>
      </c>
      <c r="E907" s="33">
        <v>1</v>
      </c>
      <c r="F907" s="33" t="s">
        <v>7399</v>
      </c>
      <c r="G907" s="33" t="s">
        <v>7410</v>
      </c>
      <c r="J907" s="33" t="s">
        <v>4473</v>
      </c>
      <c r="K907" s="33" t="s">
        <v>6280</v>
      </c>
      <c r="L907" s="33">
        <v>2</v>
      </c>
      <c r="Z907" s="78">
        <v>6</v>
      </c>
      <c r="AF907" s="33" t="s">
        <v>7411</v>
      </c>
      <c r="AI907" s="33" t="s">
        <v>7396</v>
      </c>
      <c r="AL907" s="33" t="s">
        <v>4473</v>
      </c>
      <c r="AM907" s="33" t="s">
        <v>6280</v>
      </c>
      <c r="AN907" s="33">
        <v>2</v>
      </c>
      <c r="AP907" s="83"/>
      <c r="AQ907" s="85"/>
      <c r="AR907" s="86"/>
      <c r="AS907" s="87"/>
      <c r="AV907" s="85"/>
      <c r="AW907" s="93"/>
      <c r="AX907" s="94"/>
      <c r="AY907" s="90"/>
      <c r="BB907" s="91"/>
      <c r="BG907" s="33" t="s">
        <v>7412</v>
      </c>
    </row>
    <row r="908" spans="1:59" ht="15" customHeight="1">
      <c r="A908" s="33" t="s">
        <v>7351</v>
      </c>
      <c r="B908" s="33" t="s">
        <v>7413</v>
      </c>
      <c r="C908" s="33" t="s">
        <v>7487</v>
      </c>
      <c r="D908" s="34">
        <v>279</v>
      </c>
      <c r="E908" s="33">
        <v>1</v>
      </c>
      <c r="F908" s="33" t="s">
        <v>7393</v>
      </c>
      <c r="G908" s="33" t="s">
        <v>7410</v>
      </c>
      <c r="J908" s="33" t="s">
        <v>4473</v>
      </c>
      <c r="K908" s="33" t="s">
        <v>6280</v>
      </c>
      <c r="L908" s="33">
        <v>2</v>
      </c>
      <c r="Z908" s="78">
        <v>6</v>
      </c>
      <c r="AF908" s="33" t="s">
        <v>7411</v>
      </c>
      <c r="AI908" s="33" t="s">
        <v>6792</v>
      </c>
      <c r="AL908" s="33" t="s">
        <v>4473</v>
      </c>
      <c r="AM908" s="33" t="s">
        <v>6280</v>
      </c>
      <c r="AN908" s="33">
        <v>2</v>
      </c>
      <c r="AP908" s="83"/>
      <c r="AQ908" s="85"/>
      <c r="AR908" s="86"/>
      <c r="AS908" s="87"/>
      <c r="AV908" s="85"/>
      <c r="AW908" s="93"/>
      <c r="AX908" s="94"/>
      <c r="AY908" s="90"/>
      <c r="BB908" s="91"/>
      <c r="BG908" s="33" t="s">
        <v>7414</v>
      </c>
    </row>
    <row r="909" spans="1:59" ht="15" customHeight="1">
      <c r="A909" s="33" t="s">
        <v>7351</v>
      </c>
      <c r="B909" s="33" t="s">
        <v>7415</v>
      </c>
      <c r="C909" s="33" t="s">
        <v>7487</v>
      </c>
      <c r="D909" s="34">
        <v>280</v>
      </c>
      <c r="E909" s="33">
        <v>1</v>
      </c>
      <c r="F909" s="33" t="s">
        <v>6641</v>
      </c>
      <c r="G909" s="33" t="s">
        <v>7416</v>
      </c>
      <c r="J909" s="33" t="s">
        <v>4473</v>
      </c>
      <c r="K909" s="33" t="s">
        <v>6280</v>
      </c>
      <c r="L909" s="33">
        <v>3</v>
      </c>
      <c r="Z909" s="78">
        <v>8</v>
      </c>
      <c r="AF909" s="33" t="s">
        <v>7417</v>
      </c>
      <c r="AI909" s="33" t="s">
        <v>7404</v>
      </c>
      <c r="AL909" s="33" t="s">
        <v>4473</v>
      </c>
      <c r="AM909" s="33" t="s">
        <v>6280</v>
      </c>
      <c r="AN909" s="33">
        <v>3</v>
      </c>
      <c r="AP909" s="83"/>
      <c r="AQ909" s="85"/>
      <c r="AR909" s="86"/>
      <c r="AS909" s="87"/>
      <c r="AV909" s="85"/>
      <c r="AW909" s="93"/>
      <c r="AX909" s="94"/>
      <c r="AY909" s="90"/>
      <c r="BB909" s="91"/>
      <c r="BG909" s="33" t="s">
        <v>5341</v>
      </c>
    </row>
    <row r="910" spans="1:59" ht="15" customHeight="1">
      <c r="A910" s="33" t="s">
        <v>7351</v>
      </c>
      <c r="B910" s="33" t="s">
        <v>7418</v>
      </c>
      <c r="C910" s="33" t="s">
        <v>7487</v>
      </c>
      <c r="D910" s="34">
        <v>281</v>
      </c>
      <c r="E910" s="33">
        <v>1</v>
      </c>
      <c r="F910" s="33" t="s">
        <v>6641</v>
      </c>
      <c r="G910" s="33" t="s">
        <v>7419</v>
      </c>
      <c r="J910" s="33" t="s">
        <v>4475</v>
      </c>
      <c r="K910" s="33" t="s">
        <v>6280</v>
      </c>
      <c r="L910" s="33">
        <v>3</v>
      </c>
      <c r="Y910" s="76" t="s">
        <v>38</v>
      </c>
      <c r="AF910" s="33" t="s">
        <v>7420</v>
      </c>
      <c r="AI910" s="33" t="s">
        <v>7421</v>
      </c>
      <c r="AL910" s="33" t="s">
        <v>4475</v>
      </c>
      <c r="AM910" s="33" t="s">
        <v>6280</v>
      </c>
      <c r="AN910" s="33">
        <v>3</v>
      </c>
      <c r="AP910" s="83"/>
      <c r="AQ910" s="85"/>
      <c r="AR910" s="86"/>
      <c r="AS910" s="87"/>
      <c r="AV910" s="85"/>
      <c r="AW910" s="93"/>
      <c r="AX910" s="94"/>
      <c r="AY910" s="90"/>
      <c r="BB910" s="91"/>
      <c r="BG910" s="33" t="s">
        <v>5740</v>
      </c>
    </row>
    <row r="911" spans="1:59" ht="15" customHeight="1">
      <c r="A911" s="33" t="s">
        <v>7351</v>
      </c>
      <c r="B911" s="33" t="s">
        <v>7422</v>
      </c>
      <c r="C911" s="33" t="s">
        <v>7487</v>
      </c>
      <c r="D911" s="34">
        <v>282</v>
      </c>
      <c r="E911" s="33">
        <v>1</v>
      </c>
      <c r="F911" s="33" t="s">
        <v>6641</v>
      </c>
      <c r="G911" s="33" t="s">
        <v>7423</v>
      </c>
      <c r="J911" s="33" t="s">
        <v>4475</v>
      </c>
      <c r="K911" s="33" t="s">
        <v>6280</v>
      </c>
      <c r="L911" s="33">
        <v>3</v>
      </c>
      <c r="Y911" s="76" t="s">
        <v>38</v>
      </c>
      <c r="AF911" s="33" t="s">
        <v>7424</v>
      </c>
      <c r="AI911" s="33" t="s">
        <v>7421</v>
      </c>
      <c r="AL911" s="33" t="s">
        <v>4475</v>
      </c>
      <c r="AM911" s="33" t="s">
        <v>6280</v>
      </c>
      <c r="AN911" s="33">
        <v>3</v>
      </c>
      <c r="AP911" s="83"/>
      <c r="AQ911" s="85"/>
      <c r="AR911" s="86"/>
      <c r="AS911" s="87"/>
      <c r="AV911" s="85"/>
      <c r="AW911" s="93"/>
      <c r="AX911" s="94"/>
      <c r="AY911" s="90"/>
      <c r="BB911" s="91"/>
      <c r="BG911" s="33" t="s">
        <v>6066</v>
      </c>
    </row>
    <row r="912" spans="1:59" ht="15" customHeight="1">
      <c r="A912" s="33" t="s">
        <v>7351</v>
      </c>
      <c r="B912" s="33" t="s">
        <v>7425</v>
      </c>
      <c r="C912" s="33" t="s">
        <v>7487</v>
      </c>
      <c r="D912" s="34">
        <v>283</v>
      </c>
      <c r="E912" s="33">
        <v>1</v>
      </c>
      <c r="F912" s="33" t="s">
        <v>6641</v>
      </c>
      <c r="G912" s="33" t="s">
        <v>7426</v>
      </c>
      <c r="J912" s="33" t="s">
        <v>31</v>
      </c>
      <c r="K912" s="33" t="s">
        <v>6280</v>
      </c>
      <c r="AI912" s="33" t="s">
        <v>7426</v>
      </c>
      <c r="AL912" s="33" t="s">
        <v>31</v>
      </c>
      <c r="AM912" s="33" t="s">
        <v>6280</v>
      </c>
      <c r="AP912" s="83"/>
      <c r="AQ912" s="85"/>
      <c r="AR912" s="86"/>
      <c r="AS912" s="87"/>
      <c r="AV912" s="85"/>
      <c r="AW912" s="93"/>
      <c r="AX912" s="94"/>
      <c r="AY912" s="90">
        <v>3</v>
      </c>
      <c r="AZ912" s="76" t="s">
        <v>4927</v>
      </c>
      <c r="BB912" s="91"/>
      <c r="BG912" s="33" t="s">
        <v>7427</v>
      </c>
    </row>
    <row r="913" spans="1:59" ht="15" customHeight="1">
      <c r="A913" s="33" t="s">
        <v>7351</v>
      </c>
      <c r="B913" s="33" t="s">
        <v>7428</v>
      </c>
      <c r="C913" s="33" t="s">
        <v>7487</v>
      </c>
      <c r="D913" s="34">
        <v>284</v>
      </c>
      <c r="E913" s="33">
        <v>1</v>
      </c>
      <c r="F913" s="33" t="s">
        <v>6641</v>
      </c>
      <c r="G913" s="33" t="s">
        <v>7429</v>
      </c>
      <c r="J913" s="33" t="s">
        <v>31</v>
      </c>
      <c r="K913" s="33" t="s">
        <v>6280</v>
      </c>
      <c r="AI913" s="33" t="s">
        <v>7429</v>
      </c>
      <c r="AL913" s="33" t="s">
        <v>31</v>
      </c>
      <c r="AM913" s="33" t="s">
        <v>6280</v>
      </c>
      <c r="AP913" s="83"/>
      <c r="AQ913" s="85"/>
      <c r="AR913" s="86"/>
      <c r="AS913" s="87"/>
      <c r="AV913" s="85"/>
      <c r="AW913" s="93"/>
      <c r="AX913" s="94"/>
      <c r="AY913" s="90">
        <v>1</v>
      </c>
      <c r="AZ913" s="76" t="s">
        <v>4927</v>
      </c>
      <c r="BB913" s="91"/>
      <c r="BG913" s="33" t="s">
        <v>7430</v>
      </c>
    </row>
    <row r="914" spans="1:59" ht="15" customHeight="1">
      <c r="A914" s="33" t="s">
        <v>7351</v>
      </c>
      <c r="B914" s="33" t="s">
        <v>7431</v>
      </c>
      <c r="C914" s="33" t="s">
        <v>7487</v>
      </c>
      <c r="D914" s="34">
        <v>285</v>
      </c>
      <c r="E914" s="33">
        <v>1</v>
      </c>
      <c r="F914" s="33" t="s">
        <v>6641</v>
      </c>
      <c r="G914" s="33" t="s">
        <v>7432</v>
      </c>
      <c r="J914" s="33" t="s">
        <v>31</v>
      </c>
      <c r="K914" s="33" t="s">
        <v>6280</v>
      </c>
      <c r="AI914" s="33" t="s">
        <v>7432</v>
      </c>
      <c r="AL914" s="33" t="s">
        <v>31</v>
      </c>
      <c r="AM914" s="33" t="s">
        <v>6280</v>
      </c>
      <c r="AP914" s="83"/>
      <c r="AQ914" s="85"/>
      <c r="AR914" s="86"/>
      <c r="AS914" s="87"/>
      <c r="AV914" s="85"/>
      <c r="AW914" s="93"/>
      <c r="AX914" s="94"/>
      <c r="AY914" s="90">
        <v>2</v>
      </c>
      <c r="AZ914" s="76" t="s">
        <v>4965</v>
      </c>
      <c r="BB914" s="91">
        <v>1</v>
      </c>
      <c r="BG914" s="33" t="s">
        <v>7433</v>
      </c>
    </row>
    <row r="915" spans="1:59" ht="15" customHeight="1">
      <c r="A915" s="33" t="s">
        <v>7351</v>
      </c>
      <c r="B915" s="33" t="s">
        <v>7434</v>
      </c>
      <c r="C915" s="33" t="s">
        <v>7487</v>
      </c>
      <c r="D915" s="34">
        <v>286</v>
      </c>
      <c r="E915" s="33">
        <v>1</v>
      </c>
      <c r="F915" s="33" t="s">
        <v>6641</v>
      </c>
      <c r="G915" s="33" t="s">
        <v>7432</v>
      </c>
      <c r="J915" s="33" t="s">
        <v>31</v>
      </c>
      <c r="K915" s="33" t="s">
        <v>6280</v>
      </c>
      <c r="AI915" s="33" t="s">
        <v>7432</v>
      </c>
      <c r="AL915" s="33" t="s">
        <v>31</v>
      </c>
      <c r="AM915" s="33" t="s">
        <v>6280</v>
      </c>
      <c r="AP915" s="83"/>
      <c r="AQ915" s="85"/>
      <c r="AR915" s="86"/>
      <c r="AS915" s="87"/>
      <c r="AV915" s="85"/>
      <c r="AW915" s="93"/>
      <c r="AX915" s="94"/>
      <c r="AY915" s="90">
        <v>4</v>
      </c>
      <c r="AZ915" s="76" t="s">
        <v>4927</v>
      </c>
      <c r="BB915" s="91">
        <v>1</v>
      </c>
      <c r="BG915" s="33" t="s">
        <v>7435</v>
      </c>
    </row>
    <row r="916" spans="1:59" ht="15" customHeight="1">
      <c r="A916" s="33" t="s">
        <v>7351</v>
      </c>
      <c r="B916" s="33" t="s">
        <v>7436</v>
      </c>
      <c r="C916" s="33" t="s">
        <v>7487</v>
      </c>
      <c r="D916" s="34">
        <v>287</v>
      </c>
      <c r="E916" s="33">
        <v>1</v>
      </c>
      <c r="F916" s="33" t="s">
        <v>6641</v>
      </c>
      <c r="G916" s="33" t="s">
        <v>7437</v>
      </c>
      <c r="J916" s="33" t="s">
        <v>31</v>
      </c>
      <c r="K916" s="33" t="s">
        <v>6280</v>
      </c>
      <c r="AI916" s="33" t="s">
        <v>7437</v>
      </c>
      <c r="AL916" s="33" t="s">
        <v>31</v>
      </c>
      <c r="AM916" s="33" t="s">
        <v>6280</v>
      </c>
      <c r="AP916" s="83"/>
      <c r="AQ916" s="85"/>
      <c r="AR916" s="86"/>
      <c r="AS916" s="87"/>
      <c r="AV916" s="85"/>
      <c r="AW916" s="93"/>
      <c r="AX916" s="94"/>
      <c r="AY916" s="90">
        <v>2</v>
      </c>
      <c r="AZ916" s="76" t="s">
        <v>4965</v>
      </c>
      <c r="BB916" s="91">
        <v>1</v>
      </c>
      <c r="BG916" s="33" t="s">
        <v>7438</v>
      </c>
    </row>
    <row r="917" spans="1:59" ht="15" customHeight="1">
      <c r="A917" s="33" t="s">
        <v>7351</v>
      </c>
      <c r="B917" s="33" t="s">
        <v>7439</v>
      </c>
      <c r="C917" s="33" t="s">
        <v>7487</v>
      </c>
      <c r="D917" s="34">
        <v>288</v>
      </c>
      <c r="E917" s="33">
        <v>1</v>
      </c>
      <c r="F917" s="33" t="s">
        <v>6641</v>
      </c>
      <c r="G917" s="33" t="s">
        <v>7437</v>
      </c>
      <c r="J917" s="33" t="s">
        <v>31</v>
      </c>
      <c r="K917" s="33" t="s">
        <v>6280</v>
      </c>
      <c r="AI917" s="33" t="s">
        <v>7437</v>
      </c>
      <c r="AL917" s="33" t="s">
        <v>31</v>
      </c>
      <c r="AM917" s="33" t="s">
        <v>6280</v>
      </c>
      <c r="AP917" s="83"/>
      <c r="AQ917" s="85"/>
      <c r="AR917" s="86"/>
      <c r="AS917" s="87"/>
      <c r="AV917" s="85"/>
      <c r="AW917" s="93"/>
      <c r="AX917" s="94"/>
      <c r="AY917" s="90">
        <v>4</v>
      </c>
      <c r="AZ917" s="76" t="s">
        <v>4927</v>
      </c>
      <c r="BB917" s="91">
        <v>1</v>
      </c>
      <c r="BG917" s="33" t="s">
        <v>7440</v>
      </c>
    </row>
    <row r="918" spans="1:59" ht="15" customHeight="1">
      <c r="A918" s="33" t="s">
        <v>7351</v>
      </c>
      <c r="B918" s="33" t="s">
        <v>7441</v>
      </c>
      <c r="C918" s="33" t="s">
        <v>7487</v>
      </c>
      <c r="D918" s="34">
        <v>289</v>
      </c>
      <c r="E918" s="33">
        <v>1</v>
      </c>
      <c r="F918" s="33" t="s">
        <v>6641</v>
      </c>
      <c r="G918" s="33" t="s">
        <v>7442</v>
      </c>
      <c r="J918" s="33" t="s">
        <v>31</v>
      </c>
      <c r="K918" s="33" t="s">
        <v>6280</v>
      </c>
      <c r="AI918" s="33" t="s">
        <v>7442</v>
      </c>
      <c r="AL918" s="33" t="s">
        <v>31</v>
      </c>
      <c r="AM918" s="33" t="s">
        <v>6280</v>
      </c>
      <c r="AP918" s="83"/>
      <c r="AQ918" s="85"/>
      <c r="AR918" s="86"/>
      <c r="AS918" s="87"/>
      <c r="AV918" s="85"/>
      <c r="AW918" s="93"/>
      <c r="AX918" s="94"/>
      <c r="AY918" s="90">
        <v>4</v>
      </c>
      <c r="AZ918" s="76">
        <v>0</v>
      </c>
      <c r="BB918" s="91"/>
      <c r="BG918" s="33" t="s">
        <v>7443</v>
      </c>
    </row>
    <row r="919" spans="1:59" ht="15" customHeight="1">
      <c r="A919" s="33" t="s">
        <v>7351</v>
      </c>
      <c r="B919" s="33" t="s">
        <v>7444</v>
      </c>
      <c r="C919" s="33" t="s">
        <v>7487</v>
      </c>
      <c r="D919" s="34">
        <v>290</v>
      </c>
      <c r="E919" s="33">
        <v>1</v>
      </c>
      <c r="F919" s="33" t="s">
        <v>6641</v>
      </c>
      <c r="G919" s="33" t="s">
        <v>7442</v>
      </c>
      <c r="J919" s="33" t="s">
        <v>31</v>
      </c>
      <c r="K919" s="33" t="s">
        <v>6280</v>
      </c>
      <c r="AI919" s="33" t="s">
        <v>7442</v>
      </c>
      <c r="AL919" s="33" t="s">
        <v>31</v>
      </c>
      <c r="AM919" s="33" t="s">
        <v>6280</v>
      </c>
      <c r="AP919" s="83"/>
      <c r="AQ919" s="85"/>
      <c r="AR919" s="86"/>
      <c r="AS919" s="87"/>
      <c r="AV919" s="85"/>
      <c r="AW919" s="93"/>
      <c r="AX919" s="94"/>
      <c r="AY919" s="90">
        <v>3</v>
      </c>
      <c r="AZ919" s="76">
        <v>0</v>
      </c>
      <c r="BB919" s="91"/>
      <c r="BG919" s="33" t="s">
        <v>7445</v>
      </c>
    </row>
    <row r="920" spans="1:59" ht="15" customHeight="1">
      <c r="A920" s="33" t="s">
        <v>7351</v>
      </c>
      <c r="B920" s="33" t="s">
        <v>7446</v>
      </c>
      <c r="C920" s="33" t="s">
        <v>7487</v>
      </c>
      <c r="D920" s="34">
        <v>291</v>
      </c>
      <c r="E920" s="33">
        <v>1</v>
      </c>
      <c r="F920" s="33" t="s">
        <v>6641</v>
      </c>
      <c r="G920" s="33" t="s">
        <v>7447</v>
      </c>
      <c r="J920" s="33" t="s">
        <v>31</v>
      </c>
      <c r="K920" s="33" t="s">
        <v>6280</v>
      </c>
      <c r="AF920" s="33" t="s">
        <v>7448</v>
      </c>
      <c r="AI920" s="33" t="s">
        <v>7447</v>
      </c>
      <c r="AL920" s="33" t="s">
        <v>31</v>
      </c>
      <c r="AM920" s="33" t="s">
        <v>6280</v>
      </c>
      <c r="AP920" s="83"/>
      <c r="AQ920" s="85"/>
      <c r="AR920" s="86"/>
      <c r="AS920" s="87"/>
      <c r="AV920" s="85"/>
      <c r="AW920" s="93"/>
      <c r="AX920" s="94"/>
      <c r="AY920" s="90">
        <v>3</v>
      </c>
      <c r="AZ920" s="76" t="s">
        <v>4927</v>
      </c>
      <c r="BB920" s="91">
        <v>1</v>
      </c>
      <c r="BG920" s="33" t="s">
        <v>7449</v>
      </c>
    </row>
    <row r="921" spans="1:59" ht="15" customHeight="1">
      <c r="A921" s="33" t="s">
        <v>7351</v>
      </c>
      <c r="B921" s="33" t="s">
        <v>7450</v>
      </c>
      <c r="C921" s="33" t="s">
        <v>7487</v>
      </c>
      <c r="D921" s="34">
        <v>292</v>
      </c>
      <c r="E921" s="33">
        <v>1</v>
      </c>
      <c r="F921" s="33" t="s">
        <v>6641</v>
      </c>
      <c r="G921" s="33" t="s">
        <v>7451</v>
      </c>
      <c r="J921" s="33" t="s">
        <v>31</v>
      </c>
      <c r="K921" s="33" t="s">
        <v>6280</v>
      </c>
      <c r="AI921" s="33" t="s">
        <v>7451</v>
      </c>
      <c r="AL921" s="33" t="s">
        <v>31</v>
      </c>
      <c r="AM921" s="33" t="s">
        <v>6280</v>
      </c>
      <c r="AP921" s="83"/>
      <c r="AQ921" s="85"/>
      <c r="AR921" s="86"/>
      <c r="AS921" s="87"/>
      <c r="AV921" s="85"/>
      <c r="AW921" s="93"/>
      <c r="AX921" s="94"/>
      <c r="AY921" s="90">
        <v>3</v>
      </c>
      <c r="AZ921" s="76" t="s">
        <v>4927</v>
      </c>
      <c r="BB921" s="91"/>
      <c r="BG921" s="33" t="s">
        <v>7452</v>
      </c>
    </row>
    <row r="922" spans="1:59" ht="15" customHeight="1">
      <c r="A922" s="33" t="s">
        <v>7351</v>
      </c>
      <c r="B922" s="33" t="s">
        <v>7453</v>
      </c>
      <c r="C922" s="33" t="s">
        <v>7487</v>
      </c>
      <c r="D922" s="34">
        <v>293</v>
      </c>
      <c r="E922" s="33">
        <v>1</v>
      </c>
      <c r="F922" s="33" t="s">
        <v>6641</v>
      </c>
      <c r="G922" s="33" t="s">
        <v>7451</v>
      </c>
      <c r="J922" s="33" t="s">
        <v>31</v>
      </c>
      <c r="K922" s="33" t="s">
        <v>6280</v>
      </c>
      <c r="AI922" s="33" t="s">
        <v>7451</v>
      </c>
      <c r="AL922" s="33" t="s">
        <v>31</v>
      </c>
      <c r="AM922" s="33" t="s">
        <v>6280</v>
      </c>
      <c r="AP922" s="83"/>
      <c r="AQ922" s="85"/>
      <c r="AR922" s="86"/>
      <c r="AS922" s="87"/>
      <c r="AV922" s="85"/>
      <c r="AW922" s="93"/>
      <c r="AX922" s="94"/>
      <c r="AY922" s="90">
        <v>3</v>
      </c>
      <c r="AZ922" s="76" t="s">
        <v>4927</v>
      </c>
      <c r="BB922" s="91"/>
      <c r="BG922" s="33" t="s">
        <v>7454</v>
      </c>
    </row>
    <row r="923" spans="1:59" ht="15" customHeight="1">
      <c r="A923" s="33" t="s">
        <v>7351</v>
      </c>
      <c r="B923" s="33" t="s">
        <v>7455</v>
      </c>
      <c r="C923" s="33" t="s">
        <v>7487</v>
      </c>
      <c r="D923" s="34">
        <v>294</v>
      </c>
      <c r="E923" s="33">
        <v>1</v>
      </c>
      <c r="F923" s="33" t="s">
        <v>6641</v>
      </c>
      <c r="G923" s="33" t="s">
        <v>7456</v>
      </c>
      <c r="J923" s="33" t="s">
        <v>31</v>
      </c>
      <c r="K923" s="33" t="s">
        <v>6280</v>
      </c>
      <c r="AI923" s="33" t="s">
        <v>7456</v>
      </c>
      <c r="AL923" s="33" t="s">
        <v>31</v>
      </c>
      <c r="AM923" s="33" t="s">
        <v>6280</v>
      </c>
      <c r="AP923" s="83"/>
      <c r="AQ923" s="85"/>
      <c r="AR923" s="86"/>
      <c r="AS923" s="87"/>
      <c r="AV923" s="85"/>
      <c r="AW923" s="93"/>
      <c r="AX923" s="94"/>
      <c r="AY923" s="90">
        <v>2</v>
      </c>
      <c r="AZ923" s="76" t="s">
        <v>4927</v>
      </c>
      <c r="BB923" s="91"/>
      <c r="BG923" s="33" t="s">
        <v>7457</v>
      </c>
    </row>
    <row r="924" spans="1:59" ht="15" customHeight="1">
      <c r="A924" s="33" t="s">
        <v>7351</v>
      </c>
      <c r="B924" s="33" t="s">
        <v>7458</v>
      </c>
      <c r="C924" s="33" t="s">
        <v>7487</v>
      </c>
      <c r="D924" s="34">
        <v>295</v>
      </c>
      <c r="E924" s="33">
        <v>1</v>
      </c>
      <c r="F924" s="33" t="s">
        <v>6641</v>
      </c>
      <c r="G924" s="33" t="s">
        <v>7459</v>
      </c>
      <c r="J924" s="33" t="s">
        <v>31</v>
      </c>
      <c r="K924" s="33" t="s">
        <v>6280</v>
      </c>
      <c r="AI924" s="33" t="s">
        <v>7459</v>
      </c>
      <c r="AL924" s="33" t="s">
        <v>31</v>
      </c>
      <c r="AM924" s="33" t="s">
        <v>6280</v>
      </c>
      <c r="AP924" s="83"/>
      <c r="AQ924" s="85"/>
      <c r="AR924" s="86"/>
      <c r="AS924" s="87"/>
      <c r="AV924" s="85"/>
      <c r="AW924" s="93"/>
      <c r="AX924" s="94"/>
      <c r="AY924" s="90">
        <v>2</v>
      </c>
      <c r="AZ924" s="76" t="s">
        <v>4927</v>
      </c>
      <c r="BB924" s="91"/>
      <c r="BG924" s="33" t="s">
        <v>7460</v>
      </c>
    </row>
    <row r="925" spans="1:59" ht="15" customHeight="1">
      <c r="A925" s="33" t="s">
        <v>7351</v>
      </c>
      <c r="B925" s="33" t="s">
        <v>7461</v>
      </c>
      <c r="C925" s="33" t="s">
        <v>7487</v>
      </c>
      <c r="D925" s="34">
        <v>296</v>
      </c>
      <c r="E925" s="33">
        <v>1</v>
      </c>
      <c r="F925" s="33" t="s">
        <v>7399</v>
      </c>
      <c r="G925" s="33" t="s">
        <v>7462</v>
      </c>
      <c r="J925" s="33" t="s">
        <v>31</v>
      </c>
      <c r="K925" s="33" t="s">
        <v>6280</v>
      </c>
      <c r="AF925" s="33" t="s">
        <v>7463</v>
      </c>
      <c r="AI925" s="33" t="s">
        <v>7462</v>
      </c>
      <c r="AJ925" s="33" t="s">
        <v>7464</v>
      </c>
      <c r="AL925" s="33" t="s">
        <v>31</v>
      </c>
      <c r="AM925" s="33" t="s">
        <v>6280</v>
      </c>
      <c r="AP925" s="83"/>
      <c r="AQ925" s="85"/>
      <c r="AR925" s="86"/>
      <c r="AS925" s="87"/>
      <c r="AV925" s="85"/>
      <c r="AW925" s="93"/>
      <c r="AX925" s="94"/>
      <c r="AY925" s="90">
        <v>3</v>
      </c>
      <c r="AZ925" s="76" t="s">
        <v>4965</v>
      </c>
      <c r="BB925" s="91"/>
      <c r="BG925" s="33" t="s">
        <v>7465</v>
      </c>
    </row>
    <row r="926" spans="1:59" ht="15" customHeight="1">
      <c r="A926" s="33" t="s">
        <v>7351</v>
      </c>
      <c r="B926" s="33" t="s">
        <v>7466</v>
      </c>
      <c r="C926" s="33" t="s">
        <v>7487</v>
      </c>
      <c r="D926" s="34">
        <v>297</v>
      </c>
      <c r="E926" s="33">
        <v>1</v>
      </c>
      <c r="F926" s="33" t="s">
        <v>7393</v>
      </c>
      <c r="G926" s="33" t="s">
        <v>7462</v>
      </c>
      <c r="J926" s="33" t="s">
        <v>31</v>
      </c>
      <c r="K926" s="33" t="s">
        <v>6280</v>
      </c>
      <c r="AF926" s="33" t="s">
        <v>7463</v>
      </c>
      <c r="AI926" s="33" t="s">
        <v>7462</v>
      </c>
      <c r="AJ926" s="33" t="s">
        <v>7467</v>
      </c>
      <c r="AL926" s="33" t="s">
        <v>31</v>
      </c>
      <c r="AM926" s="33" t="s">
        <v>6280</v>
      </c>
      <c r="AP926" s="83"/>
      <c r="AQ926" s="85"/>
      <c r="AR926" s="86"/>
      <c r="AS926" s="87"/>
      <c r="AV926" s="85"/>
      <c r="AW926" s="93"/>
      <c r="AX926" s="94"/>
      <c r="AY926" s="90">
        <v>2</v>
      </c>
      <c r="AZ926" s="76" t="s">
        <v>4966</v>
      </c>
      <c r="BB926" s="91">
        <v>2</v>
      </c>
    </row>
    <row r="927" spans="1:59" ht="15" customHeight="1">
      <c r="A927" s="33" t="s">
        <v>7351</v>
      </c>
      <c r="B927" s="33" t="s">
        <v>7468</v>
      </c>
      <c r="C927" s="33" t="s">
        <v>7487</v>
      </c>
      <c r="D927" s="34">
        <v>298</v>
      </c>
      <c r="E927" s="33">
        <v>1</v>
      </c>
      <c r="F927" s="33" t="s">
        <v>7393</v>
      </c>
      <c r="G927" s="33" t="s">
        <v>7469</v>
      </c>
      <c r="J927" s="33" t="s">
        <v>31</v>
      </c>
      <c r="K927" s="33" t="s">
        <v>6280</v>
      </c>
      <c r="AF927" s="33" t="s">
        <v>7470</v>
      </c>
      <c r="AI927" s="33" t="s">
        <v>7469</v>
      </c>
      <c r="AJ927" s="33" t="s">
        <v>7464</v>
      </c>
      <c r="AL927" s="33" t="s">
        <v>31</v>
      </c>
      <c r="AM927" s="33" t="s">
        <v>6280</v>
      </c>
      <c r="AP927" s="83"/>
      <c r="AQ927" s="85"/>
      <c r="AR927" s="86"/>
      <c r="AS927" s="87"/>
      <c r="AV927" s="85"/>
      <c r="AW927" s="93"/>
      <c r="AX927" s="94"/>
      <c r="AY927" s="90">
        <v>3</v>
      </c>
      <c r="AZ927" s="76" t="s">
        <v>4965</v>
      </c>
      <c r="BB927" s="91"/>
      <c r="BG927" s="33" t="s">
        <v>7471</v>
      </c>
    </row>
    <row r="928" spans="1:59" ht="15" customHeight="1">
      <c r="A928" s="33" t="s">
        <v>7351</v>
      </c>
      <c r="B928" s="33" t="s">
        <v>7472</v>
      </c>
      <c r="C928" s="33" t="s">
        <v>7487</v>
      </c>
      <c r="D928" s="34">
        <v>299</v>
      </c>
      <c r="E928" s="33">
        <v>1</v>
      </c>
      <c r="F928" s="33" t="s">
        <v>7399</v>
      </c>
      <c r="G928" s="33" t="s">
        <v>7469</v>
      </c>
      <c r="J928" s="33" t="s">
        <v>31</v>
      </c>
      <c r="K928" s="33" t="s">
        <v>6280</v>
      </c>
      <c r="AF928" s="33" t="s">
        <v>7470</v>
      </c>
      <c r="AI928" s="33" t="s">
        <v>7469</v>
      </c>
      <c r="AJ928" s="33" t="s">
        <v>7473</v>
      </c>
      <c r="AL928" s="33" t="s">
        <v>31</v>
      </c>
      <c r="AM928" s="33" t="s">
        <v>6280</v>
      </c>
      <c r="AP928" s="83"/>
      <c r="AQ928" s="85"/>
      <c r="AR928" s="86"/>
      <c r="AS928" s="87"/>
      <c r="AV928" s="85"/>
      <c r="AW928" s="93"/>
      <c r="AX928" s="94"/>
      <c r="AY928" s="90">
        <v>2</v>
      </c>
      <c r="AZ928" s="76" t="s">
        <v>4966</v>
      </c>
      <c r="BB928" s="91">
        <v>2</v>
      </c>
    </row>
    <row r="929" spans="1:58" ht="15" customHeight="1">
      <c r="A929" s="33" t="s">
        <v>7351</v>
      </c>
      <c r="B929" s="33" t="s">
        <v>7474</v>
      </c>
      <c r="C929" s="33" t="s">
        <v>7487</v>
      </c>
      <c r="D929" s="34">
        <v>300</v>
      </c>
      <c r="E929" s="33">
        <v>2</v>
      </c>
      <c r="F929" s="33" t="s">
        <v>6641</v>
      </c>
      <c r="G929" s="33" t="s">
        <v>7475</v>
      </c>
      <c r="J929" s="33" t="s">
        <v>29</v>
      </c>
      <c r="K929" s="33" t="s">
        <v>6280</v>
      </c>
      <c r="Q929" s="75">
        <v>4</v>
      </c>
      <c r="R929" s="76">
        <v>2</v>
      </c>
      <c r="T929" s="78">
        <v>4</v>
      </c>
      <c r="V929" s="79">
        <v>1</v>
      </c>
      <c r="W929" s="80">
        <v>2</v>
      </c>
      <c r="AD929" s="33" t="s">
        <v>6638</v>
      </c>
      <c r="AF929" s="33" t="s">
        <v>7476</v>
      </c>
      <c r="AP929" s="83"/>
      <c r="AQ929" s="85"/>
      <c r="AR929" s="86"/>
      <c r="AS929" s="87"/>
      <c r="AV929" s="85"/>
      <c r="AW929" s="93"/>
      <c r="AX929" s="94"/>
      <c r="AY929" s="90"/>
      <c r="BB929" s="91"/>
    </row>
    <row r="930" spans="1:58" ht="15" customHeight="1">
      <c r="A930" s="33" t="s">
        <v>7351</v>
      </c>
      <c r="B930" s="33" t="s">
        <v>7477</v>
      </c>
      <c r="C930" s="33" t="s">
        <v>7487</v>
      </c>
      <c r="D930" s="34">
        <v>301</v>
      </c>
      <c r="E930" s="33">
        <v>2</v>
      </c>
      <c r="F930" s="33" t="s">
        <v>6641</v>
      </c>
      <c r="G930" s="33" t="s">
        <v>7478</v>
      </c>
      <c r="J930" s="33" t="s">
        <v>29</v>
      </c>
      <c r="K930" s="33" t="s">
        <v>6280</v>
      </c>
      <c r="Q930" s="75">
        <v>3</v>
      </c>
      <c r="R930" s="76">
        <v>4</v>
      </c>
      <c r="T930" s="78">
        <v>3</v>
      </c>
      <c r="V930" s="79">
        <v>1</v>
      </c>
      <c r="W930" s="80">
        <v>1</v>
      </c>
      <c r="AD930" s="33" t="s">
        <v>7479</v>
      </c>
      <c r="AF930" s="33" t="s">
        <v>7480</v>
      </c>
      <c r="AP930" s="83"/>
      <c r="AQ930" s="85"/>
      <c r="AR930" s="86"/>
      <c r="AS930" s="87"/>
      <c r="AV930" s="85"/>
      <c r="AW930" s="93"/>
      <c r="AX930" s="94"/>
      <c r="AY930" s="90"/>
      <c r="BB930" s="91"/>
    </row>
    <row r="931" spans="1:58" ht="15" customHeight="1">
      <c r="A931" s="33" t="s">
        <v>7351</v>
      </c>
      <c r="B931" s="33" t="s">
        <v>7481</v>
      </c>
      <c r="C931" s="33" t="s">
        <v>7487</v>
      </c>
      <c r="D931" s="34">
        <v>302</v>
      </c>
      <c r="E931" s="33">
        <v>3</v>
      </c>
      <c r="F931" s="33" t="s">
        <v>6641</v>
      </c>
      <c r="G931" s="33" t="s">
        <v>7482</v>
      </c>
      <c r="J931" s="33" t="s">
        <v>28</v>
      </c>
      <c r="K931" s="33" t="s">
        <v>6280</v>
      </c>
      <c r="AD931" s="33" t="s">
        <v>4346</v>
      </c>
      <c r="AF931" s="33" t="s">
        <v>7483</v>
      </c>
      <c r="AP931" s="83"/>
      <c r="AQ931" s="85"/>
      <c r="AR931" s="86"/>
      <c r="AS931" s="87"/>
      <c r="AV931" s="85"/>
      <c r="AW931" s="93"/>
      <c r="AX931" s="94"/>
      <c r="AY931" s="90"/>
      <c r="BB931" s="91"/>
    </row>
    <row r="932" spans="1:58" ht="15" customHeight="1">
      <c r="A932" s="33" t="s">
        <v>7351</v>
      </c>
      <c r="B932" s="33" t="s">
        <v>7484</v>
      </c>
      <c r="C932" s="33" t="s">
        <v>7487</v>
      </c>
      <c r="D932" s="34">
        <v>303</v>
      </c>
      <c r="E932" s="33">
        <v>3</v>
      </c>
      <c r="F932" s="33" t="s">
        <v>6641</v>
      </c>
      <c r="G932" s="33" t="s">
        <v>7485</v>
      </c>
      <c r="J932" s="33" t="s">
        <v>28</v>
      </c>
      <c r="K932" s="33" t="s">
        <v>6280</v>
      </c>
      <c r="AD932" s="33" t="s">
        <v>4346</v>
      </c>
      <c r="AF932" s="33" t="s">
        <v>7486</v>
      </c>
      <c r="AP932" s="83"/>
      <c r="AQ932" s="85"/>
      <c r="AR932" s="86"/>
      <c r="AS932" s="87"/>
      <c r="AV932" s="85"/>
      <c r="AW932" s="93"/>
      <c r="AX932" s="94"/>
      <c r="AY932" s="90"/>
      <c r="BB932" s="91"/>
    </row>
    <row r="933" spans="1:58" ht="15" customHeight="1">
      <c r="A933" s="38" t="s">
        <v>7489</v>
      </c>
      <c r="B933" s="38" t="s">
        <v>7490</v>
      </c>
      <c r="C933" s="38" t="s">
        <v>7491</v>
      </c>
      <c r="D933" s="41">
        <v>304</v>
      </c>
      <c r="E933" s="38">
        <v>2</v>
      </c>
      <c r="F933" s="38"/>
      <c r="G933" s="38" t="s">
        <v>7492</v>
      </c>
      <c r="H933" s="38"/>
      <c r="J933" s="33" t="s">
        <v>27</v>
      </c>
      <c r="K933" s="33" t="s">
        <v>4052</v>
      </c>
      <c r="L933" s="33">
        <v>2</v>
      </c>
      <c r="N933" s="34">
        <v>0</v>
      </c>
      <c r="O933" s="128"/>
      <c r="P933" s="129"/>
      <c r="Q933" s="130">
        <v>1</v>
      </c>
      <c r="R933" s="39">
        <v>1</v>
      </c>
      <c r="S933" s="131"/>
      <c r="T933" s="132"/>
      <c r="U933" s="128"/>
      <c r="V933" s="133"/>
      <c r="W933" s="134"/>
      <c r="X933" s="135"/>
      <c r="Y933" s="39"/>
      <c r="Z933" s="132"/>
      <c r="AA933" s="136"/>
      <c r="AB933" s="26" t="s">
        <v>6035</v>
      </c>
      <c r="AD933" s="33" t="s">
        <v>4161</v>
      </c>
      <c r="AF933" s="33" t="s">
        <v>7493</v>
      </c>
      <c r="AI933" s="38"/>
      <c r="AJ933" s="38"/>
      <c r="AO933" s="34"/>
      <c r="AP933" s="34"/>
      <c r="AQ933" s="128"/>
      <c r="AR933" s="129"/>
      <c r="AS933" s="130"/>
      <c r="AT933" s="39"/>
      <c r="AU933" s="132"/>
      <c r="AV933" s="128"/>
      <c r="AW933" s="133"/>
      <c r="AX933" s="134"/>
      <c r="AY933" s="135"/>
      <c r="AZ933" s="39"/>
      <c r="BA933" s="132"/>
      <c r="BB933" s="136"/>
      <c r="BE933" s="34"/>
      <c r="BF933" s="33"/>
    </row>
    <row r="934" spans="1:58" ht="15" customHeight="1">
      <c r="A934" s="38" t="s">
        <v>7489</v>
      </c>
      <c r="B934" s="33" t="s">
        <v>7494</v>
      </c>
      <c r="C934" s="33" t="s">
        <v>7491</v>
      </c>
      <c r="D934" s="41">
        <v>305</v>
      </c>
      <c r="E934" s="33">
        <v>2</v>
      </c>
      <c r="G934" s="33" t="s">
        <v>7495</v>
      </c>
      <c r="J934" s="33" t="s">
        <v>4111</v>
      </c>
      <c r="K934" s="33" t="s">
        <v>4052</v>
      </c>
      <c r="L934" s="33">
        <v>5</v>
      </c>
      <c r="N934" s="34">
        <v>4</v>
      </c>
      <c r="O934" s="128">
        <v>2</v>
      </c>
      <c r="P934" s="129"/>
      <c r="Q934" s="130">
        <v>2</v>
      </c>
      <c r="R934" s="39"/>
      <c r="S934" s="131"/>
      <c r="T934" s="132">
        <v>4</v>
      </c>
      <c r="U934" s="128"/>
      <c r="V934" s="133"/>
      <c r="W934" s="134"/>
      <c r="X934" s="135"/>
      <c r="Y934" s="39"/>
      <c r="Z934" s="132"/>
      <c r="AA934" s="136"/>
      <c r="AB934" s="26" t="s">
        <v>7496</v>
      </c>
      <c r="AC934" s="33" t="s">
        <v>4247</v>
      </c>
      <c r="AD934" s="33" t="s">
        <v>7497</v>
      </c>
      <c r="AF934" s="33" t="s">
        <v>7498</v>
      </c>
      <c r="AO934" s="34"/>
      <c r="AP934" s="34"/>
      <c r="AQ934" s="128"/>
      <c r="AR934" s="129"/>
      <c r="AS934" s="130"/>
      <c r="AT934" s="39"/>
      <c r="AU934" s="132"/>
      <c r="AV934" s="128"/>
      <c r="AW934" s="133"/>
      <c r="AX934" s="134"/>
      <c r="AY934" s="135"/>
      <c r="AZ934" s="39"/>
      <c r="BA934" s="132"/>
      <c r="BB934" s="136"/>
      <c r="BE934" s="34"/>
      <c r="BF934" s="33"/>
    </row>
    <row r="935" spans="1:58" ht="15" customHeight="1">
      <c r="A935" s="38" t="s">
        <v>7489</v>
      </c>
      <c r="B935" s="33" t="s">
        <v>7499</v>
      </c>
      <c r="C935" s="33" t="s">
        <v>7491</v>
      </c>
      <c r="D935" s="41">
        <v>306</v>
      </c>
      <c r="E935" s="33">
        <v>2</v>
      </c>
      <c r="G935" s="33" t="s">
        <v>7500</v>
      </c>
      <c r="J935" s="33" t="s">
        <v>27</v>
      </c>
      <c r="K935" s="33" t="s">
        <v>4053</v>
      </c>
      <c r="L935" s="33">
        <v>3</v>
      </c>
      <c r="N935" s="34" t="s">
        <v>38</v>
      </c>
      <c r="O935" s="128"/>
      <c r="P935" s="129">
        <v>1</v>
      </c>
      <c r="Q935" s="130"/>
      <c r="R935" s="39">
        <v>1</v>
      </c>
      <c r="S935" s="131"/>
      <c r="T935" s="132"/>
      <c r="U935" s="128"/>
      <c r="V935" s="133"/>
      <c r="W935" s="134"/>
      <c r="X935" s="135"/>
      <c r="Y935" s="39"/>
      <c r="Z935" s="132"/>
      <c r="AA935" s="136"/>
      <c r="AB935" s="26" t="s">
        <v>6169</v>
      </c>
      <c r="AD935" s="33" t="s">
        <v>5659</v>
      </c>
      <c r="AF935" s="33" t="s">
        <v>7501</v>
      </c>
      <c r="AO935" s="34"/>
      <c r="AP935" s="34"/>
      <c r="AQ935" s="128"/>
      <c r="AR935" s="129"/>
      <c r="AS935" s="130"/>
      <c r="AT935" s="39"/>
      <c r="AU935" s="132"/>
      <c r="AV935" s="128"/>
      <c r="AW935" s="133"/>
      <c r="AX935" s="134"/>
      <c r="AY935" s="135"/>
      <c r="AZ935" s="39"/>
      <c r="BA935" s="132"/>
      <c r="BB935" s="136"/>
      <c r="BE935" s="34"/>
      <c r="BF935" s="33"/>
    </row>
    <row r="936" spans="1:58" ht="15" customHeight="1">
      <c r="A936" s="38" t="s">
        <v>7489</v>
      </c>
      <c r="B936" s="33" t="s">
        <v>7502</v>
      </c>
      <c r="C936" s="33" t="s">
        <v>7491</v>
      </c>
      <c r="D936" s="41">
        <v>307</v>
      </c>
      <c r="E936" s="33">
        <v>2</v>
      </c>
      <c r="G936" s="33" t="s">
        <v>6448</v>
      </c>
      <c r="J936" s="33" t="s">
        <v>27</v>
      </c>
      <c r="K936" s="33" t="s">
        <v>4053</v>
      </c>
      <c r="L936" s="33">
        <v>5</v>
      </c>
      <c r="N936" s="34">
        <v>2</v>
      </c>
      <c r="O936" s="128"/>
      <c r="P936" s="129">
        <v>1</v>
      </c>
      <c r="Q936" s="130"/>
      <c r="R936" s="39"/>
      <c r="S936" s="131">
        <v>1</v>
      </c>
      <c r="T936" s="132"/>
      <c r="U936" s="128"/>
      <c r="V936" s="133"/>
      <c r="W936" s="134"/>
      <c r="X936" s="135"/>
      <c r="Y936" s="39"/>
      <c r="Z936" s="132"/>
      <c r="AA936" s="136"/>
      <c r="AB936" s="26" t="s">
        <v>7503</v>
      </c>
      <c r="AD936" s="33" t="s">
        <v>4194</v>
      </c>
      <c r="AF936" s="33" t="s">
        <v>7504</v>
      </c>
      <c r="AO936" s="34"/>
      <c r="AP936" s="34"/>
      <c r="AQ936" s="128"/>
      <c r="AR936" s="129"/>
      <c r="AS936" s="130"/>
      <c r="AT936" s="39"/>
      <c r="AU936" s="132"/>
      <c r="AV936" s="128"/>
      <c r="AW936" s="133"/>
      <c r="AX936" s="134"/>
      <c r="AY936" s="135"/>
      <c r="AZ936" s="39"/>
      <c r="BA936" s="132"/>
      <c r="BB936" s="136"/>
      <c r="BE936" s="34"/>
      <c r="BF936" s="33"/>
    </row>
    <row r="937" spans="1:58" ht="15" customHeight="1">
      <c r="A937" s="38" t="s">
        <v>7489</v>
      </c>
      <c r="B937" s="33" t="s">
        <v>7505</v>
      </c>
      <c r="C937" s="33" t="s">
        <v>7491</v>
      </c>
      <c r="D937" s="41">
        <v>308</v>
      </c>
      <c r="E937" s="33">
        <v>2</v>
      </c>
      <c r="G937" s="33" t="s">
        <v>7506</v>
      </c>
      <c r="H937" s="33" t="s">
        <v>7507</v>
      </c>
      <c r="I937" s="33" t="s">
        <v>4077</v>
      </c>
      <c r="J937" s="33" t="s">
        <v>4111</v>
      </c>
      <c r="K937" s="33" t="s">
        <v>4055</v>
      </c>
      <c r="L937" s="33">
        <v>1</v>
      </c>
      <c r="N937" s="33" t="s">
        <v>38</v>
      </c>
      <c r="O937" s="128"/>
      <c r="P937" s="129"/>
      <c r="Q937" s="130"/>
      <c r="R937" s="39"/>
      <c r="S937" s="131"/>
      <c r="T937" s="132"/>
      <c r="U937" s="128"/>
      <c r="V937" s="133"/>
      <c r="W937" s="134"/>
      <c r="X937" s="135"/>
      <c r="Y937" s="39"/>
      <c r="Z937" s="132"/>
      <c r="AA937" s="136"/>
      <c r="AB937" s="26"/>
      <c r="AD937" s="33" t="s">
        <v>4130</v>
      </c>
      <c r="AE937" s="33" t="s">
        <v>7508</v>
      </c>
      <c r="AF937" s="33" t="s">
        <v>7509</v>
      </c>
      <c r="AO937" s="34"/>
      <c r="AP937" s="33"/>
      <c r="AQ937" s="128"/>
      <c r="AR937" s="129"/>
      <c r="AS937" s="130"/>
      <c r="AT937" s="39"/>
      <c r="AU937" s="132"/>
      <c r="AV937" s="128"/>
      <c r="AW937" s="133"/>
      <c r="AX937" s="134"/>
      <c r="AY937" s="135"/>
      <c r="AZ937" s="39"/>
      <c r="BA937" s="132"/>
      <c r="BB937" s="136"/>
      <c r="BE937" s="34"/>
      <c r="BF937" s="33"/>
    </row>
    <row r="938" spans="1:58" ht="15" customHeight="1">
      <c r="A938" s="38" t="s">
        <v>7489</v>
      </c>
      <c r="B938" s="33" t="s">
        <v>7510</v>
      </c>
      <c r="C938" s="33" t="s">
        <v>7491</v>
      </c>
      <c r="D938" s="41">
        <v>309</v>
      </c>
      <c r="E938" s="33">
        <v>2</v>
      </c>
      <c r="G938" s="33" t="s">
        <v>7511</v>
      </c>
      <c r="J938" s="33" t="s">
        <v>4111</v>
      </c>
      <c r="K938" s="33" t="s">
        <v>4055</v>
      </c>
      <c r="L938" s="33">
        <v>3</v>
      </c>
      <c r="N938" s="33">
        <v>3</v>
      </c>
      <c r="O938" s="128"/>
      <c r="P938" s="129"/>
      <c r="Q938" s="130">
        <v>1</v>
      </c>
      <c r="R938" s="39"/>
      <c r="S938" s="131"/>
      <c r="T938" s="132"/>
      <c r="U938" s="128"/>
      <c r="V938" s="133"/>
      <c r="W938" s="134"/>
      <c r="X938" s="135"/>
      <c r="Y938" s="39"/>
      <c r="Z938" s="132"/>
      <c r="AA938" s="136"/>
      <c r="AB938" s="137" t="s">
        <v>4060</v>
      </c>
      <c r="AC938" s="33" t="s">
        <v>4112</v>
      </c>
      <c r="AD938" s="33" t="s">
        <v>4777</v>
      </c>
      <c r="AE938" s="33" t="s">
        <v>7512</v>
      </c>
      <c r="AF938" s="33" t="s">
        <v>7513</v>
      </c>
      <c r="AO938" s="34"/>
      <c r="AP938" s="33"/>
      <c r="AQ938" s="128"/>
      <c r="AR938" s="129"/>
      <c r="AS938" s="130"/>
      <c r="AT938" s="39"/>
      <c r="AU938" s="132"/>
      <c r="AV938" s="128"/>
      <c r="AW938" s="133"/>
      <c r="AX938" s="134"/>
      <c r="AY938" s="135"/>
      <c r="AZ938" s="39"/>
      <c r="BA938" s="132"/>
      <c r="BB938" s="136"/>
      <c r="BE938" s="34"/>
      <c r="BF938" s="33"/>
    </row>
    <row r="939" spans="1:58" ht="15" customHeight="1">
      <c r="A939" s="38" t="s">
        <v>7489</v>
      </c>
      <c r="B939" s="33" t="s">
        <v>7514</v>
      </c>
      <c r="C939" s="33" t="s">
        <v>7491</v>
      </c>
      <c r="D939" s="41">
        <v>310</v>
      </c>
      <c r="E939" s="33">
        <v>2</v>
      </c>
      <c r="G939" s="33" t="s">
        <v>7515</v>
      </c>
      <c r="J939" s="33" t="s">
        <v>27</v>
      </c>
      <c r="K939" s="33" t="s">
        <v>4055</v>
      </c>
      <c r="L939" s="33">
        <v>5</v>
      </c>
      <c r="N939" s="33">
        <v>1</v>
      </c>
      <c r="O939" s="128"/>
      <c r="P939" s="129"/>
      <c r="Q939" s="130"/>
      <c r="R939" s="39"/>
      <c r="S939" s="131">
        <v>1</v>
      </c>
      <c r="T939" s="132"/>
      <c r="U939" s="128"/>
      <c r="V939" s="133"/>
      <c r="W939" s="134"/>
      <c r="X939" s="135"/>
      <c r="Y939" s="39"/>
      <c r="Z939" s="132"/>
      <c r="AA939" s="136"/>
      <c r="AB939" s="26" t="s">
        <v>4062</v>
      </c>
      <c r="AD939" s="33" t="s">
        <v>7516</v>
      </c>
      <c r="AE939" s="33"/>
      <c r="AF939" s="33" t="s">
        <v>7517</v>
      </c>
      <c r="AO939" s="34"/>
      <c r="AP939" s="33"/>
      <c r="AQ939" s="128"/>
      <c r="AR939" s="129"/>
      <c r="AS939" s="130"/>
      <c r="AT939" s="39"/>
      <c r="AU939" s="132"/>
      <c r="AV939" s="128"/>
      <c r="AW939" s="133"/>
      <c r="AX939" s="134"/>
      <c r="AY939" s="135"/>
      <c r="AZ939" s="39"/>
      <c r="BA939" s="132"/>
      <c r="BB939" s="136"/>
      <c r="BE939" s="34"/>
      <c r="BF939" s="33"/>
    </row>
    <row r="940" spans="1:58" ht="15" customHeight="1">
      <c r="A940" s="38" t="s">
        <v>7489</v>
      </c>
      <c r="B940" s="33" t="s">
        <v>7518</v>
      </c>
      <c r="C940" s="33" t="s">
        <v>7491</v>
      </c>
      <c r="D940" s="41">
        <v>311</v>
      </c>
      <c r="E940" s="33">
        <v>2</v>
      </c>
      <c r="G940" s="33" t="s">
        <v>7519</v>
      </c>
      <c r="J940" s="33" t="s">
        <v>27</v>
      </c>
      <c r="K940" s="33" t="s">
        <v>4054</v>
      </c>
      <c r="L940" s="33">
        <v>2</v>
      </c>
      <c r="N940" s="33">
        <v>1</v>
      </c>
      <c r="O940" s="128"/>
      <c r="P940" s="129"/>
      <c r="Q940" s="130"/>
      <c r="R940" s="39"/>
      <c r="S940" s="131"/>
      <c r="T940" s="132"/>
      <c r="U940" s="128"/>
      <c r="V940" s="133"/>
      <c r="W940" s="134"/>
      <c r="X940" s="135"/>
      <c r="Y940" s="39"/>
      <c r="Z940" s="132"/>
      <c r="AA940" s="136"/>
      <c r="AB940" s="137"/>
      <c r="AD940" s="33" t="s">
        <v>7520</v>
      </c>
      <c r="AE940" s="33"/>
      <c r="AF940" s="33" t="s">
        <v>7521</v>
      </c>
      <c r="AO940" s="34"/>
      <c r="AP940" s="33"/>
      <c r="AQ940" s="128"/>
      <c r="AR940" s="129"/>
      <c r="AS940" s="130"/>
      <c r="AT940" s="39"/>
      <c r="AU940" s="132"/>
      <c r="AV940" s="128"/>
      <c r="AW940" s="133"/>
      <c r="AX940" s="134"/>
      <c r="AY940" s="135"/>
      <c r="AZ940" s="39"/>
      <c r="BA940" s="132"/>
      <c r="BB940" s="136"/>
      <c r="BE940" s="34"/>
      <c r="BF940" s="33"/>
    </row>
    <row r="941" spans="1:58" ht="15" customHeight="1">
      <c r="A941" s="38" t="s">
        <v>7489</v>
      </c>
      <c r="B941" s="33" t="s">
        <v>7522</v>
      </c>
      <c r="C941" s="33" t="s">
        <v>7491</v>
      </c>
      <c r="D941" s="41">
        <v>312</v>
      </c>
      <c r="E941" s="33">
        <v>2</v>
      </c>
      <c r="G941" s="33" t="s">
        <v>7523</v>
      </c>
      <c r="J941" s="33" t="s">
        <v>4166</v>
      </c>
      <c r="K941" s="33" t="s">
        <v>4054</v>
      </c>
      <c r="L941" s="33">
        <v>5</v>
      </c>
      <c r="N941" s="138"/>
      <c r="O941" s="128"/>
      <c r="P941" s="129"/>
      <c r="Q941" s="130"/>
      <c r="R941" s="39"/>
      <c r="S941" s="131">
        <v>1</v>
      </c>
      <c r="T941" s="132"/>
      <c r="U941" s="128"/>
      <c r="V941" s="133"/>
      <c r="W941" s="134"/>
      <c r="X941" s="135"/>
      <c r="Y941" s="39"/>
      <c r="Z941" s="132"/>
      <c r="AA941" s="136"/>
      <c r="AB941" s="26" t="s">
        <v>4062</v>
      </c>
      <c r="AD941" s="33" t="s">
        <v>7524</v>
      </c>
      <c r="AE941" s="33"/>
      <c r="AF941" s="33" t="s">
        <v>7525</v>
      </c>
      <c r="AO941" s="34"/>
      <c r="AP941" s="33"/>
      <c r="AQ941" s="128"/>
      <c r="AR941" s="129"/>
      <c r="AS941" s="130"/>
      <c r="AT941" s="39"/>
      <c r="AU941" s="132"/>
      <c r="AV941" s="128"/>
      <c r="AW941" s="133"/>
      <c r="AX941" s="134"/>
      <c r="AY941" s="135"/>
      <c r="AZ941" s="39"/>
      <c r="BA941" s="132"/>
      <c r="BB941" s="136"/>
      <c r="BE941" s="34"/>
      <c r="BF941" s="33"/>
    </row>
    <row r="942" spans="1:58" ht="15" customHeight="1">
      <c r="A942" s="38" t="s">
        <v>7489</v>
      </c>
      <c r="B942" s="33" t="s">
        <v>7526</v>
      </c>
      <c r="C942" s="33" t="s">
        <v>7491</v>
      </c>
      <c r="D942" s="41">
        <v>313</v>
      </c>
      <c r="E942" s="33">
        <v>2</v>
      </c>
      <c r="G942" s="33" t="s">
        <v>5671</v>
      </c>
      <c r="J942" s="33" t="s">
        <v>4111</v>
      </c>
      <c r="K942" s="33" t="s">
        <v>4056</v>
      </c>
      <c r="L942" s="33">
        <v>2</v>
      </c>
      <c r="N942" s="33">
        <v>1</v>
      </c>
      <c r="O942" s="128"/>
      <c r="P942" s="129">
        <v>2</v>
      </c>
      <c r="Q942" s="130"/>
      <c r="R942" s="39"/>
      <c r="S942" s="131"/>
      <c r="T942" s="132"/>
      <c r="U942" s="128"/>
      <c r="V942" s="133"/>
      <c r="W942" s="134"/>
      <c r="X942" s="135"/>
      <c r="Y942" s="39"/>
      <c r="Z942" s="132"/>
      <c r="AA942" s="136"/>
      <c r="AB942" s="137" t="s">
        <v>4938</v>
      </c>
      <c r="AC942" s="33" t="s">
        <v>4112</v>
      </c>
      <c r="AD942" s="33" t="s">
        <v>4119</v>
      </c>
      <c r="AE942" s="33"/>
      <c r="AF942" s="33" t="s">
        <v>7527</v>
      </c>
      <c r="AO942" s="34"/>
      <c r="AP942" s="33"/>
      <c r="AQ942" s="128"/>
      <c r="AR942" s="129"/>
      <c r="AS942" s="130"/>
      <c r="AT942" s="39"/>
      <c r="AU942" s="132"/>
      <c r="AV942" s="128"/>
      <c r="AW942" s="133"/>
      <c r="AX942" s="134"/>
      <c r="AY942" s="135"/>
      <c r="AZ942" s="39"/>
      <c r="BA942" s="132"/>
      <c r="BB942" s="136"/>
      <c r="BE942" s="34"/>
      <c r="BF942" s="33"/>
    </row>
    <row r="943" spans="1:58" ht="15" customHeight="1">
      <c r="A943" s="38" t="s">
        <v>7489</v>
      </c>
      <c r="B943" s="33" t="s">
        <v>7528</v>
      </c>
      <c r="C943" s="33" t="s">
        <v>7491</v>
      </c>
      <c r="D943" s="41">
        <v>314</v>
      </c>
      <c r="E943" s="33">
        <v>2</v>
      </c>
      <c r="G943" s="33" t="s">
        <v>7529</v>
      </c>
      <c r="J943" s="33" t="s">
        <v>27</v>
      </c>
      <c r="K943" s="33" t="s">
        <v>4056</v>
      </c>
      <c r="L943" s="33">
        <v>3</v>
      </c>
      <c r="N943" s="33">
        <v>1</v>
      </c>
      <c r="O943" s="128"/>
      <c r="P943" s="129">
        <v>2</v>
      </c>
      <c r="Q943" s="130"/>
      <c r="R943" s="39">
        <v>2</v>
      </c>
      <c r="S943" s="131"/>
      <c r="T943" s="132"/>
      <c r="U943" s="128"/>
      <c r="V943" s="133"/>
      <c r="W943" s="134"/>
      <c r="X943" s="135"/>
      <c r="Y943" s="39"/>
      <c r="Z943" s="132"/>
      <c r="AA943" s="136"/>
      <c r="AB943" s="26" t="s">
        <v>7530</v>
      </c>
      <c r="AD943" s="33" t="s">
        <v>5266</v>
      </c>
      <c r="AE943" s="33"/>
      <c r="AF943" s="33" t="s">
        <v>7531</v>
      </c>
      <c r="AO943" s="34"/>
      <c r="AP943" s="33"/>
      <c r="AQ943" s="128"/>
      <c r="AR943" s="129"/>
      <c r="AS943" s="130"/>
      <c r="AT943" s="39"/>
      <c r="AU943" s="132"/>
      <c r="AV943" s="128"/>
      <c r="AW943" s="133"/>
      <c r="AX943" s="134"/>
      <c r="AY943" s="135"/>
      <c r="AZ943" s="39"/>
      <c r="BA943" s="132"/>
      <c r="BB943" s="136"/>
      <c r="BE943" s="34"/>
      <c r="BF943" s="33"/>
    </row>
    <row r="944" spans="1:58" ht="15" customHeight="1">
      <c r="A944" s="38" t="s">
        <v>7489</v>
      </c>
      <c r="B944" s="33" t="s">
        <v>7532</v>
      </c>
      <c r="C944" s="33" t="s">
        <v>7491</v>
      </c>
      <c r="D944" s="34">
        <v>315</v>
      </c>
      <c r="E944" s="33">
        <v>2</v>
      </c>
      <c r="G944" s="33" t="s">
        <v>7533</v>
      </c>
      <c r="H944" s="33" t="s">
        <v>7534</v>
      </c>
      <c r="I944" s="33" t="s">
        <v>4077</v>
      </c>
      <c r="J944" s="33" t="s">
        <v>4111</v>
      </c>
      <c r="K944" s="33" t="s">
        <v>26</v>
      </c>
      <c r="L944" s="33">
        <v>5</v>
      </c>
      <c r="N944" s="33">
        <v>3</v>
      </c>
      <c r="O944" s="128">
        <v>1</v>
      </c>
      <c r="P944" s="129"/>
      <c r="Q944" s="130"/>
      <c r="R944" s="39"/>
      <c r="S944" s="131">
        <v>1</v>
      </c>
      <c r="T944" s="132"/>
      <c r="U944" s="128">
        <v>4</v>
      </c>
      <c r="V944" s="133"/>
      <c r="W944" s="134"/>
      <c r="X944" s="135"/>
      <c r="Y944" s="39"/>
      <c r="Z944" s="132"/>
      <c r="AA944" s="136"/>
      <c r="AB944" s="137" t="s">
        <v>7535</v>
      </c>
      <c r="AC944" s="33" t="s">
        <v>4129</v>
      </c>
      <c r="AD944" s="33" t="s">
        <v>4130</v>
      </c>
      <c r="AE944" s="33"/>
      <c r="AF944" s="33" t="s">
        <v>7536</v>
      </c>
      <c r="AO944" s="34"/>
      <c r="AP944" s="33"/>
      <c r="AQ944" s="128"/>
      <c r="AR944" s="129"/>
      <c r="AS944" s="130"/>
      <c r="AT944" s="39"/>
      <c r="AU944" s="132"/>
      <c r="AV944" s="128"/>
      <c r="AW944" s="133"/>
      <c r="AX944" s="134"/>
      <c r="AY944" s="135"/>
      <c r="AZ944" s="39"/>
      <c r="BA944" s="132"/>
      <c r="BB944" s="136"/>
      <c r="BE944" s="34"/>
      <c r="BF944" s="33"/>
    </row>
    <row r="945" spans="1:59" ht="15" customHeight="1">
      <c r="A945" s="38" t="s">
        <v>7489</v>
      </c>
      <c r="B945" s="33" t="s">
        <v>7537</v>
      </c>
      <c r="C945" s="33" t="s">
        <v>7491</v>
      </c>
      <c r="D945" s="41">
        <v>316</v>
      </c>
      <c r="E945" s="33">
        <v>1</v>
      </c>
      <c r="F945" s="33" t="s">
        <v>7538</v>
      </c>
      <c r="G945" s="33" t="s">
        <v>7538</v>
      </c>
      <c r="J945" s="33" t="s">
        <v>4472</v>
      </c>
      <c r="K945" s="33" t="s">
        <v>6280</v>
      </c>
      <c r="N945" s="33"/>
      <c r="O945" s="128"/>
      <c r="P945" s="129"/>
      <c r="Q945" s="130"/>
      <c r="R945" s="39"/>
      <c r="S945" s="131"/>
      <c r="T945" s="132"/>
      <c r="U945" s="128"/>
      <c r="V945" s="133"/>
      <c r="W945" s="134"/>
      <c r="X945" s="135"/>
      <c r="Y945" s="39"/>
      <c r="Z945" s="132"/>
      <c r="AA945" s="136"/>
      <c r="AB945" s="26"/>
      <c r="AE945" s="33"/>
      <c r="AF945" s="33" t="s">
        <v>7539</v>
      </c>
      <c r="AI945" s="33" t="s">
        <v>7538</v>
      </c>
      <c r="AL945" s="33" t="s">
        <v>4472</v>
      </c>
      <c r="AO945" s="34"/>
      <c r="AP945" s="33"/>
      <c r="AQ945" s="128"/>
      <c r="AR945" s="129"/>
      <c r="AS945" s="130"/>
      <c r="AT945" s="39"/>
      <c r="AU945" s="132"/>
      <c r="AV945" s="128"/>
      <c r="AW945" s="133"/>
      <c r="AX945" s="134"/>
      <c r="AY945" s="135"/>
      <c r="AZ945" s="39"/>
      <c r="BA945" s="132"/>
      <c r="BB945" s="136"/>
      <c r="BE945" s="34"/>
      <c r="BF945" s="33"/>
      <c r="BG945" s="33" t="s">
        <v>7540</v>
      </c>
    </row>
    <row r="946" spans="1:59" ht="15" customHeight="1">
      <c r="A946" s="38" t="s">
        <v>7489</v>
      </c>
      <c r="B946" s="33" t="s">
        <v>7541</v>
      </c>
      <c r="C946" s="33" t="s">
        <v>7491</v>
      </c>
      <c r="D946" s="34">
        <v>317</v>
      </c>
      <c r="E946" s="33">
        <v>1</v>
      </c>
      <c r="F946" s="33" t="s">
        <v>7538</v>
      </c>
      <c r="G946" s="33" t="s">
        <v>7542</v>
      </c>
      <c r="J946" s="33" t="s">
        <v>4473</v>
      </c>
      <c r="K946" s="33" t="s">
        <v>6280</v>
      </c>
      <c r="L946" s="33">
        <v>1</v>
      </c>
      <c r="N946" s="33"/>
      <c r="O946" s="128"/>
      <c r="P946" s="129"/>
      <c r="Q946" s="130"/>
      <c r="R946" s="39"/>
      <c r="S946" s="131"/>
      <c r="T946" s="132"/>
      <c r="U946" s="128"/>
      <c r="V946" s="133"/>
      <c r="W946" s="134"/>
      <c r="X946" s="135"/>
      <c r="Y946" s="39"/>
      <c r="Z946" s="132">
        <v>7</v>
      </c>
      <c r="AA946" s="136"/>
      <c r="AB946" s="137"/>
      <c r="AE946" s="33"/>
      <c r="AF946" s="33" t="s">
        <v>7543</v>
      </c>
      <c r="AI946" s="33" t="s">
        <v>7544</v>
      </c>
      <c r="AL946" s="33" t="s">
        <v>4473</v>
      </c>
      <c r="AN946" s="33">
        <v>1</v>
      </c>
      <c r="AO946" s="34"/>
      <c r="AP946" s="33"/>
      <c r="AQ946" s="128"/>
      <c r="AR946" s="129"/>
      <c r="AS946" s="130"/>
      <c r="AT946" s="39"/>
      <c r="AU946" s="132"/>
      <c r="AV946" s="128"/>
      <c r="AW946" s="133"/>
      <c r="AX946" s="134"/>
      <c r="AY946" s="135"/>
      <c r="AZ946" s="39"/>
      <c r="BA946" s="132"/>
      <c r="BB946" s="136"/>
      <c r="BE946" s="34"/>
      <c r="BF946" s="33"/>
      <c r="BG946" s="33" t="s">
        <v>7545</v>
      </c>
    </row>
    <row r="947" spans="1:59" ht="15" customHeight="1">
      <c r="A947" s="38" t="s">
        <v>7489</v>
      </c>
      <c r="B947" s="33" t="s">
        <v>7546</v>
      </c>
      <c r="C947" s="33" t="s">
        <v>7491</v>
      </c>
      <c r="D947" s="41">
        <v>318</v>
      </c>
      <c r="E947" s="33">
        <v>1</v>
      </c>
      <c r="F947" s="33" t="s">
        <v>7538</v>
      </c>
      <c r="G947" s="33" t="s">
        <v>7547</v>
      </c>
      <c r="J947" s="33" t="s">
        <v>4473</v>
      </c>
      <c r="K947" s="33" t="s">
        <v>6280</v>
      </c>
      <c r="L947" s="33">
        <v>2</v>
      </c>
      <c r="N947" s="33"/>
      <c r="O947" s="128"/>
      <c r="P947" s="129"/>
      <c r="Q947" s="130"/>
      <c r="R947" s="39"/>
      <c r="S947" s="131"/>
      <c r="T947" s="132"/>
      <c r="U947" s="128"/>
      <c r="V947" s="133"/>
      <c r="W947" s="134"/>
      <c r="X947" s="135"/>
      <c r="Y947" s="39"/>
      <c r="Z947" s="132">
        <v>7</v>
      </c>
      <c r="AA947" s="136"/>
      <c r="AB947" s="137"/>
      <c r="AE947" s="33"/>
      <c r="AF947" s="33" t="s">
        <v>7548</v>
      </c>
      <c r="AI947" s="33" t="s">
        <v>7549</v>
      </c>
      <c r="AL947" s="33" t="s">
        <v>4473</v>
      </c>
      <c r="AN947" s="33">
        <v>2</v>
      </c>
      <c r="AO947" s="34"/>
      <c r="AP947" s="33"/>
      <c r="AQ947" s="128"/>
      <c r="AR947" s="129"/>
      <c r="AS947" s="130"/>
      <c r="AT947" s="39"/>
      <c r="AU947" s="132"/>
      <c r="AV947" s="128"/>
      <c r="AW947" s="133"/>
      <c r="AX947" s="134"/>
      <c r="AY947" s="135"/>
      <c r="AZ947" s="39"/>
      <c r="BA947" s="132"/>
      <c r="BB947" s="136"/>
      <c r="BE947" s="34"/>
      <c r="BF947" s="33"/>
      <c r="BG947" s="33" t="s">
        <v>7550</v>
      </c>
    </row>
    <row r="948" spans="1:59" ht="15" customHeight="1">
      <c r="A948" s="38" t="s">
        <v>7489</v>
      </c>
      <c r="B948" s="33" t="s">
        <v>7551</v>
      </c>
      <c r="C948" s="33" t="s">
        <v>7491</v>
      </c>
      <c r="D948" s="34">
        <v>319</v>
      </c>
      <c r="E948" s="33">
        <v>1</v>
      </c>
      <c r="F948" s="33" t="s">
        <v>7538</v>
      </c>
      <c r="G948" s="33" t="s">
        <v>7552</v>
      </c>
      <c r="J948" s="33" t="s">
        <v>4473</v>
      </c>
      <c r="K948" s="33" t="s">
        <v>6280</v>
      </c>
      <c r="L948" s="33">
        <v>3</v>
      </c>
      <c r="N948" s="33"/>
      <c r="O948" s="128"/>
      <c r="P948" s="129"/>
      <c r="Q948" s="130"/>
      <c r="R948" s="39"/>
      <c r="S948" s="131"/>
      <c r="T948" s="132"/>
      <c r="U948" s="128"/>
      <c r="V948" s="133"/>
      <c r="W948" s="134"/>
      <c r="X948" s="135"/>
      <c r="Y948" s="39"/>
      <c r="Z948" s="132">
        <v>9</v>
      </c>
      <c r="AA948" s="136"/>
      <c r="AB948" s="137"/>
      <c r="AE948" s="33"/>
      <c r="AF948" s="33" t="s">
        <v>7553</v>
      </c>
      <c r="AI948" s="33" t="s">
        <v>7554</v>
      </c>
      <c r="AL948" s="33" t="s">
        <v>4473</v>
      </c>
      <c r="AN948" s="33">
        <v>3</v>
      </c>
      <c r="AO948" s="34"/>
      <c r="AP948" s="33"/>
      <c r="AQ948" s="128"/>
      <c r="AR948" s="129"/>
      <c r="AS948" s="130"/>
      <c r="AT948" s="39"/>
      <c r="AU948" s="132"/>
      <c r="AV948" s="128"/>
      <c r="AW948" s="133"/>
      <c r="AX948" s="134"/>
      <c r="AY948" s="135"/>
      <c r="AZ948" s="39"/>
      <c r="BA948" s="132"/>
      <c r="BB948" s="136"/>
      <c r="BE948" s="34"/>
      <c r="BF948" s="33"/>
      <c r="BG948" s="33" t="s">
        <v>7555</v>
      </c>
    </row>
    <row r="949" spans="1:59" ht="15" customHeight="1">
      <c r="A949" s="38" t="s">
        <v>7489</v>
      </c>
      <c r="B949" s="33" t="s">
        <v>7556</v>
      </c>
      <c r="C949" s="33" t="s">
        <v>7491</v>
      </c>
      <c r="D949" s="41">
        <v>320</v>
      </c>
      <c r="E949" s="33">
        <v>1</v>
      </c>
      <c r="F949" s="33" t="s">
        <v>7538</v>
      </c>
      <c r="G949" s="33" t="s">
        <v>7557</v>
      </c>
      <c r="J949" s="33" t="s">
        <v>4475</v>
      </c>
      <c r="K949" s="33" t="s">
        <v>6280</v>
      </c>
      <c r="L949" s="33">
        <v>1</v>
      </c>
      <c r="N949" s="33"/>
      <c r="O949" s="128"/>
      <c r="P949" s="129"/>
      <c r="Q949" s="130"/>
      <c r="R949" s="39"/>
      <c r="S949" s="131"/>
      <c r="T949" s="132"/>
      <c r="U949" s="128"/>
      <c r="V949" s="133"/>
      <c r="W949" s="134"/>
      <c r="X949" s="135"/>
      <c r="Y949" s="39" t="s">
        <v>5551</v>
      </c>
      <c r="Z949" s="132"/>
      <c r="AA949" s="136"/>
      <c r="AB949" s="137"/>
      <c r="AE949" s="33"/>
      <c r="AF949" s="33" t="s">
        <v>7558</v>
      </c>
      <c r="AI949" s="33" t="s">
        <v>7559</v>
      </c>
      <c r="AL949" s="33" t="s">
        <v>4475</v>
      </c>
      <c r="AN949" s="33">
        <v>1</v>
      </c>
      <c r="AO949" s="34"/>
      <c r="AP949" s="33"/>
      <c r="AQ949" s="128"/>
      <c r="AR949" s="129"/>
      <c r="AS949" s="130"/>
      <c r="AT949" s="39"/>
      <c r="AU949" s="132"/>
      <c r="AV949" s="128"/>
      <c r="AW949" s="133"/>
      <c r="AX949" s="134"/>
      <c r="AY949" s="135"/>
      <c r="AZ949" s="39"/>
      <c r="BA949" s="132"/>
      <c r="BB949" s="136"/>
      <c r="BE949" s="34"/>
      <c r="BF949" s="33"/>
      <c r="BG949" s="33" t="s">
        <v>7560</v>
      </c>
    </row>
    <row r="950" spans="1:59" ht="15" customHeight="1">
      <c r="A950" s="38" t="s">
        <v>7489</v>
      </c>
      <c r="B950" s="33" t="s">
        <v>7561</v>
      </c>
      <c r="C950" s="33" t="s">
        <v>7491</v>
      </c>
      <c r="D950" s="34">
        <v>321</v>
      </c>
      <c r="E950" s="33">
        <v>1</v>
      </c>
      <c r="F950" s="33" t="s">
        <v>7538</v>
      </c>
      <c r="G950" s="33" t="s">
        <v>7562</v>
      </c>
      <c r="J950" s="33" t="s">
        <v>4475</v>
      </c>
      <c r="K950" s="33" t="s">
        <v>6280</v>
      </c>
      <c r="L950" s="33">
        <v>2</v>
      </c>
      <c r="N950" s="33"/>
      <c r="O950" s="128"/>
      <c r="P950" s="129"/>
      <c r="Q950" s="130"/>
      <c r="R950" s="39"/>
      <c r="S950" s="131"/>
      <c r="T950" s="132"/>
      <c r="U950" s="128"/>
      <c r="V950" s="133"/>
      <c r="W950" s="134"/>
      <c r="X950" s="135"/>
      <c r="Y950" s="39" t="s">
        <v>38</v>
      </c>
      <c r="Z950" s="132"/>
      <c r="AA950" s="136"/>
      <c r="AB950" s="137"/>
      <c r="AE950" s="33"/>
      <c r="AF950" s="33" t="s">
        <v>7563</v>
      </c>
      <c r="AI950" s="33" t="s">
        <v>7564</v>
      </c>
      <c r="AJ950" s="33" t="s">
        <v>7565</v>
      </c>
      <c r="AK950" s="33" t="s">
        <v>4077</v>
      </c>
      <c r="AL950" s="33" t="s">
        <v>4111</v>
      </c>
      <c r="AM950" s="33" t="s">
        <v>26</v>
      </c>
      <c r="AO950" s="34"/>
      <c r="AP950" s="33">
        <v>0</v>
      </c>
      <c r="AQ950" s="128"/>
      <c r="AR950" s="129"/>
      <c r="AS950" s="130"/>
      <c r="AT950" s="39"/>
      <c r="AU950" s="132"/>
      <c r="AV950" s="128"/>
      <c r="AW950" s="133"/>
      <c r="AX950" s="134"/>
      <c r="AY950" s="135"/>
      <c r="AZ950" s="39"/>
      <c r="BA950" s="132"/>
      <c r="BB950" s="136"/>
      <c r="BE950" s="34" t="s">
        <v>4130</v>
      </c>
      <c r="BF950" s="33"/>
      <c r="BG950" s="33" t="s">
        <v>7566</v>
      </c>
    </row>
    <row r="951" spans="1:59" ht="15" customHeight="1">
      <c r="A951" s="38" t="s">
        <v>7489</v>
      </c>
      <c r="B951" s="33" t="s">
        <v>7567</v>
      </c>
      <c r="C951" s="33" t="s">
        <v>7491</v>
      </c>
      <c r="D951" s="41">
        <v>322</v>
      </c>
      <c r="E951" s="33">
        <v>1</v>
      </c>
      <c r="F951" s="33" t="s">
        <v>7538</v>
      </c>
      <c r="G951" s="33" t="s">
        <v>7568</v>
      </c>
      <c r="J951" s="33" t="s">
        <v>4475</v>
      </c>
      <c r="K951" s="33" t="s">
        <v>6280</v>
      </c>
      <c r="L951" s="33">
        <v>2</v>
      </c>
      <c r="N951" s="33"/>
      <c r="O951" s="128"/>
      <c r="P951" s="129"/>
      <c r="Q951" s="130"/>
      <c r="R951" s="39"/>
      <c r="S951" s="131"/>
      <c r="T951" s="132"/>
      <c r="U951" s="128"/>
      <c r="V951" s="133"/>
      <c r="W951" s="134"/>
      <c r="X951" s="135"/>
      <c r="Y951" s="39" t="s">
        <v>38</v>
      </c>
      <c r="Z951" s="132"/>
      <c r="AA951" s="136"/>
      <c r="AB951" s="137"/>
      <c r="AE951" s="33"/>
      <c r="AF951" s="33" t="s">
        <v>7569</v>
      </c>
      <c r="AI951" s="33" t="s">
        <v>7570</v>
      </c>
      <c r="AL951" s="33" t="s">
        <v>4475</v>
      </c>
      <c r="AN951" s="33">
        <v>2</v>
      </c>
      <c r="AO951" s="34"/>
      <c r="AP951" s="33"/>
      <c r="AQ951" s="128"/>
      <c r="AR951" s="129"/>
      <c r="AS951" s="130"/>
      <c r="AT951" s="39"/>
      <c r="AU951" s="132"/>
      <c r="AV951" s="128"/>
      <c r="AW951" s="133"/>
      <c r="AX951" s="134"/>
      <c r="AY951" s="135"/>
      <c r="AZ951" s="39"/>
      <c r="BA951" s="132"/>
      <c r="BB951" s="136"/>
      <c r="BE951" s="34"/>
      <c r="BF951" s="33"/>
      <c r="BG951" s="33" t="s">
        <v>7571</v>
      </c>
    </row>
    <row r="952" spans="1:59" ht="15" customHeight="1">
      <c r="A952" s="38" t="s">
        <v>7489</v>
      </c>
      <c r="B952" s="33" t="s">
        <v>7572</v>
      </c>
      <c r="C952" s="33" t="s">
        <v>7491</v>
      </c>
      <c r="D952" s="34">
        <v>323</v>
      </c>
      <c r="E952" s="33">
        <v>1</v>
      </c>
      <c r="F952" s="33" t="s">
        <v>7538</v>
      </c>
      <c r="G952" s="33" t="s">
        <v>7573</v>
      </c>
      <c r="J952" s="33" t="s">
        <v>4475</v>
      </c>
      <c r="K952" s="33" t="s">
        <v>6280</v>
      </c>
      <c r="L952" s="33">
        <v>2</v>
      </c>
      <c r="N952" s="33"/>
      <c r="O952" s="128"/>
      <c r="P952" s="129"/>
      <c r="Q952" s="130"/>
      <c r="R952" s="39"/>
      <c r="S952" s="131"/>
      <c r="T952" s="132"/>
      <c r="U952" s="128"/>
      <c r="V952" s="133"/>
      <c r="W952" s="134"/>
      <c r="X952" s="135"/>
      <c r="Y952" s="39" t="s">
        <v>38</v>
      </c>
      <c r="Z952" s="132"/>
      <c r="AA952" s="136"/>
      <c r="AB952" s="137"/>
      <c r="AE952" s="33"/>
      <c r="AF952" s="33" t="s">
        <v>7574</v>
      </c>
      <c r="AI952" s="33" t="s">
        <v>7575</v>
      </c>
      <c r="AL952" s="33" t="s">
        <v>4475</v>
      </c>
      <c r="AN952" s="33">
        <v>2</v>
      </c>
      <c r="AO952" s="34"/>
      <c r="AP952" s="33"/>
      <c r="AQ952" s="128"/>
      <c r="AR952" s="129"/>
      <c r="AS952" s="130"/>
      <c r="AT952" s="39"/>
      <c r="AU952" s="132"/>
      <c r="AV952" s="128"/>
      <c r="AW952" s="133"/>
      <c r="AX952" s="134"/>
      <c r="AY952" s="135"/>
      <c r="AZ952" s="39"/>
      <c r="BA952" s="132"/>
      <c r="BB952" s="136"/>
      <c r="BE952" s="34"/>
      <c r="BF952" s="33"/>
      <c r="BG952" s="33" t="s">
        <v>7576</v>
      </c>
    </row>
    <row r="953" spans="1:59" ht="15" customHeight="1">
      <c r="A953" s="38" t="s">
        <v>7489</v>
      </c>
      <c r="B953" s="33" t="s">
        <v>7577</v>
      </c>
      <c r="C953" s="33" t="s">
        <v>7491</v>
      </c>
      <c r="D953" s="41">
        <v>324</v>
      </c>
      <c r="E953" s="33">
        <v>1</v>
      </c>
      <c r="F953" s="33" t="s">
        <v>7538</v>
      </c>
      <c r="G953" s="33" t="s">
        <v>7578</v>
      </c>
      <c r="J953" s="33" t="s">
        <v>4475</v>
      </c>
      <c r="K953" s="33" t="s">
        <v>6280</v>
      </c>
      <c r="L953" s="33">
        <v>3</v>
      </c>
      <c r="N953" s="33"/>
      <c r="O953" s="128"/>
      <c r="P953" s="129"/>
      <c r="Q953" s="130"/>
      <c r="R953" s="39"/>
      <c r="S953" s="131"/>
      <c r="T953" s="132"/>
      <c r="U953" s="128"/>
      <c r="V953" s="133"/>
      <c r="W953" s="134"/>
      <c r="X953" s="135"/>
      <c r="Y953" s="39" t="s">
        <v>38</v>
      </c>
      <c r="Z953" s="132"/>
      <c r="AA953" s="136"/>
      <c r="AB953" s="137"/>
      <c r="AE953" s="33"/>
      <c r="AF953" s="33" t="s">
        <v>7579</v>
      </c>
      <c r="AI953" s="33" t="s">
        <v>7580</v>
      </c>
      <c r="AL953" s="33" t="s">
        <v>4475</v>
      </c>
      <c r="AN953" s="33">
        <v>3</v>
      </c>
      <c r="AO953" s="34"/>
      <c r="AP953" s="33"/>
      <c r="AQ953" s="128"/>
      <c r="AR953" s="129"/>
      <c r="AS953" s="130"/>
      <c r="AT953" s="39"/>
      <c r="AU953" s="132"/>
      <c r="AV953" s="128"/>
      <c r="AW953" s="133"/>
      <c r="AX953" s="134"/>
      <c r="AY953" s="135"/>
      <c r="AZ953" s="39"/>
      <c r="BA953" s="132"/>
      <c r="BB953" s="136"/>
      <c r="BE953" s="34"/>
      <c r="BF953" s="33"/>
      <c r="BG953" s="33" t="s">
        <v>7581</v>
      </c>
    </row>
    <row r="954" spans="1:59" ht="15" customHeight="1">
      <c r="A954" s="38" t="s">
        <v>7489</v>
      </c>
      <c r="B954" s="33" t="s">
        <v>7582</v>
      </c>
      <c r="C954" s="33" t="s">
        <v>7491</v>
      </c>
      <c r="D954" s="34">
        <v>325</v>
      </c>
      <c r="E954" s="33">
        <v>1</v>
      </c>
      <c r="F954" s="33" t="s">
        <v>7538</v>
      </c>
      <c r="G954" s="33" t="s">
        <v>7583</v>
      </c>
      <c r="J954" s="33" t="s">
        <v>31</v>
      </c>
      <c r="K954" s="33" t="s">
        <v>6280</v>
      </c>
      <c r="N954" s="33"/>
      <c r="O954" s="128"/>
      <c r="P954" s="129"/>
      <c r="Q954" s="130"/>
      <c r="R954" s="39"/>
      <c r="S954" s="131"/>
      <c r="T954" s="132"/>
      <c r="U954" s="128"/>
      <c r="V954" s="133"/>
      <c r="W954" s="134"/>
      <c r="X954" s="135">
        <v>3</v>
      </c>
      <c r="Y954" s="39" t="s">
        <v>5551</v>
      </c>
      <c r="Z954" s="132"/>
      <c r="AA954" s="136"/>
      <c r="AB954" s="137"/>
      <c r="AD954" s="33" t="s">
        <v>7584</v>
      </c>
      <c r="AE954" s="33"/>
      <c r="AI954" s="33" t="s">
        <v>7585</v>
      </c>
      <c r="AL954" s="33" t="s">
        <v>4472</v>
      </c>
      <c r="AO954" s="34"/>
      <c r="AP954" s="33"/>
      <c r="AQ954" s="128"/>
      <c r="AR954" s="129"/>
      <c r="AS954" s="130"/>
      <c r="AT954" s="39"/>
      <c r="AU954" s="132"/>
      <c r="AV954" s="128"/>
      <c r="AW954" s="133"/>
      <c r="AX954" s="134"/>
      <c r="AY954" s="135"/>
      <c r="AZ954" s="39"/>
      <c r="BA954" s="132"/>
      <c r="BB954" s="136"/>
      <c r="BE954" s="34"/>
      <c r="BF954" s="33"/>
      <c r="BG954" s="33" t="s">
        <v>7586</v>
      </c>
    </row>
    <row r="955" spans="1:59" ht="15" customHeight="1">
      <c r="A955" s="38" t="s">
        <v>7489</v>
      </c>
      <c r="B955" s="33" t="s">
        <v>7587</v>
      </c>
      <c r="C955" s="33" t="s">
        <v>7491</v>
      </c>
      <c r="D955" s="34">
        <v>326</v>
      </c>
      <c r="E955" s="33">
        <v>1</v>
      </c>
      <c r="F955" s="33" t="s">
        <v>7538</v>
      </c>
      <c r="G955" s="33" t="s">
        <v>7588</v>
      </c>
      <c r="J955" s="33" t="s">
        <v>31</v>
      </c>
      <c r="K955" s="33" t="s">
        <v>6280</v>
      </c>
      <c r="N955" s="157"/>
      <c r="O955" s="128"/>
      <c r="P955" s="129"/>
      <c r="Q955" s="130"/>
      <c r="R955" s="39"/>
      <c r="S955" s="39"/>
      <c r="T955" s="132"/>
      <c r="U955" s="128"/>
      <c r="V955" s="133"/>
      <c r="W955" s="134"/>
      <c r="X955" s="135">
        <v>4</v>
      </c>
      <c r="Y955" s="39" t="s">
        <v>4925</v>
      </c>
      <c r="Z955" s="132"/>
      <c r="AA955" s="136"/>
      <c r="AB955" s="158"/>
      <c r="AD955" s="33" t="s">
        <v>7584</v>
      </c>
      <c r="AF955" s="33" t="s">
        <v>7589</v>
      </c>
      <c r="AI955" s="33" t="s">
        <v>7590</v>
      </c>
      <c r="AL955" s="33" t="s">
        <v>4472</v>
      </c>
      <c r="AP955" s="34"/>
      <c r="AQ955" s="128"/>
      <c r="AR955" s="129"/>
      <c r="AS955" s="130"/>
      <c r="AT955" s="39"/>
      <c r="AU955" s="132"/>
      <c r="AV955" s="128"/>
      <c r="AW955" s="133"/>
      <c r="AX955" s="134"/>
      <c r="AY955" s="135"/>
      <c r="AZ955" s="39"/>
      <c r="BA955" s="132"/>
      <c r="BB955" s="136"/>
      <c r="BG955" s="33" t="s">
        <v>7591</v>
      </c>
    </row>
    <row r="956" spans="1:59" ht="15" customHeight="1">
      <c r="A956" s="38" t="s">
        <v>7489</v>
      </c>
      <c r="B956" s="33" t="s">
        <v>7592</v>
      </c>
      <c r="C956" s="33" t="s">
        <v>7491</v>
      </c>
      <c r="D956" s="34">
        <v>326</v>
      </c>
      <c r="E956" s="33">
        <v>1</v>
      </c>
      <c r="F956" s="33" t="s">
        <v>7538</v>
      </c>
      <c r="G956" s="33" t="s">
        <v>7588</v>
      </c>
      <c r="J956" s="33" t="s">
        <v>31</v>
      </c>
      <c r="K956" s="33" t="s">
        <v>6280</v>
      </c>
      <c r="N956" s="157"/>
      <c r="O956" s="128"/>
      <c r="P956" s="129"/>
      <c r="Q956" s="130"/>
      <c r="R956" s="39"/>
      <c r="S956" s="39"/>
      <c r="T956" s="132"/>
      <c r="U956" s="128"/>
      <c r="V956" s="133"/>
      <c r="W956" s="134"/>
      <c r="X956" s="135">
        <v>4</v>
      </c>
      <c r="Y956" s="39" t="s">
        <v>4925</v>
      </c>
      <c r="Z956" s="132"/>
      <c r="AA956" s="136"/>
      <c r="AB956" s="158"/>
      <c r="AD956" s="33" t="s">
        <v>7584</v>
      </c>
      <c r="AF956" s="33" t="s">
        <v>7589</v>
      </c>
      <c r="AI956" s="33" t="s">
        <v>7593</v>
      </c>
      <c r="AL956" s="33" t="s">
        <v>4472</v>
      </c>
      <c r="AP956" s="34"/>
      <c r="AQ956" s="128"/>
      <c r="AR956" s="129"/>
      <c r="AS956" s="130"/>
      <c r="AT956" s="39"/>
      <c r="AU956" s="132"/>
      <c r="AV956" s="128"/>
      <c r="AW956" s="133"/>
      <c r="AX956" s="134"/>
      <c r="AY956" s="135"/>
      <c r="AZ956" s="39"/>
      <c r="BA956" s="132"/>
      <c r="BB956" s="136"/>
      <c r="BG956" s="33" t="s">
        <v>7594</v>
      </c>
    </row>
    <row r="957" spans="1:59" ht="15" customHeight="1">
      <c r="A957" s="38" t="s">
        <v>7489</v>
      </c>
      <c r="B957" s="33" t="s">
        <v>7595</v>
      </c>
      <c r="C957" s="33" t="s">
        <v>7491</v>
      </c>
      <c r="D957" s="34">
        <v>327</v>
      </c>
      <c r="E957" s="33">
        <v>1</v>
      </c>
      <c r="F957" s="33" t="s">
        <v>7538</v>
      </c>
      <c r="G957" s="33" t="s">
        <v>7596</v>
      </c>
      <c r="J957" s="33" t="s">
        <v>31</v>
      </c>
      <c r="K957" s="33" t="s">
        <v>6280</v>
      </c>
      <c r="N957" s="157"/>
      <c r="O957" s="128"/>
      <c r="P957" s="129"/>
      <c r="Q957" s="130"/>
      <c r="R957" s="39"/>
      <c r="S957" s="39"/>
      <c r="T957" s="132"/>
      <c r="U957" s="128"/>
      <c r="V957" s="133"/>
      <c r="W957" s="134"/>
      <c r="X957" s="135">
        <v>2</v>
      </c>
      <c r="Y957" s="39" t="s">
        <v>4925</v>
      </c>
      <c r="Z957" s="132"/>
      <c r="AA957" s="136"/>
      <c r="AB957" s="158"/>
      <c r="AD957" s="33" t="s">
        <v>7584</v>
      </c>
      <c r="AF957" s="33" t="s">
        <v>7597</v>
      </c>
      <c r="AI957" s="33" t="s">
        <v>7598</v>
      </c>
      <c r="AL957" s="33" t="s">
        <v>4472</v>
      </c>
      <c r="AP957" s="34"/>
      <c r="AQ957" s="128"/>
      <c r="AR957" s="129"/>
      <c r="AS957" s="130"/>
      <c r="AT957" s="39"/>
      <c r="AU957" s="132"/>
      <c r="AV957" s="128"/>
      <c r="AW957" s="133"/>
      <c r="AX957" s="134"/>
      <c r="AY957" s="135"/>
      <c r="AZ957" s="39"/>
      <c r="BA957" s="132"/>
      <c r="BB957" s="136"/>
      <c r="BG957" s="33" t="s">
        <v>7599</v>
      </c>
    </row>
    <row r="958" spans="1:59" ht="15" customHeight="1">
      <c r="A958" s="38" t="s">
        <v>7489</v>
      </c>
      <c r="B958" s="33" t="s">
        <v>7600</v>
      </c>
      <c r="C958" s="33" t="s">
        <v>7491</v>
      </c>
      <c r="D958" s="34">
        <v>327</v>
      </c>
      <c r="E958" s="33">
        <v>1</v>
      </c>
      <c r="F958" s="33" t="s">
        <v>7538</v>
      </c>
      <c r="G958" s="33" t="s">
        <v>7596</v>
      </c>
      <c r="J958" s="33" t="s">
        <v>31</v>
      </c>
      <c r="K958" s="33" t="s">
        <v>6280</v>
      </c>
      <c r="N958" s="157"/>
      <c r="O958" s="128"/>
      <c r="P958" s="129"/>
      <c r="Q958" s="130"/>
      <c r="R958" s="39"/>
      <c r="S958" s="39"/>
      <c r="T958" s="132"/>
      <c r="U958" s="128"/>
      <c r="V958" s="133"/>
      <c r="W958" s="134"/>
      <c r="X958" s="135">
        <v>2</v>
      </c>
      <c r="Y958" s="39" t="s">
        <v>4925</v>
      </c>
      <c r="Z958" s="132"/>
      <c r="AA958" s="136"/>
      <c r="AB958" s="158"/>
      <c r="AD958" s="33" t="s">
        <v>7584</v>
      </c>
      <c r="AF958" s="33" t="s">
        <v>7597</v>
      </c>
      <c r="AI958" s="33" t="s">
        <v>7601</v>
      </c>
      <c r="AL958" s="33" t="s">
        <v>4472</v>
      </c>
      <c r="AP958" s="34"/>
      <c r="AQ958" s="128"/>
      <c r="AR958" s="129"/>
      <c r="AS958" s="130"/>
      <c r="AT958" s="39"/>
      <c r="AU958" s="132"/>
      <c r="AV958" s="128"/>
      <c r="AW958" s="133"/>
      <c r="AX958" s="134"/>
      <c r="AY958" s="135"/>
      <c r="AZ958" s="39"/>
      <c r="BA958" s="132"/>
      <c r="BB958" s="136"/>
      <c r="BG958" s="33" t="s">
        <v>7602</v>
      </c>
    </row>
    <row r="959" spans="1:59" ht="15" customHeight="1">
      <c r="A959" s="38" t="s">
        <v>7489</v>
      </c>
      <c r="B959" s="33" t="s">
        <v>7603</v>
      </c>
      <c r="C959" s="33" t="s">
        <v>7491</v>
      </c>
      <c r="D959" s="34">
        <v>327</v>
      </c>
      <c r="E959" s="33">
        <v>1</v>
      </c>
      <c r="F959" s="33" t="s">
        <v>7538</v>
      </c>
      <c r="G959" s="33" t="s">
        <v>7596</v>
      </c>
      <c r="J959" s="33" t="s">
        <v>31</v>
      </c>
      <c r="K959" s="33" t="s">
        <v>6280</v>
      </c>
      <c r="N959" s="157"/>
      <c r="O959" s="128"/>
      <c r="P959" s="129"/>
      <c r="Q959" s="130"/>
      <c r="R959" s="39"/>
      <c r="S959" s="39"/>
      <c r="T959" s="132"/>
      <c r="U959" s="128"/>
      <c r="V959" s="133"/>
      <c r="W959" s="134"/>
      <c r="X959" s="135">
        <v>2</v>
      </c>
      <c r="Y959" s="39" t="s">
        <v>4925</v>
      </c>
      <c r="Z959" s="132"/>
      <c r="AA959" s="136"/>
      <c r="AB959" s="158"/>
      <c r="AD959" s="33" t="s">
        <v>7584</v>
      </c>
      <c r="AF959" s="33" t="s">
        <v>7597</v>
      </c>
      <c r="AI959" s="33" t="s">
        <v>7604</v>
      </c>
      <c r="AL959" s="33" t="s">
        <v>4472</v>
      </c>
      <c r="AP959" s="34"/>
      <c r="AQ959" s="128"/>
      <c r="AR959" s="129"/>
      <c r="AS959" s="130"/>
      <c r="AT959" s="39"/>
      <c r="AU959" s="132"/>
      <c r="AV959" s="128"/>
      <c r="AW959" s="133"/>
      <c r="AX959" s="134"/>
      <c r="AY959" s="135"/>
      <c r="AZ959" s="39"/>
      <c r="BA959" s="132"/>
      <c r="BB959" s="136"/>
      <c r="BG959" s="33" t="s">
        <v>7605</v>
      </c>
    </row>
    <row r="960" spans="1:59" ht="15" customHeight="1">
      <c r="A960" s="38" t="s">
        <v>7489</v>
      </c>
      <c r="B960" s="33" t="s">
        <v>7606</v>
      </c>
      <c r="C960" s="33" t="s">
        <v>7491</v>
      </c>
      <c r="D960" s="34">
        <v>328</v>
      </c>
      <c r="E960" s="33">
        <v>1</v>
      </c>
      <c r="F960" s="33" t="s">
        <v>7538</v>
      </c>
      <c r="G960" s="33" t="s">
        <v>7607</v>
      </c>
      <c r="J960" s="33" t="s">
        <v>31</v>
      </c>
      <c r="K960" s="33" t="s">
        <v>6280</v>
      </c>
      <c r="N960" s="157"/>
      <c r="O960" s="128"/>
      <c r="P960" s="129"/>
      <c r="Q960" s="130"/>
      <c r="R960" s="39"/>
      <c r="S960" s="39"/>
      <c r="T960" s="132"/>
      <c r="U960" s="128"/>
      <c r="V960" s="133"/>
      <c r="W960" s="134"/>
      <c r="X960" s="135">
        <v>2</v>
      </c>
      <c r="Y960" s="39" t="s">
        <v>4925</v>
      </c>
      <c r="Z960" s="132"/>
      <c r="AA960" s="136"/>
      <c r="AB960" s="158"/>
      <c r="AD960" s="33" t="s">
        <v>7584</v>
      </c>
      <c r="AF960" s="33" t="s">
        <v>7608</v>
      </c>
      <c r="AI960" s="33" t="s">
        <v>7609</v>
      </c>
      <c r="AL960" s="33" t="s">
        <v>4472</v>
      </c>
      <c r="AP960" s="34"/>
      <c r="AQ960" s="128"/>
      <c r="AR960" s="129"/>
      <c r="AS960" s="130"/>
      <c r="AT960" s="39"/>
      <c r="AU960" s="132"/>
      <c r="AV960" s="128"/>
      <c r="AW960" s="133"/>
      <c r="AX960" s="134"/>
      <c r="AY960" s="135"/>
      <c r="AZ960" s="39"/>
      <c r="BA960" s="132"/>
      <c r="BB960" s="136"/>
      <c r="BG960" s="33" t="s">
        <v>7610</v>
      </c>
    </row>
    <row r="961" spans="1:59" ht="15" customHeight="1">
      <c r="A961" s="38" t="s">
        <v>7489</v>
      </c>
      <c r="B961" s="33" t="s">
        <v>7611</v>
      </c>
      <c r="C961" s="33" t="s">
        <v>7491</v>
      </c>
      <c r="D961" s="34">
        <v>328</v>
      </c>
      <c r="E961" s="33">
        <v>1</v>
      </c>
      <c r="F961" s="33" t="s">
        <v>7538</v>
      </c>
      <c r="G961" s="33" t="s">
        <v>7607</v>
      </c>
      <c r="J961" s="33" t="s">
        <v>31</v>
      </c>
      <c r="K961" s="33" t="s">
        <v>6280</v>
      </c>
      <c r="N961" s="157"/>
      <c r="O961" s="128"/>
      <c r="P961" s="129"/>
      <c r="Q961" s="130"/>
      <c r="R961" s="39"/>
      <c r="S961" s="39"/>
      <c r="T961" s="132"/>
      <c r="U961" s="128"/>
      <c r="V961" s="133"/>
      <c r="W961" s="134"/>
      <c r="X961" s="135">
        <v>2</v>
      </c>
      <c r="Y961" s="39" t="s">
        <v>4925</v>
      </c>
      <c r="Z961" s="132"/>
      <c r="AA961" s="136"/>
      <c r="AB961" s="158"/>
      <c r="AD961" s="33" t="s">
        <v>7584</v>
      </c>
      <c r="AF961" s="33" t="s">
        <v>7608</v>
      </c>
      <c r="AI961" s="33" t="s">
        <v>7612</v>
      </c>
      <c r="AL961" s="33" t="s">
        <v>4472</v>
      </c>
      <c r="AP961" s="34"/>
      <c r="AQ961" s="128"/>
      <c r="AR961" s="129"/>
      <c r="AS961" s="130"/>
      <c r="AT961" s="39"/>
      <c r="AU961" s="132"/>
      <c r="AV961" s="128"/>
      <c r="AW961" s="133"/>
      <c r="AX961" s="134"/>
      <c r="AY961" s="135"/>
      <c r="AZ961" s="39"/>
      <c r="BA961" s="132"/>
      <c r="BB961" s="136"/>
      <c r="BG961" s="33" t="s">
        <v>7613</v>
      </c>
    </row>
    <row r="962" spans="1:59" ht="15" customHeight="1">
      <c r="A962" s="38" t="s">
        <v>7489</v>
      </c>
      <c r="B962" s="33" t="s">
        <v>7614</v>
      </c>
      <c r="C962" s="33" t="s">
        <v>7491</v>
      </c>
      <c r="D962" s="34">
        <v>328</v>
      </c>
      <c r="E962" s="33">
        <v>1</v>
      </c>
      <c r="F962" s="33" t="s">
        <v>7538</v>
      </c>
      <c r="G962" s="33" t="s">
        <v>7607</v>
      </c>
      <c r="J962" s="33" t="s">
        <v>31</v>
      </c>
      <c r="K962" s="33" t="s">
        <v>6280</v>
      </c>
      <c r="N962" s="157"/>
      <c r="O962" s="128"/>
      <c r="P962" s="129"/>
      <c r="Q962" s="130"/>
      <c r="R962" s="39"/>
      <c r="S962" s="39"/>
      <c r="T962" s="132"/>
      <c r="U962" s="128"/>
      <c r="V962" s="133"/>
      <c r="W962" s="134"/>
      <c r="X962" s="135">
        <v>2</v>
      </c>
      <c r="Y962" s="39" t="s">
        <v>4925</v>
      </c>
      <c r="Z962" s="132"/>
      <c r="AA962" s="136"/>
      <c r="AB962" s="158"/>
      <c r="AD962" s="33" t="s">
        <v>7584</v>
      </c>
      <c r="AF962" s="33" t="s">
        <v>7608</v>
      </c>
      <c r="AI962" s="33" t="s">
        <v>7615</v>
      </c>
      <c r="AL962" s="33" t="s">
        <v>4472</v>
      </c>
      <c r="AP962" s="34"/>
      <c r="AQ962" s="128"/>
      <c r="AR962" s="129"/>
      <c r="AS962" s="130"/>
      <c r="AT962" s="39"/>
      <c r="AU962" s="132"/>
      <c r="AV962" s="128"/>
      <c r="AW962" s="133"/>
      <c r="AX962" s="134"/>
      <c r="AY962" s="135"/>
      <c r="AZ962" s="39"/>
      <c r="BA962" s="132"/>
      <c r="BB962" s="136"/>
      <c r="BG962" s="33" t="s">
        <v>7616</v>
      </c>
    </row>
    <row r="963" spans="1:59" ht="15" customHeight="1">
      <c r="A963" s="38" t="s">
        <v>7489</v>
      </c>
      <c r="B963" s="33" t="s">
        <v>7617</v>
      </c>
      <c r="C963" s="33" t="s">
        <v>7491</v>
      </c>
      <c r="D963" s="34">
        <v>329</v>
      </c>
      <c r="E963" s="33">
        <v>1</v>
      </c>
      <c r="F963" s="33" t="s">
        <v>7538</v>
      </c>
      <c r="G963" s="33" t="s">
        <v>7618</v>
      </c>
      <c r="J963" s="33" t="s">
        <v>31</v>
      </c>
      <c r="K963" s="33" t="s">
        <v>6280</v>
      </c>
      <c r="N963" s="157"/>
      <c r="O963" s="128"/>
      <c r="P963" s="129"/>
      <c r="Q963" s="130"/>
      <c r="R963" s="39"/>
      <c r="S963" s="39"/>
      <c r="T963" s="132"/>
      <c r="U963" s="128"/>
      <c r="V963" s="133"/>
      <c r="W963" s="134"/>
      <c r="X963" s="135">
        <v>4</v>
      </c>
      <c r="Y963" s="39" t="s">
        <v>4925</v>
      </c>
      <c r="Z963" s="132"/>
      <c r="AA963" s="136"/>
      <c r="AB963" s="158"/>
      <c r="AD963" s="33" t="s">
        <v>7584</v>
      </c>
      <c r="AF963" s="33" t="s">
        <v>7619</v>
      </c>
      <c r="AI963" s="33" t="s">
        <v>7620</v>
      </c>
      <c r="AL963" s="33" t="s">
        <v>4472</v>
      </c>
      <c r="AP963" s="34"/>
      <c r="AQ963" s="128"/>
      <c r="AR963" s="129"/>
      <c r="AS963" s="130"/>
      <c r="AT963" s="39"/>
      <c r="AU963" s="132"/>
      <c r="AV963" s="128"/>
      <c r="AW963" s="133"/>
      <c r="AX963" s="134"/>
      <c r="AY963" s="135"/>
      <c r="AZ963" s="39"/>
      <c r="BA963" s="132"/>
      <c r="BB963" s="136"/>
      <c r="BG963" s="33" t="s">
        <v>7621</v>
      </c>
    </row>
    <row r="964" spans="1:59" ht="15" customHeight="1">
      <c r="A964" s="38" t="s">
        <v>7489</v>
      </c>
      <c r="B964" s="33" t="s">
        <v>7622</v>
      </c>
      <c r="C964" s="33" t="s">
        <v>7491</v>
      </c>
      <c r="D964" s="34">
        <v>329</v>
      </c>
      <c r="E964" s="33">
        <v>1</v>
      </c>
      <c r="F964" s="33" t="s">
        <v>7538</v>
      </c>
      <c r="G964" s="33" t="s">
        <v>7618</v>
      </c>
      <c r="J964" s="33" t="s">
        <v>31</v>
      </c>
      <c r="K964" s="33" t="s">
        <v>6280</v>
      </c>
      <c r="N964" s="157"/>
      <c r="O964" s="128"/>
      <c r="P964" s="129"/>
      <c r="Q964" s="130"/>
      <c r="R964" s="39"/>
      <c r="S964" s="39"/>
      <c r="T964" s="132"/>
      <c r="U964" s="128"/>
      <c r="V964" s="133"/>
      <c r="W964" s="134"/>
      <c r="X964" s="135">
        <v>4</v>
      </c>
      <c r="Y964" s="39" t="s">
        <v>4925</v>
      </c>
      <c r="Z964" s="132"/>
      <c r="AA964" s="136"/>
      <c r="AB964" s="158"/>
      <c r="AD964" s="33" t="s">
        <v>7584</v>
      </c>
      <c r="AF964" s="33" t="s">
        <v>7619</v>
      </c>
      <c r="AI964" s="33" t="s">
        <v>7623</v>
      </c>
      <c r="AL964" s="33" t="s">
        <v>4472</v>
      </c>
      <c r="AP964" s="34"/>
      <c r="AQ964" s="128"/>
      <c r="AR964" s="129"/>
      <c r="AS964" s="130"/>
      <c r="AT964" s="39"/>
      <c r="AU964" s="132"/>
      <c r="AV964" s="128"/>
      <c r="AW964" s="133"/>
      <c r="AX964" s="134"/>
      <c r="AY964" s="135"/>
      <c r="AZ964" s="39"/>
      <c r="BA964" s="132"/>
      <c r="BB964" s="136"/>
      <c r="BG964" s="33" t="s">
        <v>7586</v>
      </c>
    </row>
    <row r="965" spans="1:59" ht="15" customHeight="1">
      <c r="A965" s="38" t="s">
        <v>7489</v>
      </c>
      <c r="B965" s="33" t="s">
        <v>7624</v>
      </c>
      <c r="C965" s="33" t="s">
        <v>7491</v>
      </c>
      <c r="D965" s="34">
        <v>330</v>
      </c>
      <c r="E965" s="33">
        <v>1</v>
      </c>
      <c r="F965" s="33" t="s">
        <v>7538</v>
      </c>
      <c r="G965" s="33" t="s">
        <v>7625</v>
      </c>
      <c r="J965" s="33" t="s">
        <v>31</v>
      </c>
      <c r="K965" s="33" t="s">
        <v>6280</v>
      </c>
      <c r="N965" s="157"/>
      <c r="O965" s="128"/>
      <c r="P965" s="129"/>
      <c r="Q965" s="130"/>
      <c r="R965" s="39"/>
      <c r="S965" s="39"/>
      <c r="T965" s="132"/>
      <c r="U965" s="128"/>
      <c r="V965" s="133"/>
      <c r="W965" s="134"/>
      <c r="X965" s="135">
        <v>3</v>
      </c>
      <c r="Y965" s="39" t="s">
        <v>5551</v>
      </c>
      <c r="Z965" s="132"/>
      <c r="AA965" s="136"/>
      <c r="AB965" s="158"/>
      <c r="AD965" s="33" t="s">
        <v>7584</v>
      </c>
      <c r="AI965" s="33" t="s">
        <v>7626</v>
      </c>
      <c r="AL965" s="33" t="s">
        <v>4472</v>
      </c>
      <c r="AP965" s="34"/>
      <c r="AQ965" s="128"/>
      <c r="AR965" s="129"/>
      <c r="AS965" s="130"/>
      <c r="AT965" s="39"/>
      <c r="AU965" s="132"/>
      <c r="AV965" s="128"/>
      <c r="AW965" s="133"/>
      <c r="AX965" s="134"/>
      <c r="AY965" s="135"/>
      <c r="AZ965" s="39"/>
      <c r="BA965" s="132"/>
      <c r="BB965" s="136"/>
      <c r="BG965" s="33" t="s">
        <v>7627</v>
      </c>
    </row>
    <row r="966" spans="1:59" ht="15" customHeight="1">
      <c r="A966" s="38" t="s">
        <v>7489</v>
      </c>
      <c r="B966" s="33" t="s">
        <v>7628</v>
      </c>
      <c r="C966" s="33" t="s">
        <v>7491</v>
      </c>
      <c r="D966" s="34">
        <v>331</v>
      </c>
      <c r="E966" s="33">
        <v>1</v>
      </c>
      <c r="F966" s="33" t="s">
        <v>7538</v>
      </c>
      <c r="G966" s="33" t="s">
        <v>7629</v>
      </c>
      <c r="J966" s="33" t="s">
        <v>31</v>
      </c>
      <c r="K966" s="33" t="s">
        <v>6280</v>
      </c>
      <c r="N966" s="157"/>
      <c r="O966" s="128"/>
      <c r="P966" s="129"/>
      <c r="Q966" s="130"/>
      <c r="R966" s="39"/>
      <c r="S966" s="39"/>
      <c r="T966" s="132"/>
      <c r="U966" s="128"/>
      <c r="V966" s="133"/>
      <c r="W966" s="134"/>
      <c r="X966" s="135">
        <v>2</v>
      </c>
      <c r="Y966" s="39" t="s">
        <v>5550</v>
      </c>
      <c r="Z966" s="132"/>
      <c r="AA966" s="136"/>
      <c r="AB966" s="158"/>
      <c r="AD966" s="33" t="s">
        <v>7584</v>
      </c>
      <c r="AF966" s="33" t="s">
        <v>7630</v>
      </c>
      <c r="AI966" s="33" t="s">
        <v>7631</v>
      </c>
      <c r="AL966" s="33" t="s">
        <v>4472</v>
      </c>
      <c r="AP966" s="34"/>
      <c r="AQ966" s="128"/>
      <c r="AR966" s="129"/>
      <c r="AS966" s="130"/>
      <c r="AT966" s="39"/>
      <c r="AU966" s="132"/>
      <c r="AV966" s="128"/>
      <c r="AW966" s="133"/>
      <c r="AX966" s="134"/>
      <c r="AY966" s="135"/>
      <c r="AZ966" s="39"/>
      <c r="BA966" s="132"/>
      <c r="BB966" s="136"/>
      <c r="BG966" s="33" t="s">
        <v>7632</v>
      </c>
    </row>
    <row r="967" spans="1:59" ht="15" customHeight="1">
      <c r="A967" s="38" t="s">
        <v>7489</v>
      </c>
      <c r="B967" s="33" t="s">
        <v>7633</v>
      </c>
      <c r="C967" s="33" t="s">
        <v>7491</v>
      </c>
      <c r="D967" s="34">
        <v>332</v>
      </c>
      <c r="E967" s="33">
        <v>1</v>
      </c>
      <c r="F967" s="33" t="s">
        <v>7538</v>
      </c>
      <c r="G967" s="33" t="s">
        <v>7634</v>
      </c>
      <c r="H967" s="33" t="s">
        <v>6409</v>
      </c>
      <c r="I967" s="33" t="s">
        <v>4077</v>
      </c>
      <c r="J967" s="33" t="s">
        <v>29</v>
      </c>
      <c r="K967" s="33" t="s">
        <v>6280</v>
      </c>
      <c r="N967" s="157"/>
      <c r="O967" s="128"/>
      <c r="P967" s="129"/>
      <c r="Q967" s="130">
        <v>4</v>
      </c>
      <c r="R967" s="39">
        <v>2</v>
      </c>
      <c r="S967" s="39"/>
      <c r="T967" s="132" t="s">
        <v>7635</v>
      </c>
      <c r="U967" s="128"/>
      <c r="V967" s="133"/>
      <c r="W967" s="134">
        <v>2</v>
      </c>
      <c r="X967" s="135"/>
      <c r="Y967" s="39"/>
      <c r="Z967" s="132"/>
      <c r="AA967" s="136"/>
      <c r="AB967" s="158"/>
      <c r="AD967" s="33" t="s">
        <v>4676</v>
      </c>
      <c r="AF967" s="33" t="s">
        <v>7636</v>
      </c>
      <c r="AP967" s="34"/>
      <c r="AQ967" s="128"/>
      <c r="AR967" s="129"/>
      <c r="AS967" s="130"/>
      <c r="AT967" s="39"/>
      <c r="AU967" s="132"/>
      <c r="AV967" s="128"/>
      <c r="AW967" s="133"/>
      <c r="AX967" s="134"/>
      <c r="AY967" s="135"/>
      <c r="AZ967" s="39"/>
      <c r="BA967" s="132"/>
      <c r="BB967" s="136"/>
    </row>
    <row r="968" spans="1:59" ht="15" customHeight="1">
      <c r="A968" s="38" t="s">
        <v>7489</v>
      </c>
      <c r="B968" s="33" t="s">
        <v>7637</v>
      </c>
      <c r="C968" s="33" t="s">
        <v>7491</v>
      </c>
      <c r="D968" s="34">
        <v>333</v>
      </c>
      <c r="E968" s="33">
        <v>1</v>
      </c>
      <c r="F968" s="33" t="s">
        <v>7538</v>
      </c>
      <c r="G968" s="33" t="s">
        <v>7634</v>
      </c>
      <c r="H968" s="33" t="s">
        <v>7638</v>
      </c>
      <c r="I968" s="33" t="s">
        <v>4077</v>
      </c>
      <c r="J968" s="33" t="s">
        <v>29</v>
      </c>
      <c r="K968" s="33" t="s">
        <v>6280</v>
      </c>
      <c r="N968" s="157"/>
      <c r="O968" s="128"/>
      <c r="P968" s="129"/>
      <c r="Q968" s="130">
        <v>3</v>
      </c>
      <c r="R968" s="39">
        <v>3</v>
      </c>
      <c r="S968" s="39"/>
      <c r="T968" s="132" t="s">
        <v>7639</v>
      </c>
      <c r="U968" s="128"/>
      <c r="V968" s="133"/>
      <c r="W968" s="134">
        <v>2</v>
      </c>
      <c r="X968" s="135"/>
      <c r="Y968" s="39"/>
      <c r="Z968" s="132"/>
      <c r="AA968" s="136"/>
      <c r="AB968" s="158"/>
      <c r="AD968" s="33" t="s">
        <v>4676</v>
      </c>
      <c r="AE968" s="34" t="s">
        <v>7640</v>
      </c>
      <c r="AF968" s="33" t="s">
        <v>7641</v>
      </c>
      <c r="AP968" s="34"/>
      <c r="AQ968" s="128"/>
      <c r="AR968" s="129"/>
      <c r="AS968" s="130"/>
      <c r="AT968" s="39"/>
      <c r="AU968" s="132"/>
      <c r="AV968" s="128"/>
      <c r="AW968" s="133"/>
      <c r="AX968" s="134"/>
      <c r="AY968" s="135"/>
      <c r="AZ968" s="39"/>
      <c r="BA968" s="132"/>
      <c r="BB968" s="136"/>
    </row>
    <row r="969" spans="1:59" ht="15" customHeight="1">
      <c r="A969" s="38" t="s">
        <v>7489</v>
      </c>
      <c r="B969" s="33" t="s">
        <v>7642</v>
      </c>
      <c r="C969" s="33" t="s">
        <v>7491</v>
      </c>
      <c r="D969" s="34">
        <v>334</v>
      </c>
      <c r="E969" s="33">
        <v>1</v>
      </c>
      <c r="F969" s="33" t="s">
        <v>7538</v>
      </c>
      <c r="G969" s="33" t="s">
        <v>7634</v>
      </c>
      <c r="H969" s="33" t="s">
        <v>7643</v>
      </c>
      <c r="I969" s="33" t="s">
        <v>4077</v>
      </c>
      <c r="J969" s="33" t="s">
        <v>29</v>
      </c>
      <c r="K969" s="33" t="s">
        <v>6280</v>
      </c>
      <c r="N969" s="157"/>
      <c r="O969" s="128"/>
      <c r="P969" s="129"/>
      <c r="Q969" s="130">
        <v>3</v>
      </c>
      <c r="R969" s="39">
        <v>2</v>
      </c>
      <c r="S969" s="39"/>
      <c r="T969" s="132" t="s">
        <v>7644</v>
      </c>
      <c r="U969" s="128"/>
      <c r="V969" s="133"/>
      <c r="W969" s="134">
        <v>4</v>
      </c>
      <c r="X969" s="135"/>
      <c r="Y969" s="39"/>
      <c r="Z969" s="132"/>
      <c r="AA969" s="136"/>
      <c r="AB969" s="158"/>
      <c r="AD969" s="33" t="s">
        <v>4676</v>
      </c>
      <c r="AE969" s="34" t="s">
        <v>7645</v>
      </c>
      <c r="AF969" s="33" t="s">
        <v>7641</v>
      </c>
      <c r="AP969" s="34"/>
      <c r="AQ969" s="128"/>
      <c r="AR969" s="129"/>
      <c r="AS969" s="130"/>
      <c r="AT969" s="39"/>
      <c r="AU969" s="132"/>
      <c r="AV969" s="128"/>
      <c r="AW969" s="133"/>
      <c r="AX969" s="134"/>
      <c r="AY969" s="135"/>
      <c r="AZ969" s="39"/>
      <c r="BA969" s="132"/>
      <c r="BB969" s="136"/>
    </row>
    <row r="970" spans="1:59" ht="15" customHeight="1">
      <c r="A970" s="38" t="s">
        <v>7489</v>
      </c>
      <c r="B970" s="33" t="s">
        <v>7646</v>
      </c>
      <c r="C970" s="33" t="s">
        <v>7491</v>
      </c>
      <c r="D970" s="34">
        <v>335</v>
      </c>
      <c r="E970" s="33">
        <v>1</v>
      </c>
      <c r="F970" s="33" t="s">
        <v>7538</v>
      </c>
      <c r="G970" s="33" t="s">
        <v>7647</v>
      </c>
      <c r="J970" s="33" t="s">
        <v>29</v>
      </c>
      <c r="K970" s="33" t="s">
        <v>6280</v>
      </c>
      <c r="N970" s="157"/>
      <c r="O970" s="128"/>
      <c r="P970" s="129"/>
      <c r="Q970" s="130">
        <v>5</v>
      </c>
      <c r="R970" s="39">
        <v>2</v>
      </c>
      <c r="S970" s="39"/>
      <c r="T970" s="132">
        <v>4</v>
      </c>
      <c r="U970" s="128"/>
      <c r="V970" s="133">
        <v>1</v>
      </c>
      <c r="W970" s="134">
        <v>1</v>
      </c>
      <c r="X970" s="135"/>
      <c r="Y970" s="39"/>
      <c r="Z970" s="132"/>
      <c r="AA970" s="136"/>
      <c r="AB970" s="158"/>
      <c r="AD970" s="33" t="s">
        <v>6638</v>
      </c>
      <c r="AE970" s="33" t="s">
        <v>7648</v>
      </c>
      <c r="AF970" s="33" t="s">
        <v>7649</v>
      </c>
      <c r="AP970" s="34"/>
      <c r="AQ970" s="128"/>
      <c r="AR970" s="129"/>
      <c r="AS970" s="130"/>
      <c r="AT970" s="39"/>
      <c r="AU970" s="132"/>
      <c r="AV970" s="128"/>
      <c r="AW970" s="133"/>
      <c r="AX970" s="134"/>
      <c r="AY970" s="135"/>
      <c r="AZ970" s="39"/>
      <c r="BA970" s="132"/>
      <c r="BB970" s="136"/>
    </row>
    <row r="971" spans="1:59" ht="15" customHeight="1">
      <c r="A971" s="38" t="s">
        <v>7489</v>
      </c>
      <c r="B971" s="33" t="s">
        <v>7650</v>
      </c>
      <c r="C971" s="33" t="s">
        <v>7491</v>
      </c>
      <c r="D971" s="34">
        <v>336</v>
      </c>
      <c r="E971" s="33">
        <v>1</v>
      </c>
      <c r="F971" s="33" t="s">
        <v>7538</v>
      </c>
      <c r="G971" s="33" t="s">
        <v>7651</v>
      </c>
      <c r="J971" s="33" t="s">
        <v>29</v>
      </c>
      <c r="K971" s="33" t="s">
        <v>6280</v>
      </c>
      <c r="N971" s="157"/>
      <c r="O971" s="128"/>
      <c r="P971" s="129"/>
      <c r="Q971" s="130">
        <v>3</v>
      </c>
      <c r="R971" s="39">
        <v>4</v>
      </c>
      <c r="S971" s="39"/>
      <c r="T971" s="132">
        <v>3</v>
      </c>
      <c r="U971" s="128"/>
      <c r="V971" s="133">
        <v>3</v>
      </c>
      <c r="W971" s="134">
        <v>1</v>
      </c>
      <c r="X971" s="135"/>
      <c r="Y971" s="39"/>
      <c r="Z971" s="132"/>
      <c r="AA971" s="136"/>
      <c r="AB971" s="158"/>
      <c r="AD971" s="33" t="s">
        <v>4690</v>
      </c>
      <c r="AE971" s="34" t="s">
        <v>7652</v>
      </c>
      <c r="AF971" s="33" t="s">
        <v>7653</v>
      </c>
      <c r="AP971" s="34"/>
      <c r="AQ971" s="128"/>
      <c r="AR971" s="129"/>
      <c r="AS971" s="130"/>
      <c r="AT971" s="39"/>
      <c r="AU971" s="132"/>
      <c r="AV971" s="128"/>
      <c r="AW971" s="133"/>
      <c r="AX971" s="134"/>
      <c r="AY971" s="135"/>
      <c r="AZ971" s="39"/>
      <c r="BA971" s="132"/>
      <c r="BB971" s="136"/>
    </row>
    <row r="972" spans="1:59" ht="15" customHeight="1">
      <c r="A972" s="38" t="s">
        <v>7489</v>
      </c>
      <c r="B972" s="33" t="s">
        <v>7654</v>
      </c>
      <c r="C972" s="33" t="s">
        <v>7491</v>
      </c>
      <c r="D972" s="34">
        <v>337</v>
      </c>
      <c r="E972" s="33">
        <v>3</v>
      </c>
      <c r="F972" s="33" t="s">
        <v>7538</v>
      </c>
      <c r="G972" s="33" t="s">
        <v>7655</v>
      </c>
      <c r="J972" s="33" t="s">
        <v>28</v>
      </c>
      <c r="K972" s="33" t="s">
        <v>6280</v>
      </c>
      <c r="N972" s="157"/>
      <c r="O972" s="128"/>
      <c r="P972" s="129"/>
      <c r="Q972" s="130"/>
      <c r="R972" s="39"/>
      <c r="S972" s="39"/>
      <c r="T972" s="132"/>
      <c r="U972" s="128"/>
      <c r="V972" s="133"/>
      <c r="W972" s="134"/>
      <c r="X972" s="135"/>
      <c r="Y972" s="39"/>
      <c r="Z972" s="132"/>
      <c r="AA972" s="136"/>
      <c r="AB972" s="158"/>
      <c r="AD972" s="33" t="s">
        <v>7656</v>
      </c>
      <c r="AF972" s="33" t="s">
        <v>7657</v>
      </c>
      <c r="AP972" s="34"/>
      <c r="AQ972" s="128"/>
      <c r="AR972" s="129"/>
      <c r="AS972" s="130"/>
      <c r="AT972" s="39"/>
      <c r="AU972" s="132"/>
      <c r="AV972" s="128"/>
      <c r="AW972" s="133"/>
      <c r="AX972" s="134"/>
      <c r="AY972" s="135"/>
      <c r="AZ972" s="39"/>
      <c r="BA972" s="132"/>
      <c r="BB972" s="136"/>
    </row>
    <row r="973" spans="1:59" ht="15" customHeight="1">
      <c r="A973" s="38" t="s">
        <v>7489</v>
      </c>
      <c r="B973" s="33" t="s">
        <v>7658</v>
      </c>
      <c r="C973" s="33" t="s">
        <v>7491</v>
      </c>
      <c r="D973" s="34">
        <v>338</v>
      </c>
      <c r="E973" s="33">
        <v>2</v>
      </c>
      <c r="F973" s="33" t="s">
        <v>7538</v>
      </c>
      <c r="G973" s="33" t="s">
        <v>7659</v>
      </c>
      <c r="J973" s="33" t="s">
        <v>28</v>
      </c>
      <c r="K973" s="33" t="s">
        <v>6280</v>
      </c>
      <c r="N973" s="157"/>
      <c r="O973" s="128"/>
      <c r="P973" s="129"/>
      <c r="Q973" s="130"/>
      <c r="R973" s="39"/>
      <c r="S973" s="39"/>
      <c r="T973" s="132"/>
      <c r="U973" s="128"/>
      <c r="V973" s="133"/>
      <c r="W973" s="134"/>
      <c r="X973" s="135"/>
      <c r="Y973" s="39"/>
      <c r="Z973" s="132"/>
      <c r="AA973" s="136"/>
      <c r="AB973" s="158"/>
      <c r="AD973" s="33" t="s">
        <v>4335</v>
      </c>
      <c r="AF973" s="33" t="s">
        <v>7660</v>
      </c>
      <c r="AP973" s="34"/>
      <c r="AQ973" s="128"/>
      <c r="AR973" s="129"/>
      <c r="AS973" s="130"/>
      <c r="AT973" s="39"/>
      <c r="AU973" s="132"/>
      <c r="AV973" s="128"/>
      <c r="AW973" s="133"/>
      <c r="AX973" s="134"/>
      <c r="AY973" s="135"/>
      <c r="AZ973" s="39"/>
      <c r="BA973" s="132"/>
      <c r="BB973" s="136"/>
    </row>
    <row r="974" spans="1:59" ht="15" customHeight="1">
      <c r="A974" s="38" t="s">
        <v>7489</v>
      </c>
      <c r="B974" s="33" t="s">
        <v>7661</v>
      </c>
      <c r="C974" s="33" t="s">
        <v>7491</v>
      </c>
      <c r="D974" s="34">
        <v>339</v>
      </c>
      <c r="E974" s="33">
        <v>1</v>
      </c>
      <c r="F974" s="33" t="s">
        <v>7538</v>
      </c>
      <c r="G974" s="33" t="s">
        <v>7662</v>
      </c>
      <c r="J974" s="33" t="s">
        <v>28</v>
      </c>
      <c r="K974" s="33" t="s">
        <v>6280</v>
      </c>
      <c r="N974" s="157"/>
      <c r="O974" s="128"/>
      <c r="P974" s="129"/>
      <c r="Q974" s="130"/>
      <c r="R974" s="39"/>
      <c r="S974" s="39"/>
      <c r="T974" s="132"/>
      <c r="U974" s="128"/>
      <c r="V974" s="133"/>
      <c r="W974" s="134"/>
      <c r="X974" s="135"/>
      <c r="Y974" s="39"/>
      <c r="Z974" s="132"/>
      <c r="AA974" s="136"/>
      <c r="AB974" s="158"/>
      <c r="AD974" s="33" t="s">
        <v>4335</v>
      </c>
      <c r="AE974" s="34" t="s">
        <v>34</v>
      </c>
      <c r="AF974" s="33" t="s">
        <v>7663</v>
      </c>
      <c r="AP974" s="34"/>
      <c r="AQ974" s="128"/>
      <c r="AR974" s="129"/>
      <c r="AS974" s="130"/>
      <c r="AT974" s="39"/>
      <c r="AU974" s="132"/>
      <c r="AV974" s="128"/>
      <c r="AW974" s="133"/>
      <c r="AX974" s="134"/>
      <c r="AY974" s="135"/>
      <c r="AZ974" s="39"/>
      <c r="BA974" s="132"/>
      <c r="BB974" s="136"/>
    </row>
    <row r="975" spans="1:59" ht="15" customHeight="1">
      <c r="A975" s="38" t="s">
        <v>7489</v>
      </c>
      <c r="B975" s="33" t="s">
        <v>7664</v>
      </c>
      <c r="C975" s="33" t="s">
        <v>7491</v>
      </c>
      <c r="D975" s="34">
        <v>340</v>
      </c>
      <c r="E975" s="33">
        <v>1</v>
      </c>
      <c r="F975" s="33" t="s">
        <v>7538</v>
      </c>
      <c r="G975" s="33" t="s">
        <v>7665</v>
      </c>
      <c r="J975" s="33" t="s">
        <v>28</v>
      </c>
      <c r="K975" s="33" t="s">
        <v>6280</v>
      </c>
      <c r="N975" s="157"/>
      <c r="O975" s="128"/>
      <c r="P975" s="129"/>
      <c r="Q975" s="130"/>
      <c r="R975" s="39"/>
      <c r="S975" s="39"/>
      <c r="T975" s="132"/>
      <c r="U975" s="128"/>
      <c r="V975" s="133"/>
      <c r="W975" s="134"/>
      <c r="X975" s="135"/>
      <c r="Y975" s="39"/>
      <c r="Z975" s="132"/>
      <c r="AA975" s="136"/>
      <c r="AB975" s="158"/>
      <c r="AD975" s="33" t="s">
        <v>5536</v>
      </c>
      <c r="AE975" s="34" t="s">
        <v>7666</v>
      </c>
      <c r="AF975" s="33" t="s">
        <v>7667</v>
      </c>
      <c r="AP975" s="34"/>
      <c r="AQ975" s="128"/>
      <c r="AR975" s="129"/>
      <c r="AS975" s="130"/>
      <c r="AT975" s="39"/>
      <c r="AU975" s="132"/>
      <c r="AV975" s="128"/>
      <c r="AW975" s="133"/>
      <c r="AX975" s="134"/>
      <c r="AY975" s="135"/>
      <c r="AZ975" s="39"/>
      <c r="BA975" s="132"/>
      <c r="BB975" s="136"/>
    </row>
    <row r="976" spans="1:59" ht="15" customHeight="1">
      <c r="A976" s="38" t="s">
        <v>7489</v>
      </c>
      <c r="B976" s="33" t="s">
        <v>7668</v>
      </c>
      <c r="C976" s="33" t="s">
        <v>7491</v>
      </c>
      <c r="D976" s="34">
        <v>341</v>
      </c>
      <c r="E976" s="33">
        <v>1</v>
      </c>
      <c r="F976" s="33" t="s">
        <v>7538</v>
      </c>
      <c r="G976" s="33" t="s">
        <v>7669</v>
      </c>
      <c r="J976" s="33" t="s">
        <v>28</v>
      </c>
      <c r="K976" s="33" t="s">
        <v>6280</v>
      </c>
      <c r="N976" s="157"/>
      <c r="O976" s="128"/>
      <c r="P976" s="129"/>
      <c r="Q976" s="130"/>
      <c r="R976" s="39"/>
      <c r="S976" s="39"/>
      <c r="T976" s="132"/>
      <c r="U976" s="128"/>
      <c r="V976" s="133"/>
      <c r="W976" s="134"/>
      <c r="X976" s="135"/>
      <c r="Y976" s="39"/>
      <c r="Z976" s="132"/>
      <c r="AA976" s="136"/>
      <c r="AB976" s="158"/>
      <c r="AD976" s="33" t="s">
        <v>5536</v>
      </c>
      <c r="AE976" s="34" t="s">
        <v>7666</v>
      </c>
      <c r="AF976" s="33" t="s">
        <v>7670</v>
      </c>
      <c r="AP976" s="34"/>
      <c r="AQ976" s="128"/>
      <c r="AR976" s="129"/>
      <c r="AS976" s="130"/>
      <c r="AT976" s="39"/>
      <c r="AU976" s="132"/>
      <c r="AV976" s="128"/>
      <c r="AW976" s="133"/>
      <c r="AX976" s="134"/>
      <c r="AY976" s="135"/>
      <c r="AZ976" s="39"/>
      <c r="BA976" s="132"/>
      <c r="BB976" s="136"/>
    </row>
    <row r="977" spans="1:59" ht="15" customHeight="1">
      <c r="A977" s="38" t="s">
        <v>7489</v>
      </c>
      <c r="B977" s="33" t="s">
        <v>7671</v>
      </c>
      <c r="C977" s="33" t="s">
        <v>7491</v>
      </c>
      <c r="D977" s="34">
        <v>342</v>
      </c>
      <c r="E977" s="33">
        <v>1</v>
      </c>
      <c r="F977" s="33" t="s">
        <v>7538</v>
      </c>
      <c r="G977" s="33" t="s">
        <v>7672</v>
      </c>
      <c r="J977" s="33" t="s">
        <v>28</v>
      </c>
      <c r="K977" s="33" t="s">
        <v>6280</v>
      </c>
      <c r="N977" s="157"/>
      <c r="O977" s="128"/>
      <c r="P977" s="129"/>
      <c r="Q977" s="130"/>
      <c r="R977" s="39"/>
      <c r="S977" s="39"/>
      <c r="T977" s="132"/>
      <c r="U977" s="128"/>
      <c r="V977" s="133"/>
      <c r="W977" s="134"/>
      <c r="X977" s="135"/>
      <c r="Y977" s="39"/>
      <c r="Z977" s="132"/>
      <c r="AA977" s="136"/>
      <c r="AB977" s="158"/>
      <c r="AD977" s="33" t="s">
        <v>5536</v>
      </c>
      <c r="AE977" s="34" t="s">
        <v>7666</v>
      </c>
      <c r="AF977" s="33" t="s">
        <v>7673</v>
      </c>
      <c r="AP977" s="34"/>
      <c r="AQ977" s="128"/>
      <c r="AR977" s="129"/>
      <c r="AS977" s="130"/>
      <c r="AT977" s="39"/>
      <c r="AU977" s="132"/>
      <c r="AV977" s="128"/>
      <c r="AW977" s="133"/>
      <c r="AX977" s="134"/>
      <c r="AY977" s="135"/>
      <c r="AZ977" s="39"/>
      <c r="BA977" s="132"/>
      <c r="BB977" s="136"/>
    </row>
    <row r="978" spans="1:59" s="38" customFormat="1" ht="15" customHeight="1">
      <c r="A978" s="159" t="s">
        <v>7674</v>
      </c>
      <c r="B978" s="38" t="s">
        <v>7675</v>
      </c>
      <c r="C978" s="38" t="s">
        <v>7676</v>
      </c>
      <c r="D978" s="41">
        <v>1</v>
      </c>
      <c r="E978" s="38">
        <v>1</v>
      </c>
      <c r="G978" s="38" t="s">
        <v>7677</v>
      </c>
      <c r="H978" s="38" t="s">
        <v>7678</v>
      </c>
      <c r="I978" s="38" t="s">
        <v>4077</v>
      </c>
      <c r="J978" s="38" t="s">
        <v>4057</v>
      </c>
      <c r="K978" s="38" t="s">
        <v>4052</v>
      </c>
      <c r="N978" s="41"/>
      <c r="O978" s="128">
        <v>4</v>
      </c>
      <c r="P978" s="129">
        <v>3</v>
      </c>
      <c r="Q978" s="130">
        <v>4</v>
      </c>
      <c r="R978" s="39">
        <v>1</v>
      </c>
      <c r="S978" s="145"/>
      <c r="T978" s="132">
        <v>8</v>
      </c>
      <c r="U978" s="128">
        <v>6</v>
      </c>
      <c r="V978" s="133"/>
      <c r="W978" s="134"/>
      <c r="X978" s="135"/>
      <c r="Y978" s="39"/>
      <c r="Z978" s="132"/>
      <c r="AA978" s="136"/>
      <c r="AD978" s="38" t="s">
        <v>7679</v>
      </c>
      <c r="AE978" s="41"/>
      <c r="AF978" s="38" t="s">
        <v>7680</v>
      </c>
      <c r="AI978" s="38" t="s">
        <v>7677</v>
      </c>
      <c r="AJ978" s="38" t="s">
        <v>7678</v>
      </c>
      <c r="AK978" s="38" t="s">
        <v>4077</v>
      </c>
      <c r="AL978" s="38" t="s">
        <v>4057</v>
      </c>
      <c r="AM978" s="38" t="s">
        <v>4052</v>
      </c>
      <c r="AQ978" s="128"/>
      <c r="AR978" s="129"/>
      <c r="AS978" s="130"/>
      <c r="AT978" s="39"/>
      <c r="AU978" s="132"/>
      <c r="AV978" s="128"/>
      <c r="AW978" s="133"/>
      <c r="AX978" s="134"/>
      <c r="AY978" s="135"/>
      <c r="AZ978" s="39"/>
      <c r="BA978" s="132"/>
      <c r="BB978" s="136"/>
      <c r="BE978" s="38" t="s">
        <v>7681</v>
      </c>
      <c r="BF978" s="41"/>
      <c r="BG978" s="38" t="s">
        <v>7682</v>
      </c>
    </row>
    <row r="979" spans="1:59" ht="15" customHeight="1">
      <c r="A979" s="159" t="s">
        <v>7674</v>
      </c>
      <c r="B979" s="33" t="s">
        <v>7683</v>
      </c>
      <c r="C979" s="38" t="s">
        <v>7676</v>
      </c>
      <c r="D979" s="41">
        <v>2</v>
      </c>
      <c r="E979" s="33">
        <v>1</v>
      </c>
      <c r="G979" s="33" t="s">
        <v>7684</v>
      </c>
      <c r="H979" s="33" t="s">
        <v>7685</v>
      </c>
      <c r="I979" s="33" t="s">
        <v>4077</v>
      </c>
      <c r="J979" s="38" t="s">
        <v>4057</v>
      </c>
      <c r="K979" s="33" t="s">
        <v>4053</v>
      </c>
      <c r="N979" s="34"/>
      <c r="O979" s="128">
        <v>3</v>
      </c>
      <c r="P979" s="129">
        <v>4</v>
      </c>
      <c r="Q979" s="130">
        <v>1</v>
      </c>
      <c r="R979" s="39">
        <v>4</v>
      </c>
      <c r="S979" s="145"/>
      <c r="T979" s="132">
        <v>7</v>
      </c>
      <c r="U979" s="128">
        <v>7</v>
      </c>
      <c r="V979" s="133"/>
      <c r="W979" s="134"/>
      <c r="X979" s="135"/>
      <c r="Y979" s="39"/>
      <c r="Z979" s="132"/>
      <c r="AA979" s="136"/>
      <c r="AB979" s="53"/>
      <c r="AD979" s="33" t="s">
        <v>7686</v>
      </c>
      <c r="AF979" s="33" t="s">
        <v>7687</v>
      </c>
      <c r="AI979" s="33" t="s">
        <v>7684</v>
      </c>
      <c r="AJ979" s="33" t="s">
        <v>7685</v>
      </c>
      <c r="AK979" s="33" t="s">
        <v>4077</v>
      </c>
      <c r="AL979" s="38" t="s">
        <v>4057</v>
      </c>
      <c r="AM979" s="33" t="s">
        <v>4053</v>
      </c>
      <c r="AO979" s="34"/>
      <c r="AP979" s="34"/>
      <c r="AQ979" s="128"/>
      <c r="AR979" s="129"/>
      <c r="AS979" s="130"/>
      <c r="AT979" s="39"/>
      <c r="AU979" s="132"/>
      <c r="AV979" s="128"/>
      <c r="AW979" s="133"/>
      <c r="AX979" s="134"/>
      <c r="AY979" s="135"/>
      <c r="AZ979" s="39"/>
      <c r="BA979" s="132"/>
      <c r="BB979" s="136"/>
      <c r="BE979" s="34" t="s">
        <v>7688</v>
      </c>
      <c r="BF979" s="33"/>
      <c r="BG979" s="33" t="s">
        <v>7689</v>
      </c>
    </row>
    <row r="980" spans="1:59" ht="15" customHeight="1">
      <c r="A980" s="159" t="s">
        <v>7674</v>
      </c>
      <c r="B980" s="33" t="s">
        <v>7690</v>
      </c>
      <c r="C980" s="38" t="s">
        <v>7676</v>
      </c>
      <c r="D980" s="41">
        <v>3</v>
      </c>
      <c r="E980" s="33">
        <v>1</v>
      </c>
      <c r="G980" s="33" t="s">
        <v>7691</v>
      </c>
      <c r="H980" s="33" t="s">
        <v>7692</v>
      </c>
      <c r="I980" s="33" t="s">
        <v>4077</v>
      </c>
      <c r="J980" s="38" t="s">
        <v>4057</v>
      </c>
      <c r="K980" s="33" t="s">
        <v>4055</v>
      </c>
      <c r="N980" s="34"/>
      <c r="O980" s="128">
        <v>1</v>
      </c>
      <c r="P980" s="129">
        <v>4</v>
      </c>
      <c r="Q980" s="130">
        <v>3</v>
      </c>
      <c r="R980" s="39">
        <v>4</v>
      </c>
      <c r="S980" s="145"/>
      <c r="T980" s="132">
        <v>7</v>
      </c>
      <c r="U980" s="128">
        <v>7</v>
      </c>
      <c r="V980" s="133"/>
      <c r="W980" s="134"/>
      <c r="X980" s="135"/>
      <c r="Y980" s="39"/>
      <c r="Z980" s="132"/>
      <c r="AA980" s="136"/>
      <c r="AB980" s="53"/>
      <c r="AD980" s="33" t="s">
        <v>4100</v>
      </c>
      <c r="AF980" s="33" t="s">
        <v>7693</v>
      </c>
      <c r="AI980" s="33" t="s">
        <v>7691</v>
      </c>
      <c r="AJ980" s="33" t="s">
        <v>7692</v>
      </c>
      <c r="AK980" s="33" t="s">
        <v>4077</v>
      </c>
      <c r="AL980" s="38" t="s">
        <v>4057</v>
      </c>
      <c r="AM980" s="33" t="s">
        <v>4055</v>
      </c>
      <c r="AO980" s="34"/>
      <c r="AP980" s="34"/>
      <c r="AQ980" s="128"/>
      <c r="AR980" s="129"/>
      <c r="AS980" s="130"/>
      <c r="AT980" s="39"/>
      <c r="AU980" s="132"/>
      <c r="AV980" s="128"/>
      <c r="AW980" s="133"/>
      <c r="AX980" s="134"/>
      <c r="AY980" s="135"/>
      <c r="AZ980" s="39"/>
      <c r="BA980" s="132"/>
      <c r="BB980" s="136"/>
      <c r="BE980" s="34" t="s">
        <v>4100</v>
      </c>
      <c r="BF980" s="33"/>
      <c r="BG980" s="33" t="s">
        <v>7694</v>
      </c>
    </row>
    <row r="981" spans="1:59" ht="15" customHeight="1">
      <c r="A981" s="159" t="s">
        <v>7674</v>
      </c>
      <c r="B981" s="33" t="s">
        <v>7695</v>
      </c>
      <c r="C981" s="38" t="s">
        <v>7676</v>
      </c>
      <c r="D981" s="41">
        <v>4</v>
      </c>
      <c r="E981" s="33">
        <v>1</v>
      </c>
      <c r="G981" s="33" t="s">
        <v>7696</v>
      </c>
      <c r="H981" s="33" t="s">
        <v>7697</v>
      </c>
      <c r="I981" s="33" t="s">
        <v>4077</v>
      </c>
      <c r="J981" s="38" t="s">
        <v>4057</v>
      </c>
      <c r="K981" s="33" t="s">
        <v>4054</v>
      </c>
      <c r="N981" s="34"/>
      <c r="O981" s="128">
        <v>4</v>
      </c>
      <c r="P981" s="129">
        <v>3</v>
      </c>
      <c r="Q981" s="130">
        <v>2</v>
      </c>
      <c r="R981" s="39">
        <v>3</v>
      </c>
      <c r="S981" s="145"/>
      <c r="T981" s="132">
        <v>6</v>
      </c>
      <c r="U981" s="128">
        <v>8</v>
      </c>
      <c r="V981" s="133"/>
      <c r="W981" s="134"/>
      <c r="X981" s="135"/>
      <c r="Y981" s="39"/>
      <c r="Z981" s="132"/>
      <c r="AA981" s="136"/>
      <c r="AB981" s="53"/>
      <c r="AD981" s="33" t="s">
        <v>7698</v>
      </c>
      <c r="AF981" s="33" t="s">
        <v>7699</v>
      </c>
      <c r="AI981" s="33" t="s">
        <v>7696</v>
      </c>
      <c r="AJ981" s="33" t="s">
        <v>7697</v>
      </c>
      <c r="AK981" s="33" t="s">
        <v>4077</v>
      </c>
      <c r="AL981" s="38" t="s">
        <v>4057</v>
      </c>
      <c r="AM981" s="33" t="s">
        <v>4054</v>
      </c>
      <c r="AO981" s="34"/>
      <c r="AP981" s="34"/>
      <c r="AQ981" s="128"/>
      <c r="AR981" s="129"/>
      <c r="AS981" s="130"/>
      <c r="AT981" s="39"/>
      <c r="AU981" s="132"/>
      <c r="AV981" s="128"/>
      <c r="AW981" s="133"/>
      <c r="AX981" s="134"/>
      <c r="AY981" s="135"/>
      <c r="AZ981" s="39"/>
      <c r="BA981" s="132"/>
      <c r="BB981" s="136"/>
      <c r="BE981" s="34" t="s">
        <v>7698</v>
      </c>
      <c r="BF981" s="33"/>
      <c r="BG981" s="33" t="s">
        <v>7700</v>
      </c>
    </row>
    <row r="982" spans="1:59" ht="15" customHeight="1">
      <c r="A982" s="159" t="s">
        <v>7674</v>
      </c>
      <c r="B982" s="33" t="s">
        <v>7701</v>
      </c>
      <c r="C982" s="38" t="s">
        <v>7676</v>
      </c>
      <c r="D982" s="41">
        <v>5</v>
      </c>
      <c r="E982" s="33">
        <v>1</v>
      </c>
      <c r="G982" s="33" t="s">
        <v>7702</v>
      </c>
      <c r="H982" s="33" t="s">
        <v>7703</v>
      </c>
      <c r="I982" s="33" t="s">
        <v>4077</v>
      </c>
      <c r="J982" s="33" t="s">
        <v>4057</v>
      </c>
      <c r="K982" s="33" t="s">
        <v>4056</v>
      </c>
      <c r="N982" s="33"/>
      <c r="O982" s="128">
        <v>0</v>
      </c>
      <c r="P982" s="129">
        <v>0</v>
      </c>
      <c r="Q982" s="130">
        <v>0</v>
      </c>
      <c r="R982" s="39">
        <v>0</v>
      </c>
      <c r="S982" s="145"/>
      <c r="T982" s="132">
        <v>6</v>
      </c>
      <c r="U982" s="128">
        <v>6</v>
      </c>
      <c r="V982" s="133"/>
      <c r="W982" s="134"/>
      <c r="X982" s="135"/>
      <c r="Y982" s="39"/>
      <c r="Z982" s="132"/>
      <c r="AA982" s="136"/>
      <c r="AB982" s="53"/>
      <c r="AD982" s="33" t="s">
        <v>7704</v>
      </c>
      <c r="AE982" s="33"/>
      <c r="AF982" s="33" t="s">
        <v>7705</v>
      </c>
      <c r="AI982" s="33" t="s">
        <v>7702</v>
      </c>
      <c r="AJ982" s="33" t="s">
        <v>7703</v>
      </c>
      <c r="AK982" s="33" t="s">
        <v>4077</v>
      </c>
      <c r="AL982" s="33" t="s">
        <v>4057</v>
      </c>
      <c r="AM982" s="33" t="s">
        <v>4056</v>
      </c>
      <c r="AO982" s="34"/>
      <c r="AP982" s="33"/>
      <c r="AQ982" s="128"/>
      <c r="AR982" s="129"/>
      <c r="AS982" s="130"/>
      <c r="AT982" s="39"/>
      <c r="AU982" s="132"/>
      <c r="AV982" s="128"/>
      <c r="AW982" s="133"/>
      <c r="AX982" s="134"/>
      <c r="AY982" s="135"/>
      <c r="AZ982" s="39"/>
      <c r="BA982" s="132"/>
      <c r="BB982" s="136"/>
      <c r="BE982" s="34" t="s">
        <v>7704</v>
      </c>
      <c r="BF982" s="33"/>
      <c r="BG982" s="33" t="s">
        <v>7706</v>
      </c>
    </row>
    <row r="983" spans="1:59" ht="15" customHeight="1">
      <c r="A983" s="159" t="s">
        <v>7674</v>
      </c>
      <c r="B983" s="33" t="s">
        <v>7707</v>
      </c>
      <c r="C983" s="38" t="s">
        <v>7676</v>
      </c>
      <c r="D983" s="41">
        <v>6</v>
      </c>
      <c r="E983" s="33">
        <v>1</v>
      </c>
      <c r="G983" s="33" t="s">
        <v>7708</v>
      </c>
      <c r="H983" s="33" t="s">
        <v>7709</v>
      </c>
      <c r="I983" s="33" t="s">
        <v>4077</v>
      </c>
      <c r="J983" s="33" t="s">
        <v>4111</v>
      </c>
      <c r="K983" s="33" t="s">
        <v>26</v>
      </c>
      <c r="N983" s="33">
        <v>3</v>
      </c>
      <c r="O983" s="128"/>
      <c r="P983" s="129"/>
      <c r="Q983" s="130"/>
      <c r="R983" s="39"/>
      <c r="S983" s="145">
        <v>2</v>
      </c>
      <c r="T983" s="132">
        <v>2</v>
      </c>
      <c r="U983" s="128">
        <v>2</v>
      </c>
      <c r="V983" s="133"/>
      <c r="W983" s="134"/>
      <c r="X983" s="135"/>
      <c r="Y983" s="39"/>
      <c r="Z983" s="132"/>
      <c r="AA983" s="136"/>
      <c r="AB983" s="158" t="s">
        <v>4936</v>
      </c>
      <c r="AC983" s="33" t="s">
        <v>25</v>
      </c>
      <c r="AD983" s="33" t="s">
        <v>7710</v>
      </c>
      <c r="AE983" s="33"/>
      <c r="AF983" s="33" t="s">
        <v>7711</v>
      </c>
      <c r="AO983" s="34"/>
      <c r="AP983" s="33"/>
      <c r="AQ983" s="128"/>
      <c r="AR983" s="129"/>
      <c r="AS983" s="130"/>
      <c r="AT983" s="39"/>
      <c r="AU983" s="132"/>
      <c r="AV983" s="128"/>
      <c r="AW983" s="133"/>
      <c r="AX983" s="134"/>
      <c r="AY983" s="135"/>
      <c r="AZ983" s="39"/>
      <c r="BA983" s="132"/>
      <c r="BB983" s="136"/>
      <c r="BE983" s="34"/>
      <c r="BF983" s="33"/>
    </row>
    <row r="984" spans="1:59" ht="15" customHeight="1">
      <c r="A984" s="159" t="s">
        <v>7674</v>
      </c>
      <c r="B984" s="33" t="s">
        <v>7712</v>
      </c>
      <c r="C984" s="38" t="s">
        <v>7676</v>
      </c>
      <c r="D984" s="41">
        <v>7</v>
      </c>
      <c r="E984" s="33">
        <v>1</v>
      </c>
      <c r="G984" s="33" t="s">
        <v>7713</v>
      </c>
      <c r="J984" s="33" t="s">
        <v>28</v>
      </c>
      <c r="K984" s="33" t="s">
        <v>26</v>
      </c>
      <c r="M984" s="33" t="s">
        <v>4502</v>
      </c>
      <c r="N984" s="33"/>
      <c r="O984" s="128"/>
      <c r="P984" s="129"/>
      <c r="Q984" s="130"/>
      <c r="R984" s="39"/>
      <c r="S984" s="145"/>
      <c r="T984" s="132"/>
      <c r="U984" s="128"/>
      <c r="V984" s="133"/>
      <c r="W984" s="134"/>
      <c r="X984" s="135"/>
      <c r="Y984" s="39"/>
      <c r="Z984" s="132"/>
      <c r="AA984" s="136"/>
      <c r="AB984" s="53"/>
      <c r="AD984" s="33" t="s">
        <v>5303</v>
      </c>
      <c r="AE984" s="33"/>
      <c r="AF984" s="33" t="s">
        <v>7714</v>
      </c>
      <c r="AO984" s="34"/>
      <c r="AP984" s="33"/>
      <c r="AQ984" s="128"/>
      <c r="AR984" s="129"/>
      <c r="AS984" s="130"/>
      <c r="AT984" s="39"/>
      <c r="AU984" s="132"/>
      <c r="AV984" s="128"/>
      <c r="AW984" s="133"/>
      <c r="AX984" s="134"/>
      <c r="AY984" s="135"/>
      <c r="AZ984" s="39"/>
      <c r="BA984" s="132"/>
      <c r="BB984" s="136"/>
      <c r="BE984" s="34"/>
      <c r="BF984" s="33"/>
    </row>
    <row r="985" spans="1:59" ht="15" customHeight="1">
      <c r="A985" s="159" t="s">
        <v>7674</v>
      </c>
      <c r="B985" s="33" t="s">
        <v>7715</v>
      </c>
      <c r="C985" s="38" t="s">
        <v>7676</v>
      </c>
      <c r="D985" s="41">
        <v>8</v>
      </c>
      <c r="E985" s="33">
        <v>1</v>
      </c>
      <c r="G985" s="33" t="s">
        <v>7716</v>
      </c>
      <c r="H985" s="33" t="s">
        <v>7717</v>
      </c>
      <c r="I985" s="33" t="s">
        <v>4077</v>
      </c>
      <c r="J985" s="33" t="s">
        <v>4111</v>
      </c>
      <c r="K985" s="33" t="s">
        <v>26</v>
      </c>
      <c r="N985" s="33">
        <v>3</v>
      </c>
      <c r="O985" s="128"/>
      <c r="P985" s="129">
        <v>1</v>
      </c>
      <c r="Q985" s="130"/>
      <c r="R985" s="39"/>
      <c r="S985" s="145">
        <v>1</v>
      </c>
      <c r="T985" s="132">
        <v>3</v>
      </c>
      <c r="U985" s="128">
        <v>2</v>
      </c>
      <c r="V985" s="133"/>
      <c r="W985" s="134"/>
      <c r="X985" s="135"/>
      <c r="Y985" s="39"/>
      <c r="Z985" s="132"/>
      <c r="AA985" s="136"/>
      <c r="AB985" s="158" t="s">
        <v>5032</v>
      </c>
      <c r="AC985" s="33" t="s">
        <v>25</v>
      </c>
      <c r="AD985" s="33" t="s">
        <v>7710</v>
      </c>
      <c r="AE985" s="33"/>
      <c r="AF985" s="33" t="s">
        <v>7718</v>
      </c>
      <c r="AO985" s="34"/>
      <c r="AP985" s="33"/>
      <c r="AQ985" s="128"/>
      <c r="AR985" s="129"/>
      <c r="AS985" s="130"/>
      <c r="AT985" s="39"/>
      <c r="AU985" s="132"/>
      <c r="AV985" s="128"/>
      <c r="AW985" s="133"/>
      <c r="AX985" s="134"/>
      <c r="AY985" s="135"/>
      <c r="AZ985" s="39"/>
      <c r="BA985" s="132"/>
      <c r="BB985" s="136"/>
      <c r="BE985" s="34"/>
      <c r="BF985" s="33"/>
    </row>
    <row r="986" spans="1:59" ht="15" customHeight="1">
      <c r="A986" s="159" t="s">
        <v>7674</v>
      </c>
      <c r="B986" s="33" t="s">
        <v>7719</v>
      </c>
      <c r="C986" s="38" t="s">
        <v>7676</v>
      </c>
      <c r="D986" s="41">
        <v>9</v>
      </c>
      <c r="E986" s="33">
        <v>1</v>
      </c>
      <c r="G986" s="33" t="s">
        <v>7720</v>
      </c>
      <c r="J986" s="33" t="s">
        <v>28</v>
      </c>
      <c r="K986" s="33" t="s">
        <v>26</v>
      </c>
      <c r="M986" s="33" t="s">
        <v>4502</v>
      </c>
      <c r="N986" s="138"/>
      <c r="O986" s="128"/>
      <c r="P986" s="129"/>
      <c r="Q986" s="130"/>
      <c r="R986" s="39"/>
      <c r="S986" s="145"/>
      <c r="T986" s="132"/>
      <c r="U986" s="128"/>
      <c r="V986" s="133"/>
      <c r="W986" s="134"/>
      <c r="X986" s="135"/>
      <c r="Y986" s="39"/>
      <c r="Z986" s="132"/>
      <c r="AA986" s="136"/>
      <c r="AB986" s="53"/>
      <c r="AD986" s="33" t="s">
        <v>4116</v>
      </c>
      <c r="AE986" s="33"/>
      <c r="AF986" s="33" t="s">
        <v>7721</v>
      </c>
      <c r="AO986" s="34"/>
      <c r="AP986" s="33"/>
      <c r="AQ986" s="128"/>
      <c r="AR986" s="129"/>
      <c r="AS986" s="130"/>
      <c r="AT986" s="39"/>
      <c r="AU986" s="132"/>
      <c r="AV986" s="128"/>
      <c r="AW986" s="133"/>
      <c r="AX986" s="134"/>
      <c r="AY986" s="135"/>
      <c r="AZ986" s="39"/>
      <c r="BA986" s="132"/>
      <c r="BB986" s="136"/>
      <c r="BE986" s="34"/>
      <c r="BF986" s="33"/>
    </row>
    <row r="987" spans="1:59" ht="15" customHeight="1">
      <c r="A987" s="159" t="s">
        <v>7674</v>
      </c>
      <c r="B987" s="33" t="s">
        <v>7722</v>
      </c>
      <c r="C987" s="38" t="s">
        <v>7676</v>
      </c>
      <c r="D987" s="41">
        <v>10</v>
      </c>
      <c r="E987" s="33">
        <v>1</v>
      </c>
      <c r="G987" s="33" t="s">
        <v>7723</v>
      </c>
      <c r="J987" s="33" t="s">
        <v>27</v>
      </c>
      <c r="K987" s="33" t="s">
        <v>26</v>
      </c>
      <c r="N987" s="33">
        <v>0</v>
      </c>
      <c r="O987" s="128"/>
      <c r="P987" s="129"/>
      <c r="Q987" s="130"/>
      <c r="R987" s="39"/>
      <c r="S987" s="145">
        <v>1</v>
      </c>
      <c r="T987" s="132"/>
      <c r="U987" s="128"/>
      <c r="V987" s="133"/>
      <c r="W987" s="134"/>
      <c r="X987" s="135"/>
      <c r="Y987" s="39"/>
      <c r="Z987" s="132"/>
      <c r="AA987" s="136"/>
      <c r="AB987" s="158" t="s">
        <v>4062</v>
      </c>
      <c r="AD987" s="33" t="s">
        <v>5585</v>
      </c>
      <c r="AE987" s="33"/>
      <c r="AF987" s="33" t="s">
        <v>7724</v>
      </c>
      <c r="AO987" s="34"/>
      <c r="AP987" s="33"/>
      <c r="AQ987" s="128"/>
      <c r="AR987" s="129"/>
      <c r="AS987" s="130"/>
      <c r="AT987" s="39"/>
      <c r="AU987" s="132"/>
      <c r="AV987" s="128"/>
      <c r="AW987" s="133"/>
      <c r="AX987" s="134"/>
      <c r="AY987" s="135"/>
      <c r="AZ987" s="39"/>
      <c r="BA987" s="132"/>
      <c r="BB987" s="136"/>
      <c r="BE987" s="34"/>
      <c r="BF987" s="33"/>
    </row>
    <row r="988" spans="1:59" ht="15" customHeight="1">
      <c r="A988" s="159" t="s">
        <v>7674</v>
      </c>
      <c r="B988" s="33" t="s">
        <v>7725</v>
      </c>
      <c r="C988" s="38" t="s">
        <v>7676</v>
      </c>
      <c r="D988" s="41">
        <v>11</v>
      </c>
      <c r="E988" s="33">
        <v>1</v>
      </c>
      <c r="G988" s="33" t="s">
        <v>7726</v>
      </c>
      <c r="I988" s="33" t="s">
        <v>4077</v>
      </c>
      <c r="J988" s="33" t="s">
        <v>4111</v>
      </c>
      <c r="K988" s="33" t="s">
        <v>26</v>
      </c>
      <c r="N988" s="33">
        <v>2</v>
      </c>
      <c r="O988" s="128"/>
      <c r="P988" s="129"/>
      <c r="Q988" s="130"/>
      <c r="R988" s="39">
        <v>1</v>
      </c>
      <c r="S988" s="145">
        <v>1</v>
      </c>
      <c r="T988" s="132"/>
      <c r="U988" s="128"/>
      <c r="V988" s="133"/>
      <c r="W988" s="134"/>
      <c r="X988" s="135"/>
      <c r="Y988" s="39"/>
      <c r="Z988" s="132"/>
      <c r="AA988" s="136"/>
      <c r="AB988" s="53" t="s">
        <v>5034</v>
      </c>
      <c r="AC988" s="33" t="s">
        <v>4112</v>
      </c>
      <c r="AD988" s="33" t="s">
        <v>4777</v>
      </c>
      <c r="AE988" s="33"/>
      <c r="AF988" s="33" t="s">
        <v>7727</v>
      </c>
      <c r="AO988" s="34"/>
      <c r="AP988" s="33"/>
      <c r="AQ988" s="128"/>
      <c r="AR988" s="129"/>
      <c r="AS988" s="130"/>
      <c r="AT988" s="39"/>
      <c r="AU988" s="132"/>
      <c r="AV988" s="128"/>
      <c r="AW988" s="133"/>
      <c r="AX988" s="134"/>
      <c r="AY988" s="135"/>
      <c r="AZ988" s="39"/>
      <c r="BA988" s="132"/>
      <c r="BB988" s="136"/>
      <c r="BE988" s="34"/>
      <c r="BF988" s="33"/>
    </row>
    <row r="989" spans="1:59" ht="15" customHeight="1">
      <c r="A989" s="159" t="s">
        <v>7674</v>
      </c>
      <c r="B989" s="33" t="s">
        <v>7728</v>
      </c>
      <c r="C989" s="38" t="s">
        <v>7676</v>
      </c>
      <c r="D989" s="41">
        <v>12</v>
      </c>
      <c r="E989" s="33">
        <v>1</v>
      </c>
      <c r="G989" s="33" t="s">
        <v>7729</v>
      </c>
      <c r="J989" s="33" t="s">
        <v>28</v>
      </c>
      <c r="K989" s="33" t="s">
        <v>26</v>
      </c>
      <c r="M989" s="33" t="s">
        <v>4502</v>
      </c>
      <c r="N989" s="33"/>
      <c r="O989" s="128"/>
      <c r="P989" s="129"/>
      <c r="Q989" s="130"/>
      <c r="R989" s="39"/>
      <c r="S989" s="145"/>
      <c r="T989" s="132"/>
      <c r="U989" s="128"/>
      <c r="V989" s="133"/>
      <c r="W989" s="134"/>
      <c r="X989" s="135"/>
      <c r="Y989" s="39"/>
      <c r="Z989" s="132"/>
      <c r="AA989" s="136"/>
      <c r="AB989" s="158"/>
      <c r="AD989" s="33" t="s">
        <v>5045</v>
      </c>
      <c r="AE989" s="33"/>
      <c r="AF989" s="33" t="s">
        <v>7730</v>
      </c>
      <c r="AO989" s="34"/>
      <c r="AP989" s="33"/>
      <c r="AQ989" s="128"/>
      <c r="AR989" s="129"/>
      <c r="AS989" s="130"/>
      <c r="AT989" s="39"/>
      <c r="AU989" s="132"/>
      <c r="AV989" s="128"/>
      <c r="AW989" s="133"/>
      <c r="AX989" s="134"/>
      <c r="AY989" s="135"/>
      <c r="AZ989" s="39"/>
      <c r="BA989" s="132"/>
      <c r="BB989" s="136"/>
      <c r="BE989" s="34"/>
      <c r="BF989" s="33"/>
    </row>
    <row r="990" spans="1:59" ht="15" customHeight="1">
      <c r="A990" s="159" t="s">
        <v>7674</v>
      </c>
      <c r="B990" s="33" t="s">
        <v>7731</v>
      </c>
      <c r="C990" s="38" t="s">
        <v>7676</v>
      </c>
      <c r="D990" s="41">
        <v>13</v>
      </c>
      <c r="E990" s="33">
        <v>1</v>
      </c>
      <c r="G990" s="33" t="s">
        <v>7732</v>
      </c>
      <c r="I990" s="33" t="s">
        <v>4077</v>
      </c>
      <c r="J990" s="33" t="s">
        <v>4111</v>
      </c>
      <c r="K990" s="33" t="s">
        <v>26</v>
      </c>
      <c r="N990" s="33">
        <v>2</v>
      </c>
      <c r="O990" s="128">
        <v>1</v>
      </c>
      <c r="P990" s="129"/>
      <c r="Q990" s="130"/>
      <c r="R990" s="39"/>
      <c r="S990" s="145">
        <v>1</v>
      </c>
      <c r="T990" s="132"/>
      <c r="U990" s="128"/>
      <c r="V990" s="133"/>
      <c r="W990" s="134"/>
      <c r="X990" s="135"/>
      <c r="Y990" s="39"/>
      <c r="Z990" s="132"/>
      <c r="AA990" s="136"/>
      <c r="AB990" s="53" t="s">
        <v>4940</v>
      </c>
      <c r="AC990" s="33" t="s">
        <v>4112</v>
      </c>
      <c r="AD990" s="33" t="s">
        <v>7733</v>
      </c>
      <c r="AE990" s="33"/>
      <c r="AF990" s="33" t="s">
        <v>7734</v>
      </c>
      <c r="AO990" s="34"/>
      <c r="AP990" s="33"/>
      <c r="AQ990" s="128"/>
      <c r="AR990" s="129"/>
      <c r="AS990" s="130"/>
      <c r="AT990" s="39"/>
      <c r="AU990" s="132"/>
      <c r="AV990" s="128"/>
      <c r="AW990" s="133"/>
      <c r="AX990" s="134"/>
      <c r="AY990" s="135"/>
      <c r="AZ990" s="39"/>
      <c r="BA990" s="132"/>
      <c r="BB990" s="136"/>
      <c r="BE990" s="34"/>
      <c r="BF990" s="33"/>
    </row>
    <row r="991" spans="1:59" ht="15" customHeight="1">
      <c r="A991" s="159" t="s">
        <v>7674</v>
      </c>
      <c r="B991" s="33" t="s">
        <v>7735</v>
      </c>
      <c r="C991" s="38" t="s">
        <v>7676</v>
      </c>
      <c r="D991" s="41">
        <v>14</v>
      </c>
      <c r="E991" s="33">
        <v>1</v>
      </c>
      <c r="G991" s="33" t="s">
        <v>7736</v>
      </c>
      <c r="J991" s="33" t="s">
        <v>29</v>
      </c>
      <c r="K991" s="33" t="s">
        <v>26</v>
      </c>
      <c r="M991" s="33" t="s">
        <v>4502</v>
      </c>
      <c r="N991" s="33"/>
      <c r="O991" s="128"/>
      <c r="P991" s="129"/>
      <c r="Q991" s="130">
        <v>2</v>
      </c>
      <c r="R991" s="39">
        <v>2</v>
      </c>
      <c r="S991" s="145"/>
      <c r="T991" s="132">
        <v>3</v>
      </c>
      <c r="U991" s="128"/>
      <c r="V991" s="133">
        <v>1</v>
      </c>
      <c r="W991" s="134">
        <v>1</v>
      </c>
      <c r="X991" s="135"/>
      <c r="Y991" s="39"/>
      <c r="Z991" s="132"/>
      <c r="AA991" s="136"/>
      <c r="AB991" s="158"/>
      <c r="AD991" s="33" t="s">
        <v>7737</v>
      </c>
      <c r="AE991" s="33"/>
      <c r="AF991" s="33" t="s">
        <v>7738</v>
      </c>
      <c r="AO991" s="34"/>
      <c r="AP991" s="33"/>
      <c r="AQ991" s="128"/>
      <c r="AR991" s="129"/>
      <c r="AS991" s="130"/>
      <c r="AT991" s="39"/>
      <c r="AU991" s="132"/>
      <c r="AV991" s="128"/>
      <c r="AW991" s="133"/>
      <c r="AX991" s="134"/>
      <c r="AY991" s="135"/>
      <c r="AZ991" s="39"/>
      <c r="BA991" s="132"/>
      <c r="BB991" s="136"/>
      <c r="BE991" s="34"/>
      <c r="BF991" s="33"/>
    </row>
    <row r="992" spans="1:59" ht="15" customHeight="1">
      <c r="A992" s="159" t="s">
        <v>7674</v>
      </c>
      <c r="B992" s="33" t="s">
        <v>7739</v>
      </c>
      <c r="C992" s="38" t="s">
        <v>7676</v>
      </c>
      <c r="D992" s="41">
        <v>15</v>
      </c>
      <c r="E992" s="33">
        <v>1</v>
      </c>
      <c r="G992" s="33" t="s">
        <v>7740</v>
      </c>
      <c r="J992" s="33" t="s">
        <v>4111</v>
      </c>
      <c r="K992" s="33" t="s">
        <v>26</v>
      </c>
      <c r="N992" s="33">
        <v>1</v>
      </c>
      <c r="O992" s="128"/>
      <c r="P992" s="129"/>
      <c r="Q992" s="130">
        <v>1</v>
      </c>
      <c r="R992" s="39"/>
      <c r="S992" s="145">
        <v>1</v>
      </c>
      <c r="T992" s="132">
        <v>2</v>
      </c>
      <c r="U992" s="128">
        <v>2</v>
      </c>
      <c r="V992" s="133"/>
      <c r="W992" s="134"/>
      <c r="X992" s="135"/>
      <c r="Y992" s="39"/>
      <c r="Z992" s="132"/>
      <c r="AA992" s="136"/>
      <c r="AB992" s="158" t="s">
        <v>4947</v>
      </c>
      <c r="AD992" s="33" t="s">
        <v>4143</v>
      </c>
      <c r="AE992" s="33"/>
      <c r="AF992" s="33" t="s">
        <v>7741</v>
      </c>
      <c r="AO992" s="34"/>
      <c r="AP992" s="33"/>
      <c r="AQ992" s="128"/>
      <c r="AR992" s="129"/>
      <c r="AS992" s="130"/>
      <c r="AT992" s="39"/>
      <c r="AU992" s="132"/>
      <c r="AV992" s="128"/>
      <c r="AW992" s="133"/>
      <c r="AX992" s="134"/>
      <c r="AY992" s="135"/>
      <c r="AZ992" s="39"/>
      <c r="BA992" s="132"/>
      <c r="BB992" s="136"/>
      <c r="BE992" s="34"/>
      <c r="BF992" s="33"/>
    </row>
    <row r="993" spans="1:58" ht="15" customHeight="1">
      <c r="A993" s="159" t="s">
        <v>7674</v>
      </c>
      <c r="B993" s="33" t="s">
        <v>7742</v>
      </c>
      <c r="C993" s="38" t="s">
        <v>7676</v>
      </c>
      <c r="D993" s="41">
        <v>16</v>
      </c>
      <c r="E993" s="33">
        <v>1</v>
      </c>
      <c r="G993" s="33" t="s">
        <v>7743</v>
      </c>
      <c r="J993" s="33" t="s">
        <v>28</v>
      </c>
      <c r="K993" s="33" t="s">
        <v>26</v>
      </c>
      <c r="M993" s="33" t="s">
        <v>4502</v>
      </c>
      <c r="N993" s="33"/>
      <c r="O993" s="128"/>
      <c r="P993" s="129"/>
      <c r="Q993" s="130"/>
      <c r="R993" s="39"/>
      <c r="S993" s="145"/>
      <c r="T993" s="132"/>
      <c r="U993" s="128"/>
      <c r="V993" s="133"/>
      <c r="W993" s="134"/>
      <c r="X993" s="135"/>
      <c r="Y993" s="39"/>
      <c r="Z993" s="132"/>
      <c r="AA993" s="136"/>
      <c r="AB993" s="158"/>
      <c r="AD993" s="33" t="s">
        <v>7744</v>
      </c>
      <c r="AE993" s="33"/>
      <c r="AF993" s="33" t="s">
        <v>7745</v>
      </c>
      <c r="AO993" s="34"/>
      <c r="AP993" s="33"/>
      <c r="AQ993" s="128"/>
      <c r="AR993" s="129"/>
      <c r="AS993" s="130"/>
      <c r="AT993" s="39"/>
      <c r="AU993" s="132"/>
      <c r="AV993" s="128"/>
      <c r="AW993" s="133"/>
      <c r="AX993" s="134"/>
      <c r="AY993" s="135"/>
      <c r="AZ993" s="39"/>
      <c r="BA993" s="132"/>
      <c r="BB993" s="136"/>
      <c r="BE993" s="34"/>
      <c r="BF993" s="33"/>
    </row>
    <row r="994" spans="1:58" ht="15" customHeight="1">
      <c r="A994" s="159" t="s">
        <v>7674</v>
      </c>
      <c r="B994" s="33" t="s">
        <v>7746</v>
      </c>
      <c r="C994" s="38" t="s">
        <v>7676</v>
      </c>
      <c r="D994" s="41">
        <v>17</v>
      </c>
      <c r="E994" s="33">
        <v>2</v>
      </c>
      <c r="G994" s="33" t="s">
        <v>7747</v>
      </c>
      <c r="J994" s="33" t="s">
        <v>4111</v>
      </c>
      <c r="K994" s="38" t="s">
        <v>4052</v>
      </c>
      <c r="N994" s="33">
        <v>2</v>
      </c>
      <c r="O994" s="128"/>
      <c r="P994" s="129"/>
      <c r="Q994" s="130">
        <v>1</v>
      </c>
      <c r="R994" s="39"/>
      <c r="S994" s="145"/>
      <c r="T994" s="132"/>
      <c r="U994" s="128"/>
      <c r="V994" s="133"/>
      <c r="W994" s="134"/>
      <c r="X994" s="135"/>
      <c r="Y994" s="39"/>
      <c r="Z994" s="132"/>
      <c r="AA994" s="136"/>
      <c r="AB994" s="158" t="s">
        <v>4060</v>
      </c>
      <c r="AC994" s="33" t="s">
        <v>4112</v>
      </c>
      <c r="AD994" s="33" t="s">
        <v>4152</v>
      </c>
      <c r="AE994" s="33"/>
      <c r="AF994" s="33" t="s">
        <v>7748</v>
      </c>
      <c r="AO994" s="34"/>
      <c r="AP994" s="33"/>
      <c r="AQ994" s="128"/>
      <c r="AR994" s="129"/>
      <c r="AS994" s="130"/>
      <c r="AT994" s="39"/>
      <c r="AU994" s="132"/>
      <c r="AV994" s="128"/>
      <c r="AW994" s="133"/>
      <c r="AX994" s="134"/>
      <c r="AY994" s="135"/>
      <c r="AZ994" s="39"/>
      <c r="BA994" s="132"/>
      <c r="BB994" s="136"/>
      <c r="BE994" s="34"/>
      <c r="BF994" s="33"/>
    </row>
    <row r="995" spans="1:58" ht="15" customHeight="1">
      <c r="A995" s="159" t="s">
        <v>7674</v>
      </c>
      <c r="B995" s="33" t="s">
        <v>7749</v>
      </c>
      <c r="C995" s="38" t="s">
        <v>7676</v>
      </c>
      <c r="D995" s="41">
        <v>18</v>
      </c>
      <c r="E995" s="33">
        <v>2</v>
      </c>
      <c r="G995" s="33" t="s">
        <v>7750</v>
      </c>
      <c r="J995" s="33" t="s">
        <v>4111</v>
      </c>
      <c r="K995" s="38" t="s">
        <v>4052</v>
      </c>
      <c r="N995" s="33">
        <v>4</v>
      </c>
      <c r="O995" s="128"/>
      <c r="P995" s="129">
        <v>1</v>
      </c>
      <c r="Q995" s="130"/>
      <c r="R995" s="39"/>
      <c r="S995" s="145"/>
      <c r="T995" s="132">
        <v>2</v>
      </c>
      <c r="U995" s="128">
        <v>2</v>
      </c>
      <c r="V995" s="133"/>
      <c r="W995" s="134"/>
      <c r="X995" s="135"/>
      <c r="Y995" s="39"/>
      <c r="Z995" s="132"/>
      <c r="AA995" s="136"/>
      <c r="AB995" s="158" t="s">
        <v>4059</v>
      </c>
      <c r="AC995" s="33" t="s">
        <v>25</v>
      </c>
      <c r="AD995" s="33" t="s">
        <v>7710</v>
      </c>
      <c r="AE995" s="33"/>
      <c r="AF995" s="33" t="s">
        <v>7751</v>
      </c>
      <c r="AO995" s="34"/>
      <c r="AP995" s="33"/>
      <c r="AQ995" s="128"/>
      <c r="AR995" s="129"/>
      <c r="AS995" s="130"/>
      <c r="AT995" s="39"/>
      <c r="AU995" s="132"/>
      <c r="AV995" s="128"/>
      <c r="AW995" s="133"/>
      <c r="AX995" s="134"/>
      <c r="AY995" s="135"/>
      <c r="AZ995" s="39"/>
      <c r="BA995" s="132"/>
      <c r="BB995" s="136"/>
      <c r="BE995" s="34"/>
      <c r="BF995" s="33"/>
    </row>
    <row r="996" spans="1:58" ht="15" customHeight="1">
      <c r="A996" s="159" t="s">
        <v>7674</v>
      </c>
      <c r="B996" s="33" t="s">
        <v>7752</v>
      </c>
      <c r="C996" s="38" t="s">
        <v>7676</v>
      </c>
      <c r="D996" s="41">
        <v>19</v>
      </c>
      <c r="E996" s="33">
        <v>2</v>
      </c>
      <c r="G996" s="33" t="s">
        <v>7753</v>
      </c>
      <c r="J996" s="33" t="s">
        <v>27</v>
      </c>
      <c r="K996" s="38" t="s">
        <v>4052</v>
      </c>
      <c r="N996" s="33">
        <v>1</v>
      </c>
      <c r="O996" s="128">
        <v>1</v>
      </c>
      <c r="P996" s="129"/>
      <c r="Q996" s="130"/>
      <c r="R996" s="39"/>
      <c r="S996" s="145"/>
      <c r="T996" s="132"/>
      <c r="U996" s="128"/>
      <c r="V996" s="133"/>
      <c r="W996" s="134"/>
      <c r="X996" s="135"/>
      <c r="Y996" s="39"/>
      <c r="Z996" s="132"/>
      <c r="AA996" s="136"/>
      <c r="AB996" s="158" t="s">
        <v>4058</v>
      </c>
      <c r="AD996" s="33" t="s">
        <v>7754</v>
      </c>
      <c r="AE996" s="33"/>
      <c r="AF996" s="33" t="s">
        <v>7755</v>
      </c>
      <c r="AO996" s="34"/>
      <c r="AP996" s="33"/>
      <c r="AQ996" s="128"/>
      <c r="AR996" s="129"/>
      <c r="AS996" s="130"/>
      <c r="AT996" s="39"/>
      <c r="AU996" s="132"/>
      <c r="AV996" s="128"/>
      <c r="AW996" s="133"/>
      <c r="AX996" s="134"/>
      <c r="AY996" s="135"/>
      <c r="AZ996" s="39"/>
      <c r="BA996" s="132"/>
      <c r="BB996" s="136"/>
      <c r="BE996" s="34"/>
      <c r="BF996" s="33"/>
    </row>
    <row r="997" spans="1:58" ht="15" customHeight="1">
      <c r="A997" s="159" t="s">
        <v>7674</v>
      </c>
      <c r="B997" s="33" t="s">
        <v>7756</v>
      </c>
      <c r="C997" s="38" t="s">
        <v>7676</v>
      </c>
      <c r="D997" s="41">
        <v>20</v>
      </c>
      <c r="E997" s="33">
        <v>2</v>
      </c>
      <c r="G997" s="33" t="s">
        <v>7757</v>
      </c>
      <c r="J997" s="33" t="s">
        <v>27</v>
      </c>
      <c r="K997" s="38" t="s">
        <v>4052</v>
      </c>
      <c r="L997" s="33">
        <v>1</v>
      </c>
      <c r="N997" s="33">
        <v>1</v>
      </c>
      <c r="O997" s="128"/>
      <c r="P997" s="129">
        <v>1</v>
      </c>
      <c r="Q997" s="130"/>
      <c r="R997" s="39"/>
      <c r="S997" s="145"/>
      <c r="T997" s="132"/>
      <c r="U997" s="128"/>
      <c r="V997" s="133"/>
      <c r="W997" s="134"/>
      <c r="X997" s="135"/>
      <c r="Y997" s="39"/>
      <c r="Z997" s="132"/>
      <c r="AA997" s="136"/>
      <c r="AB997" s="158" t="s">
        <v>4059</v>
      </c>
      <c r="AD997" s="33" t="s">
        <v>7754</v>
      </c>
      <c r="AE997" s="33"/>
      <c r="AF997" s="33" t="s">
        <v>7758</v>
      </c>
      <c r="AO997" s="34"/>
      <c r="AP997" s="33"/>
      <c r="AQ997" s="128"/>
      <c r="AR997" s="129"/>
      <c r="AS997" s="130"/>
      <c r="AT997" s="39"/>
      <c r="AU997" s="132"/>
      <c r="AV997" s="128"/>
      <c r="AW997" s="133"/>
      <c r="AX997" s="134"/>
      <c r="AY997" s="135"/>
      <c r="AZ997" s="39"/>
      <c r="BA997" s="132"/>
      <c r="BB997" s="136"/>
      <c r="BE997" s="34"/>
      <c r="BF997" s="33"/>
    </row>
    <row r="998" spans="1:58" ht="15" customHeight="1">
      <c r="A998" s="159" t="s">
        <v>7674</v>
      </c>
      <c r="B998" s="33" t="s">
        <v>7759</v>
      </c>
      <c r="C998" s="38" t="s">
        <v>7676</v>
      </c>
      <c r="D998" s="41">
        <v>21</v>
      </c>
      <c r="E998" s="33">
        <v>2</v>
      </c>
      <c r="G998" s="33" t="s">
        <v>7760</v>
      </c>
      <c r="H998" s="33" t="s">
        <v>7761</v>
      </c>
      <c r="I998" s="33" t="s">
        <v>4077</v>
      </c>
      <c r="J998" s="33" t="s">
        <v>4111</v>
      </c>
      <c r="K998" s="33" t="s">
        <v>4053</v>
      </c>
      <c r="N998" s="33">
        <v>3</v>
      </c>
      <c r="O998" s="128">
        <v>1</v>
      </c>
      <c r="P998" s="129"/>
      <c r="Q998" s="130"/>
      <c r="R998" s="39"/>
      <c r="S998" s="145"/>
      <c r="T998" s="132">
        <v>1</v>
      </c>
      <c r="U998" s="128">
        <v>2</v>
      </c>
      <c r="V998" s="133"/>
      <c r="W998" s="134"/>
      <c r="X998" s="135"/>
      <c r="Y998" s="39"/>
      <c r="Z998" s="132"/>
      <c r="AA998" s="136"/>
      <c r="AB998" s="158" t="s">
        <v>4058</v>
      </c>
      <c r="AC998" s="33" t="s">
        <v>25</v>
      </c>
      <c r="AD998" s="33" t="s">
        <v>7762</v>
      </c>
      <c r="AE998" s="33"/>
      <c r="AF998" s="33" t="s">
        <v>7763</v>
      </c>
      <c r="AO998" s="34"/>
      <c r="AP998" s="33"/>
      <c r="AQ998" s="128"/>
      <c r="AR998" s="129"/>
      <c r="AS998" s="130"/>
      <c r="AT998" s="39"/>
      <c r="AU998" s="132"/>
      <c r="AV998" s="128"/>
      <c r="AW998" s="133"/>
      <c r="AX998" s="134"/>
      <c r="AY998" s="135"/>
      <c r="AZ998" s="39"/>
      <c r="BA998" s="132"/>
      <c r="BB998" s="136"/>
      <c r="BE998" s="34"/>
      <c r="BF998" s="33"/>
    </row>
    <row r="999" spans="1:58" ht="15" customHeight="1">
      <c r="A999" s="159" t="s">
        <v>7674</v>
      </c>
      <c r="B999" s="33" t="s">
        <v>7764</v>
      </c>
      <c r="C999" s="38" t="s">
        <v>7676</v>
      </c>
      <c r="D999" s="41">
        <v>22</v>
      </c>
      <c r="E999" s="33">
        <v>2</v>
      </c>
      <c r="G999" s="33" t="s">
        <v>7765</v>
      </c>
      <c r="H999" s="33" t="s">
        <v>5251</v>
      </c>
      <c r="J999" s="33" t="s">
        <v>4111</v>
      </c>
      <c r="K999" s="33" t="s">
        <v>4053</v>
      </c>
      <c r="L999" s="33">
        <v>1</v>
      </c>
      <c r="N999" s="33">
        <v>1</v>
      </c>
      <c r="O999" s="128"/>
      <c r="P999" s="129">
        <v>1</v>
      </c>
      <c r="Q999" s="130"/>
      <c r="R999" s="39"/>
      <c r="S999" s="145"/>
      <c r="T999" s="132"/>
      <c r="U999" s="128"/>
      <c r="V999" s="133"/>
      <c r="W999" s="134"/>
      <c r="X999" s="135"/>
      <c r="Y999" s="39"/>
      <c r="Z999" s="132"/>
      <c r="AA999" s="136"/>
      <c r="AB999" s="158" t="s">
        <v>4059</v>
      </c>
      <c r="AC999" s="33" t="s">
        <v>4112</v>
      </c>
      <c r="AD999" s="33" t="s">
        <v>4130</v>
      </c>
      <c r="AE999" s="33"/>
      <c r="AF999" s="33" t="s">
        <v>7766</v>
      </c>
      <c r="AO999" s="34"/>
      <c r="AP999" s="33"/>
      <c r="AQ999" s="128"/>
      <c r="AR999" s="129"/>
      <c r="AS999" s="130"/>
      <c r="AT999" s="39"/>
      <c r="AU999" s="132"/>
      <c r="AV999" s="128"/>
      <c r="AW999" s="133"/>
      <c r="AX999" s="134"/>
      <c r="AY999" s="135"/>
      <c r="AZ999" s="39"/>
      <c r="BA999" s="132"/>
      <c r="BB999" s="136"/>
      <c r="BE999" s="34"/>
      <c r="BF999" s="33"/>
    </row>
    <row r="1000" spans="1:58" ht="15" customHeight="1">
      <c r="A1000" s="159" t="s">
        <v>7674</v>
      </c>
      <c r="B1000" s="33" t="s">
        <v>7767</v>
      </c>
      <c r="C1000" s="38" t="s">
        <v>7676</v>
      </c>
      <c r="D1000" s="41">
        <v>23</v>
      </c>
      <c r="E1000" s="33">
        <v>2</v>
      </c>
      <c r="G1000" s="33" t="s">
        <v>7768</v>
      </c>
      <c r="H1000" s="33" t="s">
        <v>7769</v>
      </c>
      <c r="J1000" s="33" t="s">
        <v>4111</v>
      </c>
      <c r="K1000" s="33" t="s">
        <v>4053</v>
      </c>
      <c r="N1000" s="157">
        <v>3</v>
      </c>
      <c r="O1000" s="128">
        <v>1</v>
      </c>
      <c r="P1000" s="129"/>
      <c r="Q1000" s="130"/>
      <c r="R1000" s="39"/>
      <c r="S1000" s="145"/>
      <c r="T1000" s="132"/>
      <c r="U1000" s="128"/>
      <c r="V1000" s="133"/>
      <c r="W1000" s="134"/>
      <c r="X1000" s="135"/>
      <c r="Y1000" s="39"/>
      <c r="Z1000" s="132"/>
      <c r="AA1000" s="136"/>
      <c r="AB1000" s="158" t="s">
        <v>4058</v>
      </c>
      <c r="AC1000" s="33" t="s">
        <v>4129</v>
      </c>
      <c r="AD1000" s="33" t="s">
        <v>4130</v>
      </c>
      <c r="AF1000" s="33" t="s">
        <v>7770</v>
      </c>
      <c r="AP1000" s="34"/>
      <c r="AQ1000" s="128"/>
      <c r="AR1000" s="129"/>
      <c r="AS1000" s="130"/>
      <c r="AT1000" s="39"/>
      <c r="AU1000" s="132"/>
      <c r="AV1000" s="128"/>
      <c r="AW1000" s="133"/>
      <c r="AX1000" s="134"/>
      <c r="AY1000" s="135"/>
      <c r="AZ1000" s="39"/>
      <c r="BA1000" s="132"/>
      <c r="BB1000" s="136"/>
    </row>
    <row r="1001" spans="1:58" ht="15" customHeight="1">
      <c r="A1001" s="159" t="s">
        <v>7674</v>
      </c>
      <c r="B1001" s="33" t="s">
        <v>7771</v>
      </c>
      <c r="C1001" s="38" t="s">
        <v>7676</v>
      </c>
      <c r="D1001" s="41">
        <v>24</v>
      </c>
      <c r="E1001" s="33">
        <v>2</v>
      </c>
      <c r="G1001" s="33" t="s">
        <v>7772</v>
      </c>
      <c r="J1001" s="33" t="s">
        <v>27</v>
      </c>
      <c r="K1001" s="33" t="s">
        <v>4053</v>
      </c>
      <c r="N1001" s="157">
        <v>1</v>
      </c>
      <c r="O1001" s="128"/>
      <c r="P1001" s="129">
        <v>2</v>
      </c>
      <c r="Q1001" s="130"/>
      <c r="R1001" s="39"/>
      <c r="S1001" s="145"/>
      <c r="T1001" s="132"/>
      <c r="U1001" s="128"/>
      <c r="V1001" s="133"/>
      <c r="W1001" s="134"/>
      <c r="X1001" s="135"/>
      <c r="Y1001" s="39"/>
      <c r="Z1001" s="132"/>
      <c r="AA1001" s="136"/>
      <c r="AB1001" s="158" t="s">
        <v>4938</v>
      </c>
      <c r="AD1001" s="33" t="s">
        <v>4194</v>
      </c>
      <c r="AF1001" s="33" t="s">
        <v>7773</v>
      </c>
      <c r="AP1001" s="34"/>
      <c r="AQ1001" s="128"/>
      <c r="AR1001" s="129"/>
      <c r="AS1001" s="130"/>
      <c r="AT1001" s="39"/>
      <c r="AU1001" s="132"/>
      <c r="AV1001" s="128"/>
      <c r="AW1001" s="133"/>
      <c r="AX1001" s="134"/>
      <c r="AY1001" s="135"/>
      <c r="AZ1001" s="39"/>
      <c r="BA1001" s="132"/>
      <c r="BB1001" s="136"/>
    </row>
    <row r="1002" spans="1:58" ht="15" customHeight="1">
      <c r="A1002" s="159" t="s">
        <v>7674</v>
      </c>
      <c r="B1002" s="33" t="s">
        <v>7774</v>
      </c>
      <c r="C1002" s="38" t="s">
        <v>7676</v>
      </c>
      <c r="D1002" s="41">
        <v>25</v>
      </c>
      <c r="E1002" s="33">
        <v>2</v>
      </c>
      <c r="G1002" s="33" t="s">
        <v>7775</v>
      </c>
      <c r="J1002" s="33" t="s">
        <v>4111</v>
      </c>
      <c r="K1002" s="33" t="s">
        <v>4055</v>
      </c>
      <c r="L1002" s="33">
        <v>1</v>
      </c>
      <c r="N1002" s="157">
        <v>1</v>
      </c>
      <c r="O1002" s="128"/>
      <c r="P1002" s="129">
        <v>1</v>
      </c>
      <c r="Q1002" s="130"/>
      <c r="R1002" s="39"/>
      <c r="S1002" s="145"/>
      <c r="T1002" s="132"/>
      <c r="U1002" s="128"/>
      <c r="V1002" s="133"/>
      <c r="W1002" s="134"/>
      <c r="X1002" s="135"/>
      <c r="Y1002" s="39"/>
      <c r="Z1002" s="132"/>
      <c r="AA1002" s="136"/>
      <c r="AB1002" s="158" t="s">
        <v>4059</v>
      </c>
      <c r="AC1002" s="33" t="s">
        <v>25</v>
      </c>
      <c r="AD1002" s="33" t="s">
        <v>7710</v>
      </c>
      <c r="AF1002" s="33" t="s">
        <v>7776</v>
      </c>
      <c r="AP1002" s="34"/>
      <c r="AQ1002" s="128"/>
      <c r="AR1002" s="129"/>
      <c r="AS1002" s="130"/>
      <c r="AT1002" s="39"/>
      <c r="AU1002" s="132"/>
      <c r="AV1002" s="128"/>
      <c r="AW1002" s="133"/>
      <c r="AX1002" s="134"/>
      <c r="AY1002" s="135"/>
      <c r="AZ1002" s="39"/>
      <c r="BA1002" s="132"/>
      <c r="BB1002" s="136"/>
    </row>
    <row r="1003" spans="1:58" ht="15" customHeight="1">
      <c r="A1003" s="159" t="s">
        <v>7674</v>
      </c>
      <c r="B1003" s="33" t="s">
        <v>7777</v>
      </c>
      <c r="C1003" s="38" t="s">
        <v>7676</v>
      </c>
      <c r="D1003" s="41">
        <v>26</v>
      </c>
      <c r="E1003" s="33">
        <v>2</v>
      </c>
      <c r="G1003" s="33" t="s">
        <v>7778</v>
      </c>
      <c r="H1003" s="33" t="s">
        <v>7779</v>
      </c>
      <c r="J1003" s="33" t="s">
        <v>4111</v>
      </c>
      <c r="K1003" s="33" t="s">
        <v>4055</v>
      </c>
      <c r="N1003" s="157">
        <v>0</v>
      </c>
      <c r="O1003" s="128"/>
      <c r="P1003" s="129"/>
      <c r="Q1003" s="130"/>
      <c r="R1003" s="39">
        <v>1</v>
      </c>
      <c r="S1003" s="145"/>
      <c r="T1003" s="132"/>
      <c r="U1003" s="128"/>
      <c r="V1003" s="133"/>
      <c r="W1003" s="134"/>
      <c r="X1003" s="135"/>
      <c r="Y1003" s="39"/>
      <c r="Z1003" s="132"/>
      <c r="AA1003" s="136"/>
      <c r="AB1003" s="158" t="s">
        <v>4061</v>
      </c>
      <c r="AC1003" s="33" t="s">
        <v>4129</v>
      </c>
      <c r="AD1003" s="33" t="s">
        <v>7780</v>
      </c>
      <c r="AF1003" s="33" t="s">
        <v>7781</v>
      </c>
      <c r="AP1003" s="34"/>
      <c r="AQ1003" s="128"/>
      <c r="AR1003" s="129"/>
      <c r="AS1003" s="130"/>
      <c r="AT1003" s="39"/>
      <c r="AU1003" s="132"/>
      <c r="AV1003" s="128"/>
      <c r="AW1003" s="133"/>
      <c r="AX1003" s="134"/>
      <c r="AY1003" s="135"/>
      <c r="AZ1003" s="39"/>
      <c r="BA1003" s="132"/>
      <c r="BB1003" s="136"/>
    </row>
    <row r="1004" spans="1:58" ht="15" customHeight="1">
      <c r="A1004" s="159" t="s">
        <v>7674</v>
      </c>
      <c r="B1004" s="33" t="s">
        <v>7782</v>
      </c>
      <c r="C1004" s="38" t="s">
        <v>7676</v>
      </c>
      <c r="D1004" s="41">
        <v>27</v>
      </c>
      <c r="E1004" s="33">
        <v>2</v>
      </c>
      <c r="G1004" s="33" t="s">
        <v>7783</v>
      </c>
      <c r="J1004" s="33" t="s">
        <v>27</v>
      </c>
      <c r="K1004" s="33" t="s">
        <v>4055</v>
      </c>
      <c r="N1004" s="157">
        <v>1</v>
      </c>
      <c r="O1004" s="128"/>
      <c r="P1004" s="129">
        <v>1</v>
      </c>
      <c r="Q1004" s="130"/>
      <c r="R1004" s="39">
        <v>1</v>
      </c>
      <c r="S1004" s="145"/>
      <c r="T1004" s="132"/>
      <c r="U1004" s="128"/>
      <c r="V1004" s="133"/>
      <c r="W1004" s="134"/>
      <c r="X1004" s="135"/>
      <c r="Y1004" s="39"/>
      <c r="Z1004" s="132"/>
      <c r="AA1004" s="136"/>
      <c r="AB1004" s="158" t="s">
        <v>6169</v>
      </c>
      <c r="AD1004" s="33" t="s">
        <v>7784</v>
      </c>
      <c r="AF1004" s="33" t="s">
        <v>7785</v>
      </c>
      <c r="AP1004" s="34"/>
      <c r="AQ1004" s="128"/>
      <c r="AR1004" s="129"/>
      <c r="AS1004" s="130"/>
      <c r="AT1004" s="39"/>
      <c r="AU1004" s="132"/>
      <c r="AV1004" s="128"/>
      <c r="AW1004" s="133"/>
      <c r="AX1004" s="134"/>
      <c r="AY1004" s="135"/>
      <c r="AZ1004" s="39"/>
      <c r="BA1004" s="132"/>
      <c r="BB1004" s="136"/>
    </row>
    <row r="1005" spans="1:58" ht="15" customHeight="1">
      <c r="A1005" s="159" t="s">
        <v>7674</v>
      </c>
      <c r="B1005" s="33" t="s">
        <v>7786</v>
      </c>
      <c r="C1005" s="38" t="s">
        <v>7676</v>
      </c>
      <c r="D1005" s="41">
        <v>28</v>
      </c>
      <c r="E1005" s="33">
        <v>2</v>
      </c>
      <c r="G1005" s="33" t="s">
        <v>7787</v>
      </c>
      <c r="J1005" s="33" t="s">
        <v>27</v>
      </c>
      <c r="K1005" s="33" t="s">
        <v>4055</v>
      </c>
      <c r="N1005" s="157">
        <v>0</v>
      </c>
      <c r="O1005" s="128"/>
      <c r="P1005" s="129">
        <v>1</v>
      </c>
      <c r="Q1005" s="130"/>
      <c r="R1005" s="39">
        <v>1</v>
      </c>
      <c r="S1005" s="145"/>
      <c r="T1005" s="132"/>
      <c r="U1005" s="128"/>
      <c r="V1005" s="133"/>
      <c r="W1005" s="134"/>
      <c r="X1005" s="135"/>
      <c r="Y1005" s="39"/>
      <c r="Z1005" s="132"/>
      <c r="AA1005" s="136"/>
      <c r="AB1005" s="158" t="s">
        <v>6169</v>
      </c>
      <c r="AD1005" s="33" t="s">
        <v>5266</v>
      </c>
      <c r="AF1005" s="33" t="s">
        <v>7788</v>
      </c>
      <c r="AP1005" s="34"/>
      <c r="AQ1005" s="128"/>
      <c r="AR1005" s="129"/>
      <c r="AS1005" s="130"/>
      <c r="AT1005" s="39"/>
      <c r="AU1005" s="132"/>
      <c r="AV1005" s="128"/>
      <c r="AW1005" s="133"/>
      <c r="AX1005" s="134"/>
      <c r="AY1005" s="135"/>
      <c r="AZ1005" s="39"/>
      <c r="BA1005" s="132"/>
      <c r="BB1005" s="136"/>
    </row>
    <row r="1006" spans="1:58" ht="15" customHeight="1">
      <c r="A1006" s="159" t="s">
        <v>7674</v>
      </c>
      <c r="B1006" s="33" t="s">
        <v>7789</v>
      </c>
      <c r="C1006" s="38" t="s">
        <v>7676</v>
      </c>
      <c r="D1006" s="41">
        <v>29</v>
      </c>
      <c r="E1006" s="33">
        <v>2</v>
      </c>
      <c r="G1006" s="33" t="s">
        <v>7790</v>
      </c>
      <c r="J1006" s="33" t="s">
        <v>4111</v>
      </c>
      <c r="K1006" s="33" t="s">
        <v>4054</v>
      </c>
      <c r="N1006" s="157">
        <v>2</v>
      </c>
      <c r="O1006" s="128"/>
      <c r="P1006" s="129"/>
      <c r="Q1006" s="130"/>
      <c r="R1006" s="39">
        <v>1</v>
      </c>
      <c r="S1006" s="145"/>
      <c r="T1006" s="132"/>
      <c r="U1006" s="128"/>
      <c r="V1006" s="133"/>
      <c r="W1006" s="134"/>
      <c r="X1006" s="135"/>
      <c r="Y1006" s="39"/>
      <c r="Z1006" s="132"/>
      <c r="AA1006" s="136"/>
      <c r="AB1006" s="158" t="s">
        <v>4061</v>
      </c>
      <c r="AC1006" s="33" t="s">
        <v>4232</v>
      </c>
      <c r="AD1006" s="33" t="s">
        <v>4133</v>
      </c>
      <c r="AF1006" s="33" t="s">
        <v>7791</v>
      </c>
      <c r="AP1006" s="34"/>
      <c r="AQ1006" s="128"/>
      <c r="AR1006" s="129"/>
      <c r="AS1006" s="130"/>
      <c r="AT1006" s="39"/>
      <c r="AU1006" s="132"/>
      <c r="AV1006" s="128"/>
      <c r="AW1006" s="133"/>
      <c r="AX1006" s="134"/>
      <c r="AY1006" s="135"/>
      <c r="AZ1006" s="39"/>
      <c r="BA1006" s="132"/>
      <c r="BB1006" s="136"/>
    </row>
    <row r="1007" spans="1:58" ht="15" customHeight="1">
      <c r="A1007" s="159" t="s">
        <v>7674</v>
      </c>
      <c r="B1007" s="33" t="s">
        <v>7792</v>
      </c>
      <c r="C1007" s="38" t="s">
        <v>7676</v>
      </c>
      <c r="D1007" s="41">
        <v>30</v>
      </c>
      <c r="E1007" s="33">
        <v>2</v>
      </c>
      <c r="G1007" s="33" t="s">
        <v>7793</v>
      </c>
      <c r="H1007" s="33" t="s">
        <v>7794</v>
      </c>
      <c r="I1007" s="33" t="s">
        <v>4077</v>
      </c>
      <c r="J1007" s="33" t="s">
        <v>4111</v>
      </c>
      <c r="K1007" s="33" t="s">
        <v>4054</v>
      </c>
      <c r="N1007" s="157">
        <v>3</v>
      </c>
      <c r="O1007" s="128"/>
      <c r="P1007" s="129">
        <v>1</v>
      </c>
      <c r="Q1007" s="130"/>
      <c r="R1007" s="39"/>
      <c r="S1007" s="145"/>
      <c r="T1007" s="132"/>
      <c r="U1007" s="128"/>
      <c r="V1007" s="133"/>
      <c r="W1007" s="134"/>
      <c r="X1007" s="135"/>
      <c r="Y1007" s="39"/>
      <c r="Z1007" s="132"/>
      <c r="AA1007" s="136"/>
      <c r="AB1007" s="158" t="s">
        <v>4059</v>
      </c>
      <c r="AC1007" s="33" t="s">
        <v>4112</v>
      </c>
      <c r="AD1007" s="33" t="s">
        <v>7780</v>
      </c>
      <c r="AF1007" s="33" t="s">
        <v>7795</v>
      </c>
      <c r="AP1007" s="34"/>
      <c r="AQ1007" s="128"/>
      <c r="AR1007" s="129"/>
      <c r="AS1007" s="130"/>
      <c r="AT1007" s="39"/>
      <c r="AU1007" s="132"/>
      <c r="AV1007" s="128"/>
      <c r="AW1007" s="133"/>
      <c r="AX1007" s="134"/>
      <c r="AY1007" s="135"/>
      <c r="AZ1007" s="39"/>
      <c r="BA1007" s="132"/>
      <c r="BB1007" s="136"/>
    </row>
    <row r="1008" spans="1:58" ht="15" customHeight="1">
      <c r="A1008" s="159" t="s">
        <v>7674</v>
      </c>
      <c r="B1008" s="33" t="s">
        <v>7796</v>
      </c>
      <c r="C1008" s="38" t="s">
        <v>7676</v>
      </c>
      <c r="D1008" s="41">
        <v>31</v>
      </c>
      <c r="E1008" s="33">
        <v>2</v>
      </c>
      <c r="G1008" s="33" t="s">
        <v>7797</v>
      </c>
      <c r="J1008" s="33" t="s">
        <v>4111</v>
      </c>
      <c r="K1008" s="33" t="s">
        <v>4054</v>
      </c>
      <c r="L1008" s="33">
        <v>1</v>
      </c>
      <c r="N1008" s="157">
        <v>1</v>
      </c>
      <c r="O1008" s="128">
        <v>1</v>
      </c>
      <c r="P1008" s="129"/>
      <c r="Q1008" s="130"/>
      <c r="R1008" s="39"/>
      <c r="S1008" s="145"/>
      <c r="T1008" s="132"/>
      <c r="U1008" s="128"/>
      <c r="V1008" s="133"/>
      <c r="W1008" s="134"/>
      <c r="X1008" s="135"/>
      <c r="Y1008" s="39"/>
      <c r="Z1008" s="132"/>
      <c r="AA1008" s="136"/>
      <c r="AB1008" s="158" t="s">
        <v>4058</v>
      </c>
      <c r="AC1008" s="33" t="s">
        <v>4232</v>
      </c>
      <c r="AD1008" s="33" t="s">
        <v>7798</v>
      </c>
      <c r="AF1008" s="33" t="s">
        <v>7799</v>
      </c>
      <c r="AP1008" s="34"/>
      <c r="AQ1008" s="128"/>
      <c r="AR1008" s="129"/>
      <c r="AS1008" s="130"/>
      <c r="AT1008" s="39"/>
      <c r="AU1008" s="132"/>
      <c r="AV1008" s="128"/>
      <c r="AW1008" s="133"/>
      <c r="AX1008" s="134"/>
      <c r="AY1008" s="135"/>
      <c r="AZ1008" s="39"/>
      <c r="BA1008" s="132"/>
      <c r="BB1008" s="136"/>
    </row>
    <row r="1009" spans="1:59" ht="15" customHeight="1">
      <c r="A1009" s="159" t="s">
        <v>7674</v>
      </c>
      <c r="B1009" s="33" t="s">
        <v>7800</v>
      </c>
      <c r="C1009" s="38" t="s">
        <v>7676</v>
      </c>
      <c r="D1009" s="41">
        <v>32</v>
      </c>
      <c r="E1009" s="33">
        <v>2</v>
      </c>
      <c r="G1009" s="33" t="s">
        <v>7801</v>
      </c>
      <c r="J1009" s="33" t="s">
        <v>27</v>
      </c>
      <c r="K1009" s="33" t="s">
        <v>4054</v>
      </c>
      <c r="N1009" s="157">
        <v>1</v>
      </c>
      <c r="O1009" s="128">
        <v>1</v>
      </c>
      <c r="P1009" s="129"/>
      <c r="Q1009" s="130"/>
      <c r="R1009" s="39">
        <v>1</v>
      </c>
      <c r="S1009" s="145"/>
      <c r="T1009" s="132"/>
      <c r="U1009" s="128"/>
      <c r="V1009" s="133"/>
      <c r="W1009" s="134"/>
      <c r="X1009" s="135"/>
      <c r="Y1009" s="39"/>
      <c r="Z1009" s="132"/>
      <c r="AA1009" s="136"/>
      <c r="AB1009" s="158" t="s">
        <v>6042</v>
      </c>
      <c r="AD1009" s="33" t="s">
        <v>7802</v>
      </c>
      <c r="AF1009" s="33" t="s">
        <v>7803</v>
      </c>
      <c r="AP1009" s="34"/>
      <c r="AQ1009" s="128"/>
      <c r="AR1009" s="129"/>
      <c r="AS1009" s="130"/>
      <c r="AT1009" s="39"/>
      <c r="AU1009" s="132"/>
      <c r="AV1009" s="128"/>
      <c r="AW1009" s="133"/>
      <c r="AX1009" s="134"/>
      <c r="AY1009" s="135"/>
      <c r="AZ1009" s="39"/>
      <c r="BA1009" s="132"/>
      <c r="BB1009" s="136"/>
    </row>
    <row r="1010" spans="1:59" ht="15" customHeight="1">
      <c r="A1010" s="159" t="s">
        <v>7674</v>
      </c>
      <c r="B1010" s="33" t="s">
        <v>7804</v>
      </c>
      <c r="C1010" s="38" t="s">
        <v>7676</v>
      </c>
      <c r="D1010" s="41">
        <v>33</v>
      </c>
      <c r="E1010" s="33">
        <v>2</v>
      </c>
      <c r="G1010" s="33" t="s">
        <v>7805</v>
      </c>
      <c r="J1010" s="33" t="s">
        <v>27</v>
      </c>
      <c r="K1010" s="33" t="s">
        <v>4056</v>
      </c>
      <c r="N1010" s="157">
        <v>1</v>
      </c>
      <c r="O1010" s="128"/>
      <c r="P1010" s="129"/>
      <c r="Q1010" s="130"/>
      <c r="R1010" s="39"/>
      <c r="S1010" s="145"/>
      <c r="T1010" s="132"/>
      <c r="U1010" s="128"/>
      <c r="V1010" s="133"/>
      <c r="W1010" s="134"/>
      <c r="X1010" s="135"/>
      <c r="Y1010" s="39"/>
      <c r="Z1010" s="132"/>
      <c r="AA1010" s="136"/>
      <c r="AB1010" s="158"/>
      <c r="AD1010" s="33" t="s">
        <v>7806</v>
      </c>
      <c r="AF1010" s="33" t="s">
        <v>7807</v>
      </c>
      <c r="AP1010" s="34"/>
      <c r="AQ1010" s="128"/>
      <c r="AR1010" s="129"/>
      <c r="AS1010" s="130"/>
      <c r="AT1010" s="39"/>
      <c r="AU1010" s="132"/>
      <c r="AV1010" s="128"/>
      <c r="AW1010" s="133"/>
      <c r="AX1010" s="134"/>
      <c r="AY1010" s="135"/>
      <c r="AZ1010" s="39"/>
      <c r="BA1010" s="132"/>
      <c r="BB1010" s="136"/>
    </row>
    <row r="1011" spans="1:59" ht="15" customHeight="1">
      <c r="A1011" s="159" t="s">
        <v>7674</v>
      </c>
      <c r="B1011" s="33" t="s">
        <v>7808</v>
      </c>
      <c r="C1011" s="38" t="s">
        <v>7676</v>
      </c>
      <c r="D1011" s="41">
        <v>34</v>
      </c>
      <c r="E1011" s="33">
        <v>2</v>
      </c>
      <c r="G1011" s="33" t="s">
        <v>7809</v>
      </c>
      <c r="J1011" s="33" t="s">
        <v>27</v>
      </c>
      <c r="K1011" s="33" t="s">
        <v>4056</v>
      </c>
      <c r="N1011" s="157">
        <v>2</v>
      </c>
      <c r="O1011" s="128"/>
      <c r="P1011" s="129"/>
      <c r="Q1011" s="130"/>
      <c r="R1011" s="39">
        <v>2</v>
      </c>
      <c r="S1011" s="145"/>
      <c r="T1011" s="132"/>
      <c r="U1011" s="128"/>
      <c r="V1011" s="133"/>
      <c r="W1011" s="134"/>
      <c r="X1011" s="135"/>
      <c r="Y1011" s="39"/>
      <c r="Z1011" s="132"/>
      <c r="AA1011" s="136"/>
      <c r="AB1011" s="158" t="s">
        <v>4949</v>
      </c>
      <c r="AD1011" s="33" t="s">
        <v>4226</v>
      </c>
      <c r="AF1011" s="33" t="s">
        <v>7810</v>
      </c>
      <c r="AP1011" s="34"/>
      <c r="AQ1011" s="128"/>
      <c r="AR1011" s="129"/>
      <c r="AS1011" s="130"/>
      <c r="AT1011" s="39"/>
      <c r="AU1011" s="132"/>
      <c r="AV1011" s="128"/>
      <c r="AW1011" s="133"/>
      <c r="AX1011" s="134"/>
      <c r="AY1011" s="135"/>
      <c r="AZ1011" s="39"/>
      <c r="BA1011" s="132"/>
      <c r="BB1011" s="136"/>
    </row>
    <row r="1012" spans="1:59" ht="15" customHeight="1">
      <c r="A1012" s="159" t="s">
        <v>7674</v>
      </c>
      <c r="B1012" s="33" t="s">
        <v>7811</v>
      </c>
      <c r="C1012" s="38" t="s">
        <v>7676</v>
      </c>
      <c r="D1012" s="41">
        <v>35</v>
      </c>
      <c r="E1012" s="33">
        <v>2</v>
      </c>
      <c r="G1012" s="33" t="s">
        <v>7812</v>
      </c>
      <c r="H1012" s="33" t="s">
        <v>7813</v>
      </c>
      <c r="I1012" s="33" t="s">
        <v>4077</v>
      </c>
      <c r="J1012" s="33" t="s">
        <v>4111</v>
      </c>
      <c r="K1012" s="33" t="s">
        <v>4056</v>
      </c>
      <c r="L1012" s="33">
        <v>1</v>
      </c>
      <c r="N1012" s="157">
        <v>3</v>
      </c>
      <c r="O1012" s="128">
        <v>1</v>
      </c>
      <c r="P1012" s="129"/>
      <c r="Q1012" s="130"/>
      <c r="R1012" s="39"/>
      <c r="S1012" s="145"/>
      <c r="T1012" s="132">
        <v>2</v>
      </c>
      <c r="U1012" s="128">
        <v>2</v>
      </c>
      <c r="V1012" s="133"/>
      <c r="W1012" s="134"/>
      <c r="X1012" s="135"/>
      <c r="Y1012" s="39"/>
      <c r="Z1012" s="132"/>
      <c r="AA1012" s="136"/>
      <c r="AB1012" s="158" t="s">
        <v>4058</v>
      </c>
      <c r="AC1012" s="33" t="s">
        <v>25</v>
      </c>
      <c r="AD1012" s="33" t="s">
        <v>7710</v>
      </c>
      <c r="AF1012" s="33" t="s">
        <v>7814</v>
      </c>
      <c r="AP1012" s="34"/>
      <c r="AQ1012" s="128"/>
      <c r="AR1012" s="129"/>
      <c r="AS1012" s="130"/>
      <c r="AT1012" s="39"/>
      <c r="AU1012" s="132"/>
      <c r="AV1012" s="128"/>
      <c r="AW1012" s="133"/>
      <c r="AX1012" s="134"/>
      <c r="AY1012" s="135"/>
      <c r="AZ1012" s="39"/>
      <c r="BA1012" s="132"/>
      <c r="BB1012" s="136"/>
    </row>
    <row r="1013" spans="1:59" ht="15" customHeight="1">
      <c r="A1013" s="159" t="s">
        <v>7674</v>
      </c>
      <c r="B1013" s="33" t="s">
        <v>7815</v>
      </c>
      <c r="C1013" s="38" t="s">
        <v>7676</v>
      </c>
      <c r="D1013" s="41">
        <v>36</v>
      </c>
      <c r="E1013" s="33">
        <v>2</v>
      </c>
      <c r="G1013" s="33" t="s">
        <v>7816</v>
      </c>
      <c r="J1013" s="33" t="s">
        <v>4166</v>
      </c>
      <c r="K1013" s="33" t="s">
        <v>4056</v>
      </c>
      <c r="N1013" s="157"/>
      <c r="O1013" s="128"/>
      <c r="P1013" s="129"/>
      <c r="Q1013" s="130"/>
      <c r="R1013" s="39"/>
      <c r="S1013" s="145">
        <v>5</v>
      </c>
      <c r="T1013" s="132"/>
      <c r="U1013" s="128"/>
      <c r="V1013" s="133"/>
      <c r="W1013" s="134"/>
      <c r="X1013" s="135"/>
      <c r="Y1013" s="39"/>
      <c r="Z1013" s="132"/>
      <c r="AA1013" s="136"/>
      <c r="AB1013" s="158" t="s">
        <v>7817</v>
      </c>
      <c r="AD1013" s="33" t="s">
        <v>6457</v>
      </c>
      <c r="AF1013" s="33" t="s">
        <v>7818</v>
      </c>
      <c r="AP1013" s="34"/>
      <c r="AQ1013" s="128"/>
      <c r="AR1013" s="129"/>
      <c r="AS1013" s="130"/>
      <c r="AT1013" s="39"/>
      <c r="AU1013" s="132"/>
      <c r="AV1013" s="128"/>
      <c r="AW1013" s="133"/>
      <c r="AX1013" s="134"/>
      <c r="AY1013" s="135"/>
      <c r="AZ1013" s="39"/>
      <c r="BA1013" s="132"/>
      <c r="BB1013" s="136"/>
    </row>
    <row r="1014" spans="1:59" ht="15" customHeight="1">
      <c r="A1014" s="159" t="s">
        <v>7674</v>
      </c>
      <c r="B1014" s="33" t="s">
        <v>7819</v>
      </c>
      <c r="C1014" s="38" t="s">
        <v>7676</v>
      </c>
      <c r="D1014" s="41">
        <v>37</v>
      </c>
      <c r="E1014" s="33">
        <v>2</v>
      </c>
      <c r="G1014" s="33" t="s">
        <v>7820</v>
      </c>
      <c r="J1014" s="33" t="s">
        <v>4111</v>
      </c>
      <c r="K1014" s="33" t="s">
        <v>26</v>
      </c>
      <c r="N1014" s="157">
        <v>2</v>
      </c>
      <c r="O1014" s="128"/>
      <c r="P1014" s="129"/>
      <c r="Q1014" s="130"/>
      <c r="R1014" s="39">
        <v>1</v>
      </c>
      <c r="S1014" s="145"/>
      <c r="T1014" s="132"/>
      <c r="U1014" s="128"/>
      <c r="V1014" s="133"/>
      <c r="W1014" s="134"/>
      <c r="X1014" s="135"/>
      <c r="Y1014" s="39"/>
      <c r="Z1014" s="132"/>
      <c r="AA1014" s="136"/>
      <c r="AB1014" s="158" t="s">
        <v>4061</v>
      </c>
      <c r="AC1014" s="33" t="s">
        <v>4247</v>
      </c>
      <c r="AD1014" s="33" t="s">
        <v>4119</v>
      </c>
      <c r="AF1014" s="33" t="s">
        <v>7821</v>
      </c>
      <c r="AP1014" s="34"/>
      <c r="AQ1014" s="128"/>
      <c r="AR1014" s="129"/>
      <c r="AS1014" s="130"/>
      <c r="AT1014" s="39"/>
      <c r="AU1014" s="132"/>
      <c r="AV1014" s="128"/>
      <c r="AW1014" s="133"/>
      <c r="AX1014" s="134"/>
      <c r="AY1014" s="135"/>
      <c r="AZ1014" s="39"/>
      <c r="BA1014" s="132"/>
      <c r="BB1014" s="136"/>
    </row>
    <row r="1015" spans="1:59" ht="15" customHeight="1">
      <c r="A1015" s="159" t="s">
        <v>7674</v>
      </c>
      <c r="B1015" s="33" t="s">
        <v>7822</v>
      </c>
      <c r="C1015" s="38" t="s">
        <v>7676</v>
      </c>
      <c r="D1015" s="41">
        <v>38</v>
      </c>
      <c r="E1015" s="33">
        <v>1</v>
      </c>
      <c r="G1015" s="33" t="s">
        <v>7823</v>
      </c>
      <c r="J1015" s="33" t="s">
        <v>27</v>
      </c>
      <c r="K1015" s="33" t="s">
        <v>26</v>
      </c>
      <c r="M1015" s="33" t="s">
        <v>4545</v>
      </c>
      <c r="N1015" s="157">
        <v>2</v>
      </c>
      <c r="O1015" s="128"/>
      <c r="P1015" s="129"/>
      <c r="Q1015" s="130"/>
      <c r="R1015" s="39"/>
      <c r="S1015" s="145"/>
      <c r="T1015" s="132"/>
      <c r="U1015" s="128"/>
      <c r="V1015" s="133"/>
      <c r="W1015" s="134"/>
      <c r="X1015" s="135"/>
      <c r="Y1015" s="39"/>
      <c r="Z1015" s="132"/>
      <c r="AA1015" s="136"/>
      <c r="AB1015" s="158"/>
      <c r="AD1015" s="33" t="s">
        <v>4699</v>
      </c>
      <c r="AE1015" s="33"/>
      <c r="AF1015" s="33" t="s">
        <v>7824</v>
      </c>
      <c r="AP1015" s="34"/>
      <c r="AQ1015" s="128"/>
      <c r="AR1015" s="129"/>
      <c r="AS1015" s="130"/>
      <c r="AT1015" s="39"/>
      <c r="AU1015" s="132"/>
      <c r="AV1015" s="128"/>
      <c r="AW1015" s="133"/>
      <c r="AX1015" s="134"/>
      <c r="AY1015" s="135"/>
      <c r="AZ1015" s="39"/>
      <c r="BA1015" s="132"/>
      <c r="BB1015" s="136"/>
    </row>
    <row r="1016" spans="1:59" ht="15" customHeight="1">
      <c r="A1016" s="159" t="s">
        <v>7674</v>
      </c>
      <c r="B1016" s="33" t="s">
        <v>7825</v>
      </c>
      <c r="C1016" s="38" t="s">
        <v>7676</v>
      </c>
      <c r="D1016" s="41">
        <v>39</v>
      </c>
      <c r="E1016" s="33">
        <v>1</v>
      </c>
      <c r="G1016" s="33" t="s">
        <v>6289</v>
      </c>
      <c r="J1016" s="33" t="s">
        <v>28</v>
      </c>
      <c r="K1016" s="33" t="s">
        <v>26</v>
      </c>
      <c r="M1016" s="33" t="s">
        <v>4502</v>
      </c>
      <c r="N1016" s="157"/>
      <c r="O1016" s="128"/>
      <c r="P1016" s="129"/>
      <c r="Q1016" s="130"/>
      <c r="R1016" s="39"/>
      <c r="S1016" s="145"/>
      <c r="T1016" s="132"/>
      <c r="U1016" s="128"/>
      <c r="V1016" s="133"/>
      <c r="W1016" s="134"/>
      <c r="X1016" s="135"/>
      <c r="Y1016" s="39"/>
      <c r="Z1016" s="132"/>
      <c r="AA1016" s="136"/>
      <c r="AB1016" s="158"/>
      <c r="AD1016" s="33" t="s">
        <v>4699</v>
      </c>
      <c r="AF1016" s="33" t="s">
        <v>7826</v>
      </c>
      <c r="AP1016" s="34"/>
      <c r="AQ1016" s="128"/>
      <c r="AR1016" s="129"/>
      <c r="AS1016" s="130"/>
      <c r="AT1016" s="39"/>
      <c r="AU1016" s="132"/>
      <c r="AV1016" s="128"/>
      <c r="AW1016" s="133"/>
      <c r="AX1016" s="134"/>
      <c r="AY1016" s="135"/>
      <c r="AZ1016" s="39"/>
      <c r="BA1016" s="132"/>
      <c r="BB1016" s="136"/>
    </row>
    <row r="1017" spans="1:59" ht="15" customHeight="1">
      <c r="A1017" s="159" t="s">
        <v>7674</v>
      </c>
      <c r="B1017" s="33" t="s">
        <v>7827</v>
      </c>
      <c r="C1017" s="38" t="s">
        <v>7676</v>
      </c>
      <c r="D1017" s="41">
        <v>40</v>
      </c>
      <c r="E1017" s="33">
        <v>1</v>
      </c>
      <c r="G1017" s="33" t="s">
        <v>7828</v>
      </c>
      <c r="J1017" s="33" t="s">
        <v>28</v>
      </c>
      <c r="K1017" s="33" t="s">
        <v>26</v>
      </c>
      <c r="M1017" s="33" t="s">
        <v>4545</v>
      </c>
      <c r="N1017" s="157"/>
      <c r="O1017" s="128"/>
      <c r="P1017" s="129"/>
      <c r="Q1017" s="130"/>
      <c r="R1017" s="39"/>
      <c r="S1017" s="145"/>
      <c r="T1017" s="132"/>
      <c r="U1017" s="128"/>
      <c r="V1017" s="133"/>
      <c r="W1017" s="134"/>
      <c r="X1017" s="135"/>
      <c r="Y1017" s="39"/>
      <c r="Z1017" s="132"/>
      <c r="AA1017" s="136"/>
      <c r="AB1017" s="158"/>
      <c r="AD1017" s="33" t="s">
        <v>4293</v>
      </c>
      <c r="AF1017" s="33" t="s">
        <v>7829</v>
      </c>
      <c r="AP1017" s="34"/>
      <c r="AQ1017" s="128"/>
      <c r="AR1017" s="129"/>
      <c r="AS1017" s="130"/>
      <c r="AT1017" s="39"/>
      <c r="AU1017" s="132"/>
      <c r="AV1017" s="128"/>
      <c r="AW1017" s="133"/>
      <c r="AX1017" s="134"/>
      <c r="AY1017" s="135"/>
      <c r="AZ1017" s="39"/>
      <c r="BA1017" s="132"/>
      <c r="BB1017" s="136"/>
    </row>
    <row r="1018" spans="1:59" ht="15" customHeight="1">
      <c r="A1018" s="159" t="s">
        <v>7674</v>
      </c>
      <c r="B1018" s="33" t="s">
        <v>7830</v>
      </c>
      <c r="C1018" s="38" t="s">
        <v>7676</v>
      </c>
      <c r="D1018" s="41">
        <v>41</v>
      </c>
      <c r="E1018" s="33">
        <v>1</v>
      </c>
      <c r="G1018" s="33" t="s">
        <v>7831</v>
      </c>
      <c r="J1018" s="33" t="s">
        <v>28</v>
      </c>
      <c r="K1018" s="33" t="s">
        <v>26</v>
      </c>
      <c r="M1018" s="33" t="s">
        <v>4502</v>
      </c>
      <c r="N1018" s="157"/>
      <c r="O1018" s="128"/>
      <c r="P1018" s="129"/>
      <c r="Q1018" s="130"/>
      <c r="R1018" s="39"/>
      <c r="S1018" s="145"/>
      <c r="T1018" s="132"/>
      <c r="U1018" s="128"/>
      <c r="V1018" s="133"/>
      <c r="W1018" s="134"/>
      <c r="X1018" s="135"/>
      <c r="Y1018" s="39"/>
      <c r="Z1018" s="132"/>
      <c r="AA1018" s="136"/>
      <c r="AB1018" s="158"/>
      <c r="AD1018" s="33" t="s">
        <v>4293</v>
      </c>
      <c r="AF1018" s="33" t="s">
        <v>7832</v>
      </c>
      <c r="AP1018" s="34"/>
      <c r="AQ1018" s="128"/>
      <c r="AR1018" s="129"/>
      <c r="AS1018" s="130"/>
      <c r="AT1018" s="39"/>
      <c r="AU1018" s="132"/>
      <c r="AV1018" s="128"/>
      <c r="AW1018" s="133"/>
      <c r="AX1018" s="134"/>
      <c r="AY1018" s="135"/>
      <c r="AZ1018" s="39"/>
      <c r="BA1018" s="132"/>
      <c r="BB1018" s="136"/>
    </row>
    <row r="1019" spans="1:59" ht="15" customHeight="1">
      <c r="A1019" s="159" t="s">
        <v>7674</v>
      </c>
      <c r="B1019" s="40" t="s">
        <v>7833</v>
      </c>
      <c r="C1019" s="38" t="s">
        <v>7676</v>
      </c>
      <c r="D1019" s="41">
        <v>42</v>
      </c>
      <c r="E1019" s="33">
        <v>1</v>
      </c>
      <c r="G1019" s="33" t="s">
        <v>7834</v>
      </c>
      <c r="J1019" s="33" t="s">
        <v>28</v>
      </c>
      <c r="K1019" s="33" t="s">
        <v>26</v>
      </c>
      <c r="M1019" s="33" t="s">
        <v>4502</v>
      </c>
      <c r="N1019" s="157"/>
      <c r="O1019" s="128"/>
      <c r="P1019" s="129"/>
      <c r="Q1019" s="130"/>
      <c r="R1019" s="39"/>
      <c r="S1019" s="145"/>
      <c r="T1019" s="132"/>
      <c r="U1019" s="128"/>
      <c r="V1019" s="133"/>
      <c r="W1019" s="134"/>
      <c r="X1019" s="135"/>
      <c r="Y1019" s="39"/>
      <c r="Z1019" s="132"/>
      <c r="AA1019" s="136"/>
      <c r="AB1019" s="158"/>
      <c r="AD1019" s="33" t="s">
        <v>4293</v>
      </c>
      <c r="AF1019" s="33" t="s">
        <v>7835</v>
      </c>
      <c r="AP1019" s="34"/>
      <c r="AQ1019" s="128"/>
      <c r="AR1019" s="129"/>
      <c r="AS1019" s="130"/>
      <c r="AT1019" s="39"/>
      <c r="AU1019" s="132"/>
      <c r="AV1019" s="128"/>
      <c r="AW1019" s="133"/>
      <c r="AX1019" s="134"/>
      <c r="AY1019" s="135"/>
      <c r="AZ1019" s="39"/>
      <c r="BA1019" s="132"/>
      <c r="BB1019" s="136"/>
    </row>
    <row r="1020" spans="1:59" ht="15" customHeight="1">
      <c r="A1020" s="159" t="s">
        <v>7674</v>
      </c>
      <c r="B1020" s="33" t="s">
        <v>7836</v>
      </c>
      <c r="C1020" s="38" t="s">
        <v>7676</v>
      </c>
      <c r="D1020" s="41">
        <v>43</v>
      </c>
      <c r="E1020" s="33">
        <v>1</v>
      </c>
      <c r="F1020" s="33" t="s">
        <v>7837</v>
      </c>
      <c r="G1020" s="33" t="s">
        <v>7837</v>
      </c>
      <c r="H1020" s="33" t="s">
        <v>4563</v>
      </c>
      <c r="J1020" s="33" t="s">
        <v>4472</v>
      </c>
      <c r="K1020" s="33" t="s">
        <v>6280</v>
      </c>
      <c r="N1020" s="34"/>
      <c r="O1020" s="128"/>
      <c r="P1020" s="129"/>
      <c r="Q1020" s="130"/>
      <c r="R1020" s="39"/>
      <c r="S1020" s="145"/>
      <c r="T1020" s="132"/>
      <c r="U1020" s="128"/>
      <c r="V1020" s="133"/>
      <c r="W1020" s="134"/>
      <c r="X1020" s="135"/>
      <c r="Y1020" s="39"/>
      <c r="Z1020" s="132"/>
      <c r="AA1020" s="136"/>
      <c r="AB1020" s="53"/>
      <c r="AF1020" s="33" t="s">
        <v>7838</v>
      </c>
      <c r="AI1020" s="38" t="s">
        <v>7837</v>
      </c>
      <c r="AJ1020" s="38" t="s">
        <v>4564</v>
      </c>
      <c r="AL1020" s="33" t="s">
        <v>4472</v>
      </c>
      <c r="AM1020" s="33" t="s">
        <v>6280</v>
      </c>
      <c r="AO1020" s="34"/>
      <c r="AP1020" s="33"/>
      <c r="AQ1020" s="139"/>
      <c r="AR1020" s="140"/>
      <c r="AS1020" s="141"/>
      <c r="AT1020" s="39"/>
      <c r="AU1020" s="132"/>
      <c r="AV1020" s="139"/>
      <c r="AW1020" s="146"/>
      <c r="AX1020" s="147"/>
      <c r="AY1020" s="144"/>
      <c r="AZ1020" s="39"/>
      <c r="BA1020" s="132"/>
      <c r="BB1020" s="145"/>
      <c r="BE1020" s="34"/>
      <c r="BF1020" s="33"/>
      <c r="BG1020" s="33" t="s">
        <v>7839</v>
      </c>
    </row>
    <row r="1021" spans="1:59" ht="15" customHeight="1">
      <c r="A1021" s="159" t="s">
        <v>7674</v>
      </c>
      <c r="B1021" s="33" t="s">
        <v>7840</v>
      </c>
      <c r="C1021" s="38" t="s">
        <v>7676</v>
      </c>
      <c r="D1021" s="41">
        <v>44</v>
      </c>
      <c r="E1021" s="33">
        <v>1</v>
      </c>
      <c r="F1021" s="33" t="s">
        <v>7837</v>
      </c>
      <c r="G1021" s="33" t="s">
        <v>7841</v>
      </c>
      <c r="J1021" s="33" t="s">
        <v>4473</v>
      </c>
      <c r="K1021" s="33" t="s">
        <v>6280</v>
      </c>
      <c r="L1021" s="33">
        <v>1</v>
      </c>
      <c r="N1021" s="157"/>
      <c r="O1021" s="128"/>
      <c r="P1021" s="129"/>
      <c r="Q1021" s="130"/>
      <c r="R1021" s="39"/>
      <c r="S1021" s="145"/>
      <c r="T1021" s="132"/>
      <c r="U1021" s="128"/>
      <c r="V1021" s="133"/>
      <c r="W1021" s="134"/>
      <c r="X1021" s="135"/>
      <c r="Y1021" s="39"/>
      <c r="Z1021" s="132">
        <v>6</v>
      </c>
      <c r="AA1021" s="136"/>
      <c r="AB1021" s="158"/>
      <c r="AF1021" s="33" t="s">
        <v>7842</v>
      </c>
      <c r="AI1021" s="33" t="s">
        <v>7843</v>
      </c>
      <c r="AL1021" s="33" t="s">
        <v>4473</v>
      </c>
      <c r="AM1021" s="33" t="s">
        <v>6280</v>
      </c>
      <c r="AN1021" s="33">
        <v>1</v>
      </c>
      <c r="AP1021" s="34"/>
      <c r="AQ1021" s="128"/>
      <c r="AR1021" s="129"/>
      <c r="AS1021" s="130"/>
      <c r="AT1021" s="39"/>
      <c r="AU1021" s="132"/>
      <c r="AV1021" s="128"/>
      <c r="AW1021" s="133"/>
      <c r="AX1021" s="134"/>
      <c r="AY1021" s="135"/>
      <c r="AZ1021" s="39"/>
      <c r="BA1021" s="132"/>
      <c r="BB1021" s="136"/>
      <c r="BG1021" s="33" t="s">
        <v>7844</v>
      </c>
    </row>
    <row r="1022" spans="1:59" ht="15" customHeight="1">
      <c r="A1022" s="159" t="s">
        <v>7674</v>
      </c>
      <c r="B1022" s="33" t="s">
        <v>7845</v>
      </c>
      <c r="C1022" s="38" t="s">
        <v>7676</v>
      </c>
      <c r="D1022" s="41">
        <v>45</v>
      </c>
      <c r="E1022" s="33">
        <v>1</v>
      </c>
      <c r="F1022" s="33" t="s">
        <v>7837</v>
      </c>
      <c r="G1022" s="33" t="s">
        <v>7846</v>
      </c>
      <c r="J1022" s="33" t="s">
        <v>4473</v>
      </c>
      <c r="K1022" s="33" t="s">
        <v>6280</v>
      </c>
      <c r="L1022" s="33">
        <v>2</v>
      </c>
      <c r="N1022" s="157"/>
      <c r="O1022" s="128"/>
      <c r="P1022" s="129"/>
      <c r="Q1022" s="130"/>
      <c r="R1022" s="39"/>
      <c r="S1022" s="145"/>
      <c r="T1022" s="132"/>
      <c r="U1022" s="128"/>
      <c r="V1022" s="133"/>
      <c r="W1022" s="134"/>
      <c r="X1022" s="135"/>
      <c r="Y1022" s="39"/>
      <c r="Z1022" s="132">
        <v>9</v>
      </c>
      <c r="AA1022" s="136"/>
      <c r="AB1022" s="158"/>
      <c r="AF1022" s="33" t="s">
        <v>7842</v>
      </c>
      <c r="AI1022" s="33" t="s">
        <v>7847</v>
      </c>
      <c r="AL1022" s="33" t="s">
        <v>4473</v>
      </c>
      <c r="AM1022" s="33" t="s">
        <v>6280</v>
      </c>
      <c r="AN1022" s="33">
        <v>2</v>
      </c>
      <c r="AP1022" s="34"/>
      <c r="AQ1022" s="128"/>
      <c r="AR1022" s="129"/>
      <c r="AS1022" s="130"/>
      <c r="AT1022" s="39"/>
      <c r="AU1022" s="132"/>
      <c r="AV1022" s="128"/>
      <c r="AW1022" s="133"/>
      <c r="AX1022" s="134"/>
      <c r="AY1022" s="135"/>
      <c r="AZ1022" s="39"/>
      <c r="BA1022" s="132"/>
      <c r="BB1022" s="136"/>
      <c r="BG1022" s="33" t="s">
        <v>7848</v>
      </c>
    </row>
    <row r="1023" spans="1:59" ht="15" customHeight="1">
      <c r="A1023" s="159" t="s">
        <v>7674</v>
      </c>
      <c r="B1023" s="33" t="s">
        <v>7849</v>
      </c>
      <c r="C1023" s="38" t="s">
        <v>7676</v>
      </c>
      <c r="D1023" s="41">
        <v>46</v>
      </c>
      <c r="E1023" s="33">
        <v>1</v>
      </c>
      <c r="F1023" s="33" t="s">
        <v>7837</v>
      </c>
      <c r="G1023" s="33" t="s">
        <v>7850</v>
      </c>
      <c r="J1023" s="33" t="s">
        <v>4475</v>
      </c>
      <c r="K1023" s="33" t="s">
        <v>6280</v>
      </c>
      <c r="L1023" s="33">
        <v>1</v>
      </c>
      <c r="N1023" s="157"/>
      <c r="O1023" s="128"/>
      <c r="P1023" s="129"/>
      <c r="Q1023" s="130"/>
      <c r="R1023" s="39"/>
      <c r="S1023" s="145"/>
      <c r="T1023" s="132"/>
      <c r="U1023" s="128"/>
      <c r="V1023" s="133"/>
      <c r="W1023" s="134"/>
      <c r="X1023" s="135"/>
      <c r="Y1023" s="39" t="s">
        <v>4966</v>
      </c>
      <c r="Z1023" s="132"/>
      <c r="AA1023" s="136"/>
      <c r="AB1023" s="158"/>
      <c r="AF1023" s="33" t="s">
        <v>7851</v>
      </c>
      <c r="AI1023" s="33" t="s">
        <v>7852</v>
      </c>
      <c r="AL1023" s="33" t="s">
        <v>4475</v>
      </c>
      <c r="AM1023" s="33" t="s">
        <v>6280</v>
      </c>
      <c r="AN1023" s="33">
        <v>1</v>
      </c>
      <c r="AP1023" s="34"/>
      <c r="AQ1023" s="128"/>
      <c r="AR1023" s="129"/>
      <c r="AS1023" s="130"/>
      <c r="AT1023" s="39"/>
      <c r="AU1023" s="132"/>
      <c r="AV1023" s="128"/>
      <c r="AW1023" s="133"/>
      <c r="AX1023" s="134"/>
      <c r="AY1023" s="135"/>
      <c r="AZ1023" s="39"/>
      <c r="BA1023" s="132"/>
      <c r="BB1023" s="136"/>
      <c r="BG1023" s="33" t="s">
        <v>7853</v>
      </c>
    </row>
    <row r="1024" spans="1:59" ht="15" customHeight="1">
      <c r="A1024" s="159" t="s">
        <v>7674</v>
      </c>
      <c r="B1024" s="33" t="s">
        <v>7854</v>
      </c>
      <c r="C1024" s="38" t="s">
        <v>7676</v>
      </c>
      <c r="D1024" s="41">
        <v>47</v>
      </c>
      <c r="E1024" s="33">
        <v>1</v>
      </c>
      <c r="F1024" s="33" t="s">
        <v>7837</v>
      </c>
      <c r="G1024" s="33" t="s">
        <v>7855</v>
      </c>
      <c r="J1024" s="33" t="s">
        <v>4475</v>
      </c>
      <c r="K1024" s="33" t="s">
        <v>6280</v>
      </c>
      <c r="L1024" s="33">
        <v>2</v>
      </c>
      <c r="N1024" s="157"/>
      <c r="O1024" s="128"/>
      <c r="P1024" s="129"/>
      <c r="Q1024" s="130"/>
      <c r="R1024" s="39"/>
      <c r="S1024" s="145"/>
      <c r="T1024" s="132"/>
      <c r="U1024" s="128"/>
      <c r="V1024" s="133"/>
      <c r="W1024" s="134"/>
      <c r="X1024" s="135"/>
      <c r="Y1024" s="39" t="s">
        <v>38</v>
      </c>
      <c r="Z1024" s="132"/>
      <c r="AA1024" s="136"/>
      <c r="AB1024" s="158"/>
      <c r="AF1024" s="33" t="s">
        <v>7856</v>
      </c>
      <c r="AI1024" s="33" t="s">
        <v>7857</v>
      </c>
      <c r="AL1024" s="33" t="s">
        <v>4475</v>
      </c>
      <c r="AM1024" s="33" t="s">
        <v>6280</v>
      </c>
      <c r="AN1024" s="33">
        <v>2</v>
      </c>
      <c r="AP1024" s="34"/>
      <c r="AQ1024" s="128"/>
      <c r="AR1024" s="129"/>
      <c r="AS1024" s="130"/>
      <c r="AT1024" s="39"/>
      <c r="AU1024" s="132"/>
      <c r="AV1024" s="128"/>
      <c r="AW1024" s="133"/>
      <c r="AX1024" s="134"/>
      <c r="AY1024" s="135"/>
      <c r="AZ1024" s="39"/>
      <c r="BA1024" s="132"/>
      <c r="BB1024" s="136"/>
      <c r="BG1024" s="33" t="s">
        <v>7858</v>
      </c>
    </row>
    <row r="1025" spans="1:59" ht="15" customHeight="1">
      <c r="A1025" s="159" t="s">
        <v>7674</v>
      </c>
      <c r="B1025" s="33" t="s">
        <v>7859</v>
      </c>
      <c r="C1025" s="38" t="s">
        <v>7676</v>
      </c>
      <c r="D1025" s="41">
        <v>48</v>
      </c>
      <c r="E1025" s="33">
        <v>1</v>
      </c>
      <c r="F1025" s="33" t="s">
        <v>7837</v>
      </c>
      <c r="G1025" s="33" t="s">
        <v>7860</v>
      </c>
      <c r="J1025" s="33" t="s">
        <v>4475</v>
      </c>
      <c r="K1025" s="33" t="s">
        <v>6280</v>
      </c>
      <c r="L1025" s="33">
        <v>3</v>
      </c>
      <c r="N1025" s="157"/>
      <c r="O1025" s="128"/>
      <c r="P1025" s="129"/>
      <c r="Q1025" s="130"/>
      <c r="R1025" s="39"/>
      <c r="S1025" s="145"/>
      <c r="T1025" s="132"/>
      <c r="U1025" s="128"/>
      <c r="V1025" s="133"/>
      <c r="W1025" s="134"/>
      <c r="X1025" s="135"/>
      <c r="Y1025" s="39" t="s">
        <v>4965</v>
      </c>
      <c r="Z1025" s="132"/>
      <c r="AA1025" s="136"/>
      <c r="AB1025" s="158"/>
      <c r="AF1025" s="33" t="s">
        <v>7861</v>
      </c>
      <c r="AI1025" s="33" t="s">
        <v>7862</v>
      </c>
      <c r="AL1025" s="33" t="s">
        <v>4475</v>
      </c>
      <c r="AM1025" s="33" t="s">
        <v>6280</v>
      </c>
      <c r="AN1025" s="33">
        <v>3</v>
      </c>
      <c r="AP1025" s="34"/>
      <c r="AQ1025" s="128"/>
      <c r="AR1025" s="129"/>
      <c r="AS1025" s="130"/>
      <c r="AT1025" s="39"/>
      <c r="AU1025" s="132"/>
      <c r="AV1025" s="128"/>
      <c r="AW1025" s="133"/>
      <c r="AX1025" s="134"/>
      <c r="AY1025" s="135"/>
      <c r="AZ1025" s="39"/>
      <c r="BA1025" s="132"/>
      <c r="BB1025" s="136"/>
      <c r="BG1025" s="33" t="s">
        <v>7863</v>
      </c>
    </row>
    <row r="1026" spans="1:59" ht="15" customHeight="1">
      <c r="A1026" s="159" t="s">
        <v>7674</v>
      </c>
      <c r="B1026" s="33" t="s">
        <v>7864</v>
      </c>
      <c r="C1026" s="38" t="s">
        <v>7676</v>
      </c>
      <c r="D1026" s="41">
        <v>49</v>
      </c>
      <c r="E1026" s="33">
        <v>1</v>
      </c>
      <c r="F1026" s="33" t="s">
        <v>7837</v>
      </c>
      <c r="G1026" s="33" t="s">
        <v>7865</v>
      </c>
      <c r="J1026" s="33" t="s">
        <v>4475</v>
      </c>
      <c r="K1026" s="33" t="s">
        <v>6280</v>
      </c>
      <c r="L1026" s="33">
        <v>3</v>
      </c>
      <c r="N1026" s="157"/>
      <c r="O1026" s="128"/>
      <c r="P1026" s="129"/>
      <c r="Q1026" s="130"/>
      <c r="R1026" s="39"/>
      <c r="S1026" s="145"/>
      <c r="T1026" s="132"/>
      <c r="U1026" s="128"/>
      <c r="V1026" s="133"/>
      <c r="W1026" s="134"/>
      <c r="X1026" s="135"/>
      <c r="Y1026" s="39" t="s">
        <v>4965</v>
      </c>
      <c r="Z1026" s="132"/>
      <c r="AA1026" s="136"/>
      <c r="AB1026" s="158"/>
      <c r="AF1026" s="33" t="s">
        <v>7866</v>
      </c>
      <c r="AI1026" s="33" t="s">
        <v>7862</v>
      </c>
      <c r="AL1026" s="33" t="s">
        <v>4475</v>
      </c>
      <c r="AM1026" s="33" t="s">
        <v>6280</v>
      </c>
      <c r="AN1026" s="33">
        <v>3</v>
      </c>
      <c r="AP1026" s="34"/>
      <c r="AQ1026" s="128"/>
      <c r="AR1026" s="129"/>
      <c r="AS1026" s="130"/>
      <c r="AT1026" s="39"/>
      <c r="AU1026" s="132"/>
      <c r="AV1026" s="128"/>
      <c r="AW1026" s="133"/>
      <c r="AX1026" s="134"/>
      <c r="AY1026" s="135"/>
      <c r="AZ1026" s="39"/>
      <c r="BA1026" s="132"/>
      <c r="BB1026" s="136"/>
      <c r="BG1026" s="33" t="s">
        <v>7867</v>
      </c>
    </row>
    <row r="1027" spans="1:59" ht="15" customHeight="1">
      <c r="A1027" s="159" t="s">
        <v>7674</v>
      </c>
      <c r="B1027" s="33" t="s">
        <v>7868</v>
      </c>
      <c r="C1027" s="38" t="s">
        <v>7676</v>
      </c>
      <c r="D1027" s="34">
        <v>50</v>
      </c>
      <c r="E1027" s="33">
        <v>1</v>
      </c>
      <c r="F1027" s="33" t="s">
        <v>7837</v>
      </c>
      <c r="G1027" s="33" t="s">
        <v>7869</v>
      </c>
      <c r="J1027" s="33" t="s">
        <v>31</v>
      </c>
      <c r="K1027" s="33" t="s">
        <v>6280</v>
      </c>
      <c r="N1027" s="157"/>
      <c r="O1027" s="128"/>
      <c r="P1027" s="129"/>
      <c r="Q1027" s="130"/>
      <c r="R1027" s="39"/>
      <c r="S1027" s="145"/>
      <c r="T1027" s="132"/>
      <c r="U1027" s="128"/>
      <c r="V1027" s="133"/>
      <c r="W1027" s="134"/>
      <c r="X1027" s="135"/>
      <c r="Y1027" s="39"/>
      <c r="Z1027" s="132"/>
      <c r="AA1027" s="136"/>
      <c r="AB1027" s="158"/>
      <c r="AD1027" s="33" t="s">
        <v>7870</v>
      </c>
      <c r="AI1027" s="33" t="s">
        <v>7869</v>
      </c>
      <c r="AL1027" s="33" t="s">
        <v>31</v>
      </c>
      <c r="AM1027" s="33" t="s">
        <v>6280</v>
      </c>
      <c r="AP1027" s="34"/>
      <c r="AQ1027" s="128"/>
      <c r="AR1027" s="129"/>
      <c r="AS1027" s="130"/>
      <c r="AT1027" s="39"/>
      <c r="AU1027" s="132"/>
      <c r="AV1027" s="128"/>
      <c r="AW1027" s="133"/>
      <c r="AX1027" s="134"/>
      <c r="AY1027" s="135">
        <v>1</v>
      </c>
      <c r="AZ1027" s="39">
        <v>0</v>
      </c>
      <c r="BA1027" s="132"/>
      <c r="BB1027" s="136"/>
      <c r="BE1027" s="33" t="s">
        <v>7870</v>
      </c>
      <c r="BG1027" s="33" t="s">
        <v>7871</v>
      </c>
    </row>
    <row r="1028" spans="1:59" ht="15" customHeight="1">
      <c r="A1028" s="159" t="s">
        <v>7674</v>
      </c>
      <c r="B1028" s="33" t="s">
        <v>7872</v>
      </c>
      <c r="C1028" s="38" t="s">
        <v>7676</v>
      </c>
      <c r="D1028" s="34">
        <v>51</v>
      </c>
      <c r="E1028" s="33">
        <v>1</v>
      </c>
      <c r="F1028" s="33" t="s">
        <v>7837</v>
      </c>
      <c r="G1028" s="33" t="s">
        <v>7873</v>
      </c>
      <c r="H1028" s="33" t="s">
        <v>7874</v>
      </c>
      <c r="I1028" s="33" t="s">
        <v>4077</v>
      </c>
      <c r="J1028" s="33" t="s">
        <v>4111</v>
      </c>
      <c r="K1028" s="33" t="s">
        <v>26</v>
      </c>
      <c r="N1028" s="157">
        <v>2</v>
      </c>
      <c r="O1028" s="128">
        <v>1</v>
      </c>
      <c r="P1028" s="129">
        <v>1</v>
      </c>
      <c r="Q1028" s="130"/>
      <c r="R1028" s="39"/>
      <c r="S1028" s="145">
        <v>1</v>
      </c>
      <c r="T1028" s="132">
        <v>2</v>
      </c>
      <c r="U1028" s="128">
        <v>2</v>
      </c>
      <c r="V1028" s="133"/>
      <c r="W1028" s="134"/>
      <c r="X1028" s="135"/>
      <c r="Y1028" s="39"/>
      <c r="Z1028" s="132"/>
      <c r="AA1028" s="136"/>
      <c r="AB1028" s="158" t="s">
        <v>6420</v>
      </c>
      <c r="AC1028" s="33" t="s">
        <v>25</v>
      </c>
      <c r="AD1028" s="33" t="s">
        <v>7710</v>
      </c>
      <c r="AF1028" s="33" t="s">
        <v>7875</v>
      </c>
      <c r="AP1028" s="34"/>
      <c r="AQ1028" s="128"/>
      <c r="AR1028" s="129"/>
      <c r="AS1028" s="130"/>
      <c r="AT1028" s="39"/>
      <c r="AU1028" s="132"/>
      <c r="AV1028" s="128"/>
      <c r="AW1028" s="133"/>
      <c r="AX1028" s="134"/>
      <c r="AY1028" s="135"/>
      <c r="AZ1028" s="39"/>
      <c r="BA1028" s="132"/>
      <c r="BB1028" s="136"/>
    </row>
    <row r="1029" spans="1:59" ht="15" customHeight="1">
      <c r="A1029" s="159" t="s">
        <v>7674</v>
      </c>
      <c r="B1029" s="33" t="s">
        <v>7876</v>
      </c>
      <c r="C1029" s="38" t="s">
        <v>7676</v>
      </c>
      <c r="D1029" s="34">
        <v>52</v>
      </c>
      <c r="E1029" s="33">
        <v>1</v>
      </c>
      <c r="F1029" s="33" t="s">
        <v>7837</v>
      </c>
      <c r="G1029" s="33" t="s">
        <v>7877</v>
      </c>
      <c r="H1029" s="33" t="s">
        <v>7878</v>
      </c>
      <c r="I1029" s="33" t="s">
        <v>4077</v>
      </c>
      <c r="J1029" s="33" t="s">
        <v>29</v>
      </c>
      <c r="K1029" s="33" t="s">
        <v>6280</v>
      </c>
      <c r="N1029" s="157"/>
      <c r="O1029" s="128"/>
      <c r="P1029" s="129"/>
      <c r="Q1029" s="130">
        <v>5</v>
      </c>
      <c r="R1029" s="39">
        <v>4</v>
      </c>
      <c r="S1029" s="145"/>
      <c r="T1029" s="132">
        <v>4</v>
      </c>
      <c r="U1029" s="128"/>
      <c r="V1029" s="133">
        <v>2</v>
      </c>
      <c r="W1029" s="134"/>
      <c r="X1029" s="135"/>
      <c r="Y1029" s="39"/>
      <c r="Z1029" s="132"/>
      <c r="AA1029" s="136">
        <v>1</v>
      </c>
      <c r="AB1029" s="158"/>
      <c r="AD1029" s="33" t="s">
        <v>7879</v>
      </c>
      <c r="AE1029" s="34" t="s">
        <v>7880</v>
      </c>
      <c r="AF1029" s="33" t="s">
        <v>7881</v>
      </c>
      <c r="AP1029" s="34"/>
      <c r="AQ1029" s="128"/>
      <c r="AR1029" s="129"/>
      <c r="AS1029" s="130"/>
      <c r="AT1029" s="39"/>
      <c r="AU1029" s="132"/>
      <c r="AV1029" s="128"/>
      <c r="AW1029" s="133"/>
      <c r="AX1029" s="134"/>
      <c r="AY1029" s="135"/>
      <c r="AZ1029" s="39"/>
      <c r="BA1029" s="132"/>
      <c r="BB1029" s="136"/>
    </row>
    <row r="1030" spans="1:59" ht="15" customHeight="1">
      <c r="A1030" s="159" t="s">
        <v>7674</v>
      </c>
      <c r="B1030" s="33" t="s">
        <v>7882</v>
      </c>
      <c r="C1030" s="38" t="s">
        <v>7676</v>
      </c>
      <c r="D1030" s="34">
        <v>53</v>
      </c>
      <c r="E1030" s="33">
        <v>1</v>
      </c>
      <c r="F1030" s="33" t="s">
        <v>7837</v>
      </c>
      <c r="G1030" s="33" t="s">
        <v>7883</v>
      </c>
      <c r="J1030" s="33" t="s">
        <v>31</v>
      </c>
      <c r="K1030" s="33" t="s">
        <v>6280</v>
      </c>
      <c r="N1030" s="157"/>
      <c r="O1030" s="128"/>
      <c r="P1030" s="129"/>
      <c r="Q1030" s="130"/>
      <c r="R1030" s="39"/>
      <c r="S1030" s="145"/>
      <c r="T1030" s="132"/>
      <c r="U1030" s="128"/>
      <c r="V1030" s="133"/>
      <c r="W1030" s="134"/>
      <c r="X1030" s="135">
        <v>3</v>
      </c>
      <c r="Y1030" s="39" t="s">
        <v>4965</v>
      </c>
      <c r="Z1030" s="132"/>
      <c r="AA1030" s="136">
        <v>2</v>
      </c>
      <c r="AB1030" s="158"/>
      <c r="AD1030" s="33" t="s">
        <v>7884</v>
      </c>
      <c r="AF1030" s="33" t="s">
        <v>7885</v>
      </c>
      <c r="AP1030" s="34"/>
      <c r="AQ1030" s="128"/>
      <c r="AR1030" s="129"/>
      <c r="AS1030" s="130"/>
      <c r="AT1030" s="39"/>
      <c r="AU1030" s="132"/>
      <c r="AV1030" s="128"/>
      <c r="AW1030" s="133"/>
      <c r="AX1030" s="134"/>
      <c r="AY1030" s="135"/>
      <c r="AZ1030" s="39"/>
      <c r="BA1030" s="132"/>
      <c r="BB1030" s="136"/>
    </row>
    <row r="1031" spans="1:59" ht="15" customHeight="1">
      <c r="A1031" s="159" t="s">
        <v>7674</v>
      </c>
      <c r="B1031" s="33" t="s">
        <v>7886</v>
      </c>
      <c r="C1031" s="38" t="s">
        <v>7676</v>
      </c>
      <c r="D1031" s="34">
        <v>54</v>
      </c>
      <c r="E1031" s="33">
        <v>1</v>
      </c>
      <c r="F1031" s="33" t="s">
        <v>7887</v>
      </c>
      <c r="G1031" s="33" t="s">
        <v>7887</v>
      </c>
      <c r="H1031" s="33" t="s">
        <v>4563</v>
      </c>
      <c r="J1031" s="33" t="s">
        <v>4472</v>
      </c>
      <c r="K1031" s="33" t="s">
        <v>6280</v>
      </c>
      <c r="N1031" s="157"/>
      <c r="O1031" s="128"/>
      <c r="P1031" s="129"/>
      <c r="Q1031" s="130"/>
      <c r="R1031" s="39"/>
      <c r="S1031" s="145"/>
      <c r="T1031" s="132"/>
      <c r="U1031" s="128"/>
      <c r="V1031" s="133"/>
      <c r="W1031" s="134"/>
      <c r="X1031" s="135"/>
      <c r="Y1031" s="39"/>
      <c r="Z1031" s="132"/>
      <c r="AA1031" s="136"/>
      <c r="AB1031" s="158"/>
      <c r="AF1031" s="33" t="s">
        <v>7888</v>
      </c>
      <c r="AI1031" s="33" t="s">
        <v>7887</v>
      </c>
      <c r="AJ1031" s="38" t="s">
        <v>4564</v>
      </c>
      <c r="AL1031" s="33" t="s">
        <v>4472</v>
      </c>
      <c r="AM1031" s="33" t="s">
        <v>6280</v>
      </c>
      <c r="AP1031" s="34"/>
      <c r="AQ1031" s="128"/>
      <c r="AR1031" s="129"/>
      <c r="AS1031" s="130"/>
      <c r="AT1031" s="39"/>
      <c r="AU1031" s="132"/>
      <c r="AV1031" s="128"/>
      <c r="AW1031" s="133"/>
      <c r="AX1031" s="134"/>
      <c r="AY1031" s="135"/>
      <c r="AZ1031" s="39"/>
      <c r="BA1031" s="132"/>
      <c r="BB1031" s="136"/>
      <c r="BG1031" s="33" t="s">
        <v>7889</v>
      </c>
    </row>
    <row r="1032" spans="1:59" ht="15" customHeight="1">
      <c r="A1032" s="159" t="s">
        <v>7674</v>
      </c>
      <c r="B1032" s="33" t="s">
        <v>7890</v>
      </c>
      <c r="C1032" s="38" t="s">
        <v>7676</v>
      </c>
      <c r="D1032" s="34">
        <v>55</v>
      </c>
      <c r="E1032" s="33">
        <v>1</v>
      </c>
      <c r="F1032" s="33" t="s">
        <v>7887</v>
      </c>
      <c r="G1032" s="33" t="s">
        <v>7891</v>
      </c>
      <c r="J1032" s="33" t="s">
        <v>4473</v>
      </c>
      <c r="K1032" s="33" t="s">
        <v>6280</v>
      </c>
      <c r="L1032" s="33">
        <v>1</v>
      </c>
      <c r="N1032" s="157"/>
      <c r="O1032" s="128"/>
      <c r="P1032" s="129"/>
      <c r="Q1032" s="130"/>
      <c r="R1032" s="39"/>
      <c r="S1032" s="145"/>
      <c r="T1032" s="132"/>
      <c r="U1032" s="128"/>
      <c r="V1032" s="133"/>
      <c r="W1032" s="134"/>
      <c r="X1032" s="135"/>
      <c r="Y1032" s="39"/>
      <c r="Z1032" s="132" t="s">
        <v>7892</v>
      </c>
      <c r="AA1032" s="136"/>
      <c r="AB1032" s="158"/>
      <c r="AF1032" s="33" t="s">
        <v>7893</v>
      </c>
      <c r="AI1032" s="33" t="s">
        <v>7894</v>
      </c>
      <c r="AL1032" s="33" t="s">
        <v>4473</v>
      </c>
      <c r="AM1032" s="33" t="s">
        <v>6280</v>
      </c>
      <c r="AN1032" s="33">
        <v>1</v>
      </c>
      <c r="AP1032" s="34"/>
      <c r="AQ1032" s="128"/>
      <c r="AR1032" s="129"/>
      <c r="AS1032" s="130"/>
      <c r="AT1032" s="39"/>
      <c r="AU1032" s="132"/>
      <c r="AV1032" s="128"/>
      <c r="AW1032" s="133"/>
      <c r="AX1032" s="134"/>
      <c r="AY1032" s="135"/>
      <c r="AZ1032" s="39"/>
      <c r="BA1032" s="132"/>
      <c r="BB1032" s="136"/>
      <c r="BG1032" s="33" t="s">
        <v>7895</v>
      </c>
    </row>
    <row r="1033" spans="1:59" ht="15" customHeight="1">
      <c r="A1033" s="159" t="s">
        <v>7674</v>
      </c>
      <c r="B1033" s="33" t="s">
        <v>7896</v>
      </c>
      <c r="C1033" s="38" t="s">
        <v>7676</v>
      </c>
      <c r="D1033" s="34">
        <v>56</v>
      </c>
      <c r="E1033" s="33">
        <v>1</v>
      </c>
      <c r="F1033" s="33" t="s">
        <v>7887</v>
      </c>
      <c r="G1033" s="33" t="s">
        <v>7897</v>
      </c>
      <c r="J1033" s="33" t="s">
        <v>4473</v>
      </c>
      <c r="K1033" s="33" t="s">
        <v>6280</v>
      </c>
      <c r="L1033" s="33">
        <v>2</v>
      </c>
      <c r="N1033" s="157"/>
      <c r="O1033" s="128"/>
      <c r="P1033" s="129"/>
      <c r="Q1033" s="130"/>
      <c r="R1033" s="39"/>
      <c r="S1033" s="145"/>
      <c r="T1033" s="132"/>
      <c r="U1033" s="128"/>
      <c r="V1033" s="133"/>
      <c r="W1033" s="134"/>
      <c r="X1033" s="135"/>
      <c r="Y1033" s="39"/>
      <c r="Z1033" s="132" t="s">
        <v>7898</v>
      </c>
      <c r="AA1033" s="136"/>
      <c r="AB1033" s="158"/>
      <c r="AF1033" s="33" t="s">
        <v>7899</v>
      </c>
      <c r="AI1033" s="33" t="s">
        <v>7900</v>
      </c>
      <c r="AL1033" s="33" t="s">
        <v>4473</v>
      </c>
      <c r="AM1033" s="33" t="s">
        <v>6280</v>
      </c>
      <c r="AN1033" s="33">
        <v>2</v>
      </c>
      <c r="AP1033" s="34"/>
      <c r="AQ1033" s="128"/>
      <c r="AR1033" s="129"/>
      <c r="AS1033" s="130"/>
      <c r="AT1033" s="39"/>
      <c r="AU1033" s="132"/>
      <c r="AV1033" s="128"/>
      <c r="AW1033" s="133"/>
      <c r="AX1033" s="134"/>
      <c r="AY1033" s="135"/>
      <c r="AZ1033" s="39"/>
      <c r="BA1033" s="132"/>
      <c r="BB1033" s="136"/>
      <c r="BG1033" s="33" t="s">
        <v>7901</v>
      </c>
    </row>
    <row r="1034" spans="1:59" ht="15" customHeight="1">
      <c r="A1034" s="159" t="s">
        <v>7674</v>
      </c>
      <c r="B1034" s="33" t="s">
        <v>7902</v>
      </c>
      <c r="C1034" s="38" t="s">
        <v>7676</v>
      </c>
      <c r="D1034" s="34">
        <v>57</v>
      </c>
      <c r="E1034" s="33">
        <v>1</v>
      </c>
      <c r="F1034" s="33" t="s">
        <v>7887</v>
      </c>
      <c r="G1034" s="33" t="s">
        <v>7903</v>
      </c>
      <c r="J1034" s="33" t="s">
        <v>4475</v>
      </c>
      <c r="K1034" s="33" t="s">
        <v>6280</v>
      </c>
      <c r="L1034" s="33">
        <v>1</v>
      </c>
      <c r="N1034" s="157"/>
      <c r="O1034" s="128"/>
      <c r="P1034" s="129"/>
      <c r="Q1034" s="130"/>
      <c r="R1034" s="39"/>
      <c r="S1034" s="145"/>
      <c r="T1034" s="132"/>
      <c r="U1034" s="128"/>
      <c r="V1034" s="133"/>
      <c r="W1034" s="134"/>
      <c r="X1034" s="135"/>
      <c r="Y1034" s="39" t="s">
        <v>4966</v>
      </c>
      <c r="Z1034" s="132"/>
      <c r="AA1034" s="136"/>
      <c r="AB1034" s="158"/>
      <c r="AF1034" s="33" t="s">
        <v>7842</v>
      </c>
      <c r="AI1034" s="33" t="s">
        <v>7904</v>
      </c>
      <c r="AL1034" s="33" t="s">
        <v>4475</v>
      </c>
      <c r="AM1034" s="33" t="s">
        <v>6280</v>
      </c>
      <c r="AN1034" s="33">
        <v>1</v>
      </c>
      <c r="AP1034" s="34"/>
      <c r="AQ1034" s="128"/>
      <c r="AR1034" s="129"/>
      <c r="AS1034" s="130"/>
      <c r="AT1034" s="39"/>
      <c r="AU1034" s="132"/>
      <c r="AV1034" s="128"/>
      <c r="AW1034" s="133"/>
      <c r="AX1034" s="134"/>
      <c r="AY1034" s="135"/>
      <c r="AZ1034" s="39"/>
      <c r="BA1034" s="132"/>
      <c r="BB1034" s="136"/>
      <c r="BG1034" s="33" t="s">
        <v>7905</v>
      </c>
    </row>
    <row r="1035" spans="1:59" ht="15" customHeight="1">
      <c r="A1035" s="159" t="s">
        <v>7674</v>
      </c>
      <c r="B1035" s="33" t="s">
        <v>7906</v>
      </c>
      <c r="C1035" s="38" t="s">
        <v>7676</v>
      </c>
      <c r="D1035" s="34">
        <v>58</v>
      </c>
      <c r="E1035" s="33">
        <v>1</v>
      </c>
      <c r="F1035" s="33" t="s">
        <v>7887</v>
      </c>
      <c r="G1035" s="33" t="s">
        <v>7907</v>
      </c>
      <c r="J1035" s="33" t="s">
        <v>4475</v>
      </c>
      <c r="K1035" s="33" t="s">
        <v>6280</v>
      </c>
      <c r="L1035" s="33">
        <v>2</v>
      </c>
      <c r="N1035" s="157"/>
      <c r="O1035" s="128"/>
      <c r="P1035" s="129"/>
      <c r="Q1035" s="130"/>
      <c r="R1035" s="39"/>
      <c r="S1035" s="145"/>
      <c r="T1035" s="132"/>
      <c r="U1035" s="128"/>
      <c r="V1035" s="133"/>
      <c r="W1035" s="134"/>
      <c r="X1035" s="135"/>
      <c r="Y1035" s="39" t="s">
        <v>4965</v>
      </c>
      <c r="Z1035" s="132"/>
      <c r="AA1035" s="136"/>
      <c r="AB1035" s="158"/>
      <c r="AF1035" s="33" t="s">
        <v>7908</v>
      </c>
      <c r="AI1035" s="33" t="s">
        <v>7909</v>
      </c>
      <c r="AL1035" s="33" t="s">
        <v>4475</v>
      </c>
      <c r="AM1035" s="33" t="s">
        <v>6280</v>
      </c>
      <c r="AN1035" s="33">
        <v>2</v>
      </c>
      <c r="AP1035" s="34"/>
      <c r="AQ1035" s="128"/>
      <c r="AR1035" s="129"/>
      <c r="AS1035" s="130"/>
      <c r="AT1035" s="39"/>
      <c r="AU1035" s="132"/>
      <c r="AV1035" s="128"/>
      <c r="AW1035" s="133"/>
      <c r="AX1035" s="134"/>
      <c r="AY1035" s="135"/>
      <c r="AZ1035" s="39"/>
      <c r="BA1035" s="132"/>
      <c r="BB1035" s="136"/>
      <c r="BG1035" s="33" t="s">
        <v>7910</v>
      </c>
    </row>
    <row r="1036" spans="1:59" ht="15" customHeight="1">
      <c r="A1036" s="159" t="s">
        <v>7674</v>
      </c>
      <c r="B1036" s="33" t="s">
        <v>7911</v>
      </c>
      <c r="C1036" s="38" t="s">
        <v>7676</v>
      </c>
      <c r="D1036" s="34">
        <v>59</v>
      </c>
      <c r="E1036" s="33">
        <v>1</v>
      </c>
      <c r="F1036" s="33" t="s">
        <v>7887</v>
      </c>
      <c r="G1036" s="33" t="s">
        <v>7912</v>
      </c>
      <c r="J1036" s="33" t="s">
        <v>4475</v>
      </c>
      <c r="K1036" s="33" t="s">
        <v>6280</v>
      </c>
      <c r="L1036" s="33">
        <v>3</v>
      </c>
      <c r="N1036" s="157"/>
      <c r="O1036" s="128"/>
      <c r="P1036" s="129"/>
      <c r="Q1036" s="130"/>
      <c r="R1036" s="39"/>
      <c r="S1036" s="145"/>
      <c r="T1036" s="132"/>
      <c r="U1036" s="128"/>
      <c r="V1036" s="133"/>
      <c r="W1036" s="134"/>
      <c r="X1036" s="135"/>
      <c r="Y1036" s="39" t="s">
        <v>38</v>
      </c>
      <c r="Z1036" s="132"/>
      <c r="AA1036" s="136"/>
      <c r="AB1036" s="158"/>
      <c r="AF1036" s="33" t="s">
        <v>7913</v>
      </c>
      <c r="AI1036" s="33" t="s">
        <v>7914</v>
      </c>
      <c r="AL1036" s="33" t="s">
        <v>4475</v>
      </c>
      <c r="AM1036" s="33" t="s">
        <v>6280</v>
      </c>
      <c r="AN1036" s="33">
        <v>3</v>
      </c>
      <c r="AP1036" s="34"/>
      <c r="AQ1036" s="128"/>
      <c r="AR1036" s="129"/>
      <c r="AS1036" s="130"/>
      <c r="AT1036" s="39"/>
      <c r="AU1036" s="132"/>
      <c r="AV1036" s="128"/>
      <c r="AW1036" s="133"/>
      <c r="AX1036" s="134"/>
      <c r="AY1036" s="135"/>
      <c r="AZ1036" s="39"/>
      <c r="BA1036" s="132"/>
      <c r="BB1036" s="136"/>
      <c r="BG1036" s="33" t="s">
        <v>7915</v>
      </c>
    </row>
    <row r="1037" spans="1:59" ht="15" customHeight="1">
      <c r="A1037" s="159" t="s">
        <v>7674</v>
      </c>
      <c r="B1037" s="33" t="s">
        <v>7916</v>
      </c>
      <c r="C1037" s="38" t="s">
        <v>7676</v>
      </c>
      <c r="D1037" s="34">
        <v>60</v>
      </c>
      <c r="E1037" s="33">
        <v>1</v>
      </c>
      <c r="F1037" s="33" t="s">
        <v>7887</v>
      </c>
      <c r="G1037" s="33" t="s">
        <v>7917</v>
      </c>
      <c r="J1037" s="33" t="s">
        <v>31</v>
      </c>
      <c r="K1037" s="33" t="s">
        <v>6280</v>
      </c>
      <c r="N1037" s="157"/>
      <c r="O1037" s="128"/>
      <c r="P1037" s="129"/>
      <c r="Q1037" s="130"/>
      <c r="R1037" s="39"/>
      <c r="S1037" s="145"/>
      <c r="T1037" s="132"/>
      <c r="U1037" s="128"/>
      <c r="V1037" s="133"/>
      <c r="W1037" s="134"/>
      <c r="X1037" s="135"/>
      <c r="Y1037" s="39"/>
      <c r="Z1037" s="132"/>
      <c r="AA1037" s="136"/>
      <c r="AB1037" s="158"/>
      <c r="AD1037" s="33" t="s">
        <v>7884</v>
      </c>
      <c r="AI1037" s="33" t="s">
        <v>7917</v>
      </c>
      <c r="AL1037" s="33" t="s">
        <v>31</v>
      </c>
      <c r="AM1037" s="33" t="s">
        <v>6280</v>
      </c>
      <c r="AP1037" s="34"/>
      <c r="AQ1037" s="128"/>
      <c r="AR1037" s="129"/>
      <c r="AS1037" s="130"/>
      <c r="AT1037" s="39"/>
      <c r="AU1037" s="132"/>
      <c r="AV1037" s="128"/>
      <c r="AW1037" s="133"/>
      <c r="AX1037" s="134"/>
      <c r="AY1037" s="135">
        <v>2</v>
      </c>
      <c r="AZ1037" s="39" t="s">
        <v>4927</v>
      </c>
      <c r="BA1037" s="132"/>
      <c r="BB1037" s="136"/>
      <c r="BE1037" s="33" t="s">
        <v>7884</v>
      </c>
      <c r="BG1037" s="33" t="s">
        <v>7918</v>
      </c>
    </row>
    <row r="1038" spans="1:59" ht="15" customHeight="1">
      <c r="A1038" s="159" t="s">
        <v>7674</v>
      </c>
      <c r="B1038" s="33" t="s">
        <v>7919</v>
      </c>
      <c r="C1038" s="38" t="s">
        <v>7676</v>
      </c>
      <c r="D1038" s="34">
        <v>61</v>
      </c>
      <c r="E1038" s="33">
        <v>1</v>
      </c>
      <c r="F1038" s="33" t="s">
        <v>7887</v>
      </c>
      <c r="G1038" s="33" t="s">
        <v>7920</v>
      </c>
      <c r="H1038" s="33" t="s">
        <v>7921</v>
      </c>
      <c r="I1038" s="33" t="s">
        <v>4077</v>
      </c>
      <c r="J1038" s="33" t="s">
        <v>4111</v>
      </c>
      <c r="K1038" s="33" t="s">
        <v>26</v>
      </c>
      <c r="N1038" s="157">
        <v>2</v>
      </c>
      <c r="O1038" s="128"/>
      <c r="P1038" s="129"/>
      <c r="Q1038" s="130"/>
      <c r="R1038" s="39"/>
      <c r="S1038" s="145">
        <v>3</v>
      </c>
      <c r="T1038" s="132"/>
      <c r="U1038" s="128"/>
      <c r="V1038" s="133"/>
      <c r="W1038" s="134"/>
      <c r="X1038" s="135"/>
      <c r="Y1038" s="39"/>
      <c r="Z1038" s="132"/>
      <c r="AA1038" s="136"/>
      <c r="AB1038" s="158" t="s">
        <v>5850</v>
      </c>
      <c r="AD1038" s="33" t="s">
        <v>4130</v>
      </c>
      <c r="AP1038" s="34"/>
      <c r="AQ1038" s="128"/>
      <c r="AR1038" s="129"/>
      <c r="AS1038" s="130"/>
      <c r="AT1038" s="39"/>
      <c r="AU1038" s="132"/>
      <c r="AV1038" s="128"/>
      <c r="AW1038" s="133"/>
      <c r="AX1038" s="134"/>
      <c r="AY1038" s="135"/>
      <c r="AZ1038" s="39"/>
      <c r="BA1038" s="132"/>
      <c r="BB1038" s="136"/>
    </row>
    <row r="1039" spans="1:59" ht="15" customHeight="1">
      <c r="A1039" s="159" t="s">
        <v>7674</v>
      </c>
      <c r="B1039" s="33" t="s">
        <v>7922</v>
      </c>
      <c r="C1039" s="38" t="s">
        <v>7676</v>
      </c>
      <c r="D1039" s="34">
        <v>62</v>
      </c>
      <c r="E1039" s="33">
        <v>1</v>
      </c>
      <c r="F1039" s="33" t="s">
        <v>7887</v>
      </c>
      <c r="G1039" s="33" t="s">
        <v>7923</v>
      </c>
      <c r="H1039" s="33" t="s">
        <v>7924</v>
      </c>
      <c r="I1039" s="33" t="s">
        <v>4077</v>
      </c>
      <c r="J1039" s="33" t="s">
        <v>29</v>
      </c>
      <c r="K1039" s="33" t="s">
        <v>6280</v>
      </c>
      <c r="N1039" s="157"/>
      <c r="O1039" s="128"/>
      <c r="P1039" s="129"/>
      <c r="Q1039" s="130">
        <v>3</v>
      </c>
      <c r="R1039" s="39">
        <v>3</v>
      </c>
      <c r="S1039" s="145"/>
      <c r="T1039" s="132" t="s">
        <v>7925</v>
      </c>
      <c r="U1039" s="128"/>
      <c r="V1039" s="133">
        <v>2</v>
      </c>
      <c r="W1039" s="134">
        <v>2</v>
      </c>
      <c r="X1039" s="135"/>
      <c r="Y1039" s="39"/>
      <c r="Z1039" s="132"/>
      <c r="AA1039" s="136"/>
      <c r="AB1039" s="158"/>
      <c r="AD1039" s="33" t="s">
        <v>7926</v>
      </c>
      <c r="AE1039" s="34" t="s">
        <v>7927</v>
      </c>
      <c r="AF1039" s="33" t="s">
        <v>7928</v>
      </c>
      <c r="AP1039" s="34"/>
      <c r="AQ1039" s="128"/>
      <c r="AR1039" s="129"/>
      <c r="AS1039" s="130"/>
      <c r="AT1039" s="39"/>
      <c r="AU1039" s="132"/>
      <c r="AV1039" s="128"/>
      <c r="AW1039" s="133"/>
      <c r="AX1039" s="134"/>
      <c r="AY1039" s="135"/>
      <c r="AZ1039" s="39"/>
      <c r="BA1039" s="132"/>
      <c r="BB1039" s="136"/>
    </row>
    <row r="1040" spans="1:59" ht="15" customHeight="1">
      <c r="A1040" s="159" t="s">
        <v>7674</v>
      </c>
      <c r="B1040" s="33" t="s">
        <v>7929</v>
      </c>
      <c r="C1040" s="38" t="s">
        <v>7676</v>
      </c>
      <c r="D1040" s="34">
        <v>63</v>
      </c>
      <c r="E1040" s="33">
        <v>1</v>
      </c>
      <c r="F1040" s="33" t="s">
        <v>7887</v>
      </c>
      <c r="G1040" s="33" t="s">
        <v>7930</v>
      </c>
      <c r="J1040" s="33" t="s">
        <v>31</v>
      </c>
      <c r="K1040" s="33" t="s">
        <v>6280</v>
      </c>
      <c r="N1040" s="157"/>
      <c r="O1040" s="128"/>
      <c r="P1040" s="129"/>
      <c r="Q1040" s="130"/>
      <c r="R1040" s="39"/>
      <c r="S1040" s="145"/>
      <c r="T1040" s="132"/>
      <c r="U1040" s="128"/>
      <c r="V1040" s="133"/>
      <c r="W1040" s="134"/>
      <c r="X1040" s="135">
        <v>3</v>
      </c>
      <c r="Y1040" s="39" t="s">
        <v>4965</v>
      </c>
      <c r="Z1040" s="132"/>
      <c r="AA1040" s="136"/>
      <c r="AB1040" s="158"/>
      <c r="AD1040" s="33" t="s">
        <v>7884</v>
      </c>
      <c r="AF1040" s="33" t="s">
        <v>7931</v>
      </c>
      <c r="AP1040" s="34"/>
      <c r="AQ1040" s="128"/>
      <c r="AR1040" s="129"/>
      <c r="AS1040" s="130"/>
      <c r="AT1040" s="39"/>
      <c r="AU1040" s="132"/>
      <c r="AV1040" s="128"/>
      <c r="AW1040" s="133"/>
      <c r="AX1040" s="134"/>
      <c r="AY1040" s="135"/>
      <c r="AZ1040" s="39"/>
      <c r="BA1040" s="132"/>
      <c r="BB1040" s="136"/>
    </row>
    <row r="1041" spans="1:54" ht="15" customHeight="1">
      <c r="A1041" s="159" t="s">
        <v>7674</v>
      </c>
      <c r="B1041" s="33" t="s">
        <v>7932</v>
      </c>
      <c r="C1041" s="38" t="s">
        <v>7676</v>
      </c>
      <c r="D1041" s="34">
        <v>64</v>
      </c>
      <c r="E1041" s="33">
        <v>1</v>
      </c>
      <c r="F1041" s="33" t="s">
        <v>7887</v>
      </c>
      <c r="G1041" s="33" t="s">
        <v>7933</v>
      </c>
      <c r="J1041" s="33" t="s">
        <v>31</v>
      </c>
      <c r="K1041" s="33" t="s">
        <v>6280</v>
      </c>
      <c r="N1041" s="157"/>
      <c r="O1041" s="128"/>
      <c r="P1041" s="129"/>
      <c r="Q1041" s="130"/>
      <c r="R1041" s="39"/>
      <c r="S1041" s="145"/>
      <c r="T1041" s="132"/>
      <c r="U1041" s="128"/>
      <c r="V1041" s="133"/>
      <c r="W1041" s="134"/>
      <c r="X1041" s="135">
        <v>2</v>
      </c>
      <c r="Y1041" s="39" t="s">
        <v>4927</v>
      </c>
      <c r="Z1041" s="132"/>
      <c r="AA1041" s="136">
        <v>1</v>
      </c>
      <c r="AB1041" s="158"/>
      <c r="AD1041" s="33" t="s">
        <v>7884</v>
      </c>
      <c r="AF1041" s="33" t="s">
        <v>7934</v>
      </c>
      <c r="AP1041" s="34"/>
      <c r="AQ1041" s="128"/>
      <c r="AR1041" s="129"/>
      <c r="AS1041" s="130"/>
      <c r="AT1041" s="39"/>
      <c r="AU1041" s="132"/>
      <c r="AV1041" s="128"/>
      <c r="AW1041" s="133"/>
      <c r="AX1041" s="134"/>
      <c r="AY1041" s="135"/>
      <c r="AZ1041" s="39"/>
      <c r="BA1041" s="132"/>
      <c r="BB1041" s="136"/>
    </row>
    <row r="1042" spans="1:54" ht="15" customHeight="1">
      <c r="A1042" s="159" t="s">
        <v>7674</v>
      </c>
      <c r="B1042" s="33" t="s">
        <v>7935</v>
      </c>
      <c r="C1042" s="38" t="s">
        <v>7676</v>
      </c>
      <c r="D1042" s="34">
        <v>65</v>
      </c>
      <c r="E1042" s="33">
        <v>1</v>
      </c>
      <c r="F1042" s="33" t="s">
        <v>7887</v>
      </c>
      <c r="G1042" s="33" t="s">
        <v>7936</v>
      </c>
      <c r="J1042" s="33" t="s">
        <v>31</v>
      </c>
      <c r="K1042" s="33" t="s">
        <v>6280</v>
      </c>
      <c r="N1042" s="157"/>
      <c r="O1042" s="128"/>
      <c r="P1042" s="129"/>
      <c r="Q1042" s="130"/>
      <c r="R1042" s="39"/>
      <c r="S1042" s="145"/>
      <c r="T1042" s="132"/>
      <c r="U1042" s="128"/>
      <c r="V1042" s="133"/>
      <c r="W1042" s="134"/>
      <c r="X1042" s="135">
        <v>3</v>
      </c>
      <c r="Y1042" s="39" t="s">
        <v>4927</v>
      </c>
      <c r="Z1042" s="132"/>
      <c r="AA1042" s="136">
        <v>1</v>
      </c>
      <c r="AB1042" s="158"/>
      <c r="AD1042" s="33" t="s">
        <v>7884</v>
      </c>
      <c r="AF1042" s="33" t="s">
        <v>7937</v>
      </c>
      <c r="AP1042" s="34"/>
      <c r="AQ1042" s="128"/>
      <c r="AR1042" s="129"/>
      <c r="AS1042" s="130"/>
      <c r="AT1042" s="39"/>
      <c r="AU1042" s="132"/>
      <c r="AV1042" s="128"/>
      <c r="AW1042" s="133"/>
      <c r="AX1042" s="134"/>
      <c r="AY1042" s="135"/>
      <c r="AZ1042" s="39"/>
      <c r="BA1042" s="132"/>
      <c r="BB1042" s="136"/>
    </row>
    <row r="1043" spans="1:54" ht="15" customHeight="1">
      <c r="A1043" s="159" t="s">
        <v>7674</v>
      </c>
      <c r="B1043" s="33" t="s">
        <v>7938</v>
      </c>
      <c r="C1043" s="38" t="s">
        <v>7676</v>
      </c>
      <c r="D1043" s="34">
        <v>66</v>
      </c>
      <c r="E1043" s="33">
        <v>1</v>
      </c>
      <c r="F1043" s="33" t="s">
        <v>7887</v>
      </c>
      <c r="G1043" s="33" t="s">
        <v>7939</v>
      </c>
      <c r="J1043" s="33" t="s">
        <v>31</v>
      </c>
      <c r="K1043" s="33" t="s">
        <v>6280</v>
      </c>
      <c r="N1043" s="157"/>
      <c r="O1043" s="128"/>
      <c r="P1043" s="129"/>
      <c r="Q1043" s="130"/>
      <c r="R1043" s="39"/>
      <c r="S1043" s="145"/>
      <c r="T1043" s="132"/>
      <c r="U1043" s="128"/>
      <c r="V1043" s="133"/>
      <c r="W1043" s="134"/>
      <c r="X1043" s="135">
        <v>2</v>
      </c>
      <c r="Y1043" s="39" t="s">
        <v>4927</v>
      </c>
      <c r="Z1043" s="132"/>
      <c r="AA1043" s="136"/>
      <c r="AB1043" s="158"/>
      <c r="AD1043" s="33" t="s">
        <v>7884</v>
      </c>
      <c r="AF1043" s="33" t="s">
        <v>7940</v>
      </c>
      <c r="AP1043" s="34"/>
      <c r="AQ1043" s="128"/>
      <c r="AR1043" s="129"/>
      <c r="AS1043" s="130"/>
      <c r="AT1043" s="39"/>
      <c r="AU1043" s="132"/>
      <c r="AV1043" s="128"/>
      <c r="AW1043" s="133"/>
      <c r="AX1043" s="134"/>
      <c r="AY1043" s="135"/>
      <c r="AZ1043" s="39"/>
      <c r="BA1043" s="132"/>
      <c r="BB1043" s="136"/>
    </row>
    <row r="1044" spans="1:54" ht="15" customHeight="1">
      <c r="A1044" s="159" t="s">
        <v>7674</v>
      </c>
      <c r="B1044" s="33" t="s">
        <v>7941</v>
      </c>
      <c r="C1044" s="38" t="s">
        <v>7676</v>
      </c>
      <c r="D1044" s="34">
        <v>67</v>
      </c>
      <c r="E1044" s="33">
        <v>1</v>
      </c>
      <c r="F1044" s="33" t="s">
        <v>7887</v>
      </c>
      <c r="G1044" s="33" t="s">
        <v>7942</v>
      </c>
      <c r="J1044" s="33" t="s">
        <v>31</v>
      </c>
      <c r="K1044" s="33" t="s">
        <v>6280</v>
      </c>
      <c r="N1044" s="157"/>
      <c r="O1044" s="128"/>
      <c r="P1044" s="129"/>
      <c r="Q1044" s="130"/>
      <c r="R1044" s="39"/>
      <c r="S1044" s="145"/>
      <c r="T1044" s="132"/>
      <c r="U1044" s="128"/>
      <c r="V1044" s="133"/>
      <c r="W1044" s="134"/>
      <c r="X1044" s="135">
        <v>5</v>
      </c>
      <c r="Y1044" s="39" t="s">
        <v>4927</v>
      </c>
      <c r="Z1044" s="132"/>
      <c r="AA1044" s="136">
        <v>1</v>
      </c>
      <c r="AB1044" s="158"/>
      <c r="AD1044" s="33" t="s">
        <v>7884</v>
      </c>
      <c r="AF1044" s="33" t="s">
        <v>7943</v>
      </c>
      <c r="AP1044" s="34"/>
      <c r="AQ1044" s="128"/>
      <c r="AR1044" s="129"/>
      <c r="AS1044" s="130"/>
      <c r="AT1044" s="39"/>
      <c r="AU1044" s="132"/>
      <c r="AV1044" s="128"/>
      <c r="AW1044" s="133"/>
      <c r="AX1044" s="134"/>
      <c r="AY1044" s="135"/>
      <c r="AZ1044" s="39"/>
      <c r="BA1044" s="132"/>
      <c r="BB1044" s="136"/>
    </row>
    <row r="1045" spans="1:54" ht="15" customHeight="1">
      <c r="A1045" s="159" t="s">
        <v>7674</v>
      </c>
      <c r="B1045" s="33" t="s">
        <v>7944</v>
      </c>
      <c r="C1045" s="38" t="s">
        <v>7676</v>
      </c>
      <c r="D1045" s="34">
        <v>68</v>
      </c>
      <c r="E1045" s="33">
        <v>1</v>
      </c>
      <c r="F1045" s="33" t="s">
        <v>7887</v>
      </c>
      <c r="G1045" s="33" t="s">
        <v>7945</v>
      </c>
      <c r="J1045" s="33" t="s">
        <v>31</v>
      </c>
      <c r="K1045" s="33" t="s">
        <v>6280</v>
      </c>
      <c r="N1045" s="157"/>
      <c r="O1045" s="128"/>
      <c r="P1045" s="129"/>
      <c r="Q1045" s="130"/>
      <c r="R1045" s="39"/>
      <c r="S1045" s="145"/>
      <c r="T1045" s="132"/>
      <c r="U1045" s="128"/>
      <c r="V1045" s="133"/>
      <c r="W1045" s="134"/>
      <c r="X1045" s="135">
        <v>4</v>
      </c>
      <c r="Y1045" s="39" t="s">
        <v>4965</v>
      </c>
      <c r="Z1045" s="132"/>
      <c r="AA1045" s="136">
        <v>2</v>
      </c>
      <c r="AB1045" s="158"/>
      <c r="AD1045" s="33" t="s">
        <v>7946</v>
      </c>
      <c r="AF1045" s="33" t="s">
        <v>7947</v>
      </c>
      <c r="AP1045" s="34"/>
      <c r="AQ1045" s="128"/>
      <c r="AR1045" s="129"/>
      <c r="AS1045" s="130"/>
      <c r="AT1045" s="39"/>
      <c r="AU1045" s="132"/>
      <c r="AV1045" s="128"/>
      <c r="AW1045" s="133"/>
      <c r="AX1045" s="134"/>
      <c r="AY1045" s="135"/>
      <c r="AZ1045" s="39"/>
      <c r="BA1045" s="132"/>
      <c r="BB1045" s="136"/>
    </row>
    <row r="1046" spans="1:54" ht="15" customHeight="1">
      <c r="A1046" s="159" t="s">
        <v>7674</v>
      </c>
      <c r="B1046" s="33" t="s">
        <v>7948</v>
      </c>
      <c r="C1046" s="38" t="s">
        <v>7676</v>
      </c>
      <c r="D1046" s="34">
        <v>69</v>
      </c>
      <c r="E1046" s="33">
        <v>1</v>
      </c>
      <c r="F1046" s="33" t="s">
        <v>7949</v>
      </c>
      <c r="G1046" s="33" t="s">
        <v>7950</v>
      </c>
      <c r="J1046" s="33" t="s">
        <v>31</v>
      </c>
      <c r="K1046" s="33" t="s">
        <v>6280</v>
      </c>
      <c r="N1046" s="157"/>
      <c r="O1046" s="128"/>
      <c r="P1046" s="129"/>
      <c r="Q1046" s="130"/>
      <c r="R1046" s="39"/>
      <c r="S1046" s="145"/>
      <c r="T1046" s="132"/>
      <c r="U1046" s="128"/>
      <c r="V1046" s="133"/>
      <c r="W1046" s="134"/>
      <c r="X1046" s="135">
        <v>3</v>
      </c>
      <c r="Y1046" s="39" t="s">
        <v>4927</v>
      </c>
      <c r="Z1046" s="132"/>
      <c r="AA1046" s="136"/>
      <c r="AB1046" s="158"/>
      <c r="AD1046" s="33" t="s">
        <v>7951</v>
      </c>
      <c r="AF1046" s="33" t="s">
        <v>7952</v>
      </c>
      <c r="AP1046" s="34"/>
      <c r="AQ1046" s="128"/>
      <c r="AR1046" s="129"/>
      <c r="AS1046" s="130"/>
      <c r="AT1046" s="39"/>
      <c r="AU1046" s="132"/>
      <c r="AV1046" s="128"/>
      <c r="AW1046" s="133"/>
      <c r="AX1046" s="134"/>
      <c r="AY1046" s="135"/>
      <c r="AZ1046" s="39"/>
      <c r="BA1046" s="132"/>
      <c r="BB1046" s="136"/>
    </row>
    <row r="1047" spans="1:54" ht="15" customHeight="1">
      <c r="A1047" s="159" t="s">
        <v>7674</v>
      </c>
      <c r="B1047" s="33" t="s">
        <v>7953</v>
      </c>
      <c r="C1047" s="38" t="s">
        <v>7676</v>
      </c>
      <c r="D1047" s="34">
        <v>70</v>
      </c>
      <c r="E1047" s="33">
        <v>1</v>
      </c>
      <c r="F1047" s="33" t="s">
        <v>7949</v>
      </c>
      <c r="G1047" s="33" t="s">
        <v>7954</v>
      </c>
      <c r="J1047" s="33" t="s">
        <v>31</v>
      </c>
      <c r="K1047" s="33" t="s">
        <v>6280</v>
      </c>
      <c r="N1047" s="157"/>
      <c r="O1047" s="128"/>
      <c r="P1047" s="129"/>
      <c r="Q1047" s="130"/>
      <c r="R1047" s="39"/>
      <c r="S1047" s="145"/>
      <c r="T1047" s="132"/>
      <c r="U1047" s="128"/>
      <c r="V1047" s="133"/>
      <c r="W1047" s="134"/>
      <c r="X1047" s="135">
        <v>4</v>
      </c>
      <c r="Y1047" s="39" t="s">
        <v>4927</v>
      </c>
      <c r="Z1047" s="132"/>
      <c r="AA1047" s="136"/>
      <c r="AB1047" s="158"/>
      <c r="AD1047" s="33" t="s">
        <v>7951</v>
      </c>
      <c r="AF1047" s="33" t="s">
        <v>7955</v>
      </c>
      <c r="AP1047" s="34"/>
      <c r="AQ1047" s="128"/>
      <c r="AR1047" s="129"/>
      <c r="AS1047" s="130"/>
      <c r="AT1047" s="39"/>
      <c r="AU1047" s="132"/>
      <c r="AV1047" s="128"/>
      <c r="AW1047" s="133"/>
      <c r="AX1047" s="134"/>
      <c r="AY1047" s="135"/>
      <c r="AZ1047" s="39"/>
      <c r="BA1047" s="132"/>
      <c r="BB1047" s="136"/>
    </row>
    <row r="1048" spans="1:54" ht="15" customHeight="1">
      <c r="A1048" s="159" t="s">
        <v>7674</v>
      </c>
      <c r="B1048" s="33" t="s">
        <v>7956</v>
      </c>
      <c r="C1048" s="38" t="s">
        <v>7676</v>
      </c>
      <c r="D1048" s="34">
        <v>71</v>
      </c>
      <c r="E1048" s="33">
        <v>1</v>
      </c>
      <c r="F1048" s="33" t="s">
        <v>7949</v>
      </c>
      <c r="G1048" s="33" t="s">
        <v>7957</v>
      </c>
      <c r="J1048" s="33" t="s">
        <v>31</v>
      </c>
      <c r="K1048" s="33" t="s">
        <v>6280</v>
      </c>
      <c r="N1048" s="157"/>
      <c r="O1048" s="128"/>
      <c r="P1048" s="129"/>
      <c r="Q1048" s="130"/>
      <c r="R1048" s="39"/>
      <c r="S1048" s="145"/>
      <c r="T1048" s="132"/>
      <c r="U1048" s="128"/>
      <c r="V1048" s="133"/>
      <c r="W1048" s="134"/>
      <c r="X1048" s="135">
        <v>2</v>
      </c>
      <c r="Y1048" s="39" t="s">
        <v>4927</v>
      </c>
      <c r="Z1048" s="132"/>
      <c r="AA1048" s="136"/>
      <c r="AB1048" s="158"/>
      <c r="AD1048" s="33" t="s">
        <v>7951</v>
      </c>
      <c r="AF1048" s="33" t="s">
        <v>7958</v>
      </c>
      <c r="AP1048" s="34"/>
      <c r="AQ1048" s="128"/>
      <c r="AR1048" s="129"/>
      <c r="AS1048" s="130"/>
      <c r="AT1048" s="39"/>
      <c r="AU1048" s="132"/>
      <c r="AV1048" s="128"/>
      <c r="AW1048" s="133"/>
      <c r="AX1048" s="134"/>
      <c r="AY1048" s="135"/>
      <c r="AZ1048" s="39"/>
      <c r="BA1048" s="132"/>
      <c r="BB1048" s="136"/>
    </row>
    <row r="1049" spans="1:54" ht="15" customHeight="1">
      <c r="A1049" s="159" t="s">
        <v>7674</v>
      </c>
      <c r="B1049" s="33" t="s">
        <v>7959</v>
      </c>
      <c r="C1049" s="38" t="s">
        <v>7676</v>
      </c>
      <c r="D1049" s="34">
        <v>72</v>
      </c>
      <c r="E1049" s="33">
        <v>1</v>
      </c>
      <c r="F1049" s="33" t="s">
        <v>7949</v>
      </c>
      <c r="G1049" s="33" t="s">
        <v>7960</v>
      </c>
      <c r="J1049" s="33" t="s">
        <v>31</v>
      </c>
      <c r="K1049" s="33" t="s">
        <v>6280</v>
      </c>
      <c r="N1049" s="157"/>
      <c r="O1049" s="128"/>
      <c r="P1049" s="129"/>
      <c r="Q1049" s="130"/>
      <c r="R1049" s="39"/>
      <c r="S1049" s="145"/>
      <c r="T1049" s="132"/>
      <c r="U1049" s="128"/>
      <c r="V1049" s="133"/>
      <c r="W1049" s="134"/>
      <c r="X1049" s="135">
        <v>2</v>
      </c>
      <c r="Y1049" s="39" t="s">
        <v>4965</v>
      </c>
      <c r="Z1049" s="132"/>
      <c r="AA1049" s="136">
        <v>1</v>
      </c>
      <c r="AB1049" s="158"/>
      <c r="AD1049" s="33" t="s">
        <v>7951</v>
      </c>
      <c r="AF1049" s="33" t="s">
        <v>7961</v>
      </c>
      <c r="AP1049" s="34"/>
      <c r="AQ1049" s="128"/>
      <c r="AR1049" s="129"/>
      <c r="AS1049" s="130"/>
      <c r="AT1049" s="39"/>
      <c r="AU1049" s="132"/>
      <c r="AV1049" s="128"/>
      <c r="AW1049" s="133"/>
      <c r="AX1049" s="134"/>
      <c r="AY1049" s="135"/>
      <c r="AZ1049" s="39"/>
      <c r="BA1049" s="132"/>
      <c r="BB1049" s="136"/>
    </row>
    <row r="1050" spans="1:54" ht="15" customHeight="1">
      <c r="A1050" s="159" t="s">
        <v>7674</v>
      </c>
      <c r="B1050" s="33" t="s">
        <v>7962</v>
      </c>
      <c r="C1050" s="38" t="s">
        <v>7676</v>
      </c>
      <c r="D1050" s="34">
        <v>73</v>
      </c>
      <c r="E1050" s="33">
        <v>1</v>
      </c>
      <c r="F1050" s="33" t="s">
        <v>7949</v>
      </c>
      <c r="G1050" s="33" t="s">
        <v>7963</v>
      </c>
      <c r="J1050" s="33" t="s">
        <v>31</v>
      </c>
      <c r="K1050" s="33" t="s">
        <v>6280</v>
      </c>
      <c r="N1050" s="157"/>
      <c r="O1050" s="128"/>
      <c r="P1050" s="129"/>
      <c r="Q1050" s="130"/>
      <c r="R1050" s="39"/>
      <c r="S1050" s="145"/>
      <c r="T1050" s="132"/>
      <c r="U1050" s="128"/>
      <c r="V1050" s="133"/>
      <c r="W1050" s="134"/>
      <c r="X1050" s="135">
        <v>1</v>
      </c>
      <c r="Y1050" s="39" t="s">
        <v>4927</v>
      </c>
      <c r="Z1050" s="132"/>
      <c r="AA1050" s="136">
        <v>1</v>
      </c>
      <c r="AB1050" s="158"/>
      <c r="AD1050" s="33" t="s">
        <v>7951</v>
      </c>
      <c r="AF1050" s="33" t="s">
        <v>7964</v>
      </c>
      <c r="AP1050" s="34"/>
      <c r="AQ1050" s="128"/>
      <c r="AR1050" s="129"/>
      <c r="AS1050" s="130"/>
      <c r="AT1050" s="39"/>
      <c r="AU1050" s="132"/>
      <c r="AV1050" s="128"/>
      <c r="AW1050" s="133"/>
      <c r="AX1050" s="134"/>
      <c r="AY1050" s="135"/>
      <c r="AZ1050" s="39"/>
      <c r="BA1050" s="132"/>
      <c r="BB1050" s="136"/>
    </row>
    <row r="1051" spans="1:54" ht="15" customHeight="1">
      <c r="A1051" s="159" t="s">
        <v>7674</v>
      </c>
      <c r="B1051" s="33" t="s">
        <v>7965</v>
      </c>
      <c r="C1051" s="38" t="s">
        <v>7676</v>
      </c>
      <c r="D1051" s="34">
        <v>74</v>
      </c>
      <c r="E1051" s="33">
        <v>1</v>
      </c>
      <c r="F1051" s="33" t="s">
        <v>7949</v>
      </c>
      <c r="G1051" s="33" t="s">
        <v>7966</v>
      </c>
      <c r="J1051" s="33" t="s">
        <v>31</v>
      </c>
      <c r="K1051" s="33" t="s">
        <v>6280</v>
      </c>
      <c r="N1051" s="157"/>
      <c r="O1051" s="128"/>
      <c r="P1051" s="129"/>
      <c r="Q1051" s="130"/>
      <c r="R1051" s="39"/>
      <c r="S1051" s="145"/>
      <c r="T1051" s="132"/>
      <c r="U1051" s="128"/>
      <c r="V1051" s="133"/>
      <c r="W1051" s="134"/>
      <c r="X1051" s="135">
        <v>2</v>
      </c>
      <c r="Y1051" s="39" t="s">
        <v>4927</v>
      </c>
      <c r="Z1051" s="132"/>
      <c r="AA1051" s="136">
        <v>2</v>
      </c>
      <c r="AB1051" s="158"/>
      <c r="AD1051" s="33" t="s">
        <v>7884</v>
      </c>
      <c r="AF1051" s="33" t="s">
        <v>7967</v>
      </c>
      <c r="AP1051" s="34"/>
      <c r="AQ1051" s="128"/>
      <c r="AR1051" s="129"/>
      <c r="AS1051" s="130"/>
      <c r="AT1051" s="39"/>
      <c r="AU1051" s="132"/>
      <c r="AV1051" s="128"/>
      <c r="AW1051" s="133"/>
      <c r="AX1051" s="134"/>
      <c r="AY1051" s="135"/>
      <c r="AZ1051" s="39"/>
      <c r="BA1051" s="132"/>
      <c r="BB1051" s="136"/>
    </row>
    <row r="1052" spans="1:54" ht="15" customHeight="1">
      <c r="A1052" s="159" t="s">
        <v>7674</v>
      </c>
      <c r="B1052" s="33" t="s">
        <v>7968</v>
      </c>
      <c r="C1052" s="38" t="s">
        <v>7676</v>
      </c>
      <c r="D1052" s="34">
        <v>75</v>
      </c>
      <c r="E1052" s="33">
        <v>1</v>
      </c>
      <c r="F1052" s="33" t="s">
        <v>7949</v>
      </c>
      <c r="G1052" s="33" t="s">
        <v>7969</v>
      </c>
      <c r="J1052" s="33" t="s">
        <v>31</v>
      </c>
      <c r="K1052" s="33" t="s">
        <v>6280</v>
      </c>
      <c r="N1052" s="157"/>
      <c r="O1052" s="128"/>
      <c r="P1052" s="129"/>
      <c r="Q1052" s="130"/>
      <c r="R1052" s="39"/>
      <c r="S1052" s="145"/>
      <c r="T1052" s="132"/>
      <c r="U1052" s="128"/>
      <c r="V1052" s="133"/>
      <c r="W1052" s="134"/>
      <c r="X1052" s="135">
        <v>5</v>
      </c>
      <c r="Y1052" s="39" t="s">
        <v>4927</v>
      </c>
      <c r="Z1052" s="132"/>
      <c r="AA1052" s="136">
        <v>2</v>
      </c>
      <c r="AB1052" s="158"/>
      <c r="AD1052" s="33" t="s">
        <v>7884</v>
      </c>
      <c r="AF1052" s="33" t="s">
        <v>7970</v>
      </c>
      <c r="AP1052" s="34"/>
      <c r="AQ1052" s="128"/>
      <c r="AR1052" s="129"/>
      <c r="AS1052" s="130"/>
      <c r="AT1052" s="39"/>
      <c r="AU1052" s="132"/>
      <c r="AV1052" s="128"/>
      <c r="AW1052" s="133"/>
      <c r="AX1052" s="134"/>
      <c r="AY1052" s="135"/>
      <c r="AZ1052" s="39"/>
      <c r="BA1052" s="132"/>
      <c r="BB1052" s="136"/>
    </row>
    <row r="1053" spans="1:54" ht="15" customHeight="1">
      <c r="A1053" s="159" t="s">
        <v>7674</v>
      </c>
      <c r="B1053" s="33" t="s">
        <v>7971</v>
      </c>
      <c r="C1053" s="38" t="s">
        <v>7676</v>
      </c>
      <c r="D1053" s="34">
        <v>76</v>
      </c>
      <c r="E1053" s="33">
        <v>2</v>
      </c>
      <c r="F1053" s="33" t="s">
        <v>7949</v>
      </c>
      <c r="G1053" s="33" t="s">
        <v>7972</v>
      </c>
      <c r="J1053" s="33" t="s">
        <v>28</v>
      </c>
      <c r="K1053" s="33" t="s">
        <v>6280</v>
      </c>
      <c r="N1053" s="157"/>
      <c r="O1053" s="128"/>
      <c r="P1053" s="129"/>
      <c r="Q1053" s="130"/>
      <c r="R1053" s="39"/>
      <c r="S1053" s="145"/>
      <c r="T1053" s="132"/>
      <c r="U1053" s="128"/>
      <c r="V1053" s="133"/>
      <c r="W1053" s="134"/>
      <c r="X1053" s="135"/>
      <c r="Y1053" s="39"/>
      <c r="Z1053" s="132"/>
      <c r="AA1053" s="136"/>
      <c r="AB1053" s="158"/>
      <c r="AD1053" s="33" t="s">
        <v>4688</v>
      </c>
      <c r="AF1053" s="33" t="s">
        <v>7973</v>
      </c>
      <c r="AP1053" s="34"/>
      <c r="AQ1053" s="128"/>
      <c r="AR1053" s="129"/>
      <c r="AS1053" s="130"/>
      <c r="AT1053" s="39"/>
      <c r="AU1053" s="132"/>
      <c r="AV1053" s="128"/>
      <c r="AW1053" s="133"/>
      <c r="AX1053" s="134"/>
      <c r="AY1053" s="135"/>
      <c r="AZ1053" s="39"/>
      <c r="BA1053" s="132"/>
      <c r="BB1053" s="136"/>
    </row>
    <row r="1054" spans="1:54" ht="15" customHeight="1">
      <c r="A1054" s="159" t="s">
        <v>7674</v>
      </c>
      <c r="B1054" s="33" t="s">
        <v>7974</v>
      </c>
      <c r="C1054" s="38" t="s">
        <v>7676</v>
      </c>
      <c r="D1054" s="34">
        <v>77</v>
      </c>
      <c r="E1054" s="33">
        <v>2</v>
      </c>
      <c r="F1054" s="33" t="s">
        <v>7949</v>
      </c>
      <c r="G1054" s="33" t="s">
        <v>7975</v>
      </c>
      <c r="J1054" s="33" t="s">
        <v>28</v>
      </c>
      <c r="K1054" s="33" t="s">
        <v>6280</v>
      </c>
      <c r="N1054" s="157"/>
      <c r="O1054" s="128"/>
      <c r="P1054" s="129"/>
      <c r="Q1054" s="130"/>
      <c r="R1054" s="39"/>
      <c r="S1054" s="145"/>
      <c r="T1054" s="132"/>
      <c r="U1054" s="128"/>
      <c r="V1054" s="133"/>
      <c r="W1054" s="134"/>
      <c r="X1054" s="135"/>
      <c r="Y1054" s="39"/>
      <c r="Z1054" s="132"/>
      <c r="AA1054" s="136"/>
      <c r="AB1054" s="158"/>
      <c r="AD1054" s="33" t="s">
        <v>5517</v>
      </c>
      <c r="AF1054" s="33" t="s">
        <v>7976</v>
      </c>
      <c r="AP1054" s="34"/>
      <c r="AQ1054" s="128"/>
      <c r="AR1054" s="129"/>
      <c r="AS1054" s="130"/>
      <c r="AT1054" s="39"/>
      <c r="AU1054" s="132"/>
      <c r="AV1054" s="128"/>
      <c r="AW1054" s="133"/>
      <c r="AX1054" s="134"/>
      <c r="AY1054" s="135"/>
      <c r="AZ1054" s="39"/>
      <c r="BA1054" s="132"/>
      <c r="BB1054" s="136"/>
    </row>
    <row r="1055" spans="1:54" ht="15" customHeight="1">
      <c r="A1055" s="159" t="s">
        <v>7674</v>
      </c>
      <c r="B1055" s="33" t="s">
        <v>7977</v>
      </c>
      <c r="C1055" s="38" t="s">
        <v>7676</v>
      </c>
      <c r="D1055" s="34">
        <v>78</v>
      </c>
      <c r="E1055" s="33">
        <v>3</v>
      </c>
      <c r="F1055" s="33" t="s">
        <v>7978</v>
      </c>
      <c r="G1055" s="33" t="s">
        <v>7979</v>
      </c>
      <c r="J1055" s="33" t="s">
        <v>29</v>
      </c>
      <c r="K1055" s="33" t="s">
        <v>6280</v>
      </c>
      <c r="N1055" s="157"/>
      <c r="O1055" s="128"/>
      <c r="P1055" s="129"/>
      <c r="Q1055" s="130">
        <v>3</v>
      </c>
      <c r="R1055" s="39">
        <v>3</v>
      </c>
      <c r="S1055" s="145"/>
      <c r="T1055" s="132">
        <v>1</v>
      </c>
      <c r="U1055" s="128"/>
      <c r="V1055" s="133">
        <v>1</v>
      </c>
      <c r="W1055" s="134"/>
      <c r="X1055" s="135"/>
      <c r="Y1055" s="39"/>
      <c r="Z1055" s="132"/>
      <c r="AA1055" s="136"/>
      <c r="AB1055" s="158"/>
      <c r="AD1055" s="33" t="s">
        <v>7980</v>
      </c>
      <c r="AF1055" s="33" t="s">
        <v>7981</v>
      </c>
      <c r="AP1055" s="34"/>
      <c r="AQ1055" s="128"/>
      <c r="AR1055" s="129"/>
      <c r="AS1055" s="130"/>
      <c r="AT1055" s="39"/>
      <c r="AU1055" s="132"/>
      <c r="AV1055" s="128"/>
      <c r="AW1055" s="133"/>
      <c r="AX1055" s="134"/>
      <c r="AY1055" s="135"/>
      <c r="AZ1055" s="39"/>
      <c r="BA1055" s="132"/>
      <c r="BB1055" s="136"/>
    </row>
    <row r="1056" spans="1:54" ht="15" customHeight="1">
      <c r="A1056" s="159" t="s">
        <v>7674</v>
      </c>
      <c r="B1056" s="33" t="s">
        <v>7982</v>
      </c>
      <c r="C1056" s="38" t="s">
        <v>7676</v>
      </c>
      <c r="D1056" s="34">
        <v>79</v>
      </c>
      <c r="E1056" s="33">
        <v>1</v>
      </c>
      <c r="F1056" s="33" t="s">
        <v>7978</v>
      </c>
      <c r="G1056" s="33" t="s">
        <v>7983</v>
      </c>
      <c r="J1056" s="33" t="s">
        <v>29</v>
      </c>
      <c r="K1056" s="33" t="s">
        <v>6280</v>
      </c>
      <c r="N1056" s="157"/>
      <c r="O1056" s="128"/>
      <c r="P1056" s="129"/>
      <c r="Q1056" s="130">
        <v>4</v>
      </c>
      <c r="R1056" s="39">
        <v>2</v>
      </c>
      <c r="S1056" s="145"/>
      <c r="T1056" s="132">
        <v>4</v>
      </c>
      <c r="U1056" s="128"/>
      <c r="V1056" s="133">
        <v>1</v>
      </c>
      <c r="W1056" s="134">
        <v>1</v>
      </c>
      <c r="X1056" s="135"/>
      <c r="Y1056" s="39"/>
      <c r="Z1056" s="132"/>
      <c r="AA1056" s="136"/>
      <c r="AB1056" s="158"/>
      <c r="AD1056" s="33" t="s">
        <v>7980</v>
      </c>
      <c r="AE1056" s="34" t="s">
        <v>4329</v>
      </c>
      <c r="AF1056" s="33" t="s">
        <v>7984</v>
      </c>
      <c r="AP1056" s="34"/>
      <c r="AQ1056" s="128"/>
      <c r="AR1056" s="129"/>
      <c r="AS1056" s="130"/>
      <c r="AT1056" s="39"/>
      <c r="AU1056" s="132"/>
      <c r="AV1056" s="128"/>
      <c r="AW1056" s="133"/>
      <c r="AX1056" s="134"/>
      <c r="AY1056" s="135"/>
      <c r="AZ1056" s="39"/>
      <c r="BA1056" s="132"/>
      <c r="BB1056" s="136"/>
    </row>
    <row r="1057" spans="1:54" ht="15" customHeight="1">
      <c r="A1057" s="159" t="s">
        <v>7674</v>
      </c>
      <c r="B1057" s="33" t="s">
        <v>7985</v>
      </c>
      <c r="C1057" s="38" t="s">
        <v>7676</v>
      </c>
      <c r="D1057" s="34">
        <v>80</v>
      </c>
      <c r="E1057" s="33">
        <v>3</v>
      </c>
      <c r="F1057" s="33" t="s">
        <v>7978</v>
      </c>
      <c r="G1057" s="33" t="s">
        <v>7986</v>
      </c>
      <c r="J1057" s="33" t="s">
        <v>28</v>
      </c>
      <c r="K1057" s="33" t="s">
        <v>6280</v>
      </c>
      <c r="N1057" s="157"/>
      <c r="O1057" s="128"/>
      <c r="P1057" s="129"/>
      <c r="Q1057" s="130"/>
      <c r="R1057" s="39"/>
      <c r="S1057" s="145"/>
      <c r="T1057" s="132"/>
      <c r="U1057" s="128"/>
      <c r="V1057" s="133"/>
      <c r="W1057" s="134"/>
      <c r="X1057" s="135"/>
      <c r="Y1057" s="39"/>
      <c r="Z1057" s="132"/>
      <c r="AA1057" s="136"/>
      <c r="AB1057" s="158"/>
      <c r="AD1057" s="33" t="s">
        <v>7987</v>
      </c>
      <c r="AF1057" s="33" t="s">
        <v>7988</v>
      </c>
      <c r="AP1057" s="34"/>
      <c r="AQ1057" s="128"/>
      <c r="AR1057" s="129"/>
      <c r="AS1057" s="130"/>
      <c r="AT1057" s="39"/>
      <c r="AU1057" s="132"/>
      <c r="AV1057" s="128"/>
      <c r="AW1057" s="133"/>
      <c r="AX1057" s="134"/>
      <c r="AY1057" s="135"/>
      <c r="AZ1057" s="39"/>
      <c r="BA1057" s="132"/>
      <c r="BB1057" s="136"/>
    </row>
    <row r="1058" spans="1:54" ht="15" customHeight="1">
      <c r="A1058" s="159" t="s">
        <v>7674</v>
      </c>
      <c r="B1058" s="33" t="s">
        <v>7989</v>
      </c>
      <c r="C1058" s="38" t="s">
        <v>7676</v>
      </c>
      <c r="D1058" s="34">
        <v>81</v>
      </c>
      <c r="E1058" s="33">
        <v>3</v>
      </c>
      <c r="F1058" s="33" t="s">
        <v>7990</v>
      </c>
      <c r="G1058" s="33" t="s">
        <v>7991</v>
      </c>
      <c r="J1058" s="33" t="s">
        <v>28</v>
      </c>
      <c r="K1058" s="33" t="s">
        <v>6280</v>
      </c>
      <c r="N1058" s="157"/>
      <c r="O1058" s="128"/>
      <c r="P1058" s="129"/>
      <c r="Q1058" s="130"/>
      <c r="R1058" s="39"/>
      <c r="S1058" s="145"/>
      <c r="T1058" s="132"/>
      <c r="U1058" s="128"/>
      <c r="V1058" s="133"/>
      <c r="W1058" s="134"/>
      <c r="X1058" s="135"/>
      <c r="Y1058" s="39"/>
      <c r="Z1058" s="132"/>
      <c r="AA1058" s="136"/>
      <c r="AB1058" s="158"/>
      <c r="AD1058" s="33" t="s">
        <v>5045</v>
      </c>
      <c r="AF1058" s="33" t="s">
        <v>7992</v>
      </c>
      <c r="AP1058" s="34"/>
      <c r="AQ1058" s="128"/>
      <c r="AR1058" s="129"/>
      <c r="AS1058" s="130"/>
      <c r="AT1058" s="39"/>
      <c r="AU1058" s="132"/>
      <c r="AV1058" s="128"/>
      <c r="AW1058" s="133"/>
      <c r="AX1058" s="134"/>
      <c r="AY1058" s="135"/>
      <c r="AZ1058" s="39"/>
      <c r="BA1058" s="132"/>
      <c r="BB1058" s="136"/>
    </row>
    <row r="1059" spans="1:54" ht="15" customHeight="1">
      <c r="A1059" s="159" t="s">
        <v>7674</v>
      </c>
      <c r="B1059" s="33" t="s">
        <v>7993</v>
      </c>
      <c r="C1059" s="38" t="s">
        <v>7676</v>
      </c>
      <c r="D1059" s="34">
        <v>82</v>
      </c>
      <c r="E1059" s="33">
        <v>2</v>
      </c>
      <c r="F1059" s="33" t="s">
        <v>7990</v>
      </c>
      <c r="G1059" s="33" t="s">
        <v>7994</v>
      </c>
      <c r="J1059" s="33" t="s">
        <v>28</v>
      </c>
      <c r="K1059" s="33" t="s">
        <v>6280</v>
      </c>
      <c r="N1059" s="157"/>
      <c r="O1059" s="128"/>
      <c r="P1059" s="129"/>
      <c r="Q1059" s="130"/>
      <c r="R1059" s="39"/>
      <c r="S1059" s="145"/>
      <c r="T1059" s="132"/>
      <c r="U1059" s="128"/>
      <c r="V1059" s="133"/>
      <c r="W1059" s="134"/>
      <c r="X1059" s="135"/>
      <c r="Y1059" s="39"/>
      <c r="Z1059" s="132"/>
      <c r="AA1059" s="136"/>
      <c r="AB1059" s="158"/>
      <c r="AD1059" s="33" t="s">
        <v>5045</v>
      </c>
      <c r="AE1059" s="34" t="s">
        <v>4615</v>
      </c>
      <c r="AF1059" s="33" t="s">
        <v>7995</v>
      </c>
      <c r="AP1059" s="34"/>
      <c r="AQ1059" s="128"/>
      <c r="AR1059" s="129"/>
      <c r="AS1059" s="130"/>
      <c r="AT1059" s="39"/>
      <c r="AU1059" s="132"/>
      <c r="AV1059" s="128"/>
      <c r="AW1059" s="133"/>
      <c r="AX1059" s="134"/>
      <c r="AY1059" s="135"/>
      <c r="AZ1059" s="39"/>
      <c r="BA1059" s="132"/>
      <c r="BB1059" s="136"/>
    </row>
    <row r="1060" spans="1:54" ht="15" customHeight="1">
      <c r="A1060" s="159" t="s">
        <v>7674</v>
      </c>
      <c r="B1060" s="33" t="s">
        <v>7996</v>
      </c>
      <c r="C1060" s="38" t="s">
        <v>7676</v>
      </c>
      <c r="D1060" s="34">
        <v>83</v>
      </c>
      <c r="E1060" s="33">
        <v>3</v>
      </c>
      <c r="F1060" s="33" t="s">
        <v>7997</v>
      </c>
      <c r="G1060" s="33" t="s">
        <v>7998</v>
      </c>
      <c r="J1060" s="33" t="s">
        <v>29</v>
      </c>
      <c r="K1060" s="33" t="s">
        <v>6280</v>
      </c>
      <c r="N1060" s="157"/>
      <c r="O1060" s="128"/>
      <c r="P1060" s="129"/>
      <c r="Q1060" s="130">
        <v>2</v>
      </c>
      <c r="R1060" s="39">
        <v>2</v>
      </c>
      <c r="S1060" s="145"/>
      <c r="T1060" s="132">
        <v>3</v>
      </c>
      <c r="U1060" s="128"/>
      <c r="V1060" s="133">
        <v>1</v>
      </c>
      <c r="W1060" s="134">
        <v>1</v>
      </c>
      <c r="X1060" s="135"/>
      <c r="Y1060" s="39"/>
      <c r="Z1060" s="132"/>
      <c r="AA1060" s="136"/>
      <c r="AB1060" s="158"/>
      <c r="AD1060" s="33" t="s">
        <v>7737</v>
      </c>
      <c r="AE1060" s="34" t="s">
        <v>4329</v>
      </c>
      <c r="AF1060" s="33" t="s">
        <v>7999</v>
      </c>
      <c r="AP1060" s="34"/>
      <c r="AQ1060" s="128"/>
      <c r="AR1060" s="129"/>
      <c r="AS1060" s="130"/>
      <c r="AT1060" s="39"/>
      <c r="AU1060" s="132"/>
      <c r="AV1060" s="128"/>
      <c r="AW1060" s="133"/>
      <c r="AX1060" s="134"/>
      <c r="AY1060" s="135"/>
      <c r="AZ1060" s="39"/>
      <c r="BA1060" s="132"/>
      <c r="BB1060" s="136"/>
    </row>
    <row r="1061" spans="1:54" ht="15" customHeight="1">
      <c r="A1061" s="159" t="s">
        <v>7674</v>
      </c>
      <c r="B1061" s="33" t="s">
        <v>8000</v>
      </c>
      <c r="C1061" s="38" t="s">
        <v>7676</v>
      </c>
      <c r="D1061" s="34">
        <v>84</v>
      </c>
      <c r="E1061" s="33">
        <v>1</v>
      </c>
      <c r="F1061" s="33" t="s">
        <v>7997</v>
      </c>
      <c r="G1061" s="33" t="s">
        <v>8001</v>
      </c>
      <c r="J1061" s="33" t="s">
        <v>29</v>
      </c>
      <c r="K1061" s="33" t="s">
        <v>6280</v>
      </c>
      <c r="N1061" s="157"/>
      <c r="O1061" s="128"/>
      <c r="P1061" s="129"/>
      <c r="Q1061" s="130">
        <v>3</v>
      </c>
      <c r="R1061" s="39">
        <v>3</v>
      </c>
      <c r="S1061" s="145"/>
      <c r="T1061" s="132">
        <v>5</v>
      </c>
      <c r="U1061" s="128"/>
      <c r="V1061" s="133">
        <v>1</v>
      </c>
      <c r="W1061" s="134">
        <v>2</v>
      </c>
      <c r="X1061" s="135"/>
      <c r="Y1061" s="39"/>
      <c r="Z1061" s="132"/>
      <c r="AA1061" s="136">
        <v>1</v>
      </c>
      <c r="AB1061" s="158"/>
      <c r="AD1061" s="33" t="s">
        <v>7737</v>
      </c>
      <c r="AF1061" s="33" t="s">
        <v>8002</v>
      </c>
      <c r="AP1061" s="34"/>
      <c r="AQ1061" s="128"/>
      <c r="AR1061" s="129"/>
      <c r="AS1061" s="130"/>
      <c r="AT1061" s="39"/>
      <c r="AU1061" s="132"/>
      <c r="AV1061" s="128"/>
      <c r="AW1061" s="133"/>
      <c r="AX1061" s="134"/>
      <c r="AY1061" s="135"/>
      <c r="AZ1061" s="39"/>
      <c r="BA1061" s="132"/>
      <c r="BB1061" s="136"/>
    </row>
    <row r="1062" spans="1:54" ht="15" customHeight="1">
      <c r="A1062" s="159" t="s">
        <v>7674</v>
      </c>
      <c r="B1062" s="33" t="s">
        <v>8003</v>
      </c>
      <c r="C1062" s="38" t="s">
        <v>7676</v>
      </c>
      <c r="D1062" s="34">
        <v>85</v>
      </c>
      <c r="E1062" s="33">
        <v>2</v>
      </c>
      <c r="F1062" s="33" t="s">
        <v>7997</v>
      </c>
      <c r="G1062" s="33" t="s">
        <v>8004</v>
      </c>
      <c r="J1062" s="33" t="s">
        <v>28</v>
      </c>
      <c r="K1062" s="33" t="s">
        <v>6280</v>
      </c>
      <c r="N1062" s="157"/>
      <c r="O1062" s="128"/>
      <c r="P1062" s="129"/>
      <c r="Q1062" s="130"/>
      <c r="R1062" s="39"/>
      <c r="S1062" s="145"/>
      <c r="T1062" s="132"/>
      <c r="U1062" s="128"/>
      <c r="V1062" s="133"/>
      <c r="W1062" s="134"/>
      <c r="X1062" s="135"/>
      <c r="Y1062" s="39"/>
      <c r="Z1062" s="132"/>
      <c r="AA1062" s="136"/>
      <c r="AB1062" s="158"/>
      <c r="AD1062" s="33" t="s">
        <v>4293</v>
      </c>
      <c r="AF1062" s="33" t="s">
        <v>8005</v>
      </c>
      <c r="AP1062" s="34"/>
      <c r="AQ1062" s="128"/>
      <c r="AR1062" s="129"/>
      <c r="AS1062" s="130"/>
      <c r="AT1062" s="39"/>
      <c r="AU1062" s="132"/>
      <c r="AV1062" s="128"/>
      <c r="AW1062" s="133"/>
      <c r="AX1062" s="134"/>
      <c r="AY1062" s="135"/>
      <c r="AZ1062" s="39"/>
      <c r="BA1062" s="132"/>
      <c r="BB1062" s="136"/>
    </row>
    <row r="1063" spans="1:54" ht="15" customHeight="1">
      <c r="A1063" s="159" t="s">
        <v>7674</v>
      </c>
      <c r="B1063" s="33" t="s">
        <v>8006</v>
      </c>
      <c r="C1063" s="38" t="s">
        <v>7676</v>
      </c>
      <c r="D1063" s="34">
        <v>86</v>
      </c>
      <c r="E1063" s="33">
        <v>2</v>
      </c>
      <c r="F1063" s="33" t="s">
        <v>8007</v>
      </c>
      <c r="G1063" s="33" t="s">
        <v>8008</v>
      </c>
      <c r="J1063" s="33" t="s">
        <v>29</v>
      </c>
      <c r="K1063" s="33" t="s">
        <v>6280</v>
      </c>
      <c r="N1063" s="157"/>
      <c r="O1063" s="128"/>
      <c r="P1063" s="129"/>
      <c r="Q1063" s="130">
        <v>4</v>
      </c>
      <c r="R1063" s="39">
        <v>2</v>
      </c>
      <c r="S1063" s="145"/>
      <c r="T1063" s="132">
        <v>2</v>
      </c>
      <c r="U1063" s="128"/>
      <c r="V1063" s="133">
        <v>1</v>
      </c>
      <c r="W1063" s="134"/>
      <c r="X1063" s="135"/>
      <c r="Y1063" s="39"/>
      <c r="Z1063" s="132"/>
      <c r="AA1063" s="136"/>
      <c r="AB1063" s="158"/>
      <c r="AD1063" s="33" t="s">
        <v>8009</v>
      </c>
      <c r="AE1063" s="34" t="s">
        <v>8010</v>
      </c>
      <c r="AF1063" s="33" t="s">
        <v>8011</v>
      </c>
      <c r="AP1063" s="34"/>
      <c r="AQ1063" s="128"/>
      <c r="AR1063" s="129"/>
      <c r="AS1063" s="130"/>
      <c r="AT1063" s="39"/>
      <c r="AU1063" s="132"/>
      <c r="AV1063" s="128"/>
      <c r="AW1063" s="133"/>
      <c r="AX1063" s="134"/>
      <c r="AY1063" s="135"/>
      <c r="AZ1063" s="39"/>
      <c r="BA1063" s="132"/>
      <c r="BB1063" s="136"/>
    </row>
    <row r="1064" spans="1:54" ht="15" customHeight="1">
      <c r="A1064" s="159" t="s">
        <v>7674</v>
      </c>
      <c r="B1064" s="33" t="s">
        <v>8012</v>
      </c>
      <c r="C1064" s="38" t="s">
        <v>7676</v>
      </c>
      <c r="D1064" s="34">
        <v>87</v>
      </c>
      <c r="E1064" s="33">
        <v>2</v>
      </c>
      <c r="F1064" s="33" t="s">
        <v>8007</v>
      </c>
      <c r="G1064" s="33" t="s">
        <v>8013</v>
      </c>
      <c r="J1064" s="33" t="s">
        <v>28</v>
      </c>
      <c r="K1064" s="33" t="s">
        <v>6280</v>
      </c>
      <c r="N1064" s="157"/>
      <c r="O1064" s="128"/>
      <c r="P1064" s="129"/>
      <c r="Q1064" s="130"/>
      <c r="R1064" s="39"/>
      <c r="S1064" s="145"/>
      <c r="T1064" s="132"/>
      <c r="U1064" s="128"/>
      <c r="V1064" s="133"/>
      <c r="W1064" s="134"/>
      <c r="X1064" s="135"/>
      <c r="Y1064" s="39"/>
      <c r="Z1064" s="132"/>
      <c r="AA1064" s="136"/>
      <c r="AB1064" s="158"/>
      <c r="AD1064" s="33" t="s">
        <v>5050</v>
      </c>
      <c r="AF1064" s="33" t="s">
        <v>8014</v>
      </c>
      <c r="AP1064" s="34"/>
      <c r="AQ1064" s="128"/>
      <c r="AR1064" s="129"/>
      <c r="AS1064" s="130"/>
      <c r="AT1064" s="39"/>
      <c r="AU1064" s="132"/>
      <c r="AV1064" s="128"/>
      <c r="AW1064" s="133"/>
      <c r="AX1064" s="134"/>
      <c r="AY1064" s="135"/>
      <c r="AZ1064" s="39"/>
      <c r="BA1064" s="132"/>
      <c r="BB1064" s="136"/>
    </row>
    <row r="1065" spans="1:54" ht="15" customHeight="1">
      <c r="A1065" s="159" t="s">
        <v>7674</v>
      </c>
      <c r="B1065" s="33" t="s">
        <v>8015</v>
      </c>
      <c r="C1065" s="38" t="s">
        <v>7676</v>
      </c>
      <c r="D1065" s="34">
        <v>88</v>
      </c>
      <c r="E1065" s="33">
        <v>3</v>
      </c>
      <c r="F1065" s="33" t="s">
        <v>8016</v>
      </c>
      <c r="G1065" s="33" t="s">
        <v>8017</v>
      </c>
      <c r="J1065" s="33" t="s">
        <v>28</v>
      </c>
      <c r="K1065" s="33" t="s">
        <v>6280</v>
      </c>
      <c r="N1065" s="157"/>
      <c r="O1065" s="128"/>
      <c r="P1065" s="129"/>
      <c r="Q1065" s="130"/>
      <c r="R1065" s="39"/>
      <c r="S1065" s="145"/>
      <c r="T1065" s="132"/>
      <c r="U1065" s="128"/>
      <c r="V1065" s="133"/>
      <c r="W1065" s="134"/>
      <c r="X1065" s="135"/>
      <c r="Y1065" s="39"/>
      <c r="Z1065" s="132"/>
      <c r="AA1065" s="136"/>
      <c r="AB1065" s="158"/>
      <c r="AD1065" s="33" t="s">
        <v>4879</v>
      </c>
      <c r="AF1065" s="33" t="s">
        <v>8018</v>
      </c>
      <c r="AP1065" s="34"/>
      <c r="AQ1065" s="128"/>
      <c r="AR1065" s="129"/>
      <c r="AS1065" s="130"/>
      <c r="AT1065" s="39"/>
      <c r="AU1065" s="132"/>
      <c r="AV1065" s="128"/>
      <c r="AW1065" s="133"/>
      <c r="AX1065" s="134"/>
      <c r="AY1065" s="135"/>
      <c r="AZ1065" s="39"/>
      <c r="BA1065" s="132"/>
      <c r="BB1065" s="136"/>
    </row>
    <row r="1066" spans="1:54" ht="15" customHeight="1">
      <c r="A1066" s="159" t="s">
        <v>7674</v>
      </c>
      <c r="B1066" s="33" t="s">
        <v>8019</v>
      </c>
      <c r="C1066" s="38" t="s">
        <v>7676</v>
      </c>
      <c r="D1066" s="34">
        <v>89</v>
      </c>
      <c r="E1066" s="33">
        <v>2</v>
      </c>
      <c r="F1066" s="33" t="s">
        <v>8016</v>
      </c>
      <c r="G1066" s="33" t="s">
        <v>8020</v>
      </c>
      <c r="J1066" s="33" t="s">
        <v>28</v>
      </c>
      <c r="K1066" s="33" t="s">
        <v>6280</v>
      </c>
      <c r="N1066" s="157"/>
      <c r="O1066" s="128"/>
      <c r="P1066" s="129"/>
      <c r="Q1066" s="130"/>
      <c r="R1066" s="39"/>
      <c r="S1066" s="145"/>
      <c r="T1066" s="132"/>
      <c r="U1066" s="128"/>
      <c r="V1066" s="133"/>
      <c r="W1066" s="134"/>
      <c r="X1066" s="135"/>
      <c r="Y1066" s="39"/>
      <c r="Z1066" s="132"/>
      <c r="AA1066" s="136"/>
      <c r="AB1066" s="158"/>
      <c r="AD1066" s="33" t="s">
        <v>4879</v>
      </c>
      <c r="AF1066" s="33" t="s">
        <v>8021</v>
      </c>
      <c r="AP1066" s="34"/>
      <c r="AQ1066" s="128"/>
      <c r="AR1066" s="129"/>
      <c r="AS1066" s="130"/>
      <c r="AT1066" s="39"/>
      <c r="AU1066" s="132"/>
      <c r="AV1066" s="128"/>
      <c r="AW1066" s="133"/>
      <c r="AX1066" s="134"/>
      <c r="AY1066" s="135"/>
      <c r="AZ1066" s="39"/>
      <c r="BA1066" s="132"/>
      <c r="BB1066" s="136"/>
    </row>
    <row r="1067" spans="1:54" ht="15" customHeight="1">
      <c r="A1067" s="159" t="s">
        <v>7674</v>
      </c>
      <c r="B1067" s="33" t="s">
        <v>8022</v>
      </c>
      <c r="C1067" s="38" t="s">
        <v>7676</v>
      </c>
      <c r="D1067" s="34">
        <v>90</v>
      </c>
      <c r="E1067" s="33">
        <v>3</v>
      </c>
      <c r="F1067" s="33" t="s">
        <v>8023</v>
      </c>
      <c r="G1067" s="33" t="s">
        <v>8024</v>
      </c>
      <c r="J1067" s="33" t="s">
        <v>28</v>
      </c>
      <c r="K1067" s="33" t="s">
        <v>6280</v>
      </c>
      <c r="N1067" s="157"/>
      <c r="O1067" s="128"/>
      <c r="P1067" s="129"/>
      <c r="Q1067" s="130"/>
      <c r="R1067" s="39"/>
      <c r="S1067" s="145"/>
      <c r="T1067" s="132"/>
      <c r="U1067" s="128"/>
      <c r="V1067" s="133"/>
      <c r="W1067" s="134"/>
      <c r="X1067" s="135"/>
      <c r="Y1067" s="39"/>
      <c r="Z1067" s="132"/>
      <c r="AA1067" s="136"/>
      <c r="AB1067" s="158"/>
      <c r="AD1067" s="33" t="s">
        <v>4340</v>
      </c>
      <c r="AF1067" s="33" t="s">
        <v>8025</v>
      </c>
      <c r="AP1067" s="34"/>
      <c r="AQ1067" s="128"/>
      <c r="AR1067" s="129"/>
      <c r="AS1067" s="130"/>
      <c r="AT1067" s="39"/>
      <c r="AU1067" s="132"/>
      <c r="AV1067" s="128"/>
      <c r="AW1067" s="133"/>
      <c r="AX1067" s="134"/>
      <c r="AY1067" s="135"/>
      <c r="AZ1067" s="39"/>
      <c r="BA1067" s="132"/>
      <c r="BB1067" s="136"/>
    </row>
    <row r="1068" spans="1:54" ht="15" customHeight="1">
      <c r="A1068" s="159" t="s">
        <v>7674</v>
      </c>
      <c r="B1068" s="33" t="s">
        <v>8026</v>
      </c>
      <c r="C1068" s="38" t="s">
        <v>7676</v>
      </c>
      <c r="D1068" s="34">
        <v>91</v>
      </c>
      <c r="E1068" s="33">
        <v>2</v>
      </c>
      <c r="F1068" s="33" t="s">
        <v>8023</v>
      </c>
      <c r="G1068" s="33" t="s">
        <v>8027</v>
      </c>
      <c r="J1068" s="33" t="s">
        <v>28</v>
      </c>
      <c r="K1068" s="33" t="s">
        <v>6280</v>
      </c>
      <c r="N1068" s="157"/>
      <c r="O1068" s="128"/>
      <c r="P1068" s="129"/>
      <c r="Q1068" s="130"/>
      <c r="R1068" s="39"/>
      <c r="S1068" s="145"/>
      <c r="T1068" s="132"/>
      <c r="U1068" s="128"/>
      <c r="V1068" s="133"/>
      <c r="W1068" s="134"/>
      <c r="X1068" s="135"/>
      <c r="Y1068" s="39"/>
      <c r="Z1068" s="132"/>
      <c r="AA1068" s="136"/>
      <c r="AB1068" s="158"/>
      <c r="AD1068" s="33" t="s">
        <v>4340</v>
      </c>
      <c r="AF1068" s="33" t="s">
        <v>8028</v>
      </c>
      <c r="AP1068" s="34"/>
      <c r="AQ1068" s="128"/>
      <c r="AR1068" s="129"/>
      <c r="AS1068" s="130"/>
      <c r="AT1068" s="39"/>
      <c r="AU1068" s="132"/>
      <c r="AV1068" s="128"/>
      <c r="AW1068" s="133"/>
      <c r="AX1068" s="134"/>
      <c r="AY1068" s="135"/>
      <c r="AZ1068" s="39"/>
      <c r="BA1068" s="132"/>
      <c r="BB1068" s="136"/>
    </row>
    <row r="1069" spans="1:54" ht="15" customHeight="1">
      <c r="A1069" s="159" t="s">
        <v>7674</v>
      </c>
      <c r="B1069" s="33" t="s">
        <v>8029</v>
      </c>
      <c r="C1069" s="38" t="s">
        <v>7676</v>
      </c>
      <c r="D1069" s="34">
        <v>92</v>
      </c>
      <c r="E1069" s="33">
        <v>2</v>
      </c>
      <c r="F1069" s="33" t="s">
        <v>8030</v>
      </c>
      <c r="G1069" s="33" t="s">
        <v>8031</v>
      </c>
      <c r="J1069" s="33" t="s">
        <v>28</v>
      </c>
      <c r="K1069" s="33" t="s">
        <v>6280</v>
      </c>
      <c r="N1069" s="157"/>
      <c r="O1069" s="128"/>
      <c r="P1069" s="129"/>
      <c r="Q1069" s="130"/>
      <c r="R1069" s="39"/>
      <c r="S1069" s="145"/>
      <c r="T1069" s="132"/>
      <c r="U1069" s="128"/>
      <c r="V1069" s="133"/>
      <c r="W1069" s="134"/>
      <c r="X1069" s="135"/>
      <c r="Y1069" s="39"/>
      <c r="Z1069" s="132"/>
      <c r="AA1069" s="136"/>
      <c r="AB1069" s="158"/>
      <c r="AD1069" s="33" t="s">
        <v>8032</v>
      </c>
      <c r="AE1069" s="34" t="s">
        <v>4615</v>
      </c>
      <c r="AF1069" s="33" t="s">
        <v>8033</v>
      </c>
      <c r="AP1069" s="34"/>
      <c r="AQ1069" s="128"/>
      <c r="AR1069" s="129"/>
      <c r="AS1069" s="130"/>
      <c r="AT1069" s="39"/>
      <c r="AU1069" s="132"/>
      <c r="AV1069" s="128"/>
      <c r="AW1069" s="133"/>
      <c r="AX1069" s="134"/>
      <c r="AY1069" s="135"/>
      <c r="AZ1069" s="39"/>
      <c r="BA1069" s="132"/>
      <c r="BB1069" s="136"/>
    </row>
    <row r="1070" spans="1:54" ht="15" customHeight="1">
      <c r="A1070" s="159" t="s">
        <v>7674</v>
      </c>
      <c r="B1070" s="33" t="s">
        <v>8034</v>
      </c>
      <c r="C1070" s="38" t="s">
        <v>7676</v>
      </c>
      <c r="D1070" s="34">
        <v>93</v>
      </c>
      <c r="E1070" s="33">
        <v>2</v>
      </c>
      <c r="F1070" s="33" t="s">
        <v>8030</v>
      </c>
      <c r="G1070" s="33" t="s">
        <v>8035</v>
      </c>
      <c r="J1070" s="33" t="s">
        <v>28</v>
      </c>
      <c r="K1070" s="33" t="s">
        <v>6280</v>
      </c>
      <c r="N1070" s="157"/>
      <c r="O1070" s="128"/>
      <c r="P1070" s="129"/>
      <c r="Q1070" s="130"/>
      <c r="R1070" s="39"/>
      <c r="S1070" s="145"/>
      <c r="T1070" s="132"/>
      <c r="U1070" s="128"/>
      <c r="V1070" s="133"/>
      <c r="W1070" s="134"/>
      <c r="X1070" s="135"/>
      <c r="Y1070" s="39"/>
      <c r="Z1070" s="132"/>
      <c r="AA1070" s="136"/>
      <c r="AB1070" s="158"/>
      <c r="AD1070" s="33" t="s">
        <v>4335</v>
      </c>
      <c r="AE1070" s="34" t="s">
        <v>8036</v>
      </c>
      <c r="AF1070" s="33" t="s">
        <v>8037</v>
      </c>
      <c r="AP1070" s="34"/>
      <c r="AQ1070" s="128"/>
      <c r="AR1070" s="129"/>
      <c r="AS1070" s="130"/>
      <c r="AT1070" s="39"/>
      <c r="AU1070" s="132"/>
      <c r="AV1070" s="128"/>
      <c r="AW1070" s="133"/>
      <c r="AX1070" s="134"/>
      <c r="AY1070" s="135"/>
      <c r="AZ1070" s="39"/>
      <c r="BA1070" s="132"/>
      <c r="BB1070" s="136"/>
    </row>
    <row r="1071" spans="1:54" ht="15" customHeight="1">
      <c r="A1071" s="159" t="s">
        <v>7674</v>
      </c>
      <c r="B1071" s="33" t="s">
        <v>8038</v>
      </c>
      <c r="C1071" s="38" t="s">
        <v>7676</v>
      </c>
      <c r="D1071" s="34">
        <v>94</v>
      </c>
      <c r="E1071" s="33">
        <v>3</v>
      </c>
      <c r="F1071" s="33" t="s">
        <v>8030</v>
      </c>
      <c r="G1071" s="33" t="s">
        <v>8039</v>
      </c>
      <c r="J1071" s="33" t="s">
        <v>28</v>
      </c>
      <c r="K1071" s="33" t="s">
        <v>6280</v>
      </c>
      <c r="N1071" s="157"/>
      <c r="O1071" s="128"/>
      <c r="P1071" s="129"/>
      <c r="Q1071" s="130"/>
      <c r="R1071" s="39"/>
      <c r="S1071" s="145"/>
      <c r="T1071" s="132"/>
      <c r="U1071" s="128"/>
      <c r="V1071" s="133"/>
      <c r="W1071" s="134"/>
      <c r="X1071" s="135"/>
      <c r="Y1071" s="39"/>
      <c r="Z1071" s="132"/>
      <c r="AA1071" s="136"/>
      <c r="AB1071" s="158"/>
      <c r="AD1071" s="33" t="s">
        <v>4333</v>
      </c>
      <c r="AF1071" s="33" t="s">
        <v>8040</v>
      </c>
      <c r="AP1071" s="34"/>
      <c r="AQ1071" s="128"/>
      <c r="AR1071" s="129"/>
      <c r="AS1071" s="130"/>
      <c r="AT1071" s="39"/>
      <c r="AU1071" s="132"/>
      <c r="AV1071" s="128"/>
      <c r="AW1071" s="133"/>
      <c r="AX1071" s="134"/>
      <c r="AY1071" s="135"/>
      <c r="AZ1071" s="39"/>
      <c r="BA1071" s="132"/>
      <c r="BB1071" s="136"/>
    </row>
    <row r="1072" spans="1:54" ht="15" customHeight="1">
      <c r="A1072" s="159" t="s">
        <v>7674</v>
      </c>
      <c r="B1072" s="33" t="s">
        <v>8041</v>
      </c>
      <c r="C1072" s="38" t="s">
        <v>7676</v>
      </c>
      <c r="D1072" s="34">
        <v>95</v>
      </c>
      <c r="E1072" s="33">
        <v>2</v>
      </c>
      <c r="F1072" s="33" t="s">
        <v>8042</v>
      </c>
      <c r="G1072" s="33" t="s">
        <v>8043</v>
      </c>
      <c r="J1072" s="33" t="s">
        <v>29</v>
      </c>
      <c r="K1072" s="33" t="s">
        <v>6280</v>
      </c>
      <c r="N1072" s="157"/>
      <c r="O1072" s="128"/>
      <c r="P1072" s="129"/>
      <c r="Q1072" s="130">
        <v>2</v>
      </c>
      <c r="R1072" s="39">
        <v>2</v>
      </c>
      <c r="S1072" s="145"/>
      <c r="T1072" s="132">
        <v>3</v>
      </c>
      <c r="U1072" s="128"/>
      <c r="V1072" s="133"/>
      <c r="W1072" s="134">
        <v>1</v>
      </c>
      <c r="X1072" s="135"/>
      <c r="Y1072" s="39"/>
      <c r="Z1072" s="132"/>
      <c r="AA1072" s="136"/>
      <c r="AB1072" s="158"/>
      <c r="AD1072" s="33" t="s">
        <v>4321</v>
      </c>
      <c r="AE1072" s="34" t="s">
        <v>4329</v>
      </c>
      <c r="AF1072" s="33" t="s">
        <v>8044</v>
      </c>
      <c r="AP1072" s="34"/>
      <c r="AQ1072" s="128"/>
      <c r="AR1072" s="129"/>
      <c r="AS1072" s="130"/>
      <c r="AT1072" s="39"/>
      <c r="AU1072" s="132"/>
      <c r="AV1072" s="128"/>
      <c r="AW1072" s="133"/>
      <c r="AX1072" s="134"/>
      <c r="AY1072" s="135"/>
      <c r="AZ1072" s="39"/>
      <c r="BA1072" s="132"/>
      <c r="BB1072" s="136"/>
    </row>
    <row r="1073" spans="1:54" ht="15" customHeight="1">
      <c r="A1073" s="159" t="s">
        <v>7674</v>
      </c>
      <c r="B1073" s="33" t="s">
        <v>8045</v>
      </c>
      <c r="C1073" s="38" t="s">
        <v>7676</v>
      </c>
      <c r="D1073" s="34">
        <v>96</v>
      </c>
      <c r="E1073" s="33">
        <v>2</v>
      </c>
      <c r="F1073" s="33" t="s">
        <v>8042</v>
      </c>
      <c r="G1073" s="33" t="s">
        <v>8046</v>
      </c>
      <c r="J1073" s="33" t="s">
        <v>28</v>
      </c>
      <c r="K1073" s="33" t="s">
        <v>6280</v>
      </c>
      <c r="N1073" s="157"/>
      <c r="O1073" s="128"/>
      <c r="P1073" s="129"/>
      <c r="Q1073" s="130"/>
      <c r="R1073" s="39"/>
      <c r="S1073" s="145"/>
      <c r="T1073" s="132"/>
      <c r="U1073" s="128"/>
      <c r="V1073" s="133"/>
      <c r="W1073" s="134"/>
      <c r="X1073" s="135"/>
      <c r="Y1073" s="39"/>
      <c r="Z1073" s="132"/>
      <c r="AA1073" s="136"/>
      <c r="AB1073" s="158"/>
      <c r="AD1073" s="33" t="s">
        <v>5050</v>
      </c>
      <c r="AF1073" s="33" t="s">
        <v>8047</v>
      </c>
      <c r="AP1073" s="34"/>
      <c r="AQ1073" s="128"/>
      <c r="AR1073" s="129"/>
      <c r="AS1073" s="130"/>
      <c r="AT1073" s="39"/>
      <c r="AU1073" s="132"/>
      <c r="AV1073" s="128"/>
      <c r="AW1073" s="133"/>
      <c r="AX1073" s="134"/>
      <c r="AY1073" s="135"/>
      <c r="AZ1073" s="39"/>
      <c r="BA1073" s="132"/>
      <c r="BB1073" s="136"/>
    </row>
    <row r="1074" spans="1:54" ht="15" customHeight="1">
      <c r="A1074" s="159" t="s">
        <v>7674</v>
      </c>
      <c r="B1074" s="33" t="s">
        <v>8048</v>
      </c>
      <c r="C1074" s="38" t="s">
        <v>7676</v>
      </c>
      <c r="D1074" s="34">
        <v>97</v>
      </c>
      <c r="E1074" s="33">
        <v>2</v>
      </c>
      <c r="F1074" s="33" t="s">
        <v>8042</v>
      </c>
      <c r="G1074" s="33" t="s">
        <v>8049</v>
      </c>
      <c r="J1074" s="33" t="s">
        <v>28</v>
      </c>
      <c r="K1074" s="33" t="s">
        <v>6280</v>
      </c>
      <c r="N1074" s="157"/>
      <c r="O1074" s="128"/>
      <c r="P1074" s="129"/>
      <c r="Q1074" s="130"/>
      <c r="R1074" s="39"/>
      <c r="S1074" s="145"/>
      <c r="T1074" s="132"/>
      <c r="U1074" s="128"/>
      <c r="V1074" s="133"/>
      <c r="W1074" s="134"/>
      <c r="X1074" s="135"/>
      <c r="Y1074" s="39"/>
      <c r="Z1074" s="132"/>
      <c r="AA1074" s="136"/>
      <c r="AB1074" s="158"/>
      <c r="AD1074" s="33" t="s">
        <v>4340</v>
      </c>
      <c r="AF1074" s="33" t="s">
        <v>8050</v>
      </c>
      <c r="AP1074" s="34"/>
      <c r="AQ1074" s="128"/>
      <c r="AR1074" s="129"/>
      <c r="AS1074" s="130"/>
      <c r="AT1074" s="39"/>
      <c r="AU1074" s="132"/>
      <c r="AV1074" s="128"/>
      <c r="AW1074" s="133"/>
      <c r="AX1074" s="134"/>
      <c r="AY1074" s="135"/>
      <c r="AZ1074" s="39"/>
      <c r="BA1074" s="132"/>
      <c r="BB1074" s="136"/>
    </row>
    <row r="1075" spans="1:54" ht="15" customHeight="1">
      <c r="A1075" s="159" t="s">
        <v>7674</v>
      </c>
      <c r="B1075" s="33" t="s">
        <v>8051</v>
      </c>
      <c r="C1075" s="38" t="s">
        <v>7676</v>
      </c>
      <c r="D1075" s="34">
        <v>98</v>
      </c>
      <c r="E1075" s="33">
        <v>2</v>
      </c>
      <c r="F1075" s="33" t="s">
        <v>8052</v>
      </c>
      <c r="G1075" s="33" t="s">
        <v>8053</v>
      </c>
      <c r="J1075" s="33" t="s">
        <v>29</v>
      </c>
      <c r="K1075" s="33" t="s">
        <v>6280</v>
      </c>
      <c r="N1075" s="157"/>
      <c r="O1075" s="128"/>
      <c r="P1075" s="129"/>
      <c r="Q1075" s="130">
        <v>3</v>
      </c>
      <c r="R1075" s="39">
        <v>3</v>
      </c>
      <c r="S1075" s="145"/>
      <c r="T1075" s="132">
        <v>3</v>
      </c>
      <c r="U1075" s="128"/>
      <c r="V1075" s="133">
        <v>1</v>
      </c>
      <c r="W1075" s="134">
        <v>1</v>
      </c>
      <c r="X1075" s="135"/>
      <c r="Y1075" s="39"/>
      <c r="Z1075" s="132"/>
      <c r="AA1075" s="136"/>
      <c r="AB1075" s="158"/>
      <c r="AD1075" s="33" t="s">
        <v>7737</v>
      </c>
      <c r="AE1075" s="34" t="s">
        <v>8054</v>
      </c>
      <c r="AF1075" s="33" t="s">
        <v>8055</v>
      </c>
      <c r="AP1075" s="34"/>
      <c r="AQ1075" s="128"/>
      <c r="AR1075" s="129"/>
      <c r="AS1075" s="130"/>
      <c r="AT1075" s="39"/>
      <c r="AU1075" s="132"/>
      <c r="AV1075" s="128"/>
      <c r="AW1075" s="133"/>
      <c r="AX1075" s="134"/>
      <c r="AY1075" s="135"/>
      <c r="AZ1075" s="39"/>
      <c r="BA1075" s="132"/>
      <c r="BB1075" s="136"/>
    </row>
    <row r="1076" spans="1:54" ht="15" customHeight="1">
      <c r="A1076" s="159" t="s">
        <v>7674</v>
      </c>
      <c r="B1076" s="33" t="s">
        <v>8056</v>
      </c>
      <c r="C1076" s="38" t="s">
        <v>7676</v>
      </c>
      <c r="D1076" s="34">
        <v>99</v>
      </c>
      <c r="E1076" s="33">
        <v>2</v>
      </c>
      <c r="F1076" s="33" t="s">
        <v>8052</v>
      </c>
      <c r="G1076" s="33" t="s">
        <v>8057</v>
      </c>
      <c r="J1076" s="33" t="s">
        <v>28</v>
      </c>
      <c r="K1076" s="33" t="s">
        <v>6280</v>
      </c>
      <c r="N1076" s="157"/>
      <c r="O1076" s="128"/>
      <c r="P1076" s="129"/>
      <c r="Q1076" s="130"/>
      <c r="R1076" s="39"/>
      <c r="S1076" s="145"/>
      <c r="T1076" s="132"/>
      <c r="U1076" s="128"/>
      <c r="V1076" s="133"/>
      <c r="W1076" s="134"/>
      <c r="X1076" s="135"/>
      <c r="Y1076" s="39"/>
      <c r="Z1076" s="132"/>
      <c r="AA1076" s="136"/>
      <c r="AB1076" s="158"/>
      <c r="AD1076" s="33" t="s">
        <v>4293</v>
      </c>
      <c r="AF1076" s="33" t="s">
        <v>8058</v>
      </c>
      <c r="AP1076" s="34"/>
      <c r="AQ1076" s="128"/>
      <c r="AR1076" s="129"/>
      <c r="AS1076" s="130"/>
      <c r="AT1076" s="39"/>
      <c r="AU1076" s="132"/>
      <c r="AV1076" s="128"/>
      <c r="AW1076" s="133"/>
      <c r="AX1076" s="134"/>
      <c r="AY1076" s="135"/>
      <c r="AZ1076" s="39"/>
      <c r="BA1076" s="132"/>
      <c r="BB1076" s="136"/>
    </row>
    <row r="1077" spans="1:54" ht="15" customHeight="1">
      <c r="A1077" s="159" t="s">
        <v>7674</v>
      </c>
      <c r="B1077" s="33" t="s">
        <v>8059</v>
      </c>
      <c r="C1077" s="38" t="s">
        <v>7676</v>
      </c>
      <c r="D1077" s="34">
        <v>100</v>
      </c>
      <c r="E1077" s="33">
        <v>1</v>
      </c>
      <c r="F1077" s="33" t="s">
        <v>8052</v>
      </c>
      <c r="G1077" s="33" t="s">
        <v>8060</v>
      </c>
      <c r="J1077" s="33" t="s">
        <v>28</v>
      </c>
      <c r="K1077" s="33" t="s">
        <v>6280</v>
      </c>
      <c r="N1077" s="157"/>
      <c r="O1077" s="128"/>
      <c r="P1077" s="129"/>
      <c r="Q1077" s="130"/>
      <c r="R1077" s="39"/>
      <c r="S1077" s="145"/>
      <c r="T1077" s="132"/>
      <c r="U1077" s="128"/>
      <c r="V1077" s="133"/>
      <c r="W1077" s="134"/>
      <c r="X1077" s="135"/>
      <c r="Y1077" s="39"/>
      <c r="Z1077" s="132"/>
      <c r="AA1077" s="136"/>
      <c r="AB1077" s="158"/>
      <c r="AD1077" s="33" t="s">
        <v>5517</v>
      </c>
      <c r="AF1077" s="33" t="s">
        <v>8061</v>
      </c>
      <c r="AP1077" s="34"/>
      <c r="AQ1077" s="128"/>
      <c r="AR1077" s="129"/>
      <c r="AS1077" s="130"/>
      <c r="AT1077" s="39"/>
      <c r="AU1077" s="132"/>
      <c r="AV1077" s="128"/>
      <c r="AW1077" s="133"/>
      <c r="AX1077" s="134"/>
      <c r="AY1077" s="135"/>
      <c r="AZ1077" s="39"/>
      <c r="BA1077" s="132"/>
      <c r="BB1077" s="136"/>
    </row>
    <row r="1078" spans="1:54" ht="15" customHeight="1">
      <c r="A1078" s="159" t="s">
        <v>7674</v>
      </c>
      <c r="B1078" s="33" t="s">
        <v>8062</v>
      </c>
      <c r="C1078" s="38" t="s">
        <v>7676</v>
      </c>
      <c r="D1078" s="34">
        <v>101</v>
      </c>
      <c r="E1078" s="33">
        <v>2</v>
      </c>
      <c r="F1078" s="33" t="s">
        <v>8063</v>
      </c>
      <c r="G1078" s="33" t="s">
        <v>8064</v>
      </c>
      <c r="J1078" s="33" t="s">
        <v>28</v>
      </c>
      <c r="K1078" s="33" t="s">
        <v>6280</v>
      </c>
      <c r="N1078" s="157"/>
      <c r="O1078" s="128"/>
      <c r="P1078" s="129"/>
      <c r="Q1078" s="130"/>
      <c r="R1078" s="39"/>
      <c r="S1078" s="145"/>
      <c r="T1078" s="132"/>
      <c r="U1078" s="128"/>
      <c r="V1078" s="133"/>
      <c r="W1078" s="134"/>
      <c r="X1078" s="135"/>
      <c r="Y1078" s="39"/>
      <c r="Z1078" s="132"/>
      <c r="AA1078" s="136"/>
      <c r="AB1078" s="158"/>
      <c r="AD1078" s="33" t="s">
        <v>8065</v>
      </c>
      <c r="AE1078" s="34" t="s">
        <v>34</v>
      </c>
      <c r="AF1078" s="33" t="s">
        <v>8066</v>
      </c>
      <c r="AP1078" s="34"/>
      <c r="AQ1078" s="128"/>
      <c r="AR1078" s="129"/>
      <c r="AS1078" s="130"/>
      <c r="AT1078" s="39"/>
      <c r="AU1078" s="132"/>
      <c r="AV1078" s="128"/>
      <c r="AW1078" s="133"/>
      <c r="AX1078" s="134"/>
      <c r="AY1078" s="135"/>
      <c r="AZ1078" s="39"/>
      <c r="BA1078" s="132"/>
      <c r="BB1078" s="136"/>
    </row>
    <row r="1079" spans="1:54" ht="15" customHeight="1">
      <c r="A1079" s="159" t="s">
        <v>7674</v>
      </c>
      <c r="B1079" s="33" t="s">
        <v>8067</v>
      </c>
      <c r="C1079" s="38" t="s">
        <v>7676</v>
      </c>
      <c r="D1079" s="34">
        <v>102</v>
      </c>
      <c r="E1079" s="33">
        <v>4</v>
      </c>
      <c r="F1079" s="33" t="s">
        <v>8063</v>
      </c>
      <c r="G1079" s="33" t="s">
        <v>8068</v>
      </c>
      <c r="J1079" s="33" t="s">
        <v>28</v>
      </c>
      <c r="K1079" s="33" t="s">
        <v>26</v>
      </c>
      <c r="M1079" s="33" t="s">
        <v>4502</v>
      </c>
      <c r="N1079" s="157"/>
      <c r="O1079" s="128"/>
      <c r="P1079" s="129"/>
      <c r="Q1079" s="130"/>
      <c r="R1079" s="39"/>
      <c r="S1079" s="145"/>
      <c r="T1079" s="132"/>
      <c r="U1079" s="128"/>
      <c r="V1079" s="133"/>
      <c r="W1079" s="134"/>
      <c r="X1079" s="135"/>
      <c r="Y1079" s="39"/>
      <c r="Z1079" s="132"/>
      <c r="AA1079" s="136"/>
      <c r="AB1079" s="158"/>
      <c r="AD1079" s="33" t="s">
        <v>8065</v>
      </c>
      <c r="AE1079" s="34" t="s">
        <v>8069</v>
      </c>
      <c r="AF1079" s="33" t="s">
        <v>8070</v>
      </c>
      <c r="AP1079" s="34"/>
      <c r="AQ1079" s="128"/>
      <c r="AR1079" s="129"/>
      <c r="AS1079" s="130"/>
      <c r="AT1079" s="39"/>
      <c r="AU1079" s="132"/>
      <c r="AV1079" s="128"/>
      <c r="AW1079" s="133"/>
      <c r="AX1079" s="134"/>
      <c r="AY1079" s="135"/>
      <c r="AZ1079" s="39"/>
      <c r="BA1079" s="132"/>
      <c r="BB1079" s="136"/>
    </row>
    <row r="1080" spans="1:54" ht="15" customHeight="1">
      <c r="A1080" s="159" t="s">
        <v>7674</v>
      </c>
      <c r="B1080" s="33" t="s">
        <v>8071</v>
      </c>
      <c r="C1080" s="38" t="s">
        <v>7676</v>
      </c>
      <c r="D1080" s="34">
        <v>995</v>
      </c>
      <c r="E1080" s="33">
        <v>1</v>
      </c>
      <c r="G1080" s="38" t="s">
        <v>7677</v>
      </c>
      <c r="J1080" s="33" t="s">
        <v>4715</v>
      </c>
      <c r="K1080" s="38" t="s">
        <v>4052</v>
      </c>
      <c r="N1080" s="157"/>
      <c r="O1080" s="128"/>
      <c r="P1080" s="129"/>
      <c r="Q1080" s="130"/>
      <c r="R1080" s="39"/>
      <c r="S1080" s="145"/>
      <c r="T1080" s="132"/>
      <c r="U1080" s="128"/>
      <c r="V1080" s="133"/>
      <c r="W1080" s="134"/>
      <c r="X1080" s="135"/>
      <c r="Y1080" s="39"/>
      <c r="Z1080" s="132"/>
      <c r="AA1080" s="136"/>
      <c r="AB1080" s="158"/>
      <c r="AI1080" s="38" t="s">
        <v>7677</v>
      </c>
      <c r="AL1080" s="33" t="s">
        <v>4715</v>
      </c>
      <c r="AM1080" s="38" t="s">
        <v>4052</v>
      </c>
      <c r="AP1080" s="34"/>
      <c r="AQ1080" s="128"/>
      <c r="AR1080" s="129"/>
      <c r="AS1080" s="130"/>
      <c r="AT1080" s="39"/>
      <c r="AU1080" s="132"/>
      <c r="AV1080" s="128"/>
      <c r="AW1080" s="133"/>
      <c r="AX1080" s="134"/>
      <c r="AY1080" s="135"/>
      <c r="AZ1080" s="39"/>
      <c r="BA1080" s="132"/>
      <c r="BB1080" s="136"/>
    </row>
    <row r="1081" spans="1:54" ht="15" customHeight="1">
      <c r="A1081" s="159" t="s">
        <v>7674</v>
      </c>
      <c r="B1081" s="33" t="s">
        <v>8072</v>
      </c>
      <c r="C1081" s="38" t="s">
        <v>7676</v>
      </c>
      <c r="D1081" s="34">
        <v>996</v>
      </c>
      <c r="E1081" s="33">
        <v>1</v>
      </c>
      <c r="G1081" s="33" t="s">
        <v>7684</v>
      </c>
      <c r="J1081" s="33" t="s">
        <v>4715</v>
      </c>
      <c r="K1081" s="33" t="s">
        <v>4053</v>
      </c>
      <c r="N1081" s="157"/>
      <c r="O1081" s="128"/>
      <c r="P1081" s="129"/>
      <c r="Q1081" s="130"/>
      <c r="R1081" s="39"/>
      <c r="S1081" s="145"/>
      <c r="T1081" s="132"/>
      <c r="U1081" s="128"/>
      <c r="V1081" s="133"/>
      <c r="W1081" s="134"/>
      <c r="X1081" s="135"/>
      <c r="Y1081" s="39"/>
      <c r="Z1081" s="132"/>
      <c r="AA1081" s="136"/>
      <c r="AB1081" s="158"/>
      <c r="AI1081" s="33" t="s">
        <v>7684</v>
      </c>
      <c r="AL1081" s="33" t="s">
        <v>4715</v>
      </c>
      <c r="AM1081" s="33" t="s">
        <v>4053</v>
      </c>
      <c r="AP1081" s="34"/>
      <c r="AQ1081" s="128"/>
      <c r="AR1081" s="129"/>
      <c r="AS1081" s="130"/>
      <c r="AT1081" s="39"/>
      <c r="AU1081" s="132"/>
      <c r="AV1081" s="128"/>
      <c r="AW1081" s="133"/>
      <c r="AX1081" s="134"/>
      <c r="AY1081" s="135"/>
      <c r="AZ1081" s="39"/>
      <c r="BA1081" s="132"/>
      <c r="BB1081" s="136"/>
    </row>
    <row r="1082" spans="1:54" ht="15" customHeight="1">
      <c r="A1082" s="159" t="s">
        <v>7674</v>
      </c>
      <c r="B1082" s="33" t="s">
        <v>8073</v>
      </c>
      <c r="C1082" s="38" t="s">
        <v>7676</v>
      </c>
      <c r="D1082" s="34">
        <v>997</v>
      </c>
      <c r="E1082" s="33">
        <v>1</v>
      </c>
      <c r="G1082" s="33" t="s">
        <v>7691</v>
      </c>
      <c r="J1082" s="33" t="s">
        <v>4715</v>
      </c>
      <c r="K1082" s="33" t="s">
        <v>4055</v>
      </c>
      <c r="N1082" s="157"/>
      <c r="O1082" s="128"/>
      <c r="P1082" s="129"/>
      <c r="Q1082" s="130"/>
      <c r="R1082" s="39"/>
      <c r="S1082" s="145"/>
      <c r="T1082" s="132"/>
      <c r="U1082" s="128"/>
      <c r="V1082" s="133"/>
      <c r="W1082" s="134"/>
      <c r="X1082" s="135"/>
      <c r="Y1082" s="39"/>
      <c r="Z1082" s="132"/>
      <c r="AA1082" s="136"/>
      <c r="AB1082" s="158"/>
      <c r="AI1082" s="33" t="s">
        <v>7691</v>
      </c>
      <c r="AL1082" s="33" t="s">
        <v>4715</v>
      </c>
      <c r="AM1082" s="33" t="s">
        <v>4055</v>
      </c>
      <c r="AP1082" s="34"/>
      <c r="AQ1082" s="128"/>
      <c r="AR1082" s="129"/>
      <c r="AS1082" s="130"/>
      <c r="AT1082" s="39"/>
      <c r="AU1082" s="132"/>
      <c r="AV1082" s="128"/>
      <c r="AW1082" s="133"/>
      <c r="AX1082" s="134"/>
      <c r="AY1082" s="135"/>
      <c r="AZ1082" s="39"/>
      <c r="BA1082" s="132"/>
      <c r="BB1082" s="136"/>
    </row>
    <row r="1083" spans="1:54" ht="15" customHeight="1">
      <c r="A1083" s="159" t="s">
        <v>7674</v>
      </c>
      <c r="B1083" s="33" t="s">
        <v>8074</v>
      </c>
      <c r="C1083" s="38" t="s">
        <v>7676</v>
      </c>
      <c r="D1083" s="34">
        <v>998</v>
      </c>
      <c r="E1083" s="33">
        <v>1</v>
      </c>
      <c r="G1083" s="33" t="s">
        <v>7696</v>
      </c>
      <c r="J1083" s="33" t="s">
        <v>4715</v>
      </c>
      <c r="K1083" s="33" t="s">
        <v>4054</v>
      </c>
      <c r="N1083" s="157"/>
      <c r="O1083" s="128"/>
      <c r="P1083" s="129"/>
      <c r="Q1083" s="130"/>
      <c r="R1083" s="39"/>
      <c r="S1083" s="145"/>
      <c r="T1083" s="132"/>
      <c r="U1083" s="128"/>
      <c r="V1083" s="133"/>
      <c r="W1083" s="134"/>
      <c r="X1083" s="135"/>
      <c r="Y1083" s="39"/>
      <c r="Z1083" s="132"/>
      <c r="AA1083" s="136"/>
      <c r="AB1083" s="158"/>
      <c r="AI1083" s="33" t="s">
        <v>7696</v>
      </c>
      <c r="AL1083" s="33" t="s">
        <v>4715</v>
      </c>
      <c r="AM1083" s="33" t="s">
        <v>4054</v>
      </c>
      <c r="AP1083" s="34"/>
      <c r="AQ1083" s="128"/>
      <c r="AR1083" s="129"/>
      <c r="AS1083" s="130"/>
      <c r="AT1083" s="39"/>
      <c r="AU1083" s="132"/>
      <c r="AV1083" s="128"/>
      <c r="AW1083" s="133"/>
      <c r="AX1083" s="134"/>
      <c r="AY1083" s="135"/>
      <c r="AZ1083" s="39"/>
      <c r="BA1083" s="132"/>
      <c r="BB1083" s="136"/>
    </row>
    <row r="1084" spans="1:54" ht="15" customHeight="1">
      <c r="A1084" s="159" t="s">
        <v>7674</v>
      </c>
      <c r="B1084" s="33" t="s">
        <v>8075</v>
      </c>
      <c r="C1084" s="38" t="s">
        <v>7676</v>
      </c>
      <c r="D1084" s="34">
        <v>999</v>
      </c>
      <c r="E1084" s="33">
        <v>1</v>
      </c>
      <c r="G1084" s="33" t="s">
        <v>7702</v>
      </c>
      <c r="J1084" s="33" t="s">
        <v>4715</v>
      </c>
      <c r="K1084" s="33" t="s">
        <v>4056</v>
      </c>
      <c r="N1084" s="157"/>
      <c r="O1084" s="128"/>
      <c r="P1084" s="129"/>
      <c r="Q1084" s="130"/>
      <c r="R1084" s="39"/>
      <c r="S1084" s="145"/>
      <c r="T1084" s="132"/>
      <c r="U1084" s="128"/>
      <c r="V1084" s="133"/>
      <c r="W1084" s="134"/>
      <c r="X1084" s="135"/>
      <c r="Y1084" s="39"/>
      <c r="Z1084" s="132"/>
      <c r="AA1084" s="136"/>
      <c r="AB1084" s="158"/>
      <c r="AI1084" s="33" t="s">
        <v>7702</v>
      </c>
      <c r="AL1084" s="33" t="s">
        <v>4715</v>
      </c>
      <c r="AM1084" s="33" t="s">
        <v>4056</v>
      </c>
      <c r="AP1084" s="34"/>
      <c r="AQ1084" s="128"/>
      <c r="AR1084" s="129"/>
      <c r="AS1084" s="130"/>
      <c r="AT1084" s="39"/>
      <c r="AU1084" s="132"/>
      <c r="AV1084" s="128"/>
      <c r="AW1084" s="133"/>
      <c r="AX1084" s="134"/>
      <c r="AY1084" s="135"/>
      <c r="AZ1084" s="39"/>
      <c r="BA1084" s="132"/>
      <c r="BB1084" s="136"/>
    </row>
    <row r="1085" spans="1:54" ht="15" customHeight="1">
      <c r="A1085" s="33" t="s">
        <v>8078</v>
      </c>
      <c r="B1085" s="33" t="s">
        <v>8079</v>
      </c>
      <c r="C1085" s="33" t="s">
        <v>8080</v>
      </c>
      <c r="D1085" s="34">
        <v>103</v>
      </c>
      <c r="E1085" s="33">
        <v>2</v>
      </c>
      <c r="G1085" s="33" t="s">
        <v>8081</v>
      </c>
      <c r="J1085" s="33" t="s">
        <v>27</v>
      </c>
      <c r="K1085" s="38" t="s">
        <v>4052</v>
      </c>
      <c r="N1085" s="157">
        <v>2</v>
      </c>
      <c r="O1085" s="128"/>
      <c r="P1085" s="129">
        <v>1</v>
      </c>
      <c r="Q1085" s="130">
        <v>1</v>
      </c>
      <c r="R1085" s="39"/>
      <c r="S1085" s="145"/>
      <c r="T1085" s="132"/>
      <c r="U1085" s="128"/>
      <c r="V1085" s="133"/>
      <c r="W1085" s="134"/>
      <c r="X1085" s="135"/>
      <c r="Y1085" s="39"/>
      <c r="Z1085" s="132"/>
      <c r="AA1085" s="136"/>
      <c r="AB1085" s="158" t="s">
        <v>4945</v>
      </c>
      <c r="AD1085" s="33" t="s">
        <v>8082</v>
      </c>
      <c r="AF1085" s="33" t="s">
        <v>8083</v>
      </c>
      <c r="AP1085" s="34"/>
      <c r="AQ1085" s="128"/>
      <c r="AR1085" s="129"/>
      <c r="AS1085" s="130"/>
      <c r="AT1085" s="39"/>
      <c r="AU1085" s="132"/>
      <c r="AV1085" s="128"/>
      <c r="AW1085" s="133"/>
      <c r="AX1085" s="134"/>
      <c r="AY1085" s="135"/>
      <c r="AZ1085" s="39"/>
      <c r="BA1085" s="132"/>
      <c r="BB1085" s="136"/>
    </row>
    <row r="1086" spans="1:54" ht="15" customHeight="1">
      <c r="A1086" s="33" t="s">
        <v>8078</v>
      </c>
      <c r="B1086" s="33" t="s">
        <v>8084</v>
      </c>
      <c r="C1086" s="33" t="s">
        <v>8080</v>
      </c>
      <c r="D1086" s="34">
        <v>104</v>
      </c>
      <c r="E1086" s="33">
        <v>2</v>
      </c>
      <c r="G1086" s="33" t="s">
        <v>8085</v>
      </c>
      <c r="J1086" s="33" t="s">
        <v>27</v>
      </c>
      <c r="K1086" s="38" t="s">
        <v>4052</v>
      </c>
      <c r="L1086" s="33">
        <v>1</v>
      </c>
      <c r="N1086" s="157">
        <v>2</v>
      </c>
      <c r="O1086" s="128"/>
      <c r="P1086" s="129"/>
      <c r="Q1086" s="130">
        <v>1</v>
      </c>
      <c r="R1086" s="39">
        <v>1</v>
      </c>
      <c r="S1086" s="145"/>
      <c r="T1086" s="132"/>
      <c r="U1086" s="128"/>
      <c r="V1086" s="133"/>
      <c r="W1086" s="134"/>
      <c r="X1086" s="135"/>
      <c r="Y1086" s="39"/>
      <c r="Z1086" s="132"/>
      <c r="AA1086" s="136"/>
      <c r="AB1086" s="158" t="s">
        <v>6035</v>
      </c>
      <c r="AD1086" s="33" t="s">
        <v>4161</v>
      </c>
      <c r="AF1086" s="33" t="s">
        <v>8086</v>
      </c>
      <c r="AP1086" s="34"/>
      <c r="AQ1086" s="128"/>
      <c r="AR1086" s="129"/>
      <c r="AS1086" s="130"/>
      <c r="AT1086" s="39"/>
      <c r="AU1086" s="132"/>
      <c r="AV1086" s="128"/>
      <c r="AW1086" s="133"/>
      <c r="AX1086" s="134"/>
      <c r="AY1086" s="135"/>
      <c r="AZ1086" s="39"/>
      <c r="BA1086" s="132"/>
      <c r="BB1086" s="136"/>
    </row>
    <row r="1087" spans="1:54" ht="15" customHeight="1">
      <c r="A1087" s="33" t="s">
        <v>8078</v>
      </c>
      <c r="B1087" s="33" t="s">
        <v>8087</v>
      </c>
      <c r="C1087" s="33" t="s">
        <v>8080</v>
      </c>
      <c r="D1087" s="34">
        <v>105</v>
      </c>
      <c r="E1087" s="33">
        <v>2</v>
      </c>
      <c r="G1087" s="33" t="s">
        <v>8088</v>
      </c>
      <c r="J1087" s="33" t="s">
        <v>27</v>
      </c>
      <c r="K1087" s="33" t="s">
        <v>4053</v>
      </c>
      <c r="N1087" s="157">
        <v>2</v>
      </c>
      <c r="O1087" s="128">
        <v>1</v>
      </c>
      <c r="P1087" s="129">
        <v>1</v>
      </c>
      <c r="Q1087" s="130"/>
      <c r="R1087" s="39"/>
      <c r="S1087" s="145"/>
      <c r="T1087" s="132"/>
      <c r="U1087" s="128"/>
      <c r="V1087" s="133"/>
      <c r="W1087" s="134"/>
      <c r="X1087" s="135"/>
      <c r="Y1087" s="39"/>
      <c r="Z1087" s="132"/>
      <c r="AA1087" s="136"/>
      <c r="AB1087" s="158" t="s">
        <v>6176</v>
      </c>
      <c r="AD1087" s="33" t="s">
        <v>7784</v>
      </c>
      <c r="AF1087" s="33" t="s">
        <v>8089</v>
      </c>
      <c r="AP1087" s="34"/>
      <c r="AQ1087" s="128"/>
      <c r="AR1087" s="129"/>
      <c r="AS1087" s="130"/>
      <c r="AT1087" s="39"/>
      <c r="AU1087" s="132"/>
      <c r="AV1087" s="128"/>
      <c r="AW1087" s="133"/>
      <c r="AX1087" s="134"/>
      <c r="AY1087" s="135"/>
      <c r="AZ1087" s="39"/>
      <c r="BA1087" s="132"/>
      <c r="BB1087" s="136"/>
    </row>
    <row r="1088" spans="1:54" ht="15" customHeight="1">
      <c r="A1088" s="33" t="s">
        <v>8078</v>
      </c>
      <c r="B1088" s="33" t="s">
        <v>8090</v>
      </c>
      <c r="C1088" s="33" t="s">
        <v>8080</v>
      </c>
      <c r="D1088" s="34">
        <v>106</v>
      </c>
      <c r="E1088" s="33">
        <v>2</v>
      </c>
      <c r="G1088" s="33" t="s">
        <v>8091</v>
      </c>
      <c r="J1088" s="33" t="s">
        <v>4111</v>
      </c>
      <c r="K1088" s="33" t="s">
        <v>4053</v>
      </c>
      <c r="N1088" s="157" t="s">
        <v>38</v>
      </c>
      <c r="O1088" s="128"/>
      <c r="P1088" s="129"/>
      <c r="Q1088" s="130"/>
      <c r="R1088" s="39"/>
      <c r="S1088" s="145"/>
      <c r="T1088" s="132"/>
      <c r="U1088" s="128"/>
      <c r="V1088" s="133"/>
      <c r="W1088" s="134"/>
      <c r="X1088" s="135"/>
      <c r="Y1088" s="39"/>
      <c r="Z1088" s="132"/>
      <c r="AA1088" s="136"/>
      <c r="AB1088" s="158"/>
      <c r="AD1088" s="33" t="s">
        <v>4143</v>
      </c>
      <c r="AE1088" s="34" t="s">
        <v>8092</v>
      </c>
      <c r="AF1088" s="33" t="s">
        <v>8093</v>
      </c>
      <c r="AP1088" s="34"/>
      <c r="AQ1088" s="128"/>
      <c r="AR1088" s="129"/>
      <c r="AS1088" s="130"/>
      <c r="AT1088" s="39"/>
      <c r="AU1088" s="132"/>
      <c r="AV1088" s="128"/>
      <c r="AW1088" s="133"/>
      <c r="AX1088" s="134"/>
      <c r="AY1088" s="135"/>
      <c r="AZ1088" s="39"/>
      <c r="BA1088" s="132"/>
      <c r="BB1088" s="136"/>
    </row>
    <row r="1089" spans="1:59" ht="15" customHeight="1">
      <c r="A1089" s="33" t="s">
        <v>8078</v>
      </c>
      <c r="B1089" s="33" t="s">
        <v>8094</v>
      </c>
      <c r="C1089" s="33" t="s">
        <v>8080</v>
      </c>
      <c r="D1089" s="34">
        <v>107</v>
      </c>
      <c r="E1089" s="33">
        <v>2</v>
      </c>
      <c r="G1089" s="33" t="s">
        <v>8095</v>
      </c>
      <c r="J1089" s="33" t="s">
        <v>4111</v>
      </c>
      <c r="K1089" s="33" t="s">
        <v>4055</v>
      </c>
      <c r="N1089" s="157">
        <v>2</v>
      </c>
      <c r="O1089" s="128">
        <v>1</v>
      </c>
      <c r="P1089" s="129"/>
      <c r="Q1089" s="130"/>
      <c r="R1089" s="39"/>
      <c r="S1089" s="145"/>
      <c r="T1089" s="132"/>
      <c r="U1089" s="128"/>
      <c r="V1089" s="133"/>
      <c r="W1089" s="134"/>
      <c r="X1089" s="135"/>
      <c r="Y1089" s="39"/>
      <c r="Z1089" s="132"/>
      <c r="AA1089" s="136"/>
      <c r="AB1089" s="158" t="s">
        <v>4058</v>
      </c>
      <c r="AC1089" s="33" t="s">
        <v>4129</v>
      </c>
      <c r="AD1089" s="33" t="s">
        <v>4229</v>
      </c>
      <c r="AF1089" s="33" t="s">
        <v>8096</v>
      </c>
      <c r="AP1089" s="34"/>
      <c r="AQ1089" s="128"/>
      <c r="AR1089" s="129"/>
      <c r="AS1089" s="130"/>
      <c r="AT1089" s="39"/>
      <c r="AU1089" s="132"/>
      <c r="AV1089" s="128"/>
      <c r="AW1089" s="133"/>
      <c r="AX1089" s="134"/>
      <c r="AY1089" s="135"/>
      <c r="AZ1089" s="39"/>
      <c r="BA1089" s="132"/>
      <c r="BB1089" s="136"/>
    </row>
    <row r="1090" spans="1:59" ht="15" customHeight="1">
      <c r="A1090" s="33" t="s">
        <v>8078</v>
      </c>
      <c r="B1090" s="33" t="s">
        <v>8097</v>
      </c>
      <c r="C1090" s="33" t="s">
        <v>8080</v>
      </c>
      <c r="D1090" s="34">
        <v>108</v>
      </c>
      <c r="E1090" s="33">
        <v>2</v>
      </c>
      <c r="G1090" s="33" t="s">
        <v>8098</v>
      </c>
      <c r="J1090" s="33" t="s">
        <v>4111</v>
      </c>
      <c r="K1090" s="33" t="s">
        <v>4055</v>
      </c>
      <c r="L1090" s="33">
        <v>1</v>
      </c>
      <c r="N1090" s="157">
        <v>3</v>
      </c>
      <c r="O1090" s="128"/>
      <c r="P1090" s="129"/>
      <c r="Q1090" s="130"/>
      <c r="R1090" s="39">
        <v>1</v>
      </c>
      <c r="S1090" s="145"/>
      <c r="T1090" s="132"/>
      <c r="U1090" s="128"/>
      <c r="V1090" s="133"/>
      <c r="W1090" s="134"/>
      <c r="X1090" s="135"/>
      <c r="Y1090" s="39"/>
      <c r="Z1090" s="132"/>
      <c r="AA1090" s="136"/>
      <c r="AB1090" s="158" t="s">
        <v>4061</v>
      </c>
      <c r="AD1090" s="33" t="s">
        <v>8099</v>
      </c>
      <c r="AF1090" s="33" t="s">
        <v>8100</v>
      </c>
      <c r="AP1090" s="34"/>
      <c r="AQ1090" s="128"/>
      <c r="AR1090" s="129"/>
      <c r="AS1090" s="130"/>
      <c r="AT1090" s="39"/>
      <c r="AU1090" s="132"/>
      <c r="AV1090" s="128"/>
      <c r="AW1090" s="133"/>
      <c r="AX1090" s="134"/>
      <c r="AY1090" s="135"/>
      <c r="AZ1090" s="39"/>
      <c r="BA1090" s="132"/>
      <c r="BB1090" s="136"/>
    </row>
    <row r="1091" spans="1:59" ht="15" customHeight="1">
      <c r="A1091" s="33" t="s">
        <v>8078</v>
      </c>
      <c r="B1091" s="33" t="s">
        <v>8101</v>
      </c>
      <c r="C1091" s="33" t="s">
        <v>8080</v>
      </c>
      <c r="D1091" s="34">
        <v>109</v>
      </c>
      <c r="E1091" s="33">
        <v>2</v>
      </c>
      <c r="G1091" s="33" t="s">
        <v>8102</v>
      </c>
      <c r="J1091" s="33" t="s">
        <v>4111</v>
      </c>
      <c r="K1091" s="33" t="s">
        <v>4054</v>
      </c>
      <c r="N1091" s="157" t="s">
        <v>38</v>
      </c>
      <c r="O1091" s="128"/>
      <c r="P1091" s="129"/>
      <c r="Q1091" s="130"/>
      <c r="R1091" s="39"/>
      <c r="S1091" s="145"/>
      <c r="T1091" s="132"/>
      <c r="U1091" s="128"/>
      <c r="V1091" s="133"/>
      <c r="W1091" s="134"/>
      <c r="X1091" s="135"/>
      <c r="Y1091" s="39"/>
      <c r="Z1091" s="132"/>
      <c r="AA1091" s="136"/>
      <c r="AB1091" s="158"/>
      <c r="AD1091" s="33" t="s">
        <v>4143</v>
      </c>
      <c r="AE1091" s="34" t="s">
        <v>5832</v>
      </c>
      <c r="AF1091" s="33" t="s">
        <v>8103</v>
      </c>
      <c r="AP1091" s="34"/>
      <c r="AQ1091" s="128"/>
      <c r="AR1091" s="129"/>
      <c r="AS1091" s="130"/>
      <c r="AT1091" s="39"/>
      <c r="AU1091" s="132"/>
      <c r="AV1091" s="128"/>
      <c r="AW1091" s="133"/>
      <c r="AX1091" s="134"/>
      <c r="AY1091" s="135"/>
      <c r="AZ1091" s="39"/>
      <c r="BA1091" s="132"/>
      <c r="BB1091" s="136"/>
    </row>
    <row r="1092" spans="1:59" ht="15" customHeight="1">
      <c r="A1092" s="33" t="s">
        <v>8078</v>
      </c>
      <c r="B1092" s="33" t="s">
        <v>8104</v>
      </c>
      <c r="C1092" s="33" t="s">
        <v>8080</v>
      </c>
      <c r="D1092" s="34">
        <v>110</v>
      </c>
      <c r="E1092" s="33">
        <v>2</v>
      </c>
      <c r="G1092" s="33" t="s">
        <v>8105</v>
      </c>
      <c r="J1092" s="33" t="s">
        <v>27</v>
      </c>
      <c r="K1092" s="33" t="s">
        <v>4054</v>
      </c>
      <c r="L1092" s="33">
        <v>2</v>
      </c>
      <c r="N1092" s="157">
        <v>2</v>
      </c>
      <c r="O1092" s="128">
        <v>1</v>
      </c>
      <c r="P1092" s="129">
        <v>1</v>
      </c>
      <c r="Q1092" s="130"/>
      <c r="R1092" s="39"/>
      <c r="S1092" s="145"/>
      <c r="T1092" s="132"/>
      <c r="U1092" s="128"/>
      <c r="V1092" s="133"/>
      <c r="W1092" s="134"/>
      <c r="X1092" s="135"/>
      <c r="Y1092" s="39"/>
      <c r="Z1092" s="132"/>
      <c r="AA1092" s="136"/>
      <c r="AB1092" s="158" t="s">
        <v>6176</v>
      </c>
      <c r="AD1092" s="33" t="s">
        <v>8106</v>
      </c>
      <c r="AF1092" s="33" t="s">
        <v>8107</v>
      </c>
      <c r="AP1092" s="34"/>
      <c r="AQ1092" s="128"/>
      <c r="AR1092" s="129"/>
      <c r="AS1092" s="130"/>
      <c r="AT1092" s="39"/>
      <c r="AU1092" s="132"/>
      <c r="AV1092" s="128"/>
      <c r="AW1092" s="133"/>
      <c r="AX1092" s="134"/>
      <c r="AY1092" s="135"/>
      <c r="AZ1092" s="39"/>
      <c r="BA1092" s="132"/>
      <c r="BB1092" s="136"/>
    </row>
    <row r="1093" spans="1:59" ht="15" customHeight="1">
      <c r="A1093" s="33" t="s">
        <v>8078</v>
      </c>
      <c r="B1093" s="33" t="s">
        <v>8108</v>
      </c>
      <c r="C1093" s="33" t="s">
        <v>8080</v>
      </c>
      <c r="D1093" s="34">
        <v>111</v>
      </c>
      <c r="E1093" s="33">
        <v>2</v>
      </c>
      <c r="G1093" s="33" t="s">
        <v>8109</v>
      </c>
      <c r="J1093" s="33" t="s">
        <v>27</v>
      </c>
      <c r="K1093" s="33" t="s">
        <v>4056</v>
      </c>
      <c r="N1093" s="157">
        <v>2</v>
      </c>
      <c r="O1093" s="128">
        <v>2</v>
      </c>
      <c r="P1093" s="129"/>
      <c r="Q1093" s="130"/>
      <c r="R1093" s="39"/>
      <c r="S1093" s="145"/>
      <c r="T1093" s="132"/>
      <c r="U1093" s="128"/>
      <c r="V1093" s="133"/>
      <c r="W1093" s="134"/>
      <c r="X1093" s="135"/>
      <c r="Y1093" s="39"/>
      <c r="Z1093" s="132"/>
      <c r="AA1093" s="136"/>
      <c r="AB1093" s="158" t="s">
        <v>4948</v>
      </c>
      <c r="AD1093" s="33" t="s">
        <v>5659</v>
      </c>
      <c r="AF1093" s="33" t="s">
        <v>8110</v>
      </c>
      <c r="AP1093" s="34"/>
      <c r="AQ1093" s="128"/>
      <c r="AR1093" s="129"/>
      <c r="AS1093" s="130"/>
      <c r="AT1093" s="39"/>
      <c r="AU1093" s="132"/>
      <c r="AV1093" s="128"/>
      <c r="AW1093" s="133"/>
      <c r="AX1093" s="134"/>
      <c r="AY1093" s="135"/>
      <c r="AZ1093" s="39"/>
      <c r="BA1093" s="132"/>
      <c r="BB1093" s="136"/>
    </row>
    <row r="1094" spans="1:59" ht="15" customHeight="1">
      <c r="A1094" s="33" t="s">
        <v>8078</v>
      </c>
      <c r="B1094" s="33" t="s">
        <v>8111</v>
      </c>
      <c r="C1094" s="33" t="s">
        <v>8080</v>
      </c>
      <c r="D1094" s="34">
        <v>112</v>
      </c>
      <c r="E1094" s="33">
        <v>2</v>
      </c>
      <c r="G1094" s="33" t="s">
        <v>8112</v>
      </c>
      <c r="J1094" s="33" t="s">
        <v>4166</v>
      </c>
      <c r="K1094" s="33" t="s">
        <v>4056</v>
      </c>
      <c r="N1094" s="157"/>
      <c r="O1094" s="128"/>
      <c r="P1094" s="129"/>
      <c r="Q1094" s="130">
        <v>1</v>
      </c>
      <c r="R1094" s="39"/>
      <c r="S1094" s="145"/>
      <c r="T1094" s="132"/>
      <c r="U1094" s="128"/>
      <c r="V1094" s="133"/>
      <c r="W1094" s="134"/>
      <c r="X1094" s="135"/>
      <c r="Y1094" s="39"/>
      <c r="Z1094" s="132"/>
      <c r="AA1094" s="136"/>
      <c r="AB1094" s="158" t="s">
        <v>4060</v>
      </c>
      <c r="AD1094" s="33" t="s">
        <v>4167</v>
      </c>
      <c r="AF1094" s="33" t="s">
        <v>8113</v>
      </c>
      <c r="AP1094" s="34"/>
      <c r="AQ1094" s="128"/>
      <c r="AR1094" s="129"/>
      <c r="AS1094" s="130"/>
      <c r="AT1094" s="39"/>
      <c r="AU1094" s="132"/>
      <c r="AV1094" s="128"/>
      <c r="AW1094" s="133"/>
      <c r="AX1094" s="134"/>
      <c r="AY1094" s="135"/>
      <c r="AZ1094" s="39"/>
      <c r="BA1094" s="132"/>
      <c r="BB1094" s="136"/>
    </row>
    <row r="1095" spans="1:59" ht="15" customHeight="1">
      <c r="A1095" s="33" t="s">
        <v>8078</v>
      </c>
      <c r="B1095" s="33" t="s">
        <v>8114</v>
      </c>
      <c r="C1095" s="33" t="s">
        <v>8080</v>
      </c>
      <c r="D1095" s="34">
        <v>113</v>
      </c>
      <c r="E1095" s="33">
        <v>1</v>
      </c>
      <c r="F1095" s="33" t="s">
        <v>8115</v>
      </c>
      <c r="G1095" s="33" t="s">
        <v>8115</v>
      </c>
      <c r="H1095" s="33" t="s">
        <v>4563</v>
      </c>
      <c r="J1095" s="33" t="s">
        <v>4472</v>
      </c>
      <c r="K1095" s="33" t="s">
        <v>6280</v>
      </c>
      <c r="N1095" s="157"/>
      <c r="O1095" s="128"/>
      <c r="P1095" s="129"/>
      <c r="Q1095" s="130"/>
      <c r="R1095" s="39"/>
      <c r="S1095" s="145"/>
      <c r="T1095" s="132"/>
      <c r="U1095" s="128"/>
      <c r="V1095" s="133"/>
      <c r="W1095" s="134"/>
      <c r="X1095" s="135"/>
      <c r="Y1095" s="39"/>
      <c r="Z1095" s="132"/>
      <c r="AA1095" s="136"/>
      <c r="AB1095" s="158"/>
      <c r="AF1095" s="33" t="s">
        <v>8116</v>
      </c>
      <c r="AI1095" s="33" t="s">
        <v>8115</v>
      </c>
      <c r="AJ1095" s="38" t="s">
        <v>4564</v>
      </c>
      <c r="AL1095" s="33" t="s">
        <v>4472</v>
      </c>
      <c r="AM1095" s="33" t="s">
        <v>6280</v>
      </c>
      <c r="AP1095" s="34"/>
      <c r="AQ1095" s="128"/>
      <c r="AR1095" s="129"/>
      <c r="AS1095" s="130"/>
      <c r="AT1095" s="39"/>
      <c r="AU1095" s="132"/>
      <c r="AV1095" s="128"/>
      <c r="AW1095" s="133"/>
      <c r="AX1095" s="134"/>
      <c r="AY1095" s="135"/>
      <c r="AZ1095" s="39"/>
      <c r="BA1095" s="132"/>
      <c r="BB1095" s="136"/>
      <c r="BG1095" s="33" t="s">
        <v>8117</v>
      </c>
    </row>
    <row r="1096" spans="1:59" ht="15" customHeight="1">
      <c r="A1096" s="33" t="s">
        <v>8078</v>
      </c>
      <c r="B1096" s="33" t="s">
        <v>8118</v>
      </c>
      <c r="C1096" s="33" t="s">
        <v>8080</v>
      </c>
      <c r="D1096" s="34">
        <v>114</v>
      </c>
      <c r="E1096" s="33">
        <v>1</v>
      </c>
      <c r="F1096" s="33" t="s">
        <v>8115</v>
      </c>
      <c r="G1096" s="33" t="s">
        <v>8119</v>
      </c>
      <c r="J1096" s="33" t="s">
        <v>4473</v>
      </c>
      <c r="K1096" s="33" t="s">
        <v>6280</v>
      </c>
      <c r="L1096" s="33">
        <v>1</v>
      </c>
      <c r="N1096" s="157"/>
      <c r="O1096" s="128"/>
      <c r="P1096" s="129"/>
      <c r="Q1096" s="130"/>
      <c r="R1096" s="39"/>
      <c r="S1096" s="145"/>
      <c r="T1096" s="132"/>
      <c r="U1096" s="128"/>
      <c r="V1096" s="133"/>
      <c r="W1096" s="134"/>
      <c r="X1096" s="135"/>
      <c r="Y1096" s="39"/>
      <c r="Z1096" s="132">
        <v>6</v>
      </c>
      <c r="AA1096" s="136"/>
      <c r="AB1096" s="158"/>
      <c r="AF1096" s="33" t="s">
        <v>8120</v>
      </c>
      <c r="AI1096" s="33" t="s">
        <v>8121</v>
      </c>
      <c r="AL1096" s="33" t="s">
        <v>4473</v>
      </c>
      <c r="AM1096" s="33" t="s">
        <v>6280</v>
      </c>
      <c r="AN1096" s="33">
        <v>1</v>
      </c>
      <c r="AP1096" s="34"/>
      <c r="AQ1096" s="128"/>
      <c r="AR1096" s="129"/>
      <c r="AS1096" s="130"/>
      <c r="AT1096" s="39"/>
      <c r="AU1096" s="132"/>
      <c r="AV1096" s="128"/>
      <c r="AW1096" s="133"/>
      <c r="AX1096" s="134"/>
      <c r="AY1096" s="135"/>
      <c r="AZ1096" s="39"/>
      <c r="BA1096" s="132"/>
      <c r="BB1096" s="136"/>
      <c r="BG1096" s="33" t="s">
        <v>8122</v>
      </c>
    </row>
    <row r="1097" spans="1:59" ht="15" customHeight="1">
      <c r="A1097" s="33" t="s">
        <v>8078</v>
      </c>
      <c r="B1097" s="33" t="s">
        <v>8123</v>
      </c>
      <c r="C1097" s="33" t="s">
        <v>8080</v>
      </c>
      <c r="D1097" s="34">
        <v>115</v>
      </c>
      <c r="E1097" s="33">
        <v>1</v>
      </c>
      <c r="F1097" s="33" t="s">
        <v>8115</v>
      </c>
      <c r="G1097" s="33" t="s">
        <v>8124</v>
      </c>
      <c r="J1097" s="33" t="s">
        <v>4473</v>
      </c>
      <c r="K1097" s="33" t="s">
        <v>6280</v>
      </c>
      <c r="L1097" s="33">
        <v>2</v>
      </c>
      <c r="N1097" s="157"/>
      <c r="O1097" s="128"/>
      <c r="P1097" s="129"/>
      <c r="Q1097" s="130"/>
      <c r="R1097" s="39"/>
      <c r="S1097" s="145"/>
      <c r="T1097" s="132"/>
      <c r="U1097" s="128"/>
      <c r="V1097" s="133"/>
      <c r="W1097" s="134"/>
      <c r="X1097" s="135"/>
      <c r="Y1097" s="39"/>
      <c r="Z1097" s="132">
        <v>6</v>
      </c>
      <c r="AA1097" s="136"/>
      <c r="AB1097" s="158"/>
      <c r="AF1097" s="33" t="s">
        <v>8120</v>
      </c>
      <c r="AI1097" s="33" t="s">
        <v>8125</v>
      </c>
      <c r="AL1097" s="33" t="s">
        <v>4473</v>
      </c>
      <c r="AM1097" s="33" t="s">
        <v>6280</v>
      </c>
      <c r="AN1097" s="33">
        <v>2</v>
      </c>
      <c r="AP1097" s="34"/>
      <c r="AQ1097" s="128"/>
      <c r="AR1097" s="129"/>
      <c r="AS1097" s="130"/>
      <c r="AT1097" s="39"/>
      <c r="AU1097" s="132"/>
      <c r="AV1097" s="128"/>
      <c r="AW1097" s="133"/>
      <c r="AX1097" s="134"/>
      <c r="AY1097" s="135"/>
      <c r="AZ1097" s="39"/>
      <c r="BA1097" s="132"/>
      <c r="BB1097" s="136"/>
      <c r="BG1097" s="33" t="s">
        <v>8126</v>
      </c>
    </row>
    <row r="1098" spans="1:59" ht="15" customHeight="1">
      <c r="A1098" s="33" t="s">
        <v>8078</v>
      </c>
      <c r="B1098" s="33" t="s">
        <v>8127</v>
      </c>
      <c r="C1098" s="33" t="s">
        <v>8080</v>
      </c>
      <c r="D1098" s="34">
        <v>116</v>
      </c>
      <c r="E1098" s="33">
        <v>1</v>
      </c>
      <c r="F1098" s="33" t="s">
        <v>8115</v>
      </c>
      <c r="G1098" s="33" t="s">
        <v>8128</v>
      </c>
      <c r="J1098" s="33" t="s">
        <v>4473</v>
      </c>
      <c r="K1098" s="33" t="s">
        <v>6280</v>
      </c>
      <c r="L1098" s="33">
        <v>3</v>
      </c>
      <c r="N1098" s="157"/>
      <c r="O1098" s="128"/>
      <c r="P1098" s="129"/>
      <c r="Q1098" s="130"/>
      <c r="R1098" s="39"/>
      <c r="S1098" s="145"/>
      <c r="T1098" s="132"/>
      <c r="U1098" s="128"/>
      <c r="V1098" s="133"/>
      <c r="W1098" s="134"/>
      <c r="X1098" s="135"/>
      <c r="Y1098" s="39"/>
      <c r="Z1098" s="132">
        <v>6</v>
      </c>
      <c r="AA1098" s="136"/>
      <c r="AB1098" s="158"/>
      <c r="AF1098" s="33" t="s">
        <v>8120</v>
      </c>
      <c r="AI1098" s="33" t="s">
        <v>8129</v>
      </c>
      <c r="AL1098" s="33" t="s">
        <v>4473</v>
      </c>
      <c r="AM1098" s="33" t="s">
        <v>6280</v>
      </c>
      <c r="AN1098" s="33">
        <v>3</v>
      </c>
      <c r="AP1098" s="34"/>
      <c r="AQ1098" s="128"/>
      <c r="AR1098" s="129"/>
      <c r="AS1098" s="130"/>
      <c r="AT1098" s="39"/>
      <c r="AU1098" s="132"/>
      <c r="AV1098" s="128"/>
      <c r="AW1098" s="133"/>
      <c r="AX1098" s="134"/>
      <c r="AY1098" s="135"/>
      <c r="AZ1098" s="39"/>
      <c r="BA1098" s="132"/>
      <c r="BB1098" s="136"/>
      <c r="BG1098" s="33" t="s">
        <v>8130</v>
      </c>
    </row>
    <row r="1099" spans="1:59" ht="15" customHeight="1">
      <c r="A1099" s="33" t="s">
        <v>8078</v>
      </c>
      <c r="B1099" s="33" t="s">
        <v>8131</v>
      </c>
      <c r="C1099" s="33" t="s">
        <v>8080</v>
      </c>
      <c r="D1099" s="34">
        <v>117</v>
      </c>
      <c r="E1099" s="33">
        <v>1</v>
      </c>
      <c r="F1099" s="33" t="s">
        <v>8115</v>
      </c>
      <c r="G1099" s="33" t="s">
        <v>8132</v>
      </c>
      <c r="J1099" s="33" t="s">
        <v>4475</v>
      </c>
      <c r="K1099" s="33" t="s">
        <v>6280</v>
      </c>
      <c r="L1099" s="33">
        <v>1</v>
      </c>
      <c r="N1099" s="157"/>
      <c r="O1099" s="128"/>
      <c r="P1099" s="129"/>
      <c r="Q1099" s="130"/>
      <c r="R1099" s="39"/>
      <c r="S1099" s="145"/>
      <c r="T1099" s="132"/>
      <c r="U1099" s="128"/>
      <c r="V1099" s="133"/>
      <c r="W1099" s="134"/>
      <c r="X1099" s="135"/>
      <c r="Y1099" s="39" t="s">
        <v>4927</v>
      </c>
      <c r="Z1099" s="132"/>
      <c r="AA1099" s="136"/>
      <c r="AB1099" s="158"/>
      <c r="AF1099" s="33" t="s">
        <v>8133</v>
      </c>
      <c r="AI1099" s="33" t="s">
        <v>8134</v>
      </c>
      <c r="AL1099" s="33" t="s">
        <v>31</v>
      </c>
      <c r="AM1099" s="33" t="s">
        <v>6280</v>
      </c>
      <c r="AP1099" s="34"/>
      <c r="AQ1099" s="128"/>
      <c r="AR1099" s="129"/>
      <c r="AS1099" s="130"/>
      <c r="AT1099" s="39"/>
      <c r="AU1099" s="132"/>
      <c r="AV1099" s="128"/>
      <c r="AW1099" s="133"/>
      <c r="AX1099" s="134"/>
      <c r="AY1099" s="135">
        <v>3</v>
      </c>
      <c r="AZ1099" s="39" t="s">
        <v>4965</v>
      </c>
      <c r="BA1099" s="132"/>
      <c r="BB1099" s="136">
        <v>1</v>
      </c>
      <c r="BE1099" s="33" t="s">
        <v>5626</v>
      </c>
      <c r="BG1099" s="33" t="s">
        <v>8135</v>
      </c>
    </row>
    <row r="1100" spans="1:59" ht="15" customHeight="1">
      <c r="A1100" s="33" t="s">
        <v>8078</v>
      </c>
      <c r="B1100" s="33" t="s">
        <v>8136</v>
      </c>
      <c r="C1100" s="33" t="s">
        <v>8080</v>
      </c>
      <c r="D1100" s="34">
        <v>118</v>
      </c>
      <c r="E1100" s="33">
        <v>1</v>
      </c>
      <c r="F1100" s="33" t="s">
        <v>8115</v>
      </c>
      <c r="G1100" s="33" t="s">
        <v>8137</v>
      </c>
      <c r="J1100" s="33" t="s">
        <v>4475</v>
      </c>
      <c r="K1100" s="33" t="s">
        <v>6280</v>
      </c>
      <c r="L1100" s="33">
        <v>1</v>
      </c>
      <c r="N1100" s="157"/>
      <c r="O1100" s="128"/>
      <c r="P1100" s="129"/>
      <c r="Q1100" s="130"/>
      <c r="R1100" s="39"/>
      <c r="S1100" s="145"/>
      <c r="T1100" s="132"/>
      <c r="U1100" s="128"/>
      <c r="V1100" s="133"/>
      <c r="W1100" s="134"/>
      <c r="X1100" s="135"/>
      <c r="Y1100" s="39" t="s">
        <v>4965</v>
      </c>
      <c r="Z1100" s="132"/>
      <c r="AA1100" s="136"/>
      <c r="AB1100" s="158"/>
      <c r="AF1100" s="33" t="s">
        <v>8133</v>
      </c>
      <c r="AI1100" s="33" t="s">
        <v>8138</v>
      </c>
      <c r="AJ1100" s="33" t="s">
        <v>8139</v>
      </c>
      <c r="AK1100" s="33" t="s">
        <v>4077</v>
      </c>
      <c r="AL1100" s="33" t="s">
        <v>4111</v>
      </c>
      <c r="AM1100" s="33" t="s">
        <v>26</v>
      </c>
      <c r="AP1100" s="34"/>
      <c r="AQ1100" s="128"/>
      <c r="AR1100" s="129"/>
      <c r="AS1100" s="130"/>
      <c r="AT1100" s="39"/>
      <c r="AU1100" s="132"/>
      <c r="AV1100" s="128"/>
      <c r="AW1100" s="133"/>
      <c r="AX1100" s="134"/>
      <c r="AY1100" s="135"/>
      <c r="AZ1100" s="39"/>
      <c r="BA1100" s="132"/>
      <c r="BB1100" s="136"/>
      <c r="BE1100" s="33" t="s">
        <v>8140</v>
      </c>
      <c r="BG1100" s="33" t="s">
        <v>8141</v>
      </c>
    </row>
    <row r="1101" spans="1:59" ht="15" customHeight="1">
      <c r="A1101" s="33" t="s">
        <v>8078</v>
      </c>
      <c r="B1101" s="33" t="s">
        <v>8142</v>
      </c>
      <c r="C1101" s="33" t="s">
        <v>8080</v>
      </c>
      <c r="D1101" s="34">
        <v>119</v>
      </c>
      <c r="E1101" s="33">
        <v>1</v>
      </c>
      <c r="F1101" s="33" t="s">
        <v>8115</v>
      </c>
      <c r="G1101" s="33" t="s">
        <v>8143</v>
      </c>
      <c r="J1101" s="33" t="s">
        <v>4475</v>
      </c>
      <c r="K1101" s="33" t="s">
        <v>6280</v>
      </c>
      <c r="L1101" s="33">
        <v>2</v>
      </c>
      <c r="N1101" s="157"/>
      <c r="O1101" s="128"/>
      <c r="P1101" s="129"/>
      <c r="Q1101" s="130"/>
      <c r="R1101" s="39"/>
      <c r="S1101" s="145"/>
      <c r="T1101" s="132"/>
      <c r="U1101" s="128"/>
      <c r="V1101" s="133"/>
      <c r="W1101" s="134"/>
      <c r="X1101" s="135"/>
      <c r="Y1101" s="39" t="s">
        <v>4965</v>
      </c>
      <c r="Z1101" s="132"/>
      <c r="AA1101" s="136"/>
      <c r="AB1101" s="158"/>
      <c r="AF1101" s="33" t="s">
        <v>8144</v>
      </c>
      <c r="AI1101" s="33" t="s">
        <v>8145</v>
      </c>
      <c r="AL1101" s="33" t="s">
        <v>4475</v>
      </c>
      <c r="AM1101" s="33" t="s">
        <v>6280</v>
      </c>
      <c r="AN1101" s="33">
        <v>2</v>
      </c>
      <c r="AP1101" s="34"/>
      <c r="AQ1101" s="128"/>
      <c r="AR1101" s="129"/>
      <c r="AS1101" s="130"/>
      <c r="AT1101" s="39"/>
      <c r="AU1101" s="132"/>
      <c r="AV1101" s="128"/>
      <c r="AW1101" s="133"/>
      <c r="AX1101" s="134"/>
      <c r="AY1101" s="135"/>
      <c r="AZ1101" s="39"/>
      <c r="BA1101" s="132"/>
      <c r="BB1101" s="136"/>
      <c r="BG1101" s="33" t="s">
        <v>8146</v>
      </c>
    </row>
    <row r="1102" spans="1:59" ht="15" customHeight="1">
      <c r="A1102" s="33" t="s">
        <v>8078</v>
      </c>
      <c r="B1102" s="33" t="s">
        <v>8147</v>
      </c>
      <c r="C1102" s="33" t="s">
        <v>8080</v>
      </c>
      <c r="D1102" s="34">
        <v>120</v>
      </c>
      <c r="E1102" s="33">
        <v>1</v>
      </c>
      <c r="F1102" s="33" t="s">
        <v>8115</v>
      </c>
      <c r="G1102" s="33" t="s">
        <v>8143</v>
      </c>
      <c r="J1102" s="33" t="s">
        <v>4475</v>
      </c>
      <c r="K1102" s="33" t="s">
        <v>6280</v>
      </c>
      <c r="L1102" s="33">
        <v>2</v>
      </c>
      <c r="N1102" s="157"/>
      <c r="O1102" s="128"/>
      <c r="P1102" s="129"/>
      <c r="Q1102" s="130"/>
      <c r="R1102" s="39"/>
      <c r="S1102" s="145"/>
      <c r="T1102" s="132"/>
      <c r="U1102" s="128"/>
      <c r="V1102" s="133"/>
      <c r="W1102" s="134"/>
      <c r="X1102" s="135"/>
      <c r="Y1102" s="39" t="s">
        <v>4965</v>
      </c>
      <c r="Z1102" s="132"/>
      <c r="AA1102" s="136"/>
      <c r="AB1102" s="158"/>
      <c r="AF1102" s="33" t="s">
        <v>8144</v>
      </c>
      <c r="AI1102" s="33" t="s">
        <v>8148</v>
      </c>
      <c r="AL1102" s="33" t="s">
        <v>4475</v>
      </c>
      <c r="AM1102" s="33" t="s">
        <v>6280</v>
      </c>
      <c r="AN1102" s="33">
        <v>2</v>
      </c>
      <c r="AP1102" s="34"/>
      <c r="AQ1102" s="128"/>
      <c r="AR1102" s="129"/>
      <c r="AS1102" s="130"/>
      <c r="AT1102" s="39"/>
      <c r="AU1102" s="132"/>
      <c r="AV1102" s="128"/>
      <c r="AW1102" s="133"/>
      <c r="AX1102" s="134"/>
      <c r="AY1102" s="135"/>
      <c r="AZ1102" s="39"/>
      <c r="BA1102" s="132"/>
      <c r="BB1102" s="136"/>
      <c r="BG1102" s="33" t="s">
        <v>8149</v>
      </c>
    </row>
    <row r="1103" spans="1:59" ht="15" customHeight="1">
      <c r="A1103" s="33" t="s">
        <v>8078</v>
      </c>
      <c r="B1103" s="33" t="s">
        <v>8150</v>
      </c>
      <c r="C1103" s="33" t="s">
        <v>8080</v>
      </c>
      <c r="D1103" s="34">
        <v>121</v>
      </c>
      <c r="E1103" s="33">
        <v>1</v>
      </c>
      <c r="F1103" s="33" t="s">
        <v>8115</v>
      </c>
      <c r="G1103" s="33" t="s">
        <v>8151</v>
      </c>
      <c r="J1103" s="33" t="s">
        <v>4475</v>
      </c>
      <c r="K1103" s="33" t="s">
        <v>6280</v>
      </c>
      <c r="L1103" s="33">
        <v>2</v>
      </c>
      <c r="N1103" s="157"/>
      <c r="O1103" s="128"/>
      <c r="P1103" s="129"/>
      <c r="Q1103" s="130"/>
      <c r="R1103" s="39"/>
      <c r="S1103" s="145"/>
      <c r="T1103" s="132"/>
      <c r="U1103" s="128"/>
      <c r="V1103" s="133"/>
      <c r="W1103" s="134"/>
      <c r="X1103" s="135"/>
      <c r="Y1103" s="39" t="s">
        <v>38</v>
      </c>
      <c r="Z1103" s="132"/>
      <c r="AA1103" s="136"/>
      <c r="AB1103" s="158"/>
      <c r="AF1103" s="33" t="s">
        <v>8152</v>
      </c>
      <c r="AI1103" s="33" t="s">
        <v>8153</v>
      </c>
      <c r="AL1103" s="33" t="s">
        <v>4475</v>
      </c>
      <c r="AM1103" s="33" t="s">
        <v>6280</v>
      </c>
      <c r="AN1103" s="33">
        <v>2</v>
      </c>
      <c r="AP1103" s="34"/>
      <c r="AQ1103" s="128"/>
      <c r="AR1103" s="129"/>
      <c r="AS1103" s="130"/>
      <c r="AT1103" s="39"/>
      <c r="AU1103" s="132"/>
      <c r="AV1103" s="128"/>
      <c r="AW1103" s="133"/>
      <c r="AX1103" s="134"/>
      <c r="AY1103" s="135"/>
      <c r="AZ1103" s="39"/>
      <c r="BA1103" s="132"/>
      <c r="BB1103" s="136"/>
      <c r="BG1103" s="33" t="s">
        <v>8154</v>
      </c>
    </row>
    <row r="1104" spans="1:59" ht="15" customHeight="1">
      <c r="A1104" s="33" t="s">
        <v>8078</v>
      </c>
      <c r="B1104" s="33" t="s">
        <v>8155</v>
      </c>
      <c r="C1104" s="33" t="s">
        <v>8080</v>
      </c>
      <c r="D1104" s="34">
        <v>122</v>
      </c>
      <c r="E1104" s="33">
        <v>1</v>
      </c>
      <c r="F1104" s="33" t="s">
        <v>8115</v>
      </c>
      <c r="G1104" s="33" t="s">
        <v>8151</v>
      </c>
      <c r="J1104" s="33" t="s">
        <v>4475</v>
      </c>
      <c r="K1104" s="33" t="s">
        <v>6280</v>
      </c>
      <c r="L1104" s="33">
        <v>2</v>
      </c>
      <c r="N1104" s="157"/>
      <c r="O1104" s="128"/>
      <c r="P1104" s="129"/>
      <c r="Q1104" s="130"/>
      <c r="R1104" s="39"/>
      <c r="S1104" s="145"/>
      <c r="T1104" s="132"/>
      <c r="U1104" s="128"/>
      <c r="V1104" s="133"/>
      <c r="W1104" s="134"/>
      <c r="X1104" s="135"/>
      <c r="Y1104" s="39" t="s">
        <v>38</v>
      </c>
      <c r="Z1104" s="132"/>
      <c r="AA1104" s="136"/>
      <c r="AB1104" s="158"/>
      <c r="AF1104" s="33" t="s">
        <v>8152</v>
      </c>
      <c r="AI1104" s="33" t="s">
        <v>8138</v>
      </c>
      <c r="AJ1104" s="33" t="s">
        <v>8156</v>
      </c>
      <c r="AK1104" s="33" t="s">
        <v>4077</v>
      </c>
      <c r="AL1104" s="33" t="s">
        <v>29</v>
      </c>
      <c r="AM1104" s="33" t="s">
        <v>6280</v>
      </c>
      <c r="AP1104" s="34"/>
      <c r="AQ1104" s="128"/>
      <c r="AR1104" s="129"/>
      <c r="AS1104" s="130">
        <v>4</v>
      </c>
      <c r="AT1104" s="39">
        <v>3</v>
      </c>
      <c r="AU1104" s="132">
        <v>2</v>
      </c>
      <c r="AV1104" s="128"/>
      <c r="AW1104" s="133">
        <v>1</v>
      </c>
      <c r="AX1104" s="134">
        <v>1</v>
      </c>
      <c r="AY1104" s="135"/>
      <c r="AZ1104" s="39"/>
      <c r="BA1104" s="132"/>
      <c r="BB1104" s="136">
        <v>1</v>
      </c>
      <c r="BE1104" s="33" t="s">
        <v>8157</v>
      </c>
      <c r="BG1104" s="33" t="s">
        <v>8158</v>
      </c>
    </row>
    <row r="1105" spans="1:59" ht="15" customHeight="1">
      <c r="A1105" s="33" t="s">
        <v>8078</v>
      </c>
      <c r="B1105" s="33" t="s">
        <v>8159</v>
      </c>
      <c r="C1105" s="33" t="s">
        <v>8080</v>
      </c>
      <c r="D1105" s="34">
        <v>123</v>
      </c>
      <c r="E1105" s="33">
        <v>1</v>
      </c>
      <c r="F1105" s="33" t="s">
        <v>8115</v>
      </c>
      <c r="G1105" s="33" t="s">
        <v>8160</v>
      </c>
      <c r="J1105" s="33" t="s">
        <v>4475</v>
      </c>
      <c r="K1105" s="33" t="s">
        <v>6280</v>
      </c>
      <c r="L1105" s="33">
        <v>3</v>
      </c>
      <c r="N1105" s="157"/>
      <c r="O1105" s="128"/>
      <c r="P1105" s="129"/>
      <c r="Q1105" s="130"/>
      <c r="R1105" s="39"/>
      <c r="S1105" s="145"/>
      <c r="T1105" s="132"/>
      <c r="U1105" s="128"/>
      <c r="V1105" s="133"/>
      <c r="W1105" s="134"/>
      <c r="X1105" s="135"/>
      <c r="Y1105" s="39" t="s">
        <v>38</v>
      </c>
      <c r="Z1105" s="132"/>
      <c r="AA1105" s="136"/>
      <c r="AB1105" s="158"/>
      <c r="AF1105" s="33" t="s">
        <v>8161</v>
      </c>
      <c r="AI1105" s="33" t="s">
        <v>8162</v>
      </c>
      <c r="AL1105" s="33" t="s">
        <v>4475</v>
      </c>
      <c r="AM1105" s="33" t="s">
        <v>6280</v>
      </c>
      <c r="AN1105" s="33">
        <v>3</v>
      </c>
      <c r="AP1105" s="34"/>
      <c r="AQ1105" s="128"/>
      <c r="AR1105" s="129"/>
      <c r="AS1105" s="130"/>
      <c r="AT1105" s="39"/>
      <c r="AU1105" s="132"/>
      <c r="AV1105" s="128"/>
      <c r="AW1105" s="133"/>
      <c r="AX1105" s="134"/>
      <c r="AY1105" s="135"/>
      <c r="AZ1105" s="39"/>
      <c r="BA1105" s="132"/>
      <c r="BB1105" s="136"/>
      <c r="BG1105" s="33" t="s">
        <v>8163</v>
      </c>
    </row>
    <row r="1106" spans="1:59" ht="15" customHeight="1">
      <c r="A1106" s="33" t="s">
        <v>8078</v>
      </c>
      <c r="B1106" s="33" t="s">
        <v>8164</v>
      </c>
      <c r="C1106" s="33" t="s">
        <v>8080</v>
      </c>
      <c r="D1106" s="34">
        <v>124</v>
      </c>
      <c r="E1106" s="33">
        <v>1</v>
      </c>
      <c r="F1106" s="33" t="s">
        <v>8115</v>
      </c>
      <c r="G1106" s="33" t="s">
        <v>8165</v>
      </c>
      <c r="J1106" s="33" t="s">
        <v>4475</v>
      </c>
      <c r="K1106" s="33" t="s">
        <v>6280</v>
      </c>
      <c r="L1106" s="33">
        <v>3</v>
      </c>
      <c r="N1106" s="157"/>
      <c r="O1106" s="128"/>
      <c r="P1106" s="129"/>
      <c r="Q1106" s="130"/>
      <c r="R1106" s="39"/>
      <c r="S1106" s="145"/>
      <c r="T1106" s="132"/>
      <c r="U1106" s="128"/>
      <c r="V1106" s="133"/>
      <c r="W1106" s="134"/>
      <c r="X1106" s="135"/>
      <c r="Y1106" s="39" t="s">
        <v>38</v>
      </c>
      <c r="Z1106" s="132"/>
      <c r="AA1106" s="136"/>
      <c r="AB1106" s="158"/>
      <c r="AF1106" s="33" t="s">
        <v>8166</v>
      </c>
      <c r="AI1106" s="33" t="s">
        <v>8167</v>
      </c>
      <c r="AL1106" s="33" t="s">
        <v>4475</v>
      </c>
      <c r="AM1106" s="33" t="s">
        <v>6280</v>
      </c>
      <c r="AN1106" s="33">
        <v>3</v>
      </c>
      <c r="AP1106" s="34"/>
      <c r="AQ1106" s="128"/>
      <c r="AR1106" s="129"/>
      <c r="AS1106" s="130"/>
      <c r="AT1106" s="39"/>
      <c r="AU1106" s="132"/>
      <c r="AV1106" s="128"/>
      <c r="AW1106" s="133"/>
      <c r="AX1106" s="134"/>
      <c r="AY1106" s="135"/>
      <c r="AZ1106" s="39"/>
      <c r="BA1106" s="132"/>
      <c r="BB1106" s="136"/>
      <c r="BG1106" s="33" t="s">
        <v>8168</v>
      </c>
    </row>
    <row r="1107" spans="1:59" ht="15" customHeight="1">
      <c r="A1107" s="33" t="s">
        <v>8078</v>
      </c>
      <c r="B1107" s="33" t="s">
        <v>8169</v>
      </c>
      <c r="C1107" s="33" t="s">
        <v>8080</v>
      </c>
      <c r="D1107" s="34">
        <v>125</v>
      </c>
      <c r="E1107" s="33">
        <v>1</v>
      </c>
      <c r="F1107" s="33" t="s">
        <v>8115</v>
      </c>
      <c r="G1107" s="33" t="s">
        <v>8170</v>
      </c>
      <c r="J1107" s="33" t="s">
        <v>4475</v>
      </c>
      <c r="K1107" s="33" t="s">
        <v>6280</v>
      </c>
      <c r="L1107" s="33">
        <v>1</v>
      </c>
      <c r="N1107" s="157"/>
      <c r="O1107" s="128"/>
      <c r="P1107" s="129"/>
      <c r="Q1107" s="130"/>
      <c r="R1107" s="39"/>
      <c r="S1107" s="145"/>
      <c r="T1107" s="132"/>
      <c r="U1107" s="128"/>
      <c r="V1107" s="133"/>
      <c r="W1107" s="134"/>
      <c r="X1107" s="135"/>
      <c r="Y1107" s="39" t="s">
        <v>4927</v>
      </c>
      <c r="Z1107" s="132"/>
      <c r="AA1107" s="136"/>
      <c r="AB1107" s="158"/>
      <c r="AF1107" s="33" t="s">
        <v>8171</v>
      </c>
      <c r="AI1107" s="33" t="s">
        <v>8172</v>
      </c>
      <c r="AJ1107" s="33" t="s">
        <v>8173</v>
      </c>
      <c r="AK1107" s="33" t="s">
        <v>4077</v>
      </c>
      <c r="AL1107" s="33" t="s">
        <v>4111</v>
      </c>
      <c r="AM1107" s="33" t="s">
        <v>26</v>
      </c>
      <c r="AP1107" s="34"/>
      <c r="AQ1107" s="128"/>
      <c r="AR1107" s="129"/>
      <c r="AS1107" s="130"/>
      <c r="AT1107" s="39"/>
      <c r="AU1107" s="132"/>
      <c r="AV1107" s="128"/>
      <c r="AW1107" s="133"/>
      <c r="AX1107" s="134"/>
      <c r="AY1107" s="135"/>
      <c r="AZ1107" s="39"/>
      <c r="BA1107" s="132"/>
      <c r="BB1107" s="136"/>
      <c r="BE1107" s="33" t="s">
        <v>6591</v>
      </c>
      <c r="BG1107" s="33" t="s">
        <v>8174</v>
      </c>
    </row>
    <row r="1108" spans="1:59" ht="15" customHeight="1">
      <c r="A1108" s="33" t="s">
        <v>8078</v>
      </c>
      <c r="B1108" s="33" t="s">
        <v>8175</v>
      </c>
      <c r="C1108" s="33" t="s">
        <v>8080</v>
      </c>
      <c r="D1108" s="34">
        <v>126</v>
      </c>
      <c r="E1108" s="33">
        <v>1</v>
      </c>
      <c r="F1108" s="33" t="s">
        <v>8115</v>
      </c>
      <c r="G1108" s="33" t="s">
        <v>8176</v>
      </c>
      <c r="J1108" s="33" t="s">
        <v>4475</v>
      </c>
      <c r="K1108" s="33" t="s">
        <v>6280</v>
      </c>
      <c r="L1108" s="33">
        <v>1</v>
      </c>
      <c r="N1108" s="157"/>
      <c r="O1108" s="128"/>
      <c r="P1108" s="129"/>
      <c r="Q1108" s="130"/>
      <c r="R1108" s="39"/>
      <c r="S1108" s="145"/>
      <c r="T1108" s="132"/>
      <c r="U1108" s="128"/>
      <c r="V1108" s="133"/>
      <c r="W1108" s="134"/>
      <c r="X1108" s="135"/>
      <c r="Y1108" s="39" t="s">
        <v>4927</v>
      </c>
      <c r="Z1108" s="132"/>
      <c r="AA1108" s="136"/>
      <c r="AB1108" s="158"/>
      <c r="AF1108" s="33" t="s">
        <v>8171</v>
      </c>
      <c r="AI1108" s="33" t="s">
        <v>8177</v>
      </c>
      <c r="AL1108" s="33" t="s">
        <v>31</v>
      </c>
      <c r="AM1108" s="33" t="s">
        <v>6280</v>
      </c>
      <c r="AP1108" s="34"/>
      <c r="AQ1108" s="128"/>
      <c r="AR1108" s="129"/>
      <c r="AS1108" s="130"/>
      <c r="AT1108" s="39"/>
      <c r="AU1108" s="132"/>
      <c r="AV1108" s="128"/>
      <c r="AW1108" s="133"/>
      <c r="AX1108" s="134"/>
      <c r="AY1108" s="135">
        <v>3</v>
      </c>
      <c r="AZ1108" s="39" t="s">
        <v>4965</v>
      </c>
      <c r="BA1108" s="132"/>
      <c r="BB1108" s="136">
        <v>1</v>
      </c>
      <c r="BE1108" s="33" t="s">
        <v>4317</v>
      </c>
      <c r="BG1108" s="33" t="s">
        <v>8178</v>
      </c>
    </row>
    <row r="1109" spans="1:59" ht="15" customHeight="1">
      <c r="A1109" s="33" t="s">
        <v>8078</v>
      </c>
      <c r="B1109" s="33" t="s">
        <v>8179</v>
      </c>
      <c r="C1109" s="33" t="s">
        <v>8080</v>
      </c>
      <c r="D1109" s="34">
        <v>127</v>
      </c>
      <c r="E1109" s="33">
        <v>1</v>
      </c>
      <c r="F1109" s="33" t="s">
        <v>8115</v>
      </c>
      <c r="G1109" s="33" t="s">
        <v>8180</v>
      </c>
      <c r="J1109" s="33" t="s">
        <v>4475</v>
      </c>
      <c r="K1109" s="33" t="s">
        <v>6280</v>
      </c>
      <c r="L1109" s="33">
        <v>2</v>
      </c>
      <c r="N1109" s="157"/>
      <c r="O1109" s="128"/>
      <c r="P1109" s="129"/>
      <c r="Q1109" s="130"/>
      <c r="R1109" s="39"/>
      <c r="S1109" s="145"/>
      <c r="T1109" s="132"/>
      <c r="U1109" s="128"/>
      <c r="V1109" s="133"/>
      <c r="W1109" s="134"/>
      <c r="X1109" s="135"/>
      <c r="Y1109" s="39" t="s">
        <v>4965</v>
      </c>
      <c r="Z1109" s="132"/>
      <c r="AA1109" s="136"/>
      <c r="AB1109" s="158"/>
      <c r="AF1109" s="33" t="s">
        <v>8181</v>
      </c>
      <c r="AI1109" s="33" t="s">
        <v>8182</v>
      </c>
      <c r="AL1109" s="33" t="s">
        <v>4475</v>
      </c>
      <c r="AM1109" s="33" t="s">
        <v>6280</v>
      </c>
      <c r="AN1109" s="33">
        <v>2</v>
      </c>
      <c r="AP1109" s="34"/>
      <c r="AQ1109" s="128"/>
      <c r="AR1109" s="129"/>
      <c r="AS1109" s="130"/>
      <c r="AT1109" s="39"/>
      <c r="AU1109" s="132"/>
      <c r="AV1109" s="128"/>
      <c r="AW1109" s="133"/>
      <c r="AX1109" s="134"/>
      <c r="AY1109" s="135"/>
      <c r="AZ1109" s="39"/>
      <c r="BA1109" s="132"/>
      <c r="BB1109" s="136"/>
      <c r="BG1109" s="33" t="s">
        <v>8183</v>
      </c>
    </row>
    <row r="1110" spans="1:59" ht="15" customHeight="1">
      <c r="A1110" s="33" t="s">
        <v>8078</v>
      </c>
      <c r="B1110" s="33" t="s">
        <v>8184</v>
      </c>
      <c r="C1110" s="33" t="s">
        <v>8080</v>
      </c>
      <c r="D1110" s="34">
        <v>128</v>
      </c>
      <c r="E1110" s="33">
        <v>1</v>
      </c>
      <c r="F1110" s="33" t="s">
        <v>8115</v>
      </c>
      <c r="G1110" s="33" t="s">
        <v>8180</v>
      </c>
      <c r="J1110" s="33" t="s">
        <v>4475</v>
      </c>
      <c r="K1110" s="33" t="s">
        <v>6280</v>
      </c>
      <c r="L1110" s="33">
        <v>2</v>
      </c>
      <c r="N1110" s="157"/>
      <c r="O1110" s="128"/>
      <c r="P1110" s="129"/>
      <c r="Q1110" s="130"/>
      <c r="R1110" s="39"/>
      <c r="S1110" s="145"/>
      <c r="T1110" s="132"/>
      <c r="U1110" s="128"/>
      <c r="V1110" s="133"/>
      <c r="W1110" s="134"/>
      <c r="X1110" s="135"/>
      <c r="Y1110" s="39" t="s">
        <v>4965</v>
      </c>
      <c r="Z1110" s="132"/>
      <c r="AA1110" s="136"/>
      <c r="AB1110" s="158"/>
      <c r="AF1110" s="33" t="s">
        <v>8181</v>
      </c>
      <c r="AI1110" s="33" t="s">
        <v>8185</v>
      </c>
      <c r="AL1110" s="33" t="s">
        <v>31</v>
      </c>
      <c r="AM1110" s="33" t="s">
        <v>6280</v>
      </c>
      <c r="AP1110" s="34"/>
      <c r="AQ1110" s="128"/>
      <c r="AR1110" s="129"/>
      <c r="AS1110" s="130"/>
      <c r="AT1110" s="39"/>
      <c r="AU1110" s="132"/>
      <c r="AV1110" s="128"/>
      <c r="AW1110" s="133"/>
      <c r="AX1110" s="134"/>
      <c r="AY1110" s="135">
        <v>3</v>
      </c>
      <c r="AZ1110" s="39" t="s">
        <v>4927</v>
      </c>
      <c r="BA1110" s="132"/>
      <c r="BB1110" s="136"/>
      <c r="BE1110" s="33" t="s">
        <v>4317</v>
      </c>
      <c r="BG1110" s="33" t="s">
        <v>8186</v>
      </c>
    </row>
    <row r="1111" spans="1:59" ht="15" customHeight="1">
      <c r="A1111" s="33" t="s">
        <v>8078</v>
      </c>
      <c r="B1111" s="33" t="s">
        <v>8187</v>
      </c>
      <c r="C1111" s="33" t="s">
        <v>8080</v>
      </c>
      <c r="D1111" s="34">
        <v>129</v>
      </c>
      <c r="E1111" s="33">
        <v>1</v>
      </c>
      <c r="F1111" s="33" t="s">
        <v>8115</v>
      </c>
      <c r="G1111" s="33" t="s">
        <v>8188</v>
      </c>
      <c r="J1111" s="33" t="s">
        <v>4475</v>
      </c>
      <c r="K1111" s="33" t="s">
        <v>6280</v>
      </c>
      <c r="L1111" s="33">
        <v>2</v>
      </c>
      <c r="N1111" s="157"/>
      <c r="O1111" s="128"/>
      <c r="P1111" s="129"/>
      <c r="Q1111" s="130"/>
      <c r="R1111" s="39"/>
      <c r="S1111" s="145"/>
      <c r="T1111" s="132"/>
      <c r="U1111" s="128"/>
      <c r="V1111" s="133"/>
      <c r="W1111" s="134"/>
      <c r="X1111" s="135"/>
      <c r="Y1111" s="39" t="s">
        <v>38</v>
      </c>
      <c r="Z1111" s="132"/>
      <c r="AA1111" s="136"/>
      <c r="AB1111" s="158"/>
      <c r="AF1111" s="33" t="s">
        <v>8189</v>
      </c>
      <c r="AI1111" s="33" t="s">
        <v>8190</v>
      </c>
      <c r="AL1111" s="33" t="s">
        <v>4475</v>
      </c>
      <c r="AM1111" s="33" t="s">
        <v>6280</v>
      </c>
      <c r="AN1111" s="33">
        <v>2</v>
      </c>
      <c r="AP1111" s="34"/>
      <c r="AQ1111" s="128"/>
      <c r="AR1111" s="129"/>
      <c r="AS1111" s="130"/>
      <c r="AT1111" s="39"/>
      <c r="AU1111" s="132"/>
      <c r="AV1111" s="128"/>
      <c r="AW1111" s="133"/>
      <c r="AX1111" s="134"/>
      <c r="AY1111" s="135"/>
      <c r="AZ1111" s="39"/>
      <c r="BA1111" s="132"/>
      <c r="BB1111" s="136"/>
      <c r="BG1111" s="33" t="s">
        <v>8191</v>
      </c>
    </row>
    <row r="1112" spans="1:59" ht="15" customHeight="1">
      <c r="A1112" s="33" t="s">
        <v>8078</v>
      </c>
      <c r="B1112" s="33" t="s">
        <v>8192</v>
      </c>
      <c r="C1112" s="33" t="s">
        <v>8080</v>
      </c>
      <c r="D1112" s="34">
        <v>130</v>
      </c>
      <c r="E1112" s="33">
        <v>1</v>
      </c>
      <c r="F1112" s="33" t="s">
        <v>8115</v>
      </c>
      <c r="G1112" s="33" t="s">
        <v>8188</v>
      </c>
      <c r="J1112" s="33" t="s">
        <v>4475</v>
      </c>
      <c r="K1112" s="33" t="s">
        <v>6280</v>
      </c>
      <c r="L1112" s="33">
        <v>2</v>
      </c>
      <c r="N1112" s="157"/>
      <c r="O1112" s="128"/>
      <c r="P1112" s="129"/>
      <c r="Q1112" s="130"/>
      <c r="R1112" s="39"/>
      <c r="S1112" s="145"/>
      <c r="T1112" s="132"/>
      <c r="U1112" s="128"/>
      <c r="V1112" s="133"/>
      <c r="W1112" s="134"/>
      <c r="X1112" s="135"/>
      <c r="Y1112" s="39" t="s">
        <v>38</v>
      </c>
      <c r="Z1112" s="132"/>
      <c r="AA1112" s="136"/>
      <c r="AB1112" s="158"/>
      <c r="AF1112" s="33" t="s">
        <v>8189</v>
      </c>
      <c r="AI1112" s="33" t="s">
        <v>8172</v>
      </c>
      <c r="AJ1112" s="33" t="s">
        <v>8193</v>
      </c>
      <c r="AK1112" s="33" t="s">
        <v>4077</v>
      </c>
      <c r="AL1112" s="33" t="s">
        <v>29</v>
      </c>
      <c r="AM1112" s="33" t="s">
        <v>6280</v>
      </c>
      <c r="AP1112" s="34"/>
      <c r="AQ1112" s="128"/>
      <c r="AR1112" s="129"/>
      <c r="AS1112" s="130">
        <v>4</v>
      </c>
      <c r="AT1112" s="39">
        <v>2</v>
      </c>
      <c r="AU1112" s="132">
        <v>3</v>
      </c>
      <c r="AV1112" s="128"/>
      <c r="AW1112" s="133">
        <v>1</v>
      </c>
      <c r="AX1112" s="134">
        <v>1</v>
      </c>
      <c r="AY1112" s="135"/>
      <c r="AZ1112" s="39"/>
      <c r="BA1112" s="132"/>
      <c r="BB1112" s="136">
        <v>1</v>
      </c>
      <c r="BE1112" s="33" t="s">
        <v>8194</v>
      </c>
      <c r="BF1112" s="34" t="s">
        <v>6208</v>
      </c>
      <c r="BG1112" s="33" t="s">
        <v>8195</v>
      </c>
    </row>
    <row r="1113" spans="1:59" ht="15" customHeight="1">
      <c r="A1113" s="33" t="s">
        <v>8078</v>
      </c>
      <c r="B1113" s="33" t="s">
        <v>8196</v>
      </c>
      <c r="C1113" s="33" t="s">
        <v>8080</v>
      </c>
      <c r="D1113" s="34">
        <v>131</v>
      </c>
      <c r="E1113" s="33">
        <v>1</v>
      </c>
      <c r="F1113" s="33" t="s">
        <v>8115</v>
      </c>
      <c r="G1113" s="33" t="s">
        <v>8197</v>
      </c>
      <c r="J1113" s="33" t="s">
        <v>4475</v>
      </c>
      <c r="K1113" s="33" t="s">
        <v>6280</v>
      </c>
      <c r="L1113" s="33">
        <v>3</v>
      </c>
      <c r="N1113" s="157"/>
      <c r="O1113" s="128"/>
      <c r="P1113" s="129"/>
      <c r="Q1113" s="130"/>
      <c r="R1113" s="39"/>
      <c r="S1113" s="145"/>
      <c r="T1113" s="132"/>
      <c r="U1113" s="128"/>
      <c r="V1113" s="133"/>
      <c r="W1113" s="134"/>
      <c r="X1113" s="135"/>
      <c r="Y1113" s="39" t="s">
        <v>38</v>
      </c>
      <c r="Z1113" s="132"/>
      <c r="AA1113" s="136"/>
      <c r="AB1113" s="158"/>
      <c r="AF1113" s="33" t="s">
        <v>8198</v>
      </c>
      <c r="AI1113" s="33" t="s">
        <v>8199</v>
      </c>
      <c r="AL1113" s="33" t="s">
        <v>4475</v>
      </c>
      <c r="AM1113" s="33" t="s">
        <v>6280</v>
      </c>
      <c r="AN1113" s="33">
        <v>3</v>
      </c>
      <c r="AP1113" s="34"/>
      <c r="AQ1113" s="128"/>
      <c r="AR1113" s="129"/>
      <c r="AS1113" s="130"/>
      <c r="AT1113" s="39"/>
      <c r="AU1113" s="132"/>
      <c r="AV1113" s="128"/>
      <c r="AW1113" s="133"/>
      <c r="AX1113" s="134"/>
      <c r="AY1113" s="135"/>
      <c r="AZ1113" s="39"/>
      <c r="BA1113" s="132"/>
      <c r="BB1113" s="136"/>
      <c r="BG1113" s="33" t="s">
        <v>8200</v>
      </c>
    </row>
    <row r="1114" spans="1:59" ht="15" customHeight="1">
      <c r="A1114" s="33" t="s">
        <v>8078</v>
      </c>
      <c r="B1114" s="33" t="s">
        <v>8201</v>
      </c>
      <c r="C1114" s="33" t="s">
        <v>8080</v>
      </c>
      <c r="D1114" s="34">
        <v>132</v>
      </c>
      <c r="E1114" s="33">
        <v>1</v>
      </c>
      <c r="F1114" s="33" t="s">
        <v>8115</v>
      </c>
      <c r="G1114" s="33" t="s">
        <v>8202</v>
      </c>
      <c r="J1114" s="33" t="s">
        <v>4475</v>
      </c>
      <c r="K1114" s="33" t="s">
        <v>6280</v>
      </c>
      <c r="L1114" s="33">
        <v>3</v>
      </c>
      <c r="N1114" s="157"/>
      <c r="O1114" s="128"/>
      <c r="P1114" s="129"/>
      <c r="Q1114" s="130"/>
      <c r="R1114" s="39"/>
      <c r="S1114" s="145"/>
      <c r="T1114" s="132"/>
      <c r="U1114" s="128"/>
      <c r="V1114" s="133"/>
      <c r="W1114" s="134"/>
      <c r="X1114" s="135"/>
      <c r="Y1114" s="39" t="s">
        <v>38</v>
      </c>
      <c r="Z1114" s="132"/>
      <c r="AA1114" s="136"/>
      <c r="AB1114" s="158"/>
      <c r="AF1114" s="33" t="s">
        <v>8203</v>
      </c>
      <c r="AI1114" s="33" t="s">
        <v>8204</v>
      </c>
      <c r="AL1114" s="33" t="s">
        <v>4475</v>
      </c>
      <c r="AM1114" s="33" t="s">
        <v>6280</v>
      </c>
      <c r="AN1114" s="33">
        <v>3</v>
      </c>
      <c r="AP1114" s="34"/>
      <c r="AQ1114" s="128"/>
      <c r="AR1114" s="129"/>
      <c r="AS1114" s="130"/>
      <c r="AT1114" s="39"/>
      <c r="AU1114" s="132"/>
      <c r="AV1114" s="128"/>
      <c r="AW1114" s="133"/>
      <c r="AX1114" s="134"/>
      <c r="AY1114" s="135"/>
      <c r="AZ1114" s="39"/>
      <c r="BA1114" s="132"/>
      <c r="BB1114" s="136"/>
      <c r="BG1114" s="33" t="s">
        <v>8205</v>
      </c>
    </row>
    <row r="1115" spans="1:59" ht="15" customHeight="1">
      <c r="A1115" s="33" t="s">
        <v>8078</v>
      </c>
      <c r="B1115" s="33" t="s">
        <v>8206</v>
      </c>
      <c r="C1115" s="33" t="s">
        <v>8080</v>
      </c>
      <c r="D1115" s="34">
        <v>133</v>
      </c>
      <c r="E1115" s="33">
        <v>1</v>
      </c>
      <c r="F1115" s="33" t="s">
        <v>8115</v>
      </c>
      <c r="G1115" s="33" t="s">
        <v>8207</v>
      </c>
      <c r="J1115" s="33" t="s">
        <v>4475</v>
      </c>
      <c r="K1115" s="33" t="s">
        <v>6280</v>
      </c>
      <c r="L1115" s="33">
        <v>1</v>
      </c>
      <c r="N1115" s="157"/>
      <c r="O1115" s="128"/>
      <c r="P1115" s="129"/>
      <c r="Q1115" s="130"/>
      <c r="R1115" s="39"/>
      <c r="S1115" s="145"/>
      <c r="T1115" s="132"/>
      <c r="U1115" s="128"/>
      <c r="V1115" s="133"/>
      <c r="W1115" s="134"/>
      <c r="X1115" s="135"/>
      <c r="Y1115" s="39" t="s">
        <v>4965</v>
      </c>
      <c r="Z1115" s="132"/>
      <c r="AA1115" s="136"/>
      <c r="AB1115" s="158"/>
      <c r="AF1115" s="33" t="s">
        <v>8208</v>
      </c>
      <c r="AI1115" s="33" t="s">
        <v>8209</v>
      </c>
      <c r="AL1115" s="33" t="s">
        <v>31</v>
      </c>
      <c r="AM1115" s="33" t="s">
        <v>6280</v>
      </c>
      <c r="AP1115" s="34"/>
      <c r="AQ1115" s="128"/>
      <c r="AR1115" s="129"/>
      <c r="AS1115" s="130"/>
      <c r="AT1115" s="39"/>
      <c r="AU1115" s="132"/>
      <c r="AV1115" s="128"/>
      <c r="AW1115" s="133"/>
      <c r="AX1115" s="134"/>
      <c r="AY1115" s="135">
        <v>3</v>
      </c>
      <c r="AZ1115" s="39" t="s">
        <v>4965</v>
      </c>
      <c r="BA1115" s="132"/>
      <c r="BB1115" s="136">
        <v>1</v>
      </c>
      <c r="BE1115" s="33" t="s">
        <v>4673</v>
      </c>
      <c r="BG1115" s="33" t="s">
        <v>8210</v>
      </c>
    </row>
    <row r="1116" spans="1:59" ht="15" customHeight="1">
      <c r="A1116" s="33" t="s">
        <v>8078</v>
      </c>
      <c r="B1116" s="33" t="s">
        <v>8211</v>
      </c>
      <c r="C1116" s="33" t="s">
        <v>8080</v>
      </c>
      <c r="D1116" s="34">
        <v>134</v>
      </c>
      <c r="E1116" s="33">
        <v>1</v>
      </c>
      <c r="F1116" s="33" t="s">
        <v>8115</v>
      </c>
      <c r="G1116" s="33" t="s">
        <v>8212</v>
      </c>
      <c r="J1116" s="33" t="s">
        <v>4475</v>
      </c>
      <c r="K1116" s="33" t="s">
        <v>6280</v>
      </c>
      <c r="L1116" s="33">
        <v>1</v>
      </c>
      <c r="N1116" s="157"/>
      <c r="O1116" s="128"/>
      <c r="P1116" s="129"/>
      <c r="Q1116" s="130"/>
      <c r="R1116" s="39"/>
      <c r="S1116" s="145"/>
      <c r="T1116" s="132"/>
      <c r="U1116" s="128"/>
      <c r="V1116" s="133"/>
      <c r="W1116" s="134"/>
      <c r="X1116" s="135"/>
      <c r="Y1116" s="39" t="s">
        <v>4927</v>
      </c>
      <c r="Z1116" s="132"/>
      <c r="AA1116" s="136"/>
      <c r="AB1116" s="158"/>
      <c r="AF1116" s="33" t="s">
        <v>8213</v>
      </c>
      <c r="AI1116" s="33" t="s">
        <v>8214</v>
      </c>
      <c r="AJ1116" s="33" t="s">
        <v>8215</v>
      </c>
      <c r="AK1116" s="33" t="s">
        <v>4077</v>
      </c>
      <c r="AL1116" s="33" t="s">
        <v>4111</v>
      </c>
      <c r="AM1116" s="33" t="s">
        <v>26</v>
      </c>
      <c r="AP1116" s="34"/>
      <c r="AQ1116" s="128"/>
      <c r="AR1116" s="129"/>
      <c r="AS1116" s="130"/>
      <c r="AT1116" s="39"/>
      <c r="AU1116" s="132"/>
      <c r="AV1116" s="128"/>
      <c r="AW1116" s="133"/>
      <c r="AX1116" s="134"/>
      <c r="AY1116" s="135"/>
      <c r="AZ1116" s="39"/>
      <c r="BA1116" s="132"/>
      <c r="BB1116" s="136"/>
      <c r="BE1116" s="33" t="s">
        <v>6591</v>
      </c>
      <c r="BG1116" s="33" t="s">
        <v>8216</v>
      </c>
    </row>
    <row r="1117" spans="1:59" ht="15" customHeight="1">
      <c r="A1117" s="33" t="s">
        <v>8078</v>
      </c>
      <c r="B1117" s="33" t="s">
        <v>8217</v>
      </c>
      <c r="C1117" s="33" t="s">
        <v>8080</v>
      </c>
      <c r="D1117" s="34">
        <v>135</v>
      </c>
      <c r="E1117" s="33">
        <v>1</v>
      </c>
      <c r="F1117" s="33" t="s">
        <v>8115</v>
      </c>
      <c r="G1117" s="33" t="s">
        <v>8218</v>
      </c>
      <c r="J1117" s="33" t="s">
        <v>4475</v>
      </c>
      <c r="K1117" s="33" t="s">
        <v>6280</v>
      </c>
      <c r="L1117" s="33">
        <v>2</v>
      </c>
      <c r="N1117" s="157"/>
      <c r="O1117" s="128"/>
      <c r="P1117" s="129"/>
      <c r="Q1117" s="130"/>
      <c r="R1117" s="39"/>
      <c r="S1117" s="145"/>
      <c r="T1117" s="132"/>
      <c r="U1117" s="128"/>
      <c r="V1117" s="133"/>
      <c r="W1117" s="134"/>
      <c r="X1117" s="135"/>
      <c r="Y1117" s="39" t="s">
        <v>4965</v>
      </c>
      <c r="Z1117" s="132"/>
      <c r="AA1117" s="136"/>
      <c r="AB1117" s="158"/>
      <c r="AF1117" s="33" t="s">
        <v>8219</v>
      </c>
      <c r="AI1117" s="33" t="s">
        <v>8220</v>
      </c>
      <c r="AL1117" s="33" t="s">
        <v>4475</v>
      </c>
      <c r="AM1117" s="33" t="s">
        <v>6280</v>
      </c>
      <c r="AN1117" s="33">
        <v>2</v>
      </c>
      <c r="AP1117" s="34"/>
      <c r="AQ1117" s="128"/>
      <c r="AR1117" s="129"/>
      <c r="AS1117" s="130"/>
      <c r="AT1117" s="39"/>
      <c r="AU1117" s="132"/>
      <c r="AV1117" s="128"/>
      <c r="AW1117" s="133"/>
      <c r="AX1117" s="134"/>
      <c r="AY1117" s="135"/>
      <c r="AZ1117" s="39"/>
      <c r="BA1117" s="132"/>
      <c r="BB1117" s="136"/>
      <c r="BG1117" s="33" t="s">
        <v>8221</v>
      </c>
    </row>
    <row r="1118" spans="1:59" ht="15" customHeight="1">
      <c r="A1118" s="33" t="s">
        <v>8078</v>
      </c>
      <c r="B1118" s="33" t="s">
        <v>8222</v>
      </c>
      <c r="C1118" s="33" t="s">
        <v>8080</v>
      </c>
      <c r="D1118" s="34">
        <v>136</v>
      </c>
      <c r="E1118" s="33">
        <v>1</v>
      </c>
      <c r="F1118" s="33" t="s">
        <v>8115</v>
      </c>
      <c r="G1118" s="33" t="s">
        <v>8218</v>
      </c>
      <c r="J1118" s="33" t="s">
        <v>4475</v>
      </c>
      <c r="K1118" s="33" t="s">
        <v>6280</v>
      </c>
      <c r="L1118" s="33">
        <v>2</v>
      </c>
      <c r="N1118" s="157"/>
      <c r="O1118" s="128"/>
      <c r="P1118" s="129"/>
      <c r="Q1118" s="130"/>
      <c r="R1118" s="39"/>
      <c r="S1118" s="145"/>
      <c r="T1118" s="132"/>
      <c r="U1118" s="128"/>
      <c r="V1118" s="133"/>
      <c r="W1118" s="134"/>
      <c r="X1118" s="135"/>
      <c r="Y1118" s="39" t="s">
        <v>4965</v>
      </c>
      <c r="Z1118" s="132"/>
      <c r="AA1118" s="136"/>
      <c r="AB1118" s="158"/>
      <c r="AF1118" s="33" t="s">
        <v>8219</v>
      </c>
      <c r="AI1118" s="33" t="s">
        <v>8223</v>
      </c>
      <c r="AL1118" s="33" t="s">
        <v>4475</v>
      </c>
      <c r="AM1118" s="33" t="s">
        <v>6280</v>
      </c>
      <c r="AN1118" s="33">
        <v>2</v>
      </c>
      <c r="AP1118" s="34"/>
      <c r="AQ1118" s="128"/>
      <c r="AR1118" s="129"/>
      <c r="AS1118" s="130"/>
      <c r="AT1118" s="39"/>
      <c r="AU1118" s="132"/>
      <c r="AV1118" s="128"/>
      <c r="AW1118" s="133"/>
      <c r="AX1118" s="134"/>
      <c r="AY1118" s="135"/>
      <c r="AZ1118" s="39"/>
      <c r="BA1118" s="132"/>
      <c r="BB1118" s="136"/>
      <c r="BG1118" s="33" t="s">
        <v>8224</v>
      </c>
    </row>
    <row r="1119" spans="1:59" ht="15" customHeight="1">
      <c r="A1119" s="33" t="s">
        <v>8078</v>
      </c>
      <c r="B1119" s="33" t="s">
        <v>8225</v>
      </c>
      <c r="C1119" s="33" t="s">
        <v>8080</v>
      </c>
      <c r="D1119" s="34">
        <v>137</v>
      </c>
      <c r="E1119" s="33">
        <v>1</v>
      </c>
      <c r="F1119" s="33" t="s">
        <v>8115</v>
      </c>
      <c r="G1119" s="33" t="s">
        <v>8226</v>
      </c>
      <c r="J1119" s="33" t="s">
        <v>4475</v>
      </c>
      <c r="K1119" s="33" t="s">
        <v>6280</v>
      </c>
      <c r="L1119" s="33">
        <v>2</v>
      </c>
      <c r="N1119" s="157"/>
      <c r="O1119" s="128"/>
      <c r="P1119" s="129"/>
      <c r="Q1119" s="130"/>
      <c r="R1119" s="39"/>
      <c r="S1119" s="145"/>
      <c r="T1119" s="132"/>
      <c r="U1119" s="128"/>
      <c r="V1119" s="133"/>
      <c r="W1119" s="134"/>
      <c r="X1119" s="135"/>
      <c r="Y1119" s="39" t="s">
        <v>38</v>
      </c>
      <c r="Z1119" s="132"/>
      <c r="AA1119" s="136"/>
      <c r="AB1119" s="158"/>
      <c r="AF1119" s="33" t="s">
        <v>8227</v>
      </c>
      <c r="AI1119" s="33" t="s">
        <v>8214</v>
      </c>
      <c r="AJ1119" s="33" t="s">
        <v>8228</v>
      </c>
      <c r="AK1119" s="33" t="s">
        <v>4077</v>
      </c>
      <c r="AL1119" s="33" t="s">
        <v>29</v>
      </c>
      <c r="AM1119" s="33" t="s">
        <v>6280</v>
      </c>
      <c r="AP1119" s="34"/>
      <c r="AQ1119" s="128"/>
      <c r="AR1119" s="129"/>
      <c r="AS1119" s="130">
        <v>3</v>
      </c>
      <c r="AT1119" s="39">
        <v>2</v>
      </c>
      <c r="AU1119" s="132">
        <v>4</v>
      </c>
      <c r="AV1119" s="128"/>
      <c r="AW1119" s="133">
        <v>1</v>
      </c>
      <c r="AX1119" s="134">
        <v>1</v>
      </c>
      <c r="AY1119" s="135"/>
      <c r="AZ1119" s="39"/>
      <c r="BA1119" s="132"/>
      <c r="BB1119" s="136">
        <v>1</v>
      </c>
      <c r="BE1119" s="33" t="s">
        <v>8194</v>
      </c>
      <c r="BF1119" s="34" t="s">
        <v>6208</v>
      </c>
      <c r="BG1119" s="33" t="s">
        <v>8229</v>
      </c>
    </row>
    <row r="1120" spans="1:59" ht="15" customHeight="1">
      <c r="A1120" s="33" t="s">
        <v>8078</v>
      </c>
      <c r="B1120" s="33" t="s">
        <v>8230</v>
      </c>
      <c r="C1120" s="33" t="s">
        <v>8080</v>
      </c>
      <c r="D1120" s="34">
        <v>138</v>
      </c>
      <c r="E1120" s="33">
        <v>1</v>
      </c>
      <c r="F1120" s="33" t="s">
        <v>8115</v>
      </c>
      <c r="G1120" s="33" t="s">
        <v>8226</v>
      </c>
      <c r="J1120" s="33" t="s">
        <v>4475</v>
      </c>
      <c r="K1120" s="33" t="s">
        <v>6280</v>
      </c>
      <c r="L1120" s="33">
        <v>2</v>
      </c>
      <c r="N1120" s="157"/>
      <c r="O1120" s="128"/>
      <c r="P1120" s="129"/>
      <c r="Q1120" s="130"/>
      <c r="R1120" s="39"/>
      <c r="S1120" s="145"/>
      <c r="T1120" s="132"/>
      <c r="U1120" s="128"/>
      <c r="V1120" s="133"/>
      <c r="W1120" s="134"/>
      <c r="X1120" s="135"/>
      <c r="Y1120" s="39" t="s">
        <v>38</v>
      </c>
      <c r="Z1120" s="132"/>
      <c r="AA1120" s="136"/>
      <c r="AB1120" s="158"/>
      <c r="AF1120" s="33" t="s">
        <v>8227</v>
      </c>
      <c r="AI1120" s="33" t="s">
        <v>8231</v>
      </c>
      <c r="AL1120" s="33" t="s">
        <v>4475</v>
      </c>
      <c r="AM1120" s="33" t="s">
        <v>6280</v>
      </c>
      <c r="AN1120" s="33">
        <v>2</v>
      </c>
      <c r="AP1120" s="34"/>
      <c r="AQ1120" s="128"/>
      <c r="AR1120" s="129"/>
      <c r="AS1120" s="130"/>
      <c r="AT1120" s="39"/>
      <c r="AU1120" s="132"/>
      <c r="AV1120" s="128"/>
      <c r="AW1120" s="133"/>
      <c r="AX1120" s="134"/>
      <c r="AY1120" s="135"/>
      <c r="AZ1120" s="39"/>
      <c r="BA1120" s="132"/>
      <c r="BB1120" s="136"/>
      <c r="BG1120" s="33" t="s">
        <v>8232</v>
      </c>
    </row>
    <row r="1121" spans="1:59" ht="15" customHeight="1">
      <c r="A1121" s="33" t="s">
        <v>8078</v>
      </c>
      <c r="B1121" s="33" t="s">
        <v>8233</v>
      </c>
      <c r="C1121" s="33" t="s">
        <v>8080</v>
      </c>
      <c r="D1121" s="34">
        <v>139</v>
      </c>
      <c r="E1121" s="33">
        <v>1</v>
      </c>
      <c r="F1121" s="33" t="s">
        <v>8115</v>
      </c>
      <c r="G1121" s="33" t="s">
        <v>8234</v>
      </c>
      <c r="J1121" s="33" t="s">
        <v>4475</v>
      </c>
      <c r="K1121" s="33" t="s">
        <v>6280</v>
      </c>
      <c r="L1121" s="33">
        <v>3</v>
      </c>
      <c r="N1121" s="157"/>
      <c r="O1121" s="128"/>
      <c r="P1121" s="129"/>
      <c r="Q1121" s="130"/>
      <c r="R1121" s="39"/>
      <c r="S1121" s="145"/>
      <c r="T1121" s="132"/>
      <c r="U1121" s="128"/>
      <c r="V1121" s="133"/>
      <c r="W1121" s="134"/>
      <c r="X1121" s="135"/>
      <c r="Y1121" s="39" t="s">
        <v>38</v>
      </c>
      <c r="Z1121" s="132"/>
      <c r="AA1121" s="136"/>
      <c r="AB1121" s="158"/>
      <c r="AF1121" s="33" t="s">
        <v>8235</v>
      </c>
      <c r="AI1121" s="33" t="s">
        <v>8236</v>
      </c>
      <c r="AL1121" s="33" t="s">
        <v>4475</v>
      </c>
      <c r="AM1121" s="33" t="s">
        <v>6280</v>
      </c>
      <c r="AN1121" s="33">
        <v>3</v>
      </c>
      <c r="AP1121" s="34"/>
      <c r="AQ1121" s="128"/>
      <c r="AR1121" s="129"/>
      <c r="AS1121" s="130"/>
      <c r="AT1121" s="39"/>
      <c r="AU1121" s="132"/>
      <c r="AV1121" s="128"/>
      <c r="AW1121" s="133"/>
      <c r="AX1121" s="134"/>
      <c r="AY1121" s="135"/>
      <c r="AZ1121" s="39"/>
      <c r="BA1121" s="132"/>
      <c r="BB1121" s="136"/>
      <c r="BG1121" s="33" t="s">
        <v>8237</v>
      </c>
    </row>
    <row r="1122" spans="1:59" ht="15" customHeight="1">
      <c r="A1122" s="33" t="s">
        <v>8078</v>
      </c>
      <c r="B1122" s="33" t="s">
        <v>8238</v>
      </c>
      <c r="C1122" s="33" t="s">
        <v>8080</v>
      </c>
      <c r="D1122" s="34">
        <v>140</v>
      </c>
      <c r="E1122" s="33">
        <v>1</v>
      </c>
      <c r="F1122" s="33" t="s">
        <v>8115</v>
      </c>
      <c r="G1122" s="33" t="s">
        <v>8239</v>
      </c>
      <c r="J1122" s="33" t="s">
        <v>4475</v>
      </c>
      <c r="K1122" s="33" t="s">
        <v>6280</v>
      </c>
      <c r="L1122" s="33">
        <v>3</v>
      </c>
      <c r="N1122" s="157"/>
      <c r="O1122" s="128"/>
      <c r="P1122" s="129"/>
      <c r="Q1122" s="130"/>
      <c r="R1122" s="39"/>
      <c r="S1122" s="145"/>
      <c r="T1122" s="132"/>
      <c r="U1122" s="128"/>
      <c r="V1122" s="133"/>
      <c r="W1122" s="134"/>
      <c r="X1122" s="135"/>
      <c r="Y1122" s="39" t="s">
        <v>38</v>
      </c>
      <c r="Z1122" s="132"/>
      <c r="AA1122" s="136"/>
      <c r="AB1122" s="158"/>
      <c r="AF1122" s="33" t="s">
        <v>8240</v>
      </c>
      <c r="AI1122" s="33" t="s">
        <v>4268</v>
      </c>
      <c r="AL1122" s="33" t="s">
        <v>4475</v>
      </c>
      <c r="AM1122" s="33" t="s">
        <v>6280</v>
      </c>
      <c r="AN1122" s="33">
        <v>3</v>
      </c>
      <c r="AP1122" s="34"/>
      <c r="AQ1122" s="128"/>
      <c r="AR1122" s="129"/>
      <c r="AS1122" s="130"/>
      <c r="AT1122" s="39"/>
      <c r="AU1122" s="132"/>
      <c r="AV1122" s="128"/>
      <c r="AW1122" s="133"/>
      <c r="AX1122" s="134"/>
      <c r="AY1122" s="135"/>
      <c r="AZ1122" s="39"/>
      <c r="BA1122" s="132"/>
      <c r="BB1122" s="136"/>
      <c r="BG1122" s="33" t="s">
        <v>8241</v>
      </c>
    </row>
    <row r="1123" spans="1:59" ht="15" customHeight="1">
      <c r="A1123" s="33" t="s">
        <v>8078</v>
      </c>
      <c r="B1123" s="33" t="s">
        <v>8242</v>
      </c>
      <c r="C1123" s="33" t="s">
        <v>8080</v>
      </c>
      <c r="D1123" s="34">
        <v>141</v>
      </c>
      <c r="E1123" s="33">
        <v>1</v>
      </c>
      <c r="F1123" s="33" t="s">
        <v>8115</v>
      </c>
      <c r="G1123" s="33" t="s">
        <v>8243</v>
      </c>
      <c r="J1123" s="33" t="s">
        <v>31</v>
      </c>
      <c r="K1123" s="33" t="s">
        <v>6280</v>
      </c>
      <c r="N1123" s="157"/>
      <c r="O1123" s="128"/>
      <c r="P1123" s="129"/>
      <c r="Q1123" s="130"/>
      <c r="R1123" s="39"/>
      <c r="S1123" s="145"/>
      <c r="T1123" s="132"/>
      <c r="U1123" s="128"/>
      <c r="V1123" s="133"/>
      <c r="W1123" s="134"/>
      <c r="X1123" s="135"/>
      <c r="Y1123" s="39"/>
      <c r="Z1123" s="132"/>
      <c r="AA1123" s="136"/>
      <c r="AB1123" s="158"/>
      <c r="AD1123" s="33" t="s">
        <v>4317</v>
      </c>
      <c r="AF1123" s="33" t="s">
        <v>8244</v>
      </c>
      <c r="AI1123" s="33" t="s">
        <v>8245</v>
      </c>
      <c r="AL1123" s="33" t="s">
        <v>31</v>
      </c>
      <c r="AM1123" s="33" t="s">
        <v>6280</v>
      </c>
      <c r="AP1123" s="34"/>
      <c r="AQ1123" s="128"/>
      <c r="AR1123" s="129"/>
      <c r="AS1123" s="130"/>
      <c r="AT1123" s="39"/>
      <c r="AU1123" s="132"/>
      <c r="AV1123" s="128"/>
      <c r="AW1123" s="133"/>
      <c r="AX1123" s="134"/>
      <c r="AY1123" s="135">
        <v>2</v>
      </c>
      <c r="AZ1123" s="39">
        <v>0</v>
      </c>
      <c r="BA1123" s="132"/>
      <c r="BB1123" s="136"/>
      <c r="BE1123" s="33" t="s">
        <v>4317</v>
      </c>
      <c r="BG1123" s="33" t="s">
        <v>8246</v>
      </c>
    </row>
    <row r="1124" spans="1:59" ht="15" customHeight="1">
      <c r="A1124" s="33" t="s">
        <v>8078</v>
      </c>
      <c r="B1124" s="33" t="s">
        <v>8247</v>
      </c>
      <c r="C1124" s="33" t="s">
        <v>8080</v>
      </c>
      <c r="D1124" s="34">
        <v>142</v>
      </c>
      <c r="E1124" s="33">
        <v>1</v>
      </c>
      <c r="F1124" s="33" t="s">
        <v>8115</v>
      </c>
      <c r="G1124" s="33" t="s">
        <v>8248</v>
      </c>
      <c r="J1124" s="33" t="s">
        <v>31</v>
      </c>
      <c r="K1124" s="33" t="s">
        <v>6280</v>
      </c>
      <c r="N1124" s="157"/>
      <c r="O1124" s="128"/>
      <c r="P1124" s="129"/>
      <c r="Q1124" s="130"/>
      <c r="R1124" s="39"/>
      <c r="S1124" s="145"/>
      <c r="T1124" s="132"/>
      <c r="U1124" s="128"/>
      <c r="V1124" s="133"/>
      <c r="W1124" s="134"/>
      <c r="X1124" s="135"/>
      <c r="Y1124" s="39"/>
      <c r="Z1124" s="132"/>
      <c r="AA1124" s="136"/>
      <c r="AB1124" s="158"/>
      <c r="AD1124" s="33" t="s">
        <v>4317</v>
      </c>
      <c r="AF1124" s="33" t="s">
        <v>8249</v>
      </c>
      <c r="AI1124" s="33" t="s">
        <v>8248</v>
      </c>
      <c r="AL1124" s="33" t="s">
        <v>31</v>
      </c>
      <c r="AM1124" s="33" t="s">
        <v>6280</v>
      </c>
      <c r="AP1124" s="34"/>
      <c r="AQ1124" s="128"/>
      <c r="AR1124" s="129"/>
      <c r="AS1124" s="130"/>
      <c r="AT1124" s="39"/>
      <c r="AU1124" s="132"/>
      <c r="AV1124" s="128"/>
      <c r="AW1124" s="133"/>
      <c r="AX1124" s="134"/>
      <c r="AY1124" s="135">
        <v>2</v>
      </c>
      <c r="AZ1124" s="39" t="s">
        <v>4965</v>
      </c>
      <c r="BA1124" s="132"/>
      <c r="BB1124" s="136">
        <v>1</v>
      </c>
      <c r="BE1124" s="33" t="s">
        <v>4317</v>
      </c>
      <c r="BG1124" s="33" t="s">
        <v>8250</v>
      </c>
    </row>
    <row r="1125" spans="1:59" ht="15" customHeight="1">
      <c r="A1125" s="33" t="s">
        <v>8078</v>
      </c>
      <c r="B1125" s="33" t="s">
        <v>8251</v>
      </c>
      <c r="C1125" s="33" t="s">
        <v>8080</v>
      </c>
      <c r="D1125" s="34">
        <v>143</v>
      </c>
      <c r="E1125" s="33">
        <v>1</v>
      </c>
      <c r="F1125" s="33" t="s">
        <v>8115</v>
      </c>
      <c r="G1125" s="33" t="s">
        <v>8252</v>
      </c>
      <c r="J1125" s="33" t="s">
        <v>31</v>
      </c>
      <c r="K1125" s="33" t="s">
        <v>6280</v>
      </c>
      <c r="N1125" s="157"/>
      <c r="O1125" s="128"/>
      <c r="P1125" s="129"/>
      <c r="Q1125" s="130"/>
      <c r="R1125" s="39"/>
      <c r="S1125" s="145"/>
      <c r="T1125" s="132"/>
      <c r="U1125" s="128"/>
      <c r="V1125" s="133"/>
      <c r="W1125" s="134"/>
      <c r="X1125" s="135"/>
      <c r="Y1125" s="39"/>
      <c r="Z1125" s="132"/>
      <c r="AA1125" s="136"/>
      <c r="AB1125" s="158"/>
      <c r="AD1125" s="33" t="s">
        <v>4317</v>
      </c>
      <c r="AF1125" s="33" t="s">
        <v>8253</v>
      </c>
      <c r="AI1125" s="33" t="s">
        <v>8252</v>
      </c>
      <c r="AL1125" s="33" t="s">
        <v>31</v>
      </c>
      <c r="AM1125" s="33" t="s">
        <v>6280</v>
      </c>
      <c r="AP1125" s="34"/>
      <c r="AQ1125" s="128"/>
      <c r="AR1125" s="129"/>
      <c r="AS1125" s="130"/>
      <c r="AT1125" s="39"/>
      <c r="AU1125" s="132"/>
      <c r="AV1125" s="128"/>
      <c r="AW1125" s="133"/>
      <c r="AX1125" s="134"/>
      <c r="AY1125" s="135">
        <v>4</v>
      </c>
      <c r="AZ1125" s="39" t="s">
        <v>4927</v>
      </c>
      <c r="BA1125" s="132"/>
      <c r="BB1125" s="136">
        <v>1</v>
      </c>
      <c r="BE1125" s="33" t="s">
        <v>4317</v>
      </c>
      <c r="BG1125" s="33" t="s">
        <v>8254</v>
      </c>
    </row>
    <row r="1126" spans="1:59" ht="15" customHeight="1">
      <c r="A1126" s="33" t="s">
        <v>8078</v>
      </c>
      <c r="B1126" s="33" t="s">
        <v>8255</v>
      </c>
      <c r="C1126" s="33" t="s">
        <v>8080</v>
      </c>
      <c r="D1126" s="34">
        <v>144</v>
      </c>
      <c r="E1126" s="33">
        <v>3</v>
      </c>
      <c r="F1126" s="33" t="s">
        <v>8115</v>
      </c>
      <c r="G1126" s="33" t="s">
        <v>8256</v>
      </c>
      <c r="J1126" s="33" t="s">
        <v>28</v>
      </c>
      <c r="K1126" s="33" t="s">
        <v>6280</v>
      </c>
      <c r="N1126" s="157"/>
      <c r="O1126" s="128"/>
      <c r="P1126" s="129"/>
      <c r="Q1126" s="130"/>
      <c r="R1126" s="39"/>
      <c r="S1126" s="145"/>
      <c r="T1126" s="132"/>
      <c r="U1126" s="128"/>
      <c r="V1126" s="133"/>
      <c r="W1126" s="134"/>
      <c r="X1126" s="135"/>
      <c r="Y1126" s="39"/>
      <c r="Z1126" s="132"/>
      <c r="AA1126" s="136"/>
      <c r="AB1126" s="158"/>
      <c r="AD1126" s="33" t="s">
        <v>5050</v>
      </c>
      <c r="AE1126" s="34" t="s">
        <v>4615</v>
      </c>
      <c r="AF1126" s="33" t="s">
        <v>8257</v>
      </c>
      <c r="AP1126" s="34"/>
      <c r="AQ1126" s="128"/>
      <c r="AR1126" s="129"/>
      <c r="AS1126" s="130"/>
      <c r="AT1126" s="39"/>
      <c r="AU1126" s="132"/>
      <c r="AV1126" s="128"/>
      <c r="AW1126" s="133"/>
      <c r="AX1126" s="134"/>
      <c r="AY1126" s="135"/>
      <c r="AZ1126" s="39"/>
      <c r="BA1126" s="132"/>
      <c r="BB1126" s="136"/>
    </row>
    <row r="1127" spans="1:59" ht="15" customHeight="1">
      <c r="A1127" s="33" t="s">
        <v>8078</v>
      </c>
      <c r="B1127" s="33" t="s">
        <v>8258</v>
      </c>
      <c r="C1127" s="33" t="s">
        <v>8080</v>
      </c>
      <c r="D1127" s="34">
        <v>145</v>
      </c>
      <c r="E1127" s="33">
        <v>2</v>
      </c>
      <c r="F1127" s="33" t="s">
        <v>8115</v>
      </c>
      <c r="G1127" s="33" t="s">
        <v>8259</v>
      </c>
      <c r="J1127" s="33" t="s">
        <v>28</v>
      </c>
      <c r="K1127" s="33" t="s">
        <v>6280</v>
      </c>
      <c r="N1127" s="157"/>
      <c r="O1127" s="128"/>
      <c r="P1127" s="129"/>
      <c r="Q1127" s="130"/>
      <c r="R1127" s="39"/>
      <c r="S1127" s="145"/>
      <c r="T1127" s="132"/>
      <c r="U1127" s="128"/>
      <c r="V1127" s="133"/>
      <c r="W1127" s="134"/>
      <c r="X1127" s="135"/>
      <c r="Y1127" s="39"/>
      <c r="Z1127" s="132"/>
      <c r="AA1127" s="136"/>
      <c r="AB1127" s="158"/>
      <c r="AD1127" s="33" t="s">
        <v>8260</v>
      </c>
      <c r="AF1127" s="33" t="s">
        <v>8261</v>
      </c>
      <c r="AP1127" s="34"/>
      <c r="AQ1127" s="128"/>
      <c r="AR1127" s="129"/>
      <c r="AS1127" s="130"/>
      <c r="AT1127" s="39"/>
      <c r="AU1127" s="132"/>
      <c r="AV1127" s="128"/>
      <c r="AW1127" s="133"/>
      <c r="AX1127" s="134"/>
      <c r="AY1127" s="135"/>
      <c r="AZ1127" s="39"/>
      <c r="BA1127" s="132"/>
      <c r="BB1127" s="136"/>
    </row>
    <row r="1128" spans="1:59" ht="15" customHeight="1">
      <c r="A1128" s="33" t="s">
        <v>8078</v>
      </c>
      <c r="B1128" s="33" t="s">
        <v>8262</v>
      </c>
      <c r="C1128" s="33" t="s">
        <v>8080</v>
      </c>
      <c r="D1128" s="34">
        <v>146</v>
      </c>
      <c r="E1128" s="33">
        <v>2</v>
      </c>
      <c r="F1128" s="33" t="s">
        <v>8115</v>
      </c>
      <c r="G1128" s="33" t="s">
        <v>8263</v>
      </c>
      <c r="J1128" s="33" t="s">
        <v>28</v>
      </c>
      <c r="K1128" s="33" t="s">
        <v>6280</v>
      </c>
      <c r="N1128" s="157"/>
      <c r="O1128" s="128"/>
      <c r="P1128" s="129"/>
      <c r="Q1128" s="130"/>
      <c r="R1128" s="39"/>
      <c r="S1128" s="145"/>
      <c r="T1128" s="132"/>
      <c r="U1128" s="128"/>
      <c r="V1128" s="133"/>
      <c r="W1128" s="134"/>
      <c r="X1128" s="135"/>
      <c r="Y1128" s="39"/>
      <c r="Z1128" s="132"/>
      <c r="AA1128" s="136"/>
      <c r="AB1128" s="158"/>
      <c r="AD1128" s="33" t="s">
        <v>4340</v>
      </c>
      <c r="AF1128" s="33" t="s">
        <v>8264</v>
      </c>
      <c r="AP1128" s="34"/>
      <c r="AQ1128" s="128"/>
      <c r="AR1128" s="129"/>
      <c r="AS1128" s="130"/>
      <c r="AT1128" s="39"/>
      <c r="AU1128" s="132"/>
      <c r="AV1128" s="128"/>
      <c r="AW1128" s="133"/>
      <c r="AX1128" s="134"/>
      <c r="AY1128" s="135"/>
      <c r="AZ1128" s="39"/>
      <c r="BA1128" s="132"/>
      <c r="BB1128" s="136"/>
    </row>
    <row r="1129" spans="1:59" ht="15" customHeight="1">
      <c r="A1129" s="33" t="s">
        <v>8078</v>
      </c>
      <c r="B1129" s="33" t="s">
        <v>8265</v>
      </c>
      <c r="C1129" s="33" t="s">
        <v>8080</v>
      </c>
      <c r="D1129" s="34">
        <v>147</v>
      </c>
      <c r="E1129" s="33">
        <v>1</v>
      </c>
      <c r="F1129" s="33" t="s">
        <v>8115</v>
      </c>
      <c r="G1129" s="33" t="s">
        <v>7877</v>
      </c>
      <c r="I1129" s="33" t="s">
        <v>4077</v>
      </c>
      <c r="J1129" s="33" t="s">
        <v>4111</v>
      </c>
      <c r="K1129" s="33" t="s">
        <v>26</v>
      </c>
      <c r="N1129" s="157">
        <v>4</v>
      </c>
      <c r="O1129" s="128"/>
      <c r="P1129" s="129"/>
      <c r="Q1129" s="130">
        <v>1</v>
      </c>
      <c r="R1129" s="39">
        <v>1</v>
      </c>
      <c r="S1129" s="145">
        <v>1</v>
      </c>
      <c r="T1129" s="132">
        <v>3</v>
      </c>
      <c r="U1129" s="128">
        <v>2</v>
      </c>
      <c r="V1129" s="133"/>
      <c r="W1129" s="134"/>
      <c r="X1129" s="135"/>
      <c r="Y1129" s="39"/>
      <c r="Z1129" s="132"/>
      <c r="AA1129" s="136"/>
      <c r="AB1129" s="158" t="s">
        <v>8266</v>
      </c>
      <c r="AC1129" s="33" t="s">
        <v>25</v>
      </c>
      <c r="AD1129" s="33" t="s">
        <v>8267</v>
      </c>
      <c r="AF1129" s="33" t="s">
        <v>8268</v>
      </c>
      <c r="AP1129" s="34"/>
      <c r="AQ1129" s="128"/>
      <c r="AR1129" s="129"/>
      <c r="AS1129" s="130"/>
      <c r="AT1129" s="39"/>
      <c r="AU1129" s="132"/>
      <c r="AV1129" s="128"/>
      <c r="AW1129" s="133"/>
      <c r="AX1129" s="134"/>
      <c r="AY1129" s="135"/>
      <c r="AZ1129" s="39"/>
      <c r="BA1129" s="132"/>
      <c r="BB1129" s="136"/>
    </row>
    <row r="1130" spans="1:59" ht="15" customHeight="1">
      <c r="A1130" s="33" t="s">
        <v>8078</v>
      </c>
      <c r="B1130" s="40" t="s">
        <v>8269</v>
      </c>
      <c r="C1130" s="33" t="s">
        <v>8080</v>
      </c>
      <c r="D1130" s="34">
        <v>148</v>
      </c>
      <c r="E1130" s="33">
        <v>1</v>
      </c>
      <c r="F1130" s="33" t="s">
        <v>8115</v>
      </c>
      <c r="G1130" s="33" t="s">
        <v>8270</v>
      </c>
      <c r="I1130" s="33" t="s">
        <v>4077</v>
      </c>
      <c r="J1130" s="33" t="s">
        <v>4111</v>
      </c>
      <c r="K1130" s="33" t="s">
        <v>26</v>
      </c>
      <c r="N1130" s="157">
        <v>2</v>
      </c>
      <c r="O1130" s="128"/>
      <c r="P1130" s="129">
        <v>2</v>
      </c>
      <c r="Q1130" s="130"/>
      <c r="R1130" s="39"/>
      <c r="S1130" s="145"/>
      <c r="T1130" s="132"/>
      <c r="U1130" s="128"/>
      <c r="V1130" s="133"/>
      <c r="W1130" s="134"/>
      <c r="X1130" s="135"/>
      <c r="Y1130" s="39"/>
      <c r="Z1130" s="132"/>
      <c r="AA1130" s="136"/>
      <c r="AB1130" s="158" t="s">
        <v>4938</v>
      </c>
      <c r="AD1130" s="33" t="s">
        <v>4123</v>
      </c>
      <c r="AF1130" s="33" t="s">
        <v>8271</v>
      </c>
      <c r="AP1130" s="34"/>
      <c r="AQ1130" s="128"/>
      <c r="AR1130" s="129"/>
      <c r="AS1130" s="130"/>
      <c r="AT1130" s="39"/>
      <c r="AU1130" s="132"/>
      <c r="AV1130" s="128"/>
      <c r="AW1130" s="133"/>
      <c r="AX1130" s="134"/>
      <c r="AY1130" s="135"/>
      <c r="AZ1130" s="39"/>
      <c r="BA1130" s="132"/>
      <c r="BB1130" s="136"/>
    </row>
    <row r="1131" spans="1:59" s="169" customFormat="1" ht="15" customHeight="1">
      <c r="A1131" s="168" t="s">
        <v>8274</v>
      </c>
      <c r="B1131" s="169" t="s">
        <v>8275</v>
      </c>
      <c r="C1131" s="169" t="s">
        <v>8276</v>
      </c>
      <c r="D1131" s="170">
        <v>1</v>
      </c>
      <c r="E1131" s="169">
        <v>2</v>
      </c>
      <c r="G1131" s="169" t="s">
        <v>4142</v>
      </c>
      <c r="J1131" s="169" t="s">
        <v>4111</v>
      </c>
      <c r="K1131" s="169" t="s">
        <v>4052</v>
      </c>
      <c r="L1131" s="169">
        <v>2</v>
      </c>
      <c r="N1131" s="170">
        <v>0</v>
      </c>
      <c r="O1131" s="171">
        <v>2</v>
      </c>
      <c r="P1131" s="172"/>
      <c r="Q1131" s="173">
        <v>2</v>
      </c>
      <c r="R1131" s="174"/>
      <c r="S1131" s="175"/>
      <c r="T1131" s="176"/>
      <c r="U1131" s="171"/>
      <c r="V1131" s="177"/>
      <c r="W1131" s="178"/>
      <c r="X1131" s="179"/>
      <c r="Y1131" s="174"/>
      <c r="Z1131" s="176"/>
      <c r="AA1131" s="180"/>
      <c r="AB1131" s="169" t="s">
        <v>7496</v>
      </c>
      <c r="AD1131" s="169" t="s">
        <v>4143</v>
      </c>
      <c r="AE1131" s="170"/>
      <c r="AF1131" s="181" t="s">
        <v>8277</v>
      </c>
      <c r="AP1131" s="170"/>
      <c r="AQ1131" s="171"/>
      <c r="AR1131" s="172"/>
      <c r="AS1131" s="173"/>
      <c r="AT1131" s="174"/>
      <c r="AU1131" s="176"/>
      <c r="AV1131" s="171"/>
      <c r="AW1131" s="177"/>
      <c r="AX1131" s="178"/>
      <c r="AY1131" s="179"/>
      <c r="AZ1131" s="174"/>
      <c r="BA1131" s="176"/>
      <c r="BB1131" s="180"/>
      <c r="BF1131" s="170"/>
    </row>
    <row r="1132" spans="1:59" s="169" customFormat="1" ht="15" customHeight="1">
      <c r="A1132" s="168" t="s">
        <v>8274</v>
      </c>
      <c r="B1132" s="169" t="s">
        <v>8278</v>
      </c>
      <c r="C1132" s="169" t="s">
        <v>8276</v>
      </c>
      <c r="D1132" s="170">
        <v>2</v>
      </c>
      <c r="E1132" s="169">
        <v>2</v>
      </c>
      <c r="G1132" s="169" t="s">
        <v>4163</v>
      </c>
      <c r="J1132" s="169" t="s">
        <v>27</v>
      </c>
      <c r="K1132" s="169" t="s">
        <v>4052</v>
      </c>
      <c r="L1132" s="169">
        <v>2</v>
      </c>
      <c r="N1132" s="170">
        <v>4</v>
      </c>
      <c r="O1132" s="171">
        <v>1</v>
      </c>
      <c r="P1132" s="172"/>
      <c r="Q1132" s="173">
        <v>1</v>
      </c>
      <c r="R1132" s="174"/>
      <c r="S1132" s="175"/>
      <c r="T1132" s="176"/>
      <c r="U1132" s="171"/>
      <c r="V1132" s="177"/>
      <c r="W1132" s="178"/>
      <c r="X1132" s="179"/>
      <c r="Y1132" s="174"/>
      <c r="Z1132" s="176"/>
      <c r="AA1132" s="180"/>
      <c r="AB1132" s="169" t="s">
        <v>6033</v>
      </c>
      <c r="AD1132" s="169" t="s">
        <v>4161</v>
      </c>
      <c r="AE1132" s="170"/>
      <c r="AF1132" s="182" t="s">
        <v>8279</v>
      </c>
      <c r="AP1132" s="170"/>
      <c r="AQ1132" s="171"/>
      <c r="AR1132" s="172"/>
      <c r="AS1132" s="173"/>
      <c r="AT1132" s="174"/>
      <c r="AU1132" s="176"/>
      <c r="AV1132" s="171"/>
      <c r="AW1132" s="177"/>
      <c r="AX1132" s="178"/>
      <c r="AY1132" s="179"/>
      <c r="AZ1132" s="174"/>
      <c r="BA1132" s="176"/>
      <c r="BB1132" s="180"/>
      <c r="BF1132" s="170"/>
    </row>
    <row r="1133" spans="1:59" s="169" customFormat="1" ht="15" customHeight="1">
      <c r="A1133" s="168" t="s">
        <v>8274</v>
      </c>
      <c r="B1133" s="169" t="s">
        <v>8280</v>
      </c>
      <c r="C1133" s="169" t="s">
        <v>8276</v>
      </c>
      <c r="D1133" s="170">
        <v>3</v>
      </c>
      <c r="E1133" s="169">
        <v>2</v>
      </c>
      <c r="G1133" s="169" t="s">
        <v>4189</v>
      </c>
      <c r="J1133" s="169" t="s">
        <v>4111</v>
      </c>
      <c r="K1133" s="169" t="s">
        <v>4053</v>
      </c>
      <c r="L1133" s="169">
        <v>2</v>
      </c>
      <c r="N1133" s="170">
        <v>0</v>
      </c>
      <c r="O1133" s="171"/>
      <c r="P1133" s="172">
        <v>2</v>
      </c>
      <c r="Q1133" s="173"/>
      <c r="R1133" s="174">
        <v>2</v>
      </c>
      <c r="S1133" s="175"/>
      <c r="T1133" s="176"/>
      <c r="U1133" s="171"/>
      <c r="V1133" s="177"/>
      <c r="W1133" s="178"/>
      <c r="X1133" s="179"/>
      <c r="Y1133" s="174"/>
      <c r="Z1133" s="176"/>
      <c r="AA1133" s="180"/>
      <c r="AB1133" s="169" t="s">
        <v>7530</v>
      </c>
      <c r="AD1133" s="169" t="s">
        <v>4143</v>
      </c>
      <c r="AE1133" s="170"/>
      <c r="AF1133" s="169" t="s">
        <v>8281</v>
      </c>
      <c r="AP1133" s="170"/>
      <c r="AQ1133" s="171"/>
      <c r="AR1133" s="172"/>
      <c r="AS1133" s="173"/>
      <c r="AT1133" s="174"/>
      <c r="AU1133" s="176"/>
      <c r="AV1133" s="171"/>
      <c r="AW1133" s="177"/>
      <c r="AX1133" s="178"/>
      <c r="AY1133" s="179"/>
      <c r="AZ1133" s="174"/>
      <c r="BA1133" s="176"/>
      <c r="BB1133" s="180"/>
      <c r="BF1133" s="170"/>
    </row>
    <row r="1134" spans="1:59" s="169" customFormat="1" ht="15" customHeight="1">
      <c r="A1134" s="168" t="s">
        <v>8274</v>
      </c>
      <c r="B1134" s="169" t="s">
        <v>8282</v>
      </c>
      <c r="C1134" s="169" t="s">
        <v>8276</v>
      </c>
      <c r="D1134" s="170">
        <v>4</v>
      </c>
      <c r="E1134" s="169">
        <v>2</v>
      </c>
      <c r="G1134" s="169" t="s">
        <v>4197</v>
      </c>
      <c r="J1134" s="169" t="s">
        <v>27</v>
      </c>
      <c r="K1134" s="169" t="s">
        <v>4053</v>
      </c>
      <c r="L1134" s="169">
        <v>3</v>
      </c>
      <c r="N1134" s="170">
        <v>0</v>
      </c>
      <c r="O1134" s="171">
        <v>1</v>
      </c>
      <c r="P1134" s="172">
        <v>1</v>
      </c>
      <c r="Q1134" s="173"/>
      <c r="R1134" s="174">
        <v>1</v>
      </c>
      <c r="S1134" s="175"/>
      <c r="T1134" s="176"/>
      <c r="U1134" s="171"/>
      <c r="V1134" s="177"/>
      <c r="W1134" s="178"/>
      <c r="X1134" s="179"/>
      <c r="Y1134" s="174"/>
      <c r="Z1134" s="176"/>
      <c r="AA1134" s="180"/>
      <c r="AB1134" s="169" t="s">
        <v>7244</v>
      </c>
      <c r="AD1134" s="169" t="s">
        <v>4198</v>
      </c>
      <c r="AE1134" s="170"/>
      <c r="AF1134" s="169" t="s">
        <v>8283</v>
      </c>
      <c r="AP1134" s="170"/>
      <c r="AQ1134" s="171"/>
      <c r="AR1134" s="172"/>
      <c r="AS1134" s="173"/>
      <c r="AT1134" s="174"/>
      <c r="AU1134" s="176"/>
      <c r="AV1134" s="171"/>
      <c r="AW1134" s="177"/>
      <c r="AX1134" s="178"/>
      <c r="AY1134" s="179"/>
      <c r="AZ1134" s="174"/>
      <c r="BA1134" s="176"/>
      <c r="BB1134" s="180"/>
      <c r="BF1134" s="170"/>
    </row>
    <row r="1135" spans="1:59" s="169" customFormat="1" ht="15" customHeight="1">
      <c r="A1135" s="168" t="s">
        <v>8274</v>
      </c>
      <c r="B1135" s="169" t="s">
        <v>8284</v>
      </c>
      <c r="C1135" s="169" t="s">
        <v>8276</v>
      </c>
      <c r="D1135" s="170">
        <v>5</v>
      </c>
      <c r="E1135" s="169">
        <v>2</v>
      </c>
      <c r="G1135" s="169" t="s">
        <v>4218</v>
      </c>
      <c r="J1135" s="169" t="s">
        <v>4111</v>
      </c>
      <c r="K1135" s="169" t="s">
        <v>4055</v>
      </c>
      <c r="L1135" s="169">
        <v>2</v>
      </c>
      <c r="N1135" s="170">
        <v>0</v>
      </c>
      <c r="O1135" s="171"/>
      <c r="P1135" s="172"/>
      <c r="Q1135" s="173">
        <v>2</v>
      </c>
      <c r="R1135" s="174">
        <v>2</v>
      </c>
      <c r="S1135" s="175"/>
      <c r="T1135" s="176"/>
      <c r="U1135" s="171"/>
      <c r="V1135" s="177"/>
      <c r="W1135" s="178"/>
      <c r="X1135" s="179"/>
      <c r="Y1135" s="174"/>
      <c r="Z1135" s="176"/>
      <c r="AA1135" s="180"/>
      <c r="AB1135" s="169" t="s">
        <v>8285</v>
      </c>
      <c r="AD1135" s="169" t="s">
        <v>4143</v>
      </c>
      <c r="AE1135" s="170"/>
      <c r="AF1135" s="169" t="s">
        <v>8286</v>
      </c>
      <c r="AP1135" s="170"/>
      <c r="AQ1135" s="171"/>
      <c r="AR1135" s="172"/>
      <c r="AS1135" s="173"/>
      <c r="AT1135" s="174"/>
      <c r="AU1135" s="176"/>
      <c r="AV1135" s="171"/>
      <c r="AW1135" s="177"/>
      <c r="AX1135" s="178"/>
      <c r="AY1135" s="179"/>
      <c r="AZ1135" s="174"/>
      <c r="BA1135" s="176"/>
      <c r="BB1135" s="180"/>
      <c r="BF1135" s="170"/>
    </row>
    <row r="1136" spans="1:59" s="169" customFormat="1" ht="15" customHeight="1">
      <c r="A1136" s="168" t="s">
        <v>8274</v>
      </c>
      <c r="B1136" s="169" t="s">
        <v>8287</v>
      </c>
      <c r="C1136" s="169" t="s">
        <v>8276</v>
      </c>
      <c r="D1136" s="170">
        <v>6</v>
      </c>
      <c r="E1136" s="169">
        <v>2</v>
      </c>
      <c r="G1136" s="169" t="s">
        <v>4225</v>
      </c>
      <c r="J1136" s="169" t="s">
        <v>27</v>
      </c>
      <c r="K1136" s="169" t="s">
        <v>4055</v>
      </c>
      <c r="L1136" s="169">
        <v>2</v>
      </c>
      <c r="N1136" s="170">
        <v>5</v>
      </c>
      <c r="O1136" s="171">
        <v>1</v>
      </c>
      <c r="P1136" s="172"/>
      <c r="Q1136" s="173"/>
      <c r="R1136" s="174"/>
      <c r="S1136" s="175"/>
      <c r="T1136" s="176"/>
      <c r="U1136" s="171"/>
      <c r="V1136" s="177"/>
      <c r="W1136" s="178"/>
      <c r="X1136" s="179"/>
      <c r="Y1136" s="174"/>
      <c r="Z1136" s="176"/>
      <c r="AA1136" s="180"/>
      <c r="AB1136" s="169" t="s">
        <v>4058</v>
      </c>
      <c r="AD1136" s="169" t="s">
        <v>4226</v>
      </c>
      <c r="AE1136" s="170"/>
      <c r="AF1136" s="169" t="s">
        <v>4227</v>
      </c>
      <c r="AP1136" s="170"/>
      <c r="AQ1136" s="171"/>
      <c r="AR1136" s="172"/>
      <c r="AS1136" s="173"/>
      <c r="AT1136" s="174"/>
      <c r="AU1136" s="176"/>
      <c r="AV1136" s="171"/>
      <c r="AW1136" s="177"/>
      <c r="AX1136" s="178"/>
      <c r="AY1136" s="179"/>
      <c r="AZ1136" s="174"/>
      <c r="BA1136" s="176"/>
      <c r="BB1136" s="180"/>
      <c r="BF1136" s="170"/>
    </row>
    <row r="1137" spans="1:60" s="169" customFormat="1" ht="15" customHeight="1">
      <c r="A1137" s="168" t="s">
        <v>8274</v>
      </c>
      <c r="B1137" s="169" t="s">
        <v>8288</v>
      </c>
      <c r="C1137" s="169" t="s">
        <v>8276</v>
      </c>
      <c r="D1137" s="170">
        <v>7</v>
      </c>
      <c r="E1137" s="169">
        <v>2</v>
      </c>
      <c r="G1137" s="169" t="s">
        <v>4236</v>
      </c>
      <c r="J1137" s="169" t="s">
        <v>4111</v>
      </c>
      <c r="K1137" s="169" t="s">
        <v>4054</v>
      </c>
      <c r="L1137" s="169">
        <v>2</v>
      </c>
      <c r="N1137" s="170">
        <v>0</v>
      </c>
      <c r="O1137" s="171">
        <v>2</v>
      </c>
      <c r="P1137" s="172">
        <v>2</v>
      </c>
      <c r="Q1137" s="173"/>
      <c r="R1137" s="174"/>
      <c r="S1137" s="175"/>
      <c r="T1137" s="176"/>
      <c r="U1137" s="171"/>
      <c r="V1137" s="177"/>
      <c r="W1137" s="178"/>
      <c r="X1137" s="179"/>
      <c r="Y1137" s="174"/>
      <c r="Z1137" s="176"/>
      <c r="AA1137" s="180"/>
      <c r="AB1137" s="169" t="s">
        <v>6176</v>
      </c>
      <c r="AD1137" s="169" t="s">
        <v>4143</v>
      </c>
      <c r="AE1137" s="170"/>
      <c r="AF1137" s="169" t="s">
        <v>8289</v>
      </c>
      <c r="AP1137" s="170"/>
      <c r="AQ1137" s="171"/>
      <c r="AR1137" s="172"/>
      <c r="AS1137" s="173"/>
      <c r="AT1137" s="174"/>
      <c r="AU1137" s="176"/>
      <c r="AV1137" s="171"/>
      <c r="AW1137" s="177"/>
      <c r="AX1137" s="178"/>
      <c r="AY1137" s="179"/>
      <c r="AZ1137" s="174"/>
      <c r="BA1137" s="176"/>
      <c r="BB1137" s="180"/>
      <c r="BF1137" s="170"/>
    </row>
    <row r="1138" spans="1:60" s="169" customFormat="1" ht="15" customHeight="1">
      <c r="A1138" s="168" t="s">
        <v>8274</v>
      </c>
      <c r="B1138" s="169" t="s">
        <v>8290</v>
      </c>
      <c r="C1138" s="169" t="s">
        <v>8276</v>
      </c>
      <c r="D1138" s="170">
        <v>8</v>
      </c>
      <c r="E1138" s="169">
        <v>2</v>
      </c>
      <c r="G1138" s="169" t="s">
        <v>4534</v>
      </c>
      <c r="J1138" s="169" t="s">
        <v>27</v>
      </c>
      <c r="K1138" s="169" t="s">
        <v>4054</v>
      </c>
      <c r="L1138" s="169">
        <v>3</v>
      </c>
      <c r="N1138" s="170">
        <v>1</v>
      </c>
      <c r="O1138" s="171">
        <v>1</v>
      </c>
      <c r="P1138" s="172"/>
      <c r="Q1138" s="173">
        <v>1</v>
      </c>
      <c r="R1138" s="174"/>
      <c r="S1138" s="175"/>
      <c r="T1138" s="176"/>
      <c r="U1138" s="171"/>
      <c r="V1138" s="177"/>
      <c r="W1138" s="178"/>
      <c r="X1138" s="179"/>
      <c r="Y1138" s="174"/>
      <c r="Z1138" s="176"/>
      <c r="AA1138" s="180"/>
      <c r="AB1138" s="169" t="s">
        <v>6033</v>
      </c>
      <c r="AD1138" s="169" t="s">
        <v>4133</v>
      </c>
      <c r="AE1138" s="170"/>
      <c r="AF1138" s="169" t="s">
        <v>8291</v>
      </c>
      <c r="AP1138" s="170"/>
      <c r="AQ1138" s="171"/>
      <c r="AR1138" s="172"/>
      <c r="AS1138" s="173"/>
      <c r="AT1138" s="174"/>
      <c r="AU1138" s="176"/>
      <c r="AV1138" s="171"/>
      <c r="AW1138" s="177"/>
      <c r="AX1138" s="178"/>
      <c r="AY1138" s="179"/>
      <c r="AZ1138" s="174"/>
      <c r="BA1138" s="176"/>
      <c r="BB1138" s="180"/>
      <c r="BF1138" s="170"/>
    </row>
    <row r="1139" spans="1:60" s="169" customFormat="1" ht="15" customHeight="1">
      <c r="A1139" s="168" t="s">
        <v>8274</v>
      </c>
      <c r="B1139" s="169" t="s">
        <v>8292</v>
      </c>
      <c r="C1139" s="169" t="s">
        <v>8276</v>
      </c>
      <c r="D1139" s="170">
        <v>9</v>
      </c>
      <c r="E1139" s="169">
        <v>2</v>
      </c>
      <c r="G1139" s="169" t="s">
        <v>4257</v>
      </c>
      <c r="J1139" s="169" t="s">
        <v>4111</v>
      </c>
      <c r="K1139" s="169" t="s">
        <v>4056</v>
      </c>
      <c r="L1139" s="169">
        <v>2</v>
      </c>
      <c r="N1139" s="170">
        <v>0</v>
      </c>
      <c r="O1139" s="171">
        <v>2</v>
      </c>
      <c r="P1139" s="172"/>
      <c r="Q1139" s="173"/>
      <c r="R1139" s="174">
        <v>2</v>
      </c>
      <c r="S1139" s="175"/>
      <c r="T1139" s="176"/>
      <c r="U1139" s="171"/>
      <c r="V1139" s="177"/>
      <c r="W1139" s="178"/>
      <c r="X1139" s="179"/>
      <c r="Y1139" s="174"/>
      <c r="Z1139" s="176"/>
      <c r="AA1139" s="180"/>
      <c r="AB1139" s="169" t="s">
        <v>6042</v>
      </c>
      <c r="AD1139" s="169" t="s">
        <v>4143</v>
      </c>
      <c r="AE1139" s="170"/>
      <c r="AF1139" s="169" t="s">
        <v>8293</v>
      </c>
      <c r="AP1139" s="170"/>
      <c r="AQ1139" s="171"/>
      <c r="AR1139" s="172"/>
      <c r="AS1139" s="173"/>
      <c r="AT1139" s="174"/>
      <c r="AU1139" s="176"/>
      <c r="AV1139" s="171"/>
      <c r="AW1139" s="177"/>
      <c r="AX1139" s="178"/>
      <c r="AY1139" s="179"/>
      <c r="AZ1139" s="174"/>
      <c r="BA1139" s="176"/>
      <c r="BB1139" s="180"/>
      <c r="BF1139" s="170"/>
    </row>
    <row r="1140" spans="1:60" s="169" customFormat="1" ht="15" customHeight="1">
      <c r="A1140" s="168" t="s">
        <v>8274</v>
      </c>
      <c r="B1140" s="169" t="s">
        <v>8294</v>
      </c>
      <c r="C1140" s="169" t="s">
        <v>8276</v>
      </c>
      <c r="D1140" s="170">
        <v>10</v>
      </c>
      <c r="E1140" s="169">
        <v>2</v>
      </c>
      <c r="G1140" s="169" t="s">
        <v>4253</v>
      </c>
      <c r="J1140" s="169" t="s">
        <v>4111</v>
      </c>
      <c r="K1140" s="169" t="s">
        <v>4056</v>
      </c>
      <c r="L1140" s="169">
        <v>3</v>
      </c>
      <c r="N1140" s="170">
        <v>1</v>
      </c>
      <c r="O1140" s="171"/>
      <c r="P1140" s="172"/>
      <c r="Q1140" s="173"/>
      <c r="R1140" s="174"/>
      <c r="S1140" s="175">
        <v>1</v>
      </c>
      <c r="T1140" s="176"/>
      <c r="U1140" s="171"/>
      <c r="V1140" s="177"/>
      <c r="W1140" s="178"/>
      <c r="X1140" s="179"/>
      <c r="Y1140" s="174"/>
      <c r="Z1140" s="176"/>
      <c r="AA1140" s="180"/>
      <c r="AB1140" s="169" t="s">
        <v>4062</v>
      </c>
      <c r="AC1140" s="169" t="s">
        <v>4129</v>
      </c>
      <c r="AD1140" s="169" t="s">
        <v>4229</v>
      </c>
      <c r="AE1140" s="170"/>
      <c r="AF1140" s="169" t="s">
        <v>8295</v>
      </c>
      <c r="AP1140" s="170"/>
      <c r="AQ1140" s="171"/>
      <c r="AR1140" s="172"/>
      <c r="AS1140" s="173"/>
      <c r="AT1140" s="174"/>
      <c r="AU1140" s="176"/>
      <c r="AV1140" s="171"/>
      <c r="AW1140" s="177"/>
      <c r="AX1140" s="178"/>
      <c r="AY1140" s="179"/>
      <c r="AZ1140" s="174"/>
      <c r="BA1140" s="176"/>
      <c r="BB1140" s="180"/>
      <c r="BF1140" s="170"/>
    </row>
    <row r="1141" spans="1:60" s="169" customFormat="1" ht="15" customHeight="1">
      <c r="A1141" s="168" t="s">
        <v>8274</v>
      </c>
      <c r="B1141" s="169" t="s">
        <v>8296</v>
      </c>
      <c r="C1141" s="169" t="s">
        <v>8276</v>
      </c>
      <c r="D1141" s="170">
        <v>11</v>
      </c>
      <c r="E1141" s="169">
        <v>1</v>
      </c>
      <c r="F1141" s="169" t="s">
        <v>8297</v>
      </c>
      <c r="G1141" s="169" t="s">
        <v>8297</v>
      </c>
      <c r="J1141" s="169" t="s">
        <v>4472</v>
      </c>
      <c r="K1141" s="169" t="s">
        <v>6280</v>
      </c>
      <c r="N1141" s="170"/>
      <c r="O1141" s="171"/>
      <c r="P1141" s="172"/>
      <c r="Q1141" s="173"/>
      <c r="R1141" s="174"/>
      <c r="S1141" s="175"/>
      <c r="T1141" s="176"/>
      <c r="U1141" s="171"/>
      <c r="V1141" s="177"/>
      <c r="W1141" s="178"/>
      <c r="X1141" s="179"/>
      <c r="Y1141" s="174"/>
      <c r="Z1141" s="176"/>
      <c r="AA1141" s="180"/>
      <c r="AE1141" s="170"/>
      <c r="AF1141" s="169" t="s">
        <v>8298</v>
      </c>
      <c r="AI1141" s="169" t="s">
        <v>8297</v>
      </c>
      <c r="AL1141" s="169" t="s">
        <v>4472</v>
      </c>
      <c r="AM1141" s="169" t="s">
        <v>6280</v>
      </c>
      <c r="AP1141" s="170"/>
      <c r="AQ1141" s="171"/>
      <c r="AR1141" s="172"/>
      <c r="AS1141" s="173"/>
      <c r="AT1141" s="174"/>
      <c r="AU1141" s="176"/>
      <c r="AV1141" s="171"/>
      <c r="AW1141" s="177"/>
      <c r="AX1141" s="178"/>
      <c r="AY1141" s="179"/>
      <c r="AZ1141" s="174"/>
      <c r="BA1141" s="176"/>
      <c r="BB1141" s="180"/>
      <c r="BF1141" s="170"/>
      <c r="BG1141" s="169" t="s">
        <v>8299</v>
      </c>
    </row>
    <row r="1142" spans="1:60" s="168" customFormat="1" ht="15" customHeight="1">
      <c r="A1142" s="168" t="s">
        <v>8274</v>
      </c>
      <c r="B1142" s="168" t="s">
        <v>8300</v>
      </c>
      <c r="C1142" s="168" t="s">
        <v>8276</v>
      </c>
      <c r="D1142" s="183">
        <v>12</v>
      </c>
      <c r="E1142" s="168">
        <v>1</v>
      </c>
      <c r="F1142" s="168" t="s">
        <v>8297</v>
      </c>
      <c r="G1142" s="168" t="s">
        <v>8301</v>
      </c>
      <c r="J1142" s="168" t="s">
        <v>4475</v>
      </c>
      <c r="K1142" s="168" t="s">
        <v>6280</v>
      </c>
      <c r="L1142" s="168">
        <v>1</v>
      </c>
      <c r="N1142" s="183"/>
      <c r="O1142" s="184"/>
      <c r="P1142" s="185"/>
      <c r="Q1142" s="186"/>
      <c r="R1142" s="187"/>
      <c r="S1142" s="188"/>
      <c r="T1142" s="176"/>
      <c r="U1142" s="184"/>
      <c r="V1142" s="189"/>
      <c r="W1142" s="190"/>
      <c r="X1142" s="191"/>
      <c r="Y1142" s="187" t="s">
        <v>4966</v>
      </c>
      <c r="Z1142" s="176"/>
      <c r="AA1142" s="192"/>
      <c r="AE1142" s="170"/>
      <c r="AF1142" s="169" t="s">
        <v>8302</v>
      </c>
      <c r="AG1142" s="169"/>
      <c r="AI1142" s="168" t="s">
        <v>8303</v>
      </c>
      <c r="AL1142" s="168" t="s">
        <v>4475</v>
      </c>
      <c r="AM1142" s="168" t="s">
        <v>6280</v>
      </c>
      <c r="AN1142" s="168">
        <v>1</v>
      </c>
      <c r="AP1142" s="183"/>
      <c r="AQ1142" s="184"/>
      <c r="AR1142" s="185"/>
      <c r="AS1142" s="186"/>
      <c r="AT1142" s="187"/>
      <c r="AU1142" s="176"/>
      <c r="AV1142" s="184"/>
      <c r="AW1142" s="189"/>
      <c r="AX1142" s="190"/>
      <c r="AY1142" s="191"/>
      <c r="AZ1142" s="187"/>
      <c r="BA1142" s="176"/>
      <c r="BB1142" s="192"/>
      <c r="BF1142" s="170"/>
      <c r="BG1142" s="169" t="s">
        <v>8304</v>
      </c>
      <c r="BH1142" s="169"/>
    </row>
    <row r="1143" spans="1:60" s="168" customFormat="1" ht="15" customHeight="1">
      <c r="A1143" s="168" t="s">
        <v>8274</v>
      </c>
      <c r="B1143" s="168" t="s">
        <v>8305</v>
      </c>
      <c r="C1143" s="168" t="s">
        <v>8276</v>
      </c>
      <c r="D1143" s="183">
        <v>13</v>
      </c>
      <c r="E1143" s="168">
        <v>1</v>
      </c>
      <c r="F1143" s="168" t="s">
        <v>8297</v>
      </c>
      <c r="G1143" s="168" t="s">
        <v>4303</v>
      </c>
      <c r="J1143" s="168" t="s">
        <v>31</v>
      </c>
      <c r="K1143" s="168" t="s">
        <v>6280</v>
      </c>
      <c r="N1143" s="183"/>
      <c r="O1143" s="184"/>
      <c r="P1143" s="185"/>
      <c r="Q1143" s="186"/>
      <c r="R1143" s="187"/>
      <c r="S1143" s="188"/>
      <c r="T1143" s="176"/>
      <c r="U1143" s="184"/>
      <c r="V1143" s="189"/>
      <c r="W1143" s="190"/>
      <c r="X1143" s="191"/>
      <c r="Y1143" s="187"/>
      <c r="Z1143" s="176"/>
      <c r="AA1143" s="192"/>
      <c r="AE1143" s="170"/>
      <c r="AF1143" s="169"/>
      <c r="AG1143" s="169"/>
      <c r="AI1143" s="168" t="s">
        <v>4303</v>
      </c>
      <c r="AJ1143" s="168" t="s">
        <v>8306</v>
      </c>
      <c r="AL1143" s="168" t="s">
        <v>31</v>
      </c>
      <c r="AM1143" s="168" t="s">
        <v>6280</v>
      </c>
      <c r="AP1143" s="183"/>
      <c r="AQ1143" s="184"/>
      <c r="AR1143" s="185"/>
      <c r="AS1143" s="186"/>
      <c r="AT1143" s="187"/>
      <c r="AU1143" s="176"/>
      <c r="AV1143" s="184"/>
      <c r="AW1143" s="189"/>
      <c r="AX1143" s="190"/>
      <c r="AY1143" s="191">
        <v>3</v>
      </c>
      <c r="AZ1143" s="187" t="s">
        <v>4927</v>
      </c>
      <c r="BA1143" s="176"/>
      <c r="BB1143" s="192"/>
      <c r="BF1143" s="170"/>
      <c r="BG1143" s="169" t="s">
        <v>8307</v>
      </c>
      <c r="BH1143" s="169"/>
    </row>
    <row r="1144" spans="1:60" s="168" customFormat="1" ht="15" customHeight="1">
      <c r="A1144" s="168" t="s">
        <v>8274</v>
      </c>
      <c r="B1144" s="168" t="s">
        <v>8308</v>
      </c>
      <c r="C1144" s="168" t="s">
        <v>8276</v>
      </c>
      <c r="D1144" s="183">
        <v>14</v>
      </c>
      <c r="E1144" s="168">
        <v>1</v>
      </c>
      <c r="F1144" s="168" t="s">
        <v>8297</v>
      </c>
      <c r="G1144" s="168" t="s">
        <v>8309</v>
      </c>
      <c r="J1144" s="168" t="s">
        <v>31</v>
      </c>
      <c r="K1144" s="168" t="s">
        <v>6280</v>
      </c>
      <c r="N1144" s="183"/>
      <c r="O1144" s="184"/>
      <c r="P1144" s="185"/>
      <c r="Q1144" s="186"/>
      <c r="R1144" s="187"/>
      <c r="S1144" s="188"/>
      <c r="T1144" s="176"/>
      <c r="U1144" s="184"/>
      <c r="V1144" s="189"/>
      <c r="W1144" s="190"/>
      <c r="X1144" s="191"/>
      <c r="Y1144" s="187"/>
      <c r="Z1144" s="176"/>
      <c r="AA1144" s="192"/>
      <c r="AE1144" s="170"/>
      <c r="AF1144" s="169"/>
      <c r="AG1144" s="169"/>
      <c r="AI1144" s="168" t="s">
        <v>8309</v>
      </c>
      <c r="AL1144" s="168" t="s">
        <v>31</v>
      </c>
      <c r="AM1144" s="168" t="s">
        <v>6280</v>
      </c>
      <c r="AP1144" s="183"/>
      <c r="AQ1144" s="184"/>
      <c r="AR1144" s="185"/>
      <c r="AS1144" s="186"/>
      <c r="AT1144" s="187"/>
      <c r="AU1144" s="176"/>
      <c r="AV1144" s="184"/>
      <c r="AW1144" s="189"/>
      <c r="AX1144" s="190"/>
      <c r="AY1144" s="191">
        <v>1</v>
      </c>
      <c r="AZ1144" s="187">
        <v>0</v>
      </c>
      <c r="BA1144" s="176"/>
      <c r="BB1144" s="192"/>
      <c r="BF1144" s="170"/>
      <c r="BG1144" s="169" t="s">
        <v>8310</v>
      </c>
      <c r="BH1144" s="169"/>
    </row>
    <row r="1145" spans="1:60" s="168" customFormat="1" ht="15" customHeight="1">
      <c r="A1145" s="168" t="s">
        <v>8274</v>
      </c>
      <c r="B1145" s="168" t="s">
        <v>8311</v>
      </c>
      <c r="C1145" s="168" t="s">
        <v>8276</v>
      </c>
      <c r="D1145" s="183">
        <v>15</v>
      </c>
      <c r="E1145" s="168">
        <v>1</v>
      </c>
      <c r="F1145" s="168" t="s">
        <v>8297</v>
      </c>
      <c r="G1145" s="168" t="s">
        <v>8312</v>
      </c>
      <c r="J1145" s="168" t="s">
        <v>31</v>
      </c>
      <c r="K1145" s="168" t="s">
        <v>6280</v>
      </c>
      <c r="N1145" s="183"/>
      <c r="O1145" s="184"/>
      <c r="P1145" s="185"/>
      <c r="Q1145" s="186"/>
      <c r="R1145" s="187"/>
      <c r="S1145" s="188"/>
      <c r="T1145" s="176"/>
      <c r="U1145" s="184"/>
      <c r="V1145" s="189"/>
      <c r="W1145" s="190"/>
      <c r="X1145" s="191"/>
      <c r="Y1145" s="187"/>
      <c r="Z1145" s="176"/>
      <c r="AA1145" s="192"/>
      <c r="AE1145" s="170"/>
      <c r="AF1145" s="169"/>
      <c r="AG1145" s="169"/>
      <c r="AI1145" s="168" t="s">
        <v>8312</v>
      </c>
      <c r="AL1145" s="168" t="s">
        <v>31</v>
      </c>
      <c r="AM1145" s="168" t="s">
        <v>6280</v>
      </c>
      <c r="AP1145" s="183"/>
      <c r="AQ1145" s="184"/>
      <c r="AR1145" s="185"/>
      <c r="AS1145" s="186"/>
      <c r="AT1145" s="187"/>
      <c r="AU1145" s="176"/>
      <c r="AV1145" s="184"/>
      <c r="AW1145" s="189"/>
      <c r="AX1145" s="190"/>
      <c r="AY1145" s="191">
        <v>2</v>
      </c>
      <c r="AZ1145" s="187" t="s">
        <v>4927</v>
      </c>
      <c r="BA1145" s="176"/>
      <c r="BB1145" s="192"/>
      <c r="BF1145" s="170"/>
      <c r="BG1145" s="169" t="s">
        <v>8313</v>
      </c>
      <c r="BH1145" s="169"/>
    </row>
    <row r="1146" spans="1:60" s="168" customFormat="1" ht="15" customHeight="1">
      <c r="A1146" s="168" t="s">
        <v>8274</v>
      </c>
      <c r="B1146" s="168" t="s">
        <v>8314</v>
      </c>
      <c r="C1146" s="168" t="s">
        <v>8276</v>
      </c>
      <c r="D1146" s="183">
        <v>16</v>
      </c>
      <c r="E1146" s="168">
        <v>1</v>
      </c>
      <c r="F1146" s="168" t="s">
        <v>8297</v>
      </c>
      <c r="G1146" s="168" t="s">
        <v>8315</v>
      </c>
      <c r="J1146" s="168" t="s">
        <v>31</v>
      </c>
      <c r="K1146" s="168" t="s">
        <v>6280</v>
      </c>
      <c r="N1146" s="183"/>
      <c r="O1146" s="184"/>
      <c r="P1146" s="185"/>
      <c r="Q1146" s="186"/>
      <c r="R1146" s="187"/>
      <c r="S1146" s="188"/>
      <c r="T1146" s="176"/>
      <c r="U1146" s="184"/>
      <c r="V1146" s="189"/>
      <c r="W1146" s="190"/>
      <c r="X1146" s="191"/>
      <c r="Y1146" s="187"/>
      <c r="Z1146" s="176"/>
      <c r="AA1146" s="192"/>
      <c r="AE1146" s="170"/>
      <c r="AF1146" s="169"/>
      <c r="AG1146" s="169"/>
      <c r="AI1146" s="168" t="s">
        <v>8315</v>
      </c>
      <c r="AL1146" s="168" t="s">
        <v>31</v>
      </c>
      <c r="AM1146" s="168" t="s">
        <v>6280</v>
      </c>
      <c r="AP1146" s="183"/>
      <c r="AQ1146" s="184"/>
      <c r="AR1146" s="185"/>
      <c r="AS1146" s="186"/>
      <c r="AT1146" s="187"/>
      <c r="AU1146" s="176"/>
      <c r="AV1146" s="184"/>
      <c r="AW1146" s="189"/>
      <c r="AX1146" s="190"/>
      <c r="AY1146" s="191">
        <v>1</v>
      </c>
      <c r="AZ1146" s="187" t="s">
        <v>4927</v>
      </c>
      <c r="BA1146" s="176"/>
      <c r="BB1146" s="192"/>
      <c r="BF1146" s="170"/>
      <c r="BG1146" s="169" t="s">
        <v>8316</v>
      </c>
      <c r="BH1146" s="169"/>
    </row>
    <row r="1147" spans="1:60" s="168" customFormat="1" ht="15" customHeight="1">
      <c r="A1147" s="168" t="s">
        <v>8274</v>
      </c>
      <c r="B1147" s="168" t="s">
        <v>8317</v>
      </c>
      <c r="C1147" s="168" t="s">
        <v>8276</v>
      </c>
      <c r="D1147" s="183">
        <v>17</v>
      </c>
      <c r="E1147" s="168">
        <v>1</v>
      </c>
      <c r="F1147" s="168" t="s">
        <v>8297</v>
      </c>
      <c r="G1147" s="168" t="s">
        <v>8318</v>
      </c>
      <c r="J1147" s="168" t="s">
        <v>31</v>
      </c>
      <c r="K1147" s="168" t="s">
        <v>6280</v>
      </c>
      <c r="N1147" s="183"/>
      <c r="O1147" s="184"/>
      <c r="P1147" s="185"/>
      <c r="Q1147" s="186"/>
      <c r="R1147" s="187"/>
      <c r="S1147" s="188"/>
      <c r="T1147" s="176"/>
      <c r="U1147" s="184"/>
      <c r="V1147" s="189"/>
      <c r="W1147" s="190"/>
      <c r="X1147" s="191"/>
      <c r="Y1147" s="187"/>
      <c r="Z1147" s="176"/>
      <c r="AA1147" s="192"/>
      <c r="AE1147" s="170"/>
      <c r="AF1147" s="169"/>
      <c r="AG1147" s="169"/>
      <c r="AI1147" s="168" t="s">
        <v>8318</v>
      </c>
      <c r="AL1147" s="168" t="s">
        <v>31</v>
      </c>
      <c r="AM1147" s="168" t="s">
        <v>6280</v>
      </c>
      <c r="AP1147" s="183"/>
      <c r="AQ1147" s="184"/>
      <c r="AR1147" s="185"/>
      <c r="AS1147" s="186"/>
      <c r="AT1147" s="187"/>
      <c r="AU1147" s="176"/>
      <c r="AV1147" s="184"/>
      <c r="AW1147" s="189"/>
      <c r="AX1147" s="190"/>
      <c r="AY1147" s="191">
        <v>1</v>
      </c>
      <c r="AZ1147" s="187">
        <v>0</v>
      </c>
      <c r="BA1147" s="176"/>
      <c r="BB1147" s="192"/>
      <c r="BF1147" s="170"/>
      <c r="BG1147" s="169" t="s">
        <v>8319</v>
      </c>
      <c r="BH1147" s="169"/>
    </row>
    <row r="1148" spans="1:60" s="168" customFormat="1" ht="15" customHeight="1">
      <c r="A1148" s="168" t="s">
        <v>8274</v>
      </c>
      <c r="B1148" s="168" t="s">
        <v>8320</v>
      </c>
      <c r="C1148" s="168" t="s">
        <v>8276</v>
      </c>
      <c r="D1148" s="183">
        <v>18</v>
      </c>
      <c r="E1148" s="168">
        <v>1</v>
      </c>
      <c r="F1148" s="168" t="s">
        <v>8297</v>
      </c>
      <c r="G1148" s="168" t="s">
        <v>4305</v>
      </c>
      <c r="J1148" s="168" t="s">
        <v>31</v>
      </c>
      <c r="K1148" s="168" t="s">
        <v>6280</v>
      </c>
      <c r="N1148" s="183"/>
      <c r="O1148" s="184"/>
      <c r="P1148" s="185"/>
      <c r="Q1148" s="186"/>
      <c r="R1148" s="187"/>
      <c r="S1148" s="188"/>
      <c r="T1148" s="176"/>
      <c r="U1148" s="184"/>
      <c r="V1148" s="189"/>
      <c r="W1148" s="190"/>
      <c r="X1148" s="191"/>
      <c r="Y1148" s="187"/>
      <c r="Z1148" s="176"/>
      <c r="AA1148" s="192"/>
      <c r="AE1148" s="170"/>
      <c r="AF1148" s="169"/>
      <c r="AG1148" s="169"/>
      <c r="AI1148" s="168" t="s">
        <v>4305</v>
      </c>
      <c r="AL1148" s="168" t="s">
        <v>31</v>
      </c>
      <c r="AM1148" s="168" t="s">
        <v>6280</v>
      </c>
      <c r="AP1148" s="183"/>
      <c r="AQ1148" s="184"/>
      <c r="AR1148" s="185"/>
      <c r="AS1148" s="186"/>
      <c r="AT1148" s="187"/>
      <c r="AU1148" s="176"/>
      <c r="AV1148" s="184"/>
      <c r="AW1148" s="189"/>
      <c r="AX1148" s="190"/>
      <c r="AY1148" s="191">
        <v>3</v>
      </c>
      <c r="AZ1148" s="187" t="s">
        <v>4927</v>
      </c>
      <c r="BA1148" s="176"/>
      <c r="BB1148" s="192"/>
      <c r="BF1148" s="170"/>
      <c r="BG1148" s="169" t="s">
        <v>8321</v>
      </c>
      <c r="BH1148" s="169"/>
    </row>
    <row r="1149" spans="1:60" s="168" customFormat="1" ht="15" customHeight="1">
      <c r="A1149" s="168" t="s">
        <v>8274</v>
      </c>
      <c r="B1149" s="168" t="s">
        <v>8322</v>
      </c>
      <c r="C1149" s="168" t="s">
        <v>8276</v>
      </c>
      <c r="D1149" s="183">
        <v>19</v>
      </c>
      <c r="E1149" s="168">
        <v>1</v>
      </c>
      <c r="F1149" s="168" t="s">
        <v>8297</v>
      </c>
      <c r="G1149" s="168" t="s">
        <v>8323</v>
      </c>
      <c r="J1149" s="168" t="s">
        <v>31</v>
      </c>
      <c r="K1149" s="168" t="s">
        <v>6280</v>
      </c>
      <c r="N1149" s="183"/>
      <c r="O1149" s="184"/>
      <c r="P1149" s="185"/>
      <c r="Q1149" s="186"/>
      <c r="R1149" s="187"/>
      <c r="S1149" s="188"/>
      <c r="T1149" s="176"/>
      <c r="U1149" s="184"/>
      <c r="V1149" s="189"/>
      <c r="W1149" s="190"/>
      <c r="X1149" s="191"/>
      <c r="Y1149" s="187"/>
      <c r="Z1149" s="176"/>
      <c r="AA1149" s="192"/>
      <c r="AE1149" s="170"/>
      <c r="AF1149" s="169"/>
      <c r="AG1149" s="169"/>
      <c r="AI1149" s="168" t="s">
        <v>8323</v>
      </c>
      <c r="AL1149" s="168" t="s">
        <v>31</v>
      </c>
      <c r="AM1149" s="168" t="s">
        <v>6280</v>
      </c>
      <c r="AP1149" s="183"/>
      <c r="AQ1149" s="184"/>
      <c r="AR1149" s="185"/>
      <c r="AS1149" s="186"/>
      <c r="AT1149" s="187"/>
      <c r="AU1149" s="176"/>
      <c r="AV1149" s="184"/>
      <c r="AW1149" s="189"/>
      <c r="AX1149" s="190"/>
      <c r="AY1149" s="191">
        <v>2</v>
      </c>
      <c r="AZ1149" s="187" t="s">
        <v>4927</v>
      </c>
      <c r="BA1149" s="176"/>
      <c r="BB1149" s="192">
        <v>1</v>
      </c>
      <c r="BF1149" s="170"/>
      <c r="BG1149" s="169" t="s">
        <v>8324</v>
      </c>
      <c r="BH1149" s="169"/>
    </row>
    <row r="1150" spans="1:60" s="168" customFormat="1" ht="15" customHeight="1">
      <c r="A1150" s="168" t="s">
        <v>8274</v>
      </c>
      <c r="B1150" s="168" t="s">
        <v>8325</v>
      </c>
      <c r="C1150" s="168" t="s">
        <v>8276</v>
      </c>
      <c r="D1150" s="183">
        <v>20</v>
      </c>
      <c r="E1150" s="168">
        <v>1</v>
      </c>
      <c r="F1150" s="168" t="s">
        <v>8297</v>
      </c>
      <c r="G1150" s="168" t="s">
        <v>4306</v>
      </c>
      <c r="J1150" s="168" t="s">
        <v>31</v>
      </c>
      <c r="K1150" s="168" t="s">
        <v>6280</v>
      </c>
      <c r="N1150" s="183"/>
      <c r="O1150" s="184"/>
      <c r="P1150" s="185"/>
      <c r="Q1150" s="186"/>
      <c r="R1150" s="187"/>
      <c r="S1150" s="188"/>
      <c r="T1150" s="176"/>
      <c r="U1150" s="184"/>
      <c r="V1150" s="189"/>
      <c r="W1150" s="190"/>
      <c r="X1150" s="191"/>
      <c r="Y1150" s="187"/>
      <c r="Z1150" s="176"/>
      <c r="AA1150" s="192"/>
      <c r="AE1150" s="170"/>
      <c r="AF1150" s="169"/>
      <c r="AG1150" s="169"/>
      <c r="AI1150" s="168" t="s">
        <v>8326</v>
      </c>
      <c r="AL1150" s="168" t="s">
        <v>31</v>
      </c>
      <c r="AM1150" s="168" t="s">
        <v>6280</v>
      </c>
      <c r="AP1150" s="183"/>
      <c r="AQ1150" s="184"/>
      <c r="AR1150" s="185"/>
      <c r="AS1150" s="186"/>
      <c r="AT1150" s="187"/>
      <c r="AU1150" s="176"/>
      <c r="AV1150" s="184"/>
      <c r="AW1150" s="189"/>
      <c r="AX1150" s="190"/>
      <c r="AY1150" s="191">
        <v>2</v>
      </c>
      <c r="AZ1150" s="187" t="s">
        <v>4927</v>
      </c>
      <c r="BA1150" s="176"/>
      <c r="BB1150" s="192"/>
      <c r="BF1150" s="170"/>
      <c r="BG1150" s="169" t="s">
        <v>8327</v>
      </c>
      <c r="BH1150" s="169"/>
    </row>
    <row r="1151" spans="1:60" s="168" customFormat="1" ht="15" customHeight="1">
      <c r="A1151" s="168" t="s">
        <v>8274</v>
      </c>
      <c r="B1151" s="168" t="s">
        <v>8328</v>
      </c>
      <c r="C1151" s="168" t="s">
        <v>8276</v>
      </c>
      <c r="D1151" s="183">
        <v>21</v>
      </c>
      <c r="E1151" s="168">
        <v>1</v>
      </c>
      <c r="F1151" s="168" t="s">
        <v>8297</v>
      </c>
      <c r="G1151" s="168" t="s">
        <v>8329</v>
      </c>
      <c r="J1151" s="168" t="s">
        <v>31</v>
      </c>
      <c r="K1151" s="168" t="s">
        <v>6280</v>
      </c>
      <c r="N1151" s="183"/>
      <c r="O1151" s="184"/>
      <c r="P1151" s="185"/>
      <c r="Q1151" s="186"/>
      <c r="R1151" s="187"/>
      <c r="S1151" s="188"/>
      <c r="T1151" s="176"/>
      <c r="U1151" s="184"/>
      <c r="V1151" s="189"/>
      <c r="W1151" s="190"/>
      <c r="X1151" s="191"/>
      <c r="Y1151" s="187"/>
      <c r="Z1151" s="176"/>
      <c r="AA1151" s="192"/>
      <c r="AE1151" s="170"/>
      <c r="AF1151" s="169"/>
      <c r="AG1151" s="169"/>
      <c r="AI1151" s="168" t="s">
        <v>8330</v>
      </c>
      <c r="AL1151" s="168" t="s">
        <v>31</v>
      </c>
      <c r="AM1151" s="168" t="s">
        <v>6280</v>
      </c>
      <c r="AP1151" s="183"/>
      <c r="AQ1151" s="184"/>
      <c r="AR1151" s="185"/>
      <c r="AS1151" s="186"/>
      <c r="AT1151" s="187"/>
      <c r="AU1151" s="176"/>
      <c r="AV1151" s="184"/>
      <c r="AW1151" s="189"/>
      <c r="AX1151" s="190"/>
      <c r="AY1151" s="191">
        <v>4</v>
      </c>
      <c r="AZ1151" s="187" t="s">
        <v>4927</v>
      </c>
      <c r="BA1151" s="176"/>
      <c r="BB1151" s="192">
        <v>1</v>
      </c>
      <c r="BF1151" s="170"/>
      <c r="BG1151" s="169" t="s">
        <v>8331</v>
      </c>
      <c r="BH1151" s="169"/>
    </row>
    <row r="1152" spans="1:60" s="168" customFormat="1" ht="15" customHeight="1">
      <c r="A1152" s="168" t="s">
        <v>8274</v>
      </c>
      <c r="B1152" s="168" t="s">
        <v>8332</v>
      </c>
      <c r="C1152" s="168" t="s">
        <v>8276</v>
      </c>
      <c r="D1152" s="183">
        <v>22</v>
      </c>
      <c r="E1152" s="168">
        <v>1</v>
      </c>
      <c r="F1152" s="168" t="s">
        <v>8297</v>
      </c>
      <c r="G1152" s="168" t="s">
        <v>8333</v>
      </c>
      <c r="J1152" s="168" t="s">
        <v>29</v>
      </c>
      <c r="K1152" s="168" t="s">
        <v>6280</v>
      </c>
      <c r="N1152" s="183"/>
      <c r="O1152" s="184"/>
      <c r="P1152" s="185"/>
      <c r="Q1152" s="186">
        <v>4</v>
      </c>
      <c r="R1152" s="187">
        <v>3</v>
      </c>
      <c r="S1152" s="188"/>
      <c r="T1152" s="176">
        <v>3</v>
      </c>
      <c r="U1152" s="184"/>
      <c r="V1152" s="189">
        <v>2</v>
      </c>
      <c r="W1152" s="190">
        <v>2</v>
      </c>
      <c r="X1152" s="191"/>
      <c r="Y1152" s="187"/>
      <c r="Z1152" s="176"/>
      <c r="AA1152" s="192">
        <v>1</v>
      </c>
      <c r="AD1152" s="168" t="s">
        <v>4314</v>
      </c>
      <c r="AE1152" s="170" t="s">
        <v>8334</v>
      </c>
      <c r="AF1152" s="169" t="s">
        <v>8335</v>
      </c>
      <c r="AG1152" s="169"/>
      <c r="AP1152" s="183"/>
      <c r="AQ1152" s="184"/>
      <c r="AR1152" s="185"/>
      <c r="AS1152" s="186"/>
      <c r="AT1152" s="187"/>
      <c r="AU1152" s="176"/>
      <c r="AV1152" s="184"/>
      <c r="AW1152" s="189"/>
      <c r="AX1152" s="190"/>
      <c r="AY1152" s="191"/>
      <c r="AZ1152" s="187"/>
      <c r="BA1152" s="176"/>
      <c r="BB1152" s="192"/>
      <c r="BF1152" s="170"/>
      <c r="BG1152" s="169"/>
      <c r="BH1152" s="169"/>
    </row>
    <row r="1153" spans="1:60" s="168" customFormat="1" ht="15" customHeight="1">
      <c r="A1153" s="168" t="s">
        <v>8274</v>
      </c>
      <c r="B1153" s="168" t="s">
        <v>8336</v>
      </c>
      <c r="C1153" s="168" t="s">
        <v>8276</v>
      </c>
      <c r="D1153" s="183">
        <v>23</v>
      </c>
      <c r="E1153" s="168">
        <v>1</v>
      </c>
      <c r="F1153" s="168" t="s">
        <v>8297</v>
      </c>
      <c r="G1153" s="168" t="s">
        <v>8337</v>
      </c>
      <c r="J1153" s="168" t="s">
        <v>29</v>
      </c>
      <c r="K1153" s="168" t="s">
        <v>6280</v>
      </c>
      <c r="N1153" s="183"/>
      <c r="O1153" s="184"/>
      <c r="P1153" s="185"/>
      <c r="Q1153" s="186">
        <v>3</v>
      </c>
      <c r="R1153" s="187">
        <v>2</v>
      </c>
      <c r="S1153" s="188"/>
      <c r="T1153" s="176">
        <v>4</v>
      </c>
      <c r="U1153" s="184"/>
      <c r="V1153" s="189">
        <v>1</v>
      </c>
      <c r="W1153" s="190">
        <v>1</v>
      </c>
      <c r="X1153" s="191"/>
      <c r="Y1153" s="187"/>
      <c r="Z1153" s="176"/>
      <c r="AA1153" s="192">
        <v>1</v>
      </c>
      <c r="AD1153" s="168" t="s">
        <v>4314</v>
      </c>
      <c r="AE1153" s="170" t="s">
        <v>8338</v>
      </c>
      <c r="AF1153" s="169" t="s">
        <v>8335</v>
      </c>
      <c r="AG1153" s="169"/>
      <c r="AP1153" s="183"/>
      <c r="AQ1153" s="184"/>
      <c r="AR1153" s="185"/>
      <c r="AS1153" s="186"/>
      <c r="AT1153" s="187"/>
      <c r="AU1153" s="176"/>
      <c r="AV1153" s="184"/>
      <c r="AW1153" s="189"/>
      <c r="AX1153" s="190"/>
      <c r="AY1153" s="191"/>
      <c r="AZ1153" s="187"/>
      <c r="BA1153" s="176"/>
      <c r="BB1153" s="192"/>
      <c r="BF1153" s="170"/>
      <c r="BG1153" s="169"/>
      <c r="BH1153" s="169"/>
    </row>
    <row r="1154" spans="1:60" s="168" customFormat="1" ht="15" customHeight="1">
      <c r="A1154" s="168" t="s">
        <v>8274</v>
      </c>
      <c r="B1154" s="168" t="s">
        <v>8339</v>
      </c>
      <c r="C1154" s="168" t="s">
        <v>8276</v>
      </c>
      <c r="D1154" s="183">
        <v>24</v>
      </c>
      <c r="E1154" s="168">
        <v>2</v>
      </c>
      <c r="F1154" s="168" t="s">
        <v>8297</v>
      </c>
      <c r="G1154" s="168" t="s">
        <v>8340</v>
      </c>
      <c r="J1154" s="168" t="s">
        <v>28</v>
      </c>
      <c r="K1154" s="168" t="s">
        <v>6280</v>
      </c>
      <c r="N1154" s="183"/>
      <c r="O1154" s="184"/>
      <c r="P1154" s="185"/>
      <c r="Q1154" s="186"/>
      <c r="R1154" s="187"/>
      <c r="S1154" s="188"/>
      <c r="T1154" s="176"/>
      <c r="U1154" s="184"/>
      <c r="V1154" s="189"/>
      <c r="W1154" s="190"/>
      <c r="X1154" s="191"/>
      <c r="Y1154" s="187"/>
      <c r="Z1154" s="176"/>
      <c r="AA1154" s="192"/>
      <c r="AD1154" s="168" t="s">
        <v>4340</v>
      </c>
      <c r="AE1154" s="170"/>
      <c r="AF1154" s="169" t="s">
        <v>8341</v>
      </c>
      <c r="AG1154" s="169"/>
      <c r="AP1154" s="183"/>
      <c r="AQ1154" s="184"/>
      <c r="AR1154" s="185"/>
      <c r="AS1154" s="186"/>
      <c r="AT1154" s="187"/>
      <c r="AU1154" s="176"/>
      <c r="AV1154" s="184"/>
      <c r="AW1154" s="189"/>
      <c r="AX1154" s="190"/>
      <c r="AY1154" s="191"/>
      <c r="AZ1154" s="187"/>
      <c r="BA1154" s="176"/>
      <c r="BB1154" s="192"/>
      <c r="BF1154" s="170"/>
      <c r="BG1154" s="169"/>
      <c r="BH1154" s="169"/>
    </row>
    <row r="1155" spans="1:60" s="168" customFormat="1" ht="15" customHeight="1">
      <c r="A1155" s="168" t="s">
        <v>8274</v>
      </c>
      <c r="B1155" s="168" t="s">
        <v>8342</v>
      </c>
      <c r="C1155" s="168" t="s">
        <v>8276</v>
      </c>
      <c r="D1155" s="183">
        <v>25</v>
      </c>
      <c r="E1155" s="168">
        <v>1</v>
      </c>
      <c r="F1155" s="168" t="s">
        <v>8343</v>
      </c>
      <c r="G1155" s="168" t="s">
        <v>8343</v>
      </c>
      <c r="J1155" s="168" t="s">
        <v>4472</v>
      </c>
      <c r="K1155" s="168" t="s">
        <v>6280</v>
      </c>
      <c r="N1155" s="183"/>
      <c r="O1155" s="184"/>
      <c r="P1155" s="185"/>
      <c r="Q1155" s="186"/>
      <c r="R1155" s="187"/>
      <c r="S1155" s="188"/>
      <c r="T1155" s="176"/>
      <c r="U1155" s="184"/>
      <c r="V1155" s="189"/>
      <c r="W1155" s="190"/>
      <c r="X1155" s="191"/>
      <c r="Y1155" s="187"/>
      <c r="Z1155" s="176"/>
      <c r="AA1155" s="192"/>
      <c r="AE1155" s="170"/>
      <c r="AF1155" s="169" t="s">
        <v>8344</v>
      </c>
      <c r="AG1155" s="169"/>
      <c r="AI1155" s="168" t="s">
        <v>8343</v>
      </c>
      <c r="AL1155" s="168" t="s">
        <v>4472</v>
      </c>
      <c r="AM1155" s="168" t="s">
        <v>6280</v>
      </c>
      <c r="AP1155" s="183"/>
      <c r="AQ1155" s="184"/>
      <c r="AR1155" s="185"/>
      <c r="AS1155" s="186"/>
      <c r="AT1155" s="187"/>
      <c r="AU1155" s="176"/>
      <c r="AV1155" s="184"/>
      <c r="AW1155" s="189"/>
      <c r="AX1155" s="190"/>
      <c r="AY1155" s="191"/>
      <c r="AZ1155" s="187"/>
      <c r="BA1155" s="176"/>
      <c r="BB1155" s="192"/>
      <c r="BF1155" s="170"/>
      <c r="BG1155" s="169" t="s">
        <v>8345</v>
      </c>
      <c r="BH1155" s="169"/>
    </row>
    <row r="1156" spans="1:60" s="168" customFormat="1" ht="15" customHeight="1">
      <c r="A1156" s="168" t="s">
        <v>8274</v>
      </c>
      <c r="B1156" s="168" t="s">
        <v>8346</v>
      </c>
      <c r="C1156" s="168" t="s">
        <v>8276</v>
      </c>
      <c r="D1156" s="183">
        <v>26</v>
      </c>
      <c r="E1156" s="168">
        <v>1</v>
      </c>
      <c r="F1156" s="168" t="s">
        <v>8343</v>
      </c>
      <c r="G1156" s="168" t="s">
        <v>8347</v>
      </c>
      <c r="J1156" s="168" t="s">
        <v>4473</v>
      </c>
      <c r="K1156" s="168" t="s">
        <v>6280</v>
      </c>
      <c r="N1156" s="183"/>
      <c r="O1156" s="184"/>
      <c r="P1156" s="185"/>
      <c r="Q1156" s="186"/>
      <c r="R1156" s="187"/>
      <c r="S1156" s="188"/>
      <c r="T1156" s="176"/>
      <c r="U1156" s="184"/>
      <c r="V1156" s="189"/>
      <c r="W1156" s="190"/>
      <c r="X1156" s="191"/>
      <c r="Y1156" s="187"/>
      <c r="Z1156" s="176">
        <v>6</v>
      </c>
      <c r="AA1156" s="192"/>
      <c r="AE1156" s="170"/>
      <c r="AF1156" s="169" t="s">
        <v>8120</v>
      </c>
      <c r="AG1156" s="169"/>
      <c r="AI1156" s="168" t="s">
        <v>8348</v>
      </c>
      <c r="AJ1156" s="168" t="s">
        <v>8349</v>
      </c>
      <c r="AK1156" s="169" t="s">
        <v>4077</v>
      </c>
      <c r="AL1156" s="168" t="s">
        <v>29</v>
      </c>
      <c r="AM1156" s="168" t="s">
        <v>6280</v>
      </c>
      <c r="AP1156" s="183"/>
      <c r="AQ1156" s="184"/>
      <c r="AR1156" s="185"/>
      <c r="AS1156" s="186">
        <v>3</v>
      </c>
      <c r="AT1156" s="187">
        <v>3</v>
      </c>
      <c r="AU1156" s="176">
        <v>4</v>
      </c>
      <c r="AV1156" s="184"/>
      <c r="AW1156" s="189">
        <v>1</v>
      </c>
      <c r="AX1156" s="190">
        <v>2</v>
      </c>
      <c r="AY1156" s="191"/>
      <c r="AZ1156" s="187"/>
      <c r="BA1156" s="176"/>
      <c r="BB1156" s="192">
        <v>2</v>
      </c>
      <c r="BF1156" s="170" t="s">
        <v>8350</v>
      </c>
      <c r="BG1156" s="169" t="s">
        <v>8351</v>
      </c>
      <c r="BH1156" s="169"/>
    </row>
    <row r="1157" spans="1:60" s="168" customFormat="1" ht="15" customHeight="1">
      <c r="A1157" s="168" t="s">
        <v>8274</v>
      </c>
      <c r="B1157" s="168" t="s">
        <v>8352</v>
      </c>
      <c r="C1157" s="168" t="s">
        <v>8276</v>
      </c>
      <c r="D1157" s="183">
        <v>27</v>
      </c>
      <c r="E1157" s="168">
        <v>1</v>
      </c>
      <c r="F1157" s="168" t="s">
        <v>8343</v>
      </c>
      <c r="G1157" s="168" t="s">
        <v>8353</v>
      </c>
      <c r="J1157" s="168" t="s">
        <v>31</v>
      </c>
      <c r="K1157" s="168" t="s">
        <v>6280</v>
      </c>
      <c r="N1157" s="183"/>
      <c r="O1157" s="184"/>
      <c r="P1157" s="185"/>
      <c r="Q1157" s="186"/>
      <c r="R1157" s="187"/>
      <c r="S1157" s="188"/>
      <c r="T1157" s="176"/>
      <c r="U1157" s="184"/>
      <c r="V1157" s="189"/>
      <c r="W1157" s="190"/>
      <c r="X1157" s="191"/>
      <c r="Y1157" s="187"/>
      <c r="Z1157" s="176"/>
      <c r="AA1157" s="192"/>
      <c r="AD1157" s="168" t="s">
        <v>4317</v>
      </c>
      <c r="AE1157" s="170"/>
      <c r="AF1157" s="169"/>
      <c r="AG1157" s="169"/>
      <c r="AI1157" s="168" t="s">
        <v>8353</v>
      </c>
      <c r="AL1157" s="168" t="s">
        <v>31</v>
      </c>
      <c r="AM1157" s="168" t="s">
        <v>6280</v>
      </c>
      <c r="AP1157" s="183"/>
      <c r="AQ1157" s="184"/>
      <c r="AR1157" s="185"/>
      <c r="AS1157" s="186"/>
      <c r="AT1157" s="187"/>
      <c r="AU1157" s="176"/>
      <c r="AV1157" s="184"/>
      <c r="AW1157" s="189"/>
      <c r="AX1157" s="190"/>
      <c r="AY1157" s="191">
        <v>4</v>
      </c>
      <c r="AZ1157" s="187" t="s">
        <v>4965</v>
      </c>
      <c r="BA1157" s="176"/>
      <c r="BB1157" s="192">
        <v>1</v>
      </c>
      <c r="BE1157" s="168" t="s">
        <v>4317</v>
      </c>
      <c r="BF1157" s="170"/>
      <c r="BG1157" s="169" t="s">
        <v>8354</v>
      </c>
      <c r="BH1157" s="169"/>
    </row>
    <row r="1158" spans="1:60" s="168" customFormat="1" ht="15" customHeight="1">
      <c r="A1158" s="168" t="s">
        <v>8274</v>
      </c>
      <c r="B1158" s="168" t="s">
        <v>8355</v>
      </c>
      <c r="C1158" s="168" t="s">
        <v>8276</v>
      </c>
      <c r="D1158" s="183">
        <v>28</v>
      </c>
      <c r="E1158" s="168">
        <v>1</v>
      </c>
      <c r="F1158" s="168" t="s">
        <v>8343</v>
      </c>
      <c r="G1158" s="168" t="s">
        <v>4612</v>
      </c>
      <c r="J1158" s="168" t="s">
        <v>31</v>
      </c>
      <c r="K1158" s="168" t="s">
        <v>6280</v>
      </c>
      <c r="N1158" s="183"/>
      <c r="O1158" s="184"/>
      <c r="P1158" s="185"/>
      <c r="Q1158" s="186"/>
      <c r="R1158" s="187"/>
      <c r="S1158" s="188"/>
      <c r="T1158" s="176"/>
      <c r="U1158" s="184"/>
      <c r="V1158" s="189"/>
      <c r="W1158" s="190"/>
      <c r="X1158" s="191"/>
      <c r="Y1158" s="187"/>
      <c r="Z1158" s="176"/>
      <c r="AA1158" s="192"/>
      <c r="AD1158" s="168" t="s">
        <v>4317</v>
      </c>
      <c r="AE1158" s="170"/>
      <c r="AF1158" s="169"/>
      <c r="AG1158" s="169"/>
      <c r="AI1158" s="168" t="s">
        <v>4612</v>
      </c>
      <c r="AL1158" s="168" t="s">
        <v>31</v>
      </c>
      <c r="AM1158" s="168" t="s">
        <v>6280</v>
      </c>
      <c r="AP1158" s="183"/>
      <c r="AQ1158" s="184"/>
      <c r="AR1158" s="185"/>
      <c r="AS1158" s="186"/>
      <c r="AT1158" s="187"/>
      <c r="AU1158" s="176"/>
      <c r="AV1158" s="184"/>
      <c r="AW1158" s="189"/>
      <c r="AX1158" s="190"/>
      <c r="AY1158" s="191">
        <v>2</v>
      </c>
      <c r="AZ1158" s="187" t="s">
        <v>4927</v>
      </c>
      <c r="BA1158" s="176"/>
      <c r="BB1158" s="192"/>
      <c r="BE1158" s="168" t="s">
        <v>4317</v>
      </c>
      <c r="BF1158" s="170"/>
      <c r="BG1158" s="169" t="s">
        <v>8356</v>
      </c>
      <c r="BH1158" s="169"/>
    </row>
    <row r="1159" spans="1:60" s="168" customFormat="1" ht="15" customHeight="1">
      <c r="A1159" s="168" t="s">
        <v>8274</v>
      </c>
      <c r="B1159" s="168" t="s">
        <v>8357</v>
      </c>
      <c r="C1159" s="168" t="s">
        <v>8276</v>
      </c>
      <c r="D1159" s="183">
        <v>29</v>
      </c>
      <c r="E1159" s="168">
        <v>1</v>
      </c>
      <c r="F1159" s="168" t="s">
        <v>8343</v>
      </c>
      <c r="G1159" s="168" t="s">
        <v>4318</v>
      </c>
      <c r="J1159" s="168" t="s">
        <v>31</v>
      </c>
      <c r="K1159" s="168" t="s">
        <v>6280</v>
      </c>
      <c r="N1159" s="183"/>
      <c r="O1159" s="184"/>
      <c r="P1159" s="185"/>
      <c r="Q1159" s="186"/>
      <c r="R1159" s="187"/>
      <c r="S1159" s="188"/>
      <c r="T1159" s="176"/>
      <c r="U1159" s="184"/>
      <c r="V1159" s="189"/>
      <c r="W1159" s="190"/>
      <c r="X1159" s="191"/>
      <c r="Y1159" s="187"/>
      <c r="Z1159" s="176"/>
      <c r="AA1159" s="192"/>
      <c r="AD1159" s="168" t="s">
        <v>4317</v>
      </c>
      <c r="AE1159" s="170"/>
      <c r="AF1159" s="169"/>
      <c r="AG1159" s="169"/>
      <c r="AI1159" s="168" t="s">
        <v>4318</v>
      </c>
      <c r="AL1159" s="168" t="s">
        <v>31</v>
      </c>
      <c r="AM1159" s="168" t="s">
        <v>6280</v>
      </c>
      <c r="AP1159" s="183"/>
      <c r="AQ1159" s="184"/>
      <c r="AR1159" s="185"/>
      <c r="AS1159" s="186"/>
      <c r="AT1159" s="187"/>
      <c r="AU1159" s="176"/>
      <c r="AV1159" s="184"/>
      <c r="AW1159" s="189"/>
      <c r="AX1159" s="190"/>
      <c r="AY1159" s="191">
        <v>3</v>
      </c>
      <c r="AZ1159" s="187" t="s">
        <v>4927</v>
      </c>
      <c r="BA1159" s="176"/>
      <c r="BB1159" s="192"/>
      <c r="BE1159" s="168" t="s">
        <v>4317</v>
      </c>
      <c r="BF1159" s="170"/>
      <c r="BG1159" s="169" t="s">
        <v>8358</v>
      </c>
      <c r="BH1159" s="169"/>
    </row>
    <row r="1160" spans="1:60" s="168" customFormat="1" ht="15" customHeight="1">
      <c r="A1160" s="168" t="s">
        <v>8274</v>
      </c>
      <c r="B1160" s="168" t="s">
        <v>8359</v>
      </c>
      <c r="C1160" s="168" t="s">
        <v>8276</v>
      </c>
      <c r="D1160" s="183">
        <v>30</v>
      </c>
      <c r="E1160" s="168">
        <v>1</v>
      </c>
      <c r="F1160" s="168" t="s">
        <v>8343</v>
      </c>
      <c r="G1160" s="168" t="s">
        <v>4595</v>
      </c>
      <c r="J1160" s="168" t="s">
        <v>31</v>
      </c>
      <c r="K1160" s="168" t="s">
        <v>6280</v>
      </c>
      <c r="N1160" s="183"/>
      <c r="O1160" s="184"/>
      <c r="P1160" s="185"/>
      <c r="Q1160" s="186"/>
      <c r="R1160" s="187"/>
      <c r="S1160" s="188"/>
      <c r="T1160" s="176"/>
      <c r="U1160" s="184"/>
      <c r="V1160" s="189"/>
      <c r="W1160" s="190"/>
      <c r="X1160" s="191"/>
      <c r="Y1160" s="187"/>
      <c r="Z1160" s="176"/>
      <c r="AA1160" s="192"/>
      <c r="AD1160" s="168" t="s">
        <v>4596</v>
      </c>
      <c r="AE1160" s="170"/>
      <c r="AF1160" s="169"/>
      <c r="AG1160" s="169"/>
      <c r="AI1160" s="168" t="s">
        <v>4595</v>
      </c>
      <c r="AL1160" s="168" t="s">
        <v>31</v>
      </c>
      <c r="AM1160" s="168" t="s">
        <v>6280</v>
      </c>
      <c r="AP1160" s="183"/>
      <c r="AQ1160" s="184"/>
      <c r="AR1160" s="185"/>
      <c r="AS1160" s="186"/>
      <c r="AT1160" s="187"/>
      <c r="AU1160" s="176"/>
      <c r="AV1160" s="184"/>
      <c r="AW1160" s="189"/>
      <c r="AX1160" s="190"/>
      <c r="AY1160" s="191">
        <v>4</v>
      </c>
      <c r="AZ1160" s="187" t="s">
        <v>4927</v>
      </c>
      <c r="BA1160" s="176"/>
      <c r="BB1160" s="192"/>
      <c r="BE1160" s="168" t="s">
        <v>4596</v>
      </c>
      <c r="BF1160" s="170"/>
      <c r="BG1160" s="169" t="s">
        <v>8360</v>
      </c>
      <c r="BH1160" s="169"/>
    </row>
    <row r="1161" spans="1:60" s="168" customFormat="1" ht="15" customHeight="1">
      <c r="A1161" s="168" t="s">
        <v>8274</v>
      </c>
      <c r="B1161" s="168" t="s">
        <v>8361</v>
      </c>
      <c r="C1161" s="168" t="s">
        <v>8276</v>
      </c>
      <c r="D1161" s="183">
        <v>31</v>
      </c>
      <c r="E1161" s="168">
        <v>2</v>
      </c>
      <c r="F1161" s="168" t="s">
        <v>8343</v>
      </c>
      <c r="G1161" s="168" t="s">
        <v>8362</v>
      </c>
      <c r="J1161" s="168" t="s">
        <v>28</v>
      </c>
      <c r="K1161" s="168" t="s">
        <v>6280</v>
      </c>
      <c r="N1161" s="183"/>
      <c r="O1161" s="184"/>
      <c r="P1161" s="185"/>
      <c r="Q1161" s="186"/>
      <c r="R1161" s="187"/>
      <c r="S1161" s="188"/>
      <c r="T1161" s="176"/>
      <c r="U1161" s="184"/>
      <c r="V1161" s="189"/>
      <c r="W1161" s="190"/>
      <c r="X1161" s="191"/>
      <c r="Y1161" s="187"/>
      <c r="Z1161" s="176"/>
      <c r="AA1161" s="192"/>
      <c r="AD1161" s="168" t="s">
        <v>8363</v>
      </c>
      <c r="AE1161" s="170"/>
      <c r="AF1161" s="169" t="s">
        <v>8364</v>
      </c>
      <c r="AG1161" s="169"/>
      <c r="AP1161" s="183"/>
      <c r="AQ1161" s="184"/>
      <c r="AR1161" s="185"/>
      <c r="AS1161" s="186"/>
      <c r="AT1161" s="187"/>
      <c r="AU1161" s="176"/>
      <c r="AV1161" s="184"/>
      <c r="AW1161" s="189"/>
      <c r="AX1161" s="190"/>
      <c r="AY1161" s="191"/>
      <c r="AZ1161" s="187"/>
      <c r="BA1161" s="176"/>
      <c r="BB1161" s="192"/>
      <c r="BF1161" s="170"/>
      <c r="BG1161" s="169"/>
      <c r="BH1161" s="169"/>
    </row>
    <row r="1162" spans="1:60" s="168" customFormat="1" ht="15" customHeight="1">
      <c r="A1162" s="168" t="s">
        <v>8274</v>
      </c>
      <c r="B1162" s="168" t="s">
        <v>8365</v>
      </c>
      <c r="C1162" s="168" t="s">
        <v>8276</v>
      </c>
      <c r="D1162" s="183">
        <v>32</v>
      </c>
      <c r="E1162" s="168">
        <v>1</v>
      </c>
      <c r="F1162" s="168" t="s">
        <v>8366</v>
      </c>
      <c r="G1162" s="168" t="s">
        <v>8366</v>
      </c>
      <c r="J1162" s="168" t="s">
        <v>4472</v>
      </c>
      <c r="K1162" s="168" t="s">
        <v>6280</v>
      </c>
      <c r="N1162" s="183"/>
      <c r="O1162" s="184"/>
      <c r="P1162" s="185"/>
      <c r="Q1162" s="186"/>
      <c r="R1162" s="187"/>
      <c r="S1162" s="188"/>
      <c r="T1162" s="176"/>
      <c r="U1162" s="184"/>
      <c r="V1162" s="189"/>
      <c r="W1162" s="190"/>
      <c r="X1162" s="191"/>
      <c r="Y1162" s="187"/>
      <c r="Z1162" s="176"/>
      <c r="AA1162" s="192"/>
      <c r="AE1162" s="170"/>
      <c r="AF1162" s="169" t="s">
        <v>8367</v>
      </c>
      <c r="AG1162" s="169"/>
      <c r="AI1162" s="168" t="s">
        <v>8368</v>
      </c>
      <c r="AL1162" s="168" t="s">
        <v>28</v>
      </c>
      <c r="AM1162" s="168" t="s">
        <v>6280</v>
      </c>
      <c r="AP1162" s="183"/>
      <c r="AQ1162" s="184"/>
      <c r="AR1162" s="185"/>
      <c r="AS1162" s="186"/>
      <c r="AT1162" s="187"/>
      <c r="AU1162" s="176"/>
      <c r="AV1162" s="184"/>
      <c r="AW1162" s="189"/>
      <c r="AX1162" s="190"/>
      <c r="AY1162" s="191"/>
      <c r="AZ1162" s="187"/>
      <c r="BA1162" s="176"/>
      <c r="BB1162" s="192"/>
      <c r="BE1162" s="168" t="s">
        <v>8369</v>
      </c>
      <c r="BF1162" s="170"/>
      <c r="BG1162" s="169" t="s">
        <v>8370</v>
      </c>
      <c r="BH1162" s="169"/>
    </row>
    <row r="1163" spans="1:60" s="168" customFormat="1" ht="15" customHeight="1">
      <c r="A1163" s="168" t="s">
        <v>8274</v>
      </c>
      <c r="B1163" s="168" t="s">
        <v>8371</v>
      </c>
      <c r="C1163" s="168" t="s">
        <v>8276</v>
      </c>
      <c r="D1163" s="183">
        <v>33</v>
      </c>
      <c r="E1163" s="168">
        <v>1</v>
      </c>
      <c r="F1163" s="168" t="s">
        <v>8366</v>
      </c>
      <c r="G1163" s="168" t="s">
        <v>4659</v>
      </c>
      <c r="J1163" s="168" t="s">
        <v>31</v>
      </c>
      <c r="K1163" s="168" t="s">
        <v>6280</v>
      </c>
      <c r="N1163" s="183"/>
      <c r="O1163" s="184"/>
      <c r="P1163" s="185"/>
      <c r="Q1163" s="186"/>
      <c r="R1163" s="187"/>
      <c r="S1163" s="188"/>
      <c r="T1163" s="176"/>
      <c r="U1163" s="184"/>
      <c r="V1163" s="189"/>
      <c r="W1163" s="190"/>
      <c r="X1163" s="191"/>
      <c r="Y1163" s="187"/>
      <c r="Z1163" s="176"/>
      <c r="AA1163" s="192"/>
      <c r="AD1163" s="168" t="s">
        <v>4326</v>
      </c>
      <c r="AE1163" s="170"/>
      <c r="AF1163" s="169"/>
      <c r="AG1163" s="169"/>
      <c r="AI1163" s="168" t="s">
        <v>4659</v>
      </c>
      <c r="AL1163" s="168" t="s">
        <v>31</v>
      </c>
      <c r="AM1163" s="168" t="s">
        <v>6280</v>
      </c>
      <c r="AP1163" s="183"/>
      <c r="AQ1163" s="184"/>
      <c r="AR1163" s="185"/>
      <c r="AS1163" s="186"/>
      <c r="AT1163" s="187"/>
      <c r="AU1163" s="176"/>
      <c r="AV1163" s="184"/>
      <c r="AW1163" s="189"/>
      <c r="AX1163" s="190"/>
      <c r="AY1163" s="191">
        <v>4</v>
      </c>
      <c r="AZ1163" s="187" t="s">
        <v>4927</v>
      </c>
      <c r="BA1163" s="176"/>
      <c r="BB1163" s="192"/>
      <c r="BE1163" s="168" t="s">
        <v>4326</v>
      </c>
      <c r="BF1163" s="170"/>
      <c r="BG1163" s="169" t="s">
        <v>8372</v>
      </c>
      <c r="BH1163" s="169"/>
    </row>
    <row r="1164" spans="1:60" s="168" customFormat="1" ht="15" customHeight="1">
      <c r="A1164" s="168" t="s">
        <v>8274</v>
      </c>
      <c r="B1164" s="168" t="s">
        <v>8373</v>
      </c>
      <c r="C1164" s="168" t="s">
        <v>8276</v>
      </c>
      <c r="D1164" s="183">
        <v>34</v>
      </c>
      <c r="E1164" s="168">
        <v>1</v>
      </c>
      <c r="F1164" s="168" t="s">
        <v>8366</v>
      </c>
      <c r="G1164" s="168" t="s">
        <v>4659</v>
      </c>
      <c r="J1164" s="168" t="s">
        <v>31</v>
      </c>
      <c r="K1164" s="168" t="s">
        <v>6280</v>
      </c>
      <c r="N1164" s="183"/>
      <c r="O1164" s="184"/>
      <c r="P1164" s="185"/>
      <c r="Q1164" s="186"/>
      <c r="R1164" s="187"/>
      <c r="S1164" s="188"/>
      <c r="T1164" s="176"/>
      <c r="U1164" s="184"/>
      <c r="V1164" s="189"/>
      <c r="W1164" s="190"/>
      <c r="X1164" s="191"/>
      <c r="Y1164" s="187"/>
      <c r="Z1164" s="176"/>
      <c r="AA1164" s="192"/>
      <c r="AD1164" s="168" t="s">
        <v>4326</v>
      </c>
      <c r="AE1164" s="170"/>
      <c r="AF1164" s="169"/>
      <c r="AG1164" s="169"/>
      <c r="AI1164" s="168" t="s">
        <v>4659</v>
      </c>
      <c r="AL1164" s="168" t="s">
        <v>31</v>
      </c>
      <c r="AM1164" s="168" t="s">
        <v>6280</v>
      </c>
      <c r="AP1164" s="183"/>
      <c r="AQ1164" s="184"/>
      <c r="AR1164" s="185"/>
      <c r="AS1164" s="186"/>
      <c r="AT1164" s="187"/>
      <c r="AU1164" s="176"/>
      <c r="AV1164" s="184"/>
      <c r="AW1164" s="189"/>
      <c r="AX1164" s="190"/>
      <c r="AY1164" s="191">
        <v>2</v>
      </c>
      <c r="AZ1164" s="187" t="s">
        <v>4927</v>
      </c>
      <c r="BA1164" s="176"/>
      <c r="BB1164" s="192"/>
      <c r="BE1164" s="168" t="s">
        <v>4326</v>
      </c>
      <c r="BF1164" s="170"/>
      <c r="BG1164" s="169" t="s">
        <v>8374</v>
      </c>
      <c r="BH1164" s="169"/>
    </row>
    <row r="1165" spans="1:60" s="168" customFormat="1" ht="15" customHeight="1">
      <c r="A1165" s="168" t="s">
        <v>8274</v>
      </c>
      <c r="B1165" s="168" t="s">
        <v>8375</v>
      </c>
      <c r="C1165" s="168" t="s">
        <v>8276</v>
      </c>
      <c r="D1165" s="183">
        <v>35</v>
      </c>
      <c r="E1165" s="168">
        <v>1</v>
      </c>
      <c r="F1165" s="168" t="s">
        <v>8366</v>
      </c>
      <c r="G1165" s="168" t="s">
        <v>4659</v>
      </c>
      <c r="J1165" s="168" t="s">
        <v>31</v>
      </c>
      <c r="K1165" s="168" t="s">
        <v>6280</v>
      </c>
      <c r="N1165" s="183"/>
      <c r="O1165" s="184"/>
      <c r="P1165" s="185"/>
      <c r="Q1165" s="186"/>
      <c r="R1165" s="187"/>
      <c r="S1165" s="188"/>
      <c r="T1165" s="176"/>
      <c r="U1165" s="184"/>
      <c r="V1165" s="189"/>
      <c r="W1165" s="190"/>
      <c r="X1165" s="191"/>
      <c r="Y1165" s="187"/>
      <c r="Z1165" s="176"/>
      <c r="AA1165" s="192"/>
      <c r="AD1165" s="168" t="s">
        <v>4326</v>
      </c>
      <c r="AE1165" s="170"/>
      <c r="AF1165" s="169"/>
      <c r="AG1165" s="169"/>
      <c r="AI1165" s="168" t="s">
        <v>4659</v>
      </c>
      <c r="AL1165" s="168" t="s">
        <v>31</v>
      </c>
      <c r="AM1165" s="168" t="s">
        <v>6280</v>
      </c>
      <c r="AP1165" s="183"/>
      <c r="AQ1165" s="184"/>
      <c r="AR1165" s="185"/>
      <c r="AS1165" s="186"/>
      <c r="AT1165" s="187"/>
      <c r="AU1165" s="176"/>
      <c r="AV1165" s="184"/>
      <c r="AW1165" s="189"/>
      <c r="AX1165" s="190"/>
      <c r="AY1165" s="191">
        <v>3</v>
      </c>
      <c r="AZ1165" s="187" t="s">
        <v>4927</v>
      </c>
      <c r="BA1165" s="176"/>
      <c r="BB1165" s="192"/>
      <c r="BE1165" s="168" t="s">
        <v>4326</v>
      </c>
      <c r="BF1165" s="170"/>
      <c r="BG1165" s="169" t="s">
        <v>8376</v>
      </c>
      <c r="BH1165" s="169"/>
    </row>
    <row r="1166" spans="1:60" s="168" customFormat="1" ht="15" customHeight="1">
      <c r="A1166" s="168" t="s">
        <v>8274</v>
      </c>
      <c r="B1166" s="168" t="s">
        <v>8377</v>
      </c>
      <c r="C1166" s="168" t="s">
        <v>8276</v>
      </c>
      <c r="D1166" s="183">
        <v>36</v>
      </c>
      <c r="E1166" s="168">
        <v>1</v>
      </c>
      <c r="F1166" s="168" t="s">
        <v>8366</v>
      </c>
      <c r="G1166" s="168" t="s">
        <v>4659</v>
      </c>
      <c r="J1166" s="168" t="s">
        <v>31</v>
      </c>
      <c r="K1166" s="168" t="s">
        <v>6280</v>
      </c>
      <c r="N1166" s="183"/>
      <c r="O1166" s="184"/>
      <c r="P1166" s="185"/>
      <c r="Q1166" s="186"/>
      <c r="R1166" s="187"/>
      <c r="S1166" s="188"/>
      <c r="T1166" s="176"/>
      <c r="U1166" s="184"/>
      <c r="V1166" s="189"/>
      <c r="W1166" s="190"/>
      <c r="X1166" s="191"/>
      <c r="Y1166" s="187"/>
      <c r="Z1166" s="176"/>
      <c r="AA1166" s="192"/>
      <c r="AD1166" s="168" t="s">
        <v>4326</v>
      </c>
      <c r="AE1166" s="170"/>
      <c r="AF1166" s="169"/>
      <c r="AG1166" s="169"/>
      <c r="AI1166" s="168" t="s">
        <v>4659</v>
      </c>
      <c r="AL1166" s="168" t="s">
        <v>31</v>
      </c>
      <c r="AM1166" s="168" t="s">
        <v>6280</v>
      </c>
      <c r="AP1166" s="183"/>
      <c r="AQ1166" s="184"/>
      <c r="AR1166" s="185"/>
      <c r="AS1166" s="186"/>
      <c r="AT1166" s="187"/>
      <c r="AU1166" s="176"/>
      <c r="AV1166" s="184"/>
      <c r="AW1166" s="189"/>
      <c r="AX1166" s="190"/>
      <c r="AY1166" s="191">
        <v>3</v>
      </c>
      <c r="AZ1166" s="187" t="s">
        <v>4927</v>
      </c>
      <c r="BA1166" s="176"/>
      <c r="BB1166" s="192"/>
      <c r="BE1166" s="168" t="s">
        <v>4326</v>
      </c>
      <c r="BF1166" s="170"/>
      <c r="BG1166" s="169" t="s">
        <v>8378</v>
      </c>
      <c r="BH1166" s="169"/>
    </row>
    <row r="1167" spans="1:60" s="168" customFormat="1" ht="15" customHeight="1">
      <c r="A1167" s="168" t="s">
        <v>8274</v>
      </c>
      <c r="B1167" s="168" t="s">
        <v>8379</v>
      </c>
      <c r="C1167" s="168" t="s">
        <v>8276</v>
      </c>
      <c r="D1167" s="183">
        <v>37</v>
      </c>
      <c r="E1167" s="168">
        <v>2</v>
      </c>
      <c r="F1167" s="168" t="s">
        <v>8366</v>
      </c>
      <c r="G1167" s="169" t="s">
        <v>8380</v>
      </c>
      <c r="J1167" s="168" t="s">
        <v>28</v>
      </c>
      <c r="K1167" s="168" t="s">
        <v>6280</v>
      </c>
      <c r="N1167" s="183"/>
      <c r="O1167" s="184"/>
      <c r="P1167" s="185"/>
      <c r="Q1167" s="186"/>
      <c r="R1167" s="187"/>
      <c r="S1167" s="188"/>
      <c r="T1167" s="176"/>
      <c r="U1167" s="184"/>
      <c r="V1167" s="189"/>
      <c r="W1167" s="190"/>
      <c r="X1167" s="191"/>
      <c r="Y1167" s="187"/>
      <c r="Z1167" s="176"/>
      <c r="AA1167" s="192"/>
      <c r="AD1167" s="168" t="s">
        <v>5517</v>
      </c>
      <c r="AE1167" s="170"/>
      <c r="AF1167" s="169" t="s">
        <v>8381</v>
      </c>
      <c r="AG1167" s="169"/>
      <c r="AP1167" s="183"/>
      <c r="AQ1167" s="184"/>
      <c r="AR1167" s="185"/>
      <c r="AS1167" s="186"/>
      <c r="AT1167" s="187"/>
      <c r="AU1167" s="176"/>
      <c r="AV1167" s="184"/>
      <c r="AW1167" s="189"/>
      <c r="AX1167" s="190"/>
      <c r="AY1167" s="191"/>
      <c r="AZ1167" s="187"/>
      <c r="BA1167" s="176"/>
      <c r="BB1167" s="192"/>
      <c r="BF1167" s="170"/>
      <c r="BG1167" s="169"/>
      <c r="BH1167" s="169"/>
    </row>
    <row r="1168" spans="1:60" s="168" customFormat="1" ht="15" customHeight="1">
      <c r="A1168" s="168" t="s">
        <v>8274</v>
      </c>
      <c r="B1168" s="168" t="s">
        <v>8382</v>
      </c>
      <c r="C1168" s="168" t="s">
        <v>8276</v>
      </c>
      <c r="D1168" s="183">
        <v>38</v>
      </c>
      <c r="E1168" s="168">
        <v>3</v>
      </c>
      <c r="F1168" s="168" t="s">
        <v>8383</v>
      </c>
      <c r="G1168" s="168" t="s">
        <v>8384</v>
      </c>
      <c r="J1168" s="168" t="s">
        <v>29</v>
      </c>
      <c r="K1168" s="168" t="s">
        <v>6280</v>
      </c>
      <c r="N1168" s="183"/>
      <c r="O1168" s="184"/>
      <c r="P1168" s="185"/>
      <c r="Q1168" s="186">
        <v>2</v>
      </c>
      <c r="R1168" s="187">
        <v>2</v>
      </c>
      <c r="S1168" s="188"/>
      <c r="T1168" s="176">
        <v>2</v>
      </c>
      <c r="U1168" s="184"/>
      <c r="V1168" s="189">
        <v>1</v>
      </c>
      <c r="W1168" s="190">
        <v>1</v>
      </c>
      <c r="X1168" s="191"/>
      <c r="Y1168" s="187"/>
      <c r="Z1168" s="176"/>
      <c r="AA1168" s="192"/>
      <c r="AD1168" s="168" t="s">
        <v>4314</v>
      </c>
      <c r="AE1168" s="170"/>
      <c r="AF1168" s="169" t="s">
        <v>8385</v>
      </c>
      <c r="AG1168" s="169"/>
      <c r="AP1168" s="183"/>
      <c r="AQ1168" s="184"/>
      <c r="AR1168" s="185"/>
      <c r="AS1168" s="186"/>
      <c r="AT1168" s="187"/>
      <c r="AU1168" s="176"/>
      <c r="AV1168" s="184"/>
      <c r="AW1168" s="189"/>
      <c r="AX1168" s="190"/>
      <c r="AY1168" s="191"/>
      <c r="AZ1168" s="187"/>
      <c r="BA1168" s="176"/>
      <c r="BB1168" s="192"/>
      <c r="BF1168" s="170"/>
      <c r="BG1168" s="169"/>
      <c r="BH1168" s="169"/>
    </row>
    <row r="1169" spans="1:60" s="168" customFormat="1" ht="15" customHeight="1">
      <c r="A1169" s="168" t="s">
        <v>8274</v>
      </c>
      <c r="B1169" s="168" t="s">
        <v>8386</v>
      </c>
      <c r="C1169" s="168" t="s">
        <v>8276</v>
      </c>
      <c r="D1169" s="183">
        <v>39</v>
      </c>
      <c r="E1169" s="168">
        <v>1</v>
      </c>
      <c r="F1169" s="168" t="s">
        <v>8383</v>
      </c>
      <c r="G1169" s="169" t="s">
        <v>8387</v>
      </c>
      <c r="J1169" s="168" t="s">
        <v>29</v>
      </c>
      <c r="K1169" s="168" t="s">
        <v>6280</v>
      </c>
      <c r="N1169" s="183"/>
      <c r="O1169" s="184"/>
      <c r="P1169" s="185"/>
      <c r="Q1169" s="186">
        <v>3</v>
      </c>
      <c r="R1169" s="187">
        <v>2</v>
      </c>
      <c r="S1169" s="188"/>
      <c r="T1169" s="176">
        <v>3</v>
      </c>
      <c r="U1169" s="184"/>
      <c r="V1169" s="189">
        <v>1</v>
      </c>
      <c r="W1169" s="190">
        <v>1</v>
      </c>
      <c r="X1169" s="191"/>
      <c r="Y1169" s="187"/>
      <c r="Z1169" s="176"/>
      <c r="AA1169" s="192"/>
      <c r="AD1169" s="168" t="s">
        <v>4314</v>
      </c>
      <c r="AE1169" s="170" t="s">
        <v>8388</v>
      </c>
      <c r="AF1169" s="169" t="s">
        <v>8389</v>
      </c>
      <c r="AG1169" s="169"/>
      <c r="AP1169" s="183"/>
      <c r="AQ1169" s="184"/>
      <c r="AR1169" s="185"/>
      <c r="AS1169" s="186"/>
      <c r="AT1169" s="187"/>
      <c r="AU1169" s="176"/>
      <c r="AV1169" s="184"/>
      <c r="AW1169" s="189"/>
      <c r="AX1169" s="190"/>
      <c r="AY1169" s="191"/>
      <c r="AZ1169" s="187"/>
      <c r="BA1169" s="176"/>
      <c r="BB1169" s="192"/>
      <c r="BF1169" s="170"/>
      <c r="BG1169" s="169"/>
      <c r="BH1169" s="169"/>
    </row>
    <row r="1170" spans="1:60" s="168" customFormat="1" ht="15" customHeight="1">
      <c r="A1170" s="168" t="s">
        <v>8274</v>
      </c>
      <c r="B1170" s="168" t="s">
        <v>8390</v>
      </c>
      <c r="C1170" s="168" t="s">
        <v>8276</v>
      </c>
      <c r="D1170" s="183">
        <v>40</v>
      </c>
      <c r="E1170" s="168">
        <v>3</v>
      </c>
      <c r="F1170" s="168" t="s">
        <v>8383</v>
      </c>
      <c r="G1170" s="168" t="s">
        <v>8391</v>
      </c>
      <c r="J1170" s="168" t="s">
        <v>28</v>
      </c>
      <c r="K1170" s="168" t="s">
        <v>6280</v>
      </c>
      <c r="N1170" s="183"/>
      <c r="O1170" s="184"/>
      <c r="P1170" s="185"/>
      <c r="Q1170" s="186"/>
      <c r="R1170" s="187"/>
      <c r="S1170" s="188"/>
      <c r="T1170" s="176"/>
      <c r="U1170" s="184"/>
      <c r="V1170" s="189"/>
      <c r="W1170" s="190"/>
      <c r="X1170" s="191"/>
      <c r="Y1170" s="187"/>
      <c r="Z1170" s="176"/>
      <c r="AA1170" s="192"/>
      <c r="AD1170" s="168" t="s">
        <v>4333</v>
      </c>
      <c r="AE1170" s="170"/>
      <c r="AF1170" s="169" t="s">
        <v>8392</v>
      </c>
      <c r="AG1170" s="169"/>
      <c r="AP1170" s="183"/>
      <c r="AQ1170" s="184"/>
      <c r="AR1170" s="185"/>
      <c r="AS1170" s="186"/>
      <c r="AT1170" s="187"/>
      <c r="AU1170" s="176"/>
      <c r="AV1170" s="184"/>
      <c r="AW1170" s="189"/>
      <c r="AX1170" s="190"/>
      <c r="AY1170" s="191"/>
      <c r="AZ1170" s="187"/>
      <c r="BA1170" s="176"/>
      <c r="BB1170" s="192"/>
      <c r="BF1170" s="170"/>
      <c r="BG1170" s="169"/>
      <c r="BH1170" s="169"/>
    </row>
    <row r="1171" spans="1:60" s="168" customFormat="1" ht="15" customHeight="1">
      <c r="A1171" s="168" t="s">
        <v>8274</v>
      </c>
      <c r="B1171" s="168" t="s">
        <v>8393</v>
      </c>
      <c r="C1171" s="168" t="s">
        <v>8276</v>
      </c>
      <c r="D1171" s="183">
        <v>41</v>
      </c>
      <c r="E1171" s="168">
        <v>3</v>
      </c>
      <c r="F1171" s="168" t="s">
        <v>8394</v>
      </c>
      <c r="G1171" s="168" t="s">
        <v>8395</v>
      </c>
      <c r="J1171" s="168" t="s">
        <v>29</v>
      </c>
      <c r="K1171" s="168" t="s">
        <v>6280</v>
      </c>
      <c r="N1171" s="183"/>
      <c r="O1171" s="184"/>
      <c r="P1171" s="185"/>
      <c r="Q1171" s="186">
        <v>3</v>
      </c>
      <c r="R1171" s="187">
        <v>1</v>
      </c>
      <c r="S1171" s="188"/>
      <c r="T1171" s="176">
        <v>1</v>
      </c>
      <c r="U1171" s="184"/>
      <c r="V1171" s="189">
        <v>1</v>
      </c>
      <c r="W1171" s="190"/>
      <c r="X1171" s="191"/>
      <c r="Y1171" s="187"/>
      <c r="Z1171" s="176"/>
      <c r="AA1171" s="192"/>
      <c r="AD1171" s="168" t="s">
        <v>4321</v>
      </c>
      <c r="AE1171" s="170" t="s">
        <v>8396</v>
      </c>
      <c r="AF1171" s="169" t="s">
        <v>8397</v>
      </c>
      <c r="AG1171" s="169"/>
      <c r="AP1171" s="183"/>
      <c r="AQ1171" s="184"/>
      <c r="AR1171" s="185"/>
      <c r="AS1171" s="186"/>
      <c r="AT1171" s="187"/>
      <c r="AU1171" s="176"/>
      <c r="AV1171" s="184"/>
      <c r="AW1171" s="189"/>
      <c r="AX1171" s="190"/>
      <c r="AY1171" s="191"/>
      <c r="AZ1171" s="187"/>
      <c r="BA1171" s="176"/>
      <c r="BB1171" s="192"/>
      <c r="BF1171" s="170"/>
      <c r="BG1171" s="169"/>
      <c r="BH1171" s="169"/>
    </row>
    <row r="1172" spans="1:60" s="168" customFormat="1" ht="15" customHeight="1">
      <c r="A1172" s="168" t="s">
        <v>8274</v>
      </c>
      <c r="B1172" s="168" t="s">
        <v>8398</v>
      </c>
      <c r="C1172" s="168" t="s">
        <v>8276</v>
      </c>
      <c r="D1172" s="183">
        <v>42</v>
      </c>
      <c r="E1172" s="168">
        <v>1</v>
      </c>
      <c r="F1172" s="168" t="s">
        <v>8394</v>
      </c>
      <c r="G1172" s="168" t="s">
        <v>8399</v>
      </c>
      <c r="J1172" s="168" t="s">
        <v>29</v>
      </c>
      <c r="K1172" s="168" t="s">
        <v>6280</v>
      </c>
      <c r="N1172" s="183"/>
      <c r="O1172" s="184"/>
      <c r="P1172" s="185"/>
      <c r="Q1172" s="186">
        <v>4</v>
      </c>
      <c r="R1172" s="187">
        <v>3</v>
      </c>
      <c r="S1172" s="188"/>
      <c r="T1172" s="176">
        <v>3</v>
      </c>
      <c r="U1172" s="184"/>
      <c r="V1172" s="189">
        <v>1</v>
      </c>
      <c r="W1172" s="190">
        <v>2</v>
      </c>
      <c r="X1172" s="191"/>
      <c r="Y1172" s="187"/>
      <c r="Z1172" s="176"/>
      <c r="AA1172" s="192"/>
      <c r="AD1172" s="168" t="s">
        <v>8400</v>
      </c>
      <c r="AE1172" s="170" t="s">
        <v>8396</v>
      </c>
      <c r="AF1172" s="169" t="s">
        <v>8401</v>
      </c>
      <c r="AG1172" s="169"/>
      <c r="AP1172" s="183"/>
      <c r="AQ1172" s="184"/>
      <c r="AR1172" s="185"/>
      <c r="AS1172" s="186"/>
      <c r="AT1172" s="187"/>
      <c r="AU1172" s="176"/>
      <c r="AV1172" s="184"/>
      <c r="AW1172" s="189"/>
      <c r="AX1172" s="190"/>
      <c r="AY1172" s="191"/>
      <c r="AZ1172" s="187"/>
      <c r="BA1172" s="176"/>
      <c r="BB1172" s="192"/>
      <c r="BF1172" s="170"/>
      <c r="BG1172" s="169"/>
      <c r="BH1172" s="169"/>
    </row>
    <row r="1173" spans="1:60" s="168" customFormat="1" ht="15" customHeight="1">
      <c r="A1173" s="168" t="s">
        <v>8274</v>
      </c>
      <c r="B1173" s="168" t="s">
        <v>8402</v>
      </c>
      <c r="C1173" s="168" t="s">
        <v>8276</v>
      </c>
      <c r="D1173" s="183">
        <v>43</v>
      </c>
      <c r="E1173" s="168">
        <v>2</v>
      </c>
      <c r="F1173" s="168" t="s">
        <v>8394</v>
      </c>
      <c r="G1173" s="168" t="s">
        <v>8403</v>
      </c>
      <c r="J1173" s="168" t="s">
        <v>28</v>
      </c>
      <c r="K1173" s="168" t="s">
        <v>6280</v>
      </c>
      <c r="N1173" s="183"/>
      <c r="O1173" s="184"/>
      <c r="P1173" s="185"/>
      <c r="Q1173" s="186"/>
      <c r="R1173" s="187"/>
      <c r="S1173" s="188"/>
      <c r="T1173" s="176"/>
      <c r="U1173" s="184"/>
      <c r="V1173" s="189"/>
      <c r="W1173" s="190"/>
      <c r="X1173" s="191"/>
      <c r="Y1173" s="187"/>
      <c r="Z1173" s="176"/>
      <c r="AA1173" s="192"/>
      <c r="AD1173" s="168" t="s">
        <v>5029</v>
      </c>
      <c r="AE1173" s="170"/>
      <c r="AF1173" s="169" t="s">
        <v>8404</v>
      </c>
      <c r="AG1173" s="169"/>
      <c r="AP1173" s="183"/>
      <c r="AQ1173" s="184"/>
      <c r="AR1173" s="185"/>
      <c r="AS1173" s="186"/>
      <c r="AT1173" s="187"/>
      <c r="AU1173" s="176"/>
      <c r="AV1173" s="184"/>
      <c r="AW1173" s="189"/>
      <c r="AX1173" s="190"/>
      <c r="AY1173" s="191"/>
      <c r="AZ1173" s="187"/>
      <c r="BA1173" s="176"/>
      <c r="BB1173" s="192"/>
      <c r="BF1173" s="170"/>
      <c r="BG1173" s="169"/>
      <c r="BH1173" s="169"/>
    </row>
    <row r="1174" spans="1:60" s="168" customFormat="1" ht="15" customHeight="1">
      <c r="A1174" s="168" t="s">
        <v>8274</v>
      </c>
      <c r="B1174" s="168" t="s">
        <v>8405</v>
      </c>
      <c r="C1174" s="168" t="s">
        <v>8276</v>
      </c>
      <c r="D1174" s="183">
        <v>44</v>
      </c>
      <c r="E1174" s="168">
        <v>1</v>
      </c>
      <c r="F1174" s="168" t="s">
        <v>8406</v>
      </c>
      <c r="G1174" s="168" t="s">
        <v>8407</v>
      </c>
      <c r="J1174" s="168" t="s">
        <v>29</v>
      </c>
      <c r="K1174" s="168" t="s">
        <v>6280</v>
      </c>
      <c r="N1174" s="183"/>
      <c r="O1174" s="184"/>
      <c r="P1174" s="185"/>
      <c r="Q1174" s="186">
        <v>4</v>
      </c>
      <c r="R1174" s="187">
        <v>4</v>
      </c>
      <c r="S1174" s="188"/>
      <c r="T1174" s="176">
        <v>3</v>
      </c>
      <c r="U1174" s="184"/>
      <c r="V1174" s="189">
        <v>1</v>
      </c>
      <c r="W1174" s="190">
        <v>1</v>
      </c>
      <c r="X1174" s="191"/>
      <c r="Y1174" s="187"/>
      <c r="Z1174" s="176"/>
      <c r="AA1174" s="192">
        <v>1</v>
      </c>
      <c r="AD1174" s="168" t="s">
        <v>4321</v>
      </c>
      <c r="AE1174" s="170" t="s">
        <v>8408</v>
      </c>
      <c r="AF1174" s="169" t="s">
        <v>8409</v>
      </c>
      <c r="AG1174" s="169"/>
      <c r="AP1174" s="183"/>
      <c r="AQ1174" s="184"/>
      <c r="AR1174" s="185"/>
      <c r="AS1174" s="186"/>
      <c r="AT1174" s="187"/>
      <c r="AU1174" s="176"/>
      <c r="AV1174" s="184"/>
      <c r="AW1174" s="189"/>
      <c r="AX1174" s="190"/>
      <c r="AY1174" s="191"/>
      <c r="AZ1174" s="187"/>
      <c r="BA1174" s="176"/>
      <c r="BB1174" s="192"/>
      <c r="BF1174" s="170"/>
      <c r="BG1174" s="169"/>
      <c r="BH1174" s="169"/>
    </row>
    <row r="1175" spans="1:60" s="168" customFormat="1" ht="15" customHeight="1">
      <c r="A1175" s="168" t="s">
        <v>8274</v>
      </c>
      <c r="B1175" s="168" t="s">
        <v>8410</v>
      </c>
      <c r="C1175" s="168" t="s">
        <v>8276</v>
      </c>
      <c r="D1175" s="183">
        <v>45</v>
      </c>
      <c r="E1175" s="168">
        <v>1</v>
      </c>
      <c r="F1175" s="168" t="s">
        <v>8406</v>
      </c>
      <c r="G1175" s="168" t="s">
        <v>8411</v>
      </c>
      <c r="J1175" s="168" t="s">
        <v>29</v>
      </c>
      <c r="K1175" s="168" t="s">
        <v>6280</v>
      </c>
      <c r="N1175" s="183"/>
      <c r="O1175" s="184"/>
      <c r="P1175" s="185"/>
      <c r="Q1175" s="186">
        <v>5</v>
      </c>
      <c r="R1175" s="187">
        <v>2</v>
      </c>
      <c r="S1175" s="188"/>
      <c r="T1175" s="176">
        <v>4</v>
      </c>
      <c r="U1175" s="184"/>
      <c r="V1175" s="189">
        <v>2</v>
      </c>
      <c r="W1175" s="190"/>
      <c r="X1175" s="191"/>
      <c r="Y1175" s="187"/>
      <c r="Z1175" s="176"/>
      <c r="AA1175" s="192">
        <v>1</v>
      </c>
      <c r="AD1175" s="168" t="s">
        <v>4321</v>
      </c>
      <c r="AE1175" s="170" t="s">
        <v>8412</v>
      </c>
      <c r="AF1175" s="169" t="s">
        <v>8413</v>
      </c>
      <c r="AG1175" s="169"/>
      <c r="AP1175" s="183"/>
      <c r="AQ1175" s="184"/>
      <c r="AR1175" s="185"/>
      <c r="AS1175" s="186"/>
      <c r="AT1175" s="187"/>
      <c r="AU1175" s="176"/>
      <c r="AV1175" s="184"/>
      <c r="AW1175" s="189"/>
      <c r="AX1175" s="190"/>
      <c r="AY1175" s="191"/>
      <c r="AZ1175" s="187"/>
      <c r="BA1175" s="176"/>
      <c r="BB1175" s="192"/>
      <c r="BF1175" s="170"/>
      <c r="BG1175" s="169"/>
      <c r="BH1175" s="169"/>
    </row>
    <row r="1176" spans="1:60" s="168" customFormat="1" ht="15" customHeight="1">
      <c r="A1176" s="168" t="s">
        <v>8274</v>
      </c>
      <c r="B1176" s="168" t="s">
        <v>8414</v>
      </c>
      <c r="C1176" s="168" t="s">
        <v>8276</v>
      </c>
      <c r="D1176" s="183">
        <v>46</v>
      </c>
      <c r="E1176" s="168">
        <v>1</v>
      </c>
      <c r="F1176" s="168" t="s">
        <v>8406</v>
      </c>
      <c r="G1176" s="168" t="s">
        <v>8415</v>
      </c>
      <c r="J1176" s="168" t="s">
        <v>29</v>
      </c>
      <c r="K1176" s="168" t="s">
        <v>6280</v>
      </c>
      <c r="N1176" s="183"/>
      <c r="O1176" s="184"/>
      <c r="P1176" s="185"/>
      <c r="Q1176" s="186">
        <v>3</v>
      </c>
      <c r="R1176" s="187">
        <v>3</v>
      </c>
      <c r="S1176" s="188"/>
      <c r="T1176" s="176">
        <v>3</v>
      </c>
      <c r="U1176" s="184"/>
      <c r="V1176" s="189"/>
      <c r="W1176" s="190">
        <v>2</v>
      </c>
      <c r="X1176" s="191"/>
      <c r="Y1176" s="187"/>
      <c r="Z1176" s="176"/>
      <c r="AA1176" s="192">
        <v>1</v>
      </c>
      <c r="AD1176" s="168" t="s">
        <v>4321</v>
      </c>
      <c r="AE1176" s="168" t="s">
        <v>8416</v>
      </c>
      <c r="AF1176" s="168" t="s">
        <v>8417</v>
      </c>
      <c r="AG1176" s="169"/>
      <c r="AP1176" s="183"/>
      <c r="AQ1176" s="184"/>
      <c r="AR1176" s="185"/>
      <c r="AS1176" s="186"/>
      <c r="AT1176" s="187"/>
      <c r="AU1176" s="176"/>
      <c r="AV1176" s="184"/>
      <c r="AW1176" s="189"/>
      <c r="AX1176" s="190"/>
      <c r="AY1176" s="191"/>
      <c r="AZ1176" s="187"/>
      <c r="BA1176" s="176"/>
      <c r="BB1176" s="192"/>
      <c r="BF1176" s="170"/>
      <c r="BG1176" s="169"/>
      <c r="BH1176" s="169"/>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177:K1048576 AM1177:AM1048576">
    <cfRule type="cellIs" dxfId="804" priority="841" operator="equal">
      <formula>"Seeker"</formula>
    </cfRule>
    <cfRule type="cellIs" dxfId="803" priority="842" operator="equal">
      <formula>"Neutral"</formula>
    </cfRule>
    <cfRule type="cellIs" dxfId="802" priority="843" operator="equal">
      <formula>"Rogue"</formula>
    </cfRule>
    <cfRule type="cellIs" dxfId="801" priority="844" operator="equal">
      <formula>"Guardian"</formula>
    </cfRule>
    <cfRule type="cellIs" dxfId="800" priority="845" operator="equal">
      <formula>"Survivor"</formula>
    </cfRule>
    <cfRule type="cellIs" dxfId="799" priority="846" operator="equal">
      <formula>"Mystic"</formula>
    </cfRule>
  </conditionalFormatting>
  <conditionalFormatting sqref="K2:K99 K101:K104 K234:K347">
    <cfRule type="cellIs" dxfId="798" priority="835" operator="equal">
      <formula>"seeker"</formula>
    </cfRule>
    <cfRule type="cellIs" dxfId="797" priority="836" operator="equal">
      <formula>"neutral"</formula>
    </cfRule>
    <cfRule type="cellIs" dxfId="796" priority="837" operator="equal">
      <formula>"rogue"</formula>
    </cfRule>
    <cfRule type="cellIs" dxfId="795" priority="838" operator="equal">
      <formula>"Guardian"</formula>
    </cfRule>
    <cfRule type="cellIs" dxfId="794" priority="839" operator="equal">
      <formula>"Survivor"</formula>
    </cfRule>
    <cfRule type="cellIs" dxfId="793" priority="840" operator="equal">
      <formula>"Mystic"</formula>
    </cfRule>
  </conditionalFormatting>
  <conditionalFormatting sqref="K134:K152 K158:K169 K171:K193 K105:K122 K195:K232 K124:K132">
    <cfRule type="cellIs" dxfId="792" priority="829" operator="equal">
      <formula>"seeker"</formula>
    </cfRule>
    <cfRule type="cellIs" dxfId="791" priority="830" operator="equal">
      <formula>"neutral"</formula>
    </cfRule>
    <cfRule type="cellIs" dxfId="790" priority="831" operator="equal">
      <formula>"rogue"</formula>
    </cfRule>
    <cfRule type="cellIs" dxfId="789" priority="832" operator="equal">
      <formula>"Guardian"</formula>
    </cfRule>
    <cfRule type="cellIs" dxfId="788" priority="833" operator="equal">
      <formula>"Survivor"</formula>
    </cfRule>
    <cfRule type="cellIs" dxfId="787" priority="834" operator="equal">
      <formula>"Mystic"</formula>
    </cfRule>
  </conditionalFormatting>
  <conditionalFormatting sqref="K100">
    <cfRule type="cellIs" dxfId="786" priority="823" operator="equal">
      <formula>"seeker"</formula>
    </cfRule>
    <cfRule type="cellIs" dxfId="785" priority="824" operator="equal">
      <formula>"neutral"</formula>
    </cfRule>
    <cfRule type="cellIs" dxfId="784" priority="825" operator="equal">
      <formula>"rogue"</formula>
    </cfRule>
    <cfRule type="cellIs" dxfId="783" priority="826" operator="equal">
      <formula>"Guardian"</formula>
    </cfRule>
    <cfRule type="cellIs" dxfId="782" priority="827" operator="equal">
      <formula>"Survivor"</formula>
    </cfRule>
    <cfRule type="cellIs" dxfId="781" priority="828" operator="equal">
      <formula>"Mystic"</formula>
    </cfRule>
  </conditionalFormatting>
  <conditionalFormatting sqref="AM112:AM116">
    <cfRule type="cellIs" dxfId="780" priority="817" operator="equal">
      <formula>"seeker"</formula>
    </cfRule>
    <cfRule type="cellIs" dxfId="779" priority="818" operator="equal">
      <formula>"neutral"</formula>
    </cfRule>
    <cfRule type="cellIs" dxfId="778" priority="819" operator="equal">
      <formula>"rogue"</formula>
    </cfRule>
    <cfRule type="cellIs" dxfId="777" priority="820" operator="equal">
      <formula>"Guardian"</formula>
    </cfRule>
    <cfRule type="cellIs" dxfId="776" priority="821" operator="equal">
      <formula>"Survivor"</formula>
    </cfRule>
    <cfRule type="cellIs" dxfId="775" priority="822" operator="equal">
      <formula>"Mystic"</formula>
    </cfRule>
  </conditionalFormatting>
  <conditionalFormatting sqref="AM130:AM131">
    <cfRule type="cellIs" dxfId="774" priority="811" operator="equal">
      <formula>"seeker"</formula>
    </cfRule>
    <cfRule type="cellIs" dxfId="773" priority="812" operator="equal">
      <formula>"neutral"</formula>
    </cfRule>
    <cfRule type="cellIs" dxfId="772" priority="813" operator="equal">
      <formula>"rogue"</formula>
    </cfRule>
    <cfRule type="cellIs" dxfId="771" priority="814" operator="equal">
      <formula>"Guardian"</formula>
    </cfRule>
    <cfRule type="cellIs" dxfId="770" priority="815" operator="equal">
      <formula>"Survivor"</formula>
    </cfRule>
    <cfRule type="cellIs" dxfId="769" priority="816" operator="equal">
      <formula>"Mystic"</formula>
    </cfRule>
  </conditionalFormatting>
  <conditionalFormatting sqref="AL133">
    <cfRule type="cellIs" dxfId="768" priority="805" operator="equal">
      <formula>"Seeker"</formula>
    </cfRule>
    <cfRule type="cellIs" dxfId="767" priority="806" operator="equal">
      <formula>"Neutral"</formula>
    </cfRule>
    <cfRule type="cellIs" dxfId="766" priority="807" operator="equal">
      <formula>"Rogue"</formula>
    </cfRule>
    <cfRule type="cellIs" dxfId="765" priority="808" operator="equal">
      <formula>"Guardian"</formula>
    </cfRule>
    <cfRule type="cellIs" dxfId="764" priority="809" operator="equal">
      <formula>"Survivor"</formula>
    </cfRule>
    <cfRule type="cellIs" dxfId="763" priority="810" operator="equal">
      <formula>"Mystic"</formula>
    </cfRule>
  </conditionalFormatting>
  <conditionalFormatting sqref="K133">
    <cfRule type="cellIs" dxfId="762" priority="799" operator="equal">
      <formula>"seeker"</formula>
    </cfRule>
    <cfRule type="cellIs" dxfId="761" priority="800" operator="equal">
      <formula>"neutral"</formula>
    </cfRule>
    <cfRule type="cellIs" dxfId="760" priority="801" operator="equal">
      <formula>"rogue"</formula>
    </cfRule>
    <cfRule type="cellIs" dxfId="759" priority="802" operator="equal">
      <formula>"Guardian"</formula>
    </cfRule>
    <cfRule type="cellIs" dxfId="758" priority="803" operator="equal">
      <formula>"Survivor"</formula>
    </cfRule>
    <cfRule type="cellIs" dxfId="757" priority="804" operator="equal">
      <formula>"Mystic"</formula>
    </cfRule>
  </conditionalFormatting>
  <conditionalFormatting sqref="AM151:AM152 AM158:AM159">
    <cfRule type="cellIs" dxfId="756" priority="793" operator="equal">
      <formula>"seeker"</formula>
    </cfRule>
    <cfRule type="cellIs" dxfId="755" priority="794" operator="equal">
      <formula>"neutral"</formula>
    </cfRule>
    <cfRule type="cellIs" dxfId="754" priority="795" operator="equal">
      <formula>"rogue"</formula>
    </cfRule>
    <cfRule type="cellIs" dxfId="753" priority="796" operator="equal">
      <formula>"Guardian"</formula>
    </cfRule>
    <cfRule type="cellIs" dxfId="752" priority="797" operator="equal">
      <formula>"Survivor"</formula>
    </cfRule>
    <cfRule type="cellIs" dxfId="751" priority="798" operator="equal">
      <formula>"Mystic"</formula>
    </cfRule>
  </conditionalFormatting>
  <conditionalFormatting sqref="K153">
    <cfRule type="cellIs" dxfId="750" priority="787" operator="equal">
      <formula>"seeker"</formula>
    </cfRule>
    <cfRule type="cellIs" dxfId="749" priority="788" operator="equal">
      <formula>"neutral"</formula>
    </cfRule>
    <cfRule type="cellIs" dxfId="748" priority="789" operator="equal">
      <formula>"rogue"</formula>
    </cfRule>
    <cfRule type="cellIs" dxfId="747" priority="790" operator="equal">
      <formula>"Guardian"</formula>
    </cfRule>
    <cfRule type="cellIs" dxfId="746" priority="791" operator="equal">
      <formula>"Survivor"</formula>
    </cfRule>
    <cfRule type="cellIs" dxfId="745" priority="792" operator="equal">
      <formula>"Mystic"</formula>
    </cfRule>
  </conditionalFormatting>
  <conditionalFormatting sqref="AM153">
    <cfRule type="cellIs" dxfId="744" priority="781" operator="equal">
      <formula>"seeker"</formula>
    </cfRule>
    <cfRule type="cellIs" dxfId="743" priority="782" operator="equal">
      <formula>"neutral"</formula>
    </cfRule>
    <cfRule type="cellIs" dxfId="742" priority="783" operator="equal">
      <formula>"rogue"</formula>
    </cfRule>
    <cfRule type="cellIs" dxfId="741" priority="784" operator="equal">
      <formula>"Guardian"</formula>
    </cfRule>
    <cfRule type="cellIs" dxfId="740" priority="785" operator="equal">
      <formula>"Survivor"</formula>
    </cfRule>
    <cfRule type="cellIs" dxfId="739" priority="786" operator="equal">
      <formula>"Mystic"</formula>
    </cfRule>
  </conditionalFormatting>
  <conditionalFormatting sqref="K154">
    <cfRule type="cellIs" dxfId="738" priority="775" operator="equal">
      <formula>"seeker"</formula>
    </cfRule>
    <cfRule type="cellIs" dxfId="737" priority="776" operator="equal">
      <formula>"neutral"</formula>
    </cfRule>
    <cfRule type="cellIs" dxfId="736" priority="777" operator="equal">
      <formula>"rogue"</formula>
    </cfRule>
    <cfRule type="cellIs" dxfId="735" priority="778" operator="equal">
      <formula>"Guardian"</formula>
    </cfRule>
    <cfRule type="cellIs" dxfId="734" priority="779" operator="equal">
      <formula>"Survivor"</formula>
    </cfRule>
    <cfRule type="cellIs" dxfId="733" priority="780" operator="equal">
      <formula>"Mystic"</formula>
    </cfRule>
  </conditionalFormatting>
  <conditionalFormatting sqref="AM154">
    <cfRule type="cellIs" dxfId="732" priority="769" operator="equal">
      <formula>"seeker"</formula>
    </cfRule>
    <cfRule type="cellIs" dxfId="731" priority="770" operator="equal">
      <formula>"neutral"</formula>
    </cfRule>
    <cfRule type="cellIs" dxfId="730" priority="771" operator="equal">
      <formula>"rogue"</formula>
    </cfRule>
    <cfRule type="cellIs" dxfId="729" priority="772" operator="equal">
      <formula>"Guardian"</formula>
    </cfRule>
    <cfRule type="cellIs" dxfId="728" priority="773" operator="equal">
      <formula>"Survivor"</formula>
    </cfRule>
    <cfRule type="cellIs" dxfId="727" priority="774" operator="equal">
      <formula>"Mystic"</formula>
    </cfRule>
  </conditionalFormatting>
  <conditionalFormatting sqref="K155">
    <cfRule type="cellIs" dxfId="726" priority="763" operator="equal">
      <formula>"seeker"</formula>
    </cfRule>
    <cfRule type="cellIs" dxfId="725" priority="764" operator="equal">
      <formula>"neutral"</formula>
    </cfRule>
    <cfRule type="cellIs" dxfId="724" priority="765" operator="equal">
      <formula>"rogue"</formula>
    </cfRule>
    <cfRule type="cellIs" dxfId="723" priority="766" operator="equal">
      <formula>"Guardian"</formula>
    </cfRule>
    <cfRule type="cellIs" dxfId="722" priority="767" operator="equal">
      <formula>"Survivor"</formula>
    </cfRule>
    <cfRule type="cellIs" dxfId="721" priority="768" operator="equal">
      <formula>"Mystic"</formula>
    </cfRule>
  </conditionalFormatting>
  <conditionalFormatting sqref="AM155">
    <cfRule type="cellIs" dxfId="720" priority="757" operator="equal">
      <formula>"seeker"</formula>
    </cfRule>
    <cfRule type="cellIs" dxfId="719" priority="758" operator="equal">
      <formula>"neutral"</formula>
    </cfRule>
    <cfRule type="cellIs" dxfId="718" priority="759" operator="equal">
      <formula>"rogue"</formula>
    </cfRule>
    <cfRule type="cellIs" dxfId="717" priority="760" operator="equal">
      <formula>"Guardian"</formula>
    </cfRule>
    <cfRule type="cellIs" dxfId="716" priority="761" operator="equal">
      <formula>"Survivor"</formula>
    </cfRule>
    <cfRule type="cellIs" dxfId="715" priority="762" operator="equal">
      <formula>"Mystic"</formula>
    </cfRule>
  </conditionalFormatting>
  <conditionalFormatting sqref="K156">
    <cfRule type="cellIs" dxfId="714" priority="751" operator="equal">
      <formula>"seeker"</formula>
    </cfRule>
    <cfRule type="cellIs" dxfId="713" priority="752" operator="equal">
      <formula>"neutral"</formula>
    </cfRule>
    <cfRule type="cellIs" dxfId="712" priority="753" operator="equal">
      <formula>"rogue"</formula>
    </cfRule>
    <cfRule type="cellIs" dxfId="711" priority="754" operator="equal">
      <formula>"Guardian"</formula>
    </cfRule>
    <cfRule type="cellIs" dxfId="710" priority="755" operator="equal">
      <formula>"Survivor"</formula>
    </cfRule>
    <cfRule type="cellIs" dxfId="709" priority="756" operator="equal">
      <formula>"Mystic"</formula>
    </cfRule>
  </conditionalFormatting>
  <conditionalFormatting sqref="AM156">
    <cfRule type="cellIs" dxfId="708" priority="745" operator="equal">
      <formula>"seeker"</formula>
    </cfRule>
    <cfRule type="cellIs" dxfId="707" priority="746" operator="equal">
      <formula>"neutral"</formula>
    </cfRule>
    <cfRule type="cellIs" dxfId="706" priority="747" operator="equal">
      <formula>"rogue"</formula>
    </cfRule>
    <cfRule type="cellIs" dxfId="705" priority="748" operator="equal">
      <formula>"Guardian"</formula>
    </cfRule>
    <cfRule type="cellIs" dxfId="704" priority="749" operator="equal">
      <formula>"Survivor"</formula>
    </cfRule>
    <cfRule type="cellIs" dxfId="703" priority="750" operator="equal">
      <formula>"Mystic"</formula>
    </cfRule>
  </conditionalFormatting>
  <conditionalFormatting sqref="K157">
    <cfRule type="cellIs" dxfId="702" priority="739" operator="equal">
      <formula>"seeker"</formula>
    </cfRule>
    <cfRule type="cellIs" dxfId="701" priority="740" operator="equal">
      <formula>"neutral"</formula>
    </cfRule>
    <cfRule type="cellIs" dxfId="700" priority="741" operator="equal">
      <formula>"rogue"</formula>
    </cfRule>
    <cfRule type="cellIs" dxfId="699" priority="742" operator="equal">
      <formula>"Guardian"</formula>
    </cfRule>
    <cfRule type="cellIs" dxfId="698" priority="743" operator="equal">
      <formula>"Survivor"</formula>
    </cfRule>
    <cfRule type="cellIs" dxfId="697" priority="744" operator="equal">
      <formula>"Mystic"</formula>
    </cfRule>
  </conditionalFormatting>
  <conditionalFormatting sqref="AM157">
    <cfRule type="cellIs" dxfId="696" priority="733" operator="equal">
      <formula>"seeker"</formula>
    </cfRule>
    <cfRule type="cellIs" dxfId="695" priority="734" operator="equal">
      <formula>"neutral"</formula>
    </cfRule>
    <cfRule type="cellIs" dxfId="694" priority="735" operator="equal">
      <formula>"rogue"</formula>
    </cfRule>
    <cfRule type="cellIs" dxfId="693" priority="736" operator="equal">
      <formula>"Guardian"</formula>
    </cfRule>
    <cfRule type="cellIs" dxfId="692" priority="737" operator="equal">
      <formula>"Survivor"</formula>
    </cfRule>
    <cfRule type="cellIs" dxfId="691" priority="738" operator="equal">
      <formula>"Mystic"</formula>
    </cfRule>
  </conditionalFormatting>
  <conditionalFormatting sqref="K170">
    <cfRule type="cellIs" dxfId="690" priority="727" operator="equal">
      <formula>"seeker"</formula>
    </cfRule>
    <cfRule type="cellIs" dxfId="689" priority="728" operator="equal">
      <formula>"neutral"</formula>
    </cfRule>
    <cfRule type="cellIs" dxfId="688" priority="729" operator="equal">
      <formula>"rogue"</formula>
    </cfRule>
    <cfRule type="cellIs" dxfId="687" priority="730" operator="equal">
      <formula>"Guardian"</formula>
    </cfRule>
    <cfRule type="cellIs" dxfId="686" priority="731" operator="equal">
      <formula>"Survivor"</formula>
    </cfRule>
    <cfRule type="cellIs" dxfId="685" priority="732" operator="equal">
      <formula>"Mystic"</formula>
    </cfRule>
  </conditionalFormatting>
  <conditionalFormatting sqref="AL190">
    <cfRule type="cellIs" dxfId="684" priority="715" operator="equal">
      <formula>"Seeker"</formula>
    </cfRule>
    <cfRule type="cellIs" dxfId="683" priority="716" operator="equal">
      <formula>"Neutral"</formula>
    </cfRule>
    <cfRule type="cellIs" dxfId="682" priority="717" operator="equal">
      <formula>"Rogue"</formula>
    </cfRule>
    <cfRule type="cellIs" dxfId="681" priority="718" operator="equal">
      <formula>"Guardian"</formula>
    </cfRule>
    <cfRule type="cellIs" dxfId="680" priority="719" operator="equal">
      <formula>"Survivor"</formula>
    </cfRule>
    <cfRule type="cellIs" dxfId="679" priority="720" operator="equal">
      <formula>"Mystic"</formula>
    </cfRule>
  </conditionalFormatting>
  <conditionalFormatting sqref="AM191">
    <cfRule type="cellIs" dxfId="678" priority="709" operator="equal">
      <formula>"seeker"</formula>
    </cfRule>
    <cfRule type="cellIs" dxfId="677" priority="710" operator="equal">
      <formula>"neutral"</formula>
    </cfRule>
    <cfRule type="cellIs" dxfId="676" priority="711" operator="equal">
      <formula>"rogue"</formula>
    </cfRule>
    <cfRule type="cellIs" dxfId="675" priority="712" operator="equal">
      <formula>"Guardian"</formula>
    </cfRule>
    <cfRule type="cellIs" dxfId="674" priority="713" operator="equal">
      <formula>"Survivor"</formula>
    </cfRule>
    <cfRule type="cellIs" dxfId="673" priority="714" operator="equal">
      <formula>"Mystic"</formula>
    </cfRule>
  </conditionalFormatting>
  <conditionalFormatting sqref="AM193">
    <cfRule type="cellIs" dxfId="672" priority="703" operator="equal">
      <formula>"seeker"</formula>
    </cfRule>
    <cfRule type="cellIs" dxfId="671" priority="704" operator="equal">
      <formula>"neutral"</formula>
    </cfRule>
    <cfRule type="cellIs" dxfId="670" priority="705" operator="equal">
      <formula>"rogue"</formula>
    </cfRule>
    <cfRule type="cellIs" dxfId="669" priority="706" operator="equal">
      <formula>"Guardian"</formula>
    </cfRule>
    <cfRule type="cellIs" dxfId="668" priority="707" operator="equal">
      <formula>"Survivor"</formula>
    </cfRule>
    <cfRule type="cellIs" dxfId="667" priority="708" operator="equal">
      <formula>"Mystic"</formula>
    </cfRule>
  </conditionalFormatting>
  <conditionalFormatting sqref="K194">
    <cfRule type="cellIs" dxfId="666" priority="697" operator="equal">
      <formula>"seeker"</formula>
    </cfRule>
    <cfRule type="cellIs" dxfId="665" priority="698" operator="equal">
      <formula>"neutral"</formula>
    </cfRule>
    <cfRule type="cellIs" dxfId="664" priority="699" operator="equal">
      <formula>"rogue"</formula>
    </cfRule>
    <cfRule type="cellIs" dxfId="663" priority="700" operator="equal">
      <formula>"Guardian"</formula>
    </cfRule>
    <cfRule type="cellIs" dxfId="662" priority="701" operator="equal">
      <formula>"Survivor"</formula>
    </cfRule>
    <cfRule type="cellIs" dxfId="661" priority="702" operator="equal">
      <formula>"Mystic"</formula>
    </cfRule>
  </conditionalFormatting>
  <conditionalFormatting sqref="AM195">
    <cfRule type="cellIs" dxfId="660" priority="691" operator="equal">
      <formula>"seeker"</formula>
    </cfRule>
    <cfRule type="cellIs" dxfId="659" priority="692" operator="equal">
      <formula>"neutral"</formula>
    </cfRule>
    <cfRule type="cellIs" dxfId="658" priority="693" operator="equal">
      <formula>"rogue"</formula>
    </cfRule>
    <cfRule type="cellIs" dxfId="657" priority="694" operator="equal">
      <formula>"Guardian"</formula>
    </cfRule>
    <cfRule type="cellIs" dxfId="656" priority="695" operator="equal">
      <formula>"Survivor"</formula>
    </cfRule>
    <cfRule type="cellIs" dxfId="655" priority="696" operator="equal">
      <formula>"Mystic"</formula>
    </cfRule>
  </conditionalFormatting>
  <conditionalFormatting sqref="AM194">
    <cfRule type="cellIs" dxfId="654" priority="685" operator="equal">
      <formula>"seeker"</formula>
    </cfRule>
    <cfRule type="cellIs" dxfId="653" priority="686" operator="equal">
      <formula>"neutral"</formula>
    </cfRule>
    <cfRule type="cellIs" dxfId="652" priority="687" operator="equal">
      <formula>"rogue"</formula>
    </cfRule>
    <cfRule type="cellIs" dxfId="651" priority="688" operator="equal">
      <formula>"Guardian"</formula>
    </cfRule>
    <cfRule type="cellIs" dxfId="650" priority="689" operator="equal">
      <formula>"Survivor"</formula>
    </cfRule>
    <cfRule type="cellIs" dxfId="649" priority="690" operator="equal">
      <formula>"Mystic"</formula>
    </cfRule>
  </conditionalFormatting>
  <conditionalFormatting sqref="AL3">
    <cfRule type="cellIs" dxfId="648" priority="679" operator="equal">
      <formula>"Seeker"</formula>
    </cfRule>
    <cfRule type="cellIs" dxfId="647" priority="680" operator="equal">
      <formula>"Neutral"</formula>
    </cfRule>
    <cfRule type="cellIs" dxfId="646" priority="681" operator="equal">
      <formula>"Rogue"</formula>
    </cfRule>
    <cfRule type="cellIs" dxfId="645" priority="682" operator="equal">
      <formula>"Guardian"</formula>
    </cfRule>
    <cfRule type="cellIs" dxfId="644" priority="683" operator="equal">
      <formula>"Survivor"</formula>
    </cfRule>
    <cfRule type="cellIs" dxfId="643" priority="684" operator="equal">
      <formula>"Mystic"</formula>
    </cfRule>
  </conditionalFormatting>
  <conditionalFormatting sqref="AL4">
    <cfRule type="cellIs" dxfId="642" priority="673" operator="equal">
      <formula>"Seeker"</formula>
    </cfRule>
    <cfRule type="cellIs" dxfId="641" priority="674" operator="equal">
      <formula>"Neutral"</formula>
    </cfRule>
    <cfRule type="cellIs" dxfId="640" priority="675" operator="equal">
      <formula>"Rogue"</formula>
    </cfRule>
    <cfRule type="cellIs" dxfId="639" priority="676" operator="equal">
      <formula>"Guardian"</formula>
    </cfRule>
    <cfRule type="cellIs" dxfId="638" priority="677" operator="equal">
      <formula>"Survivor"</formula>
    </cfRule>
    <cfRule type="cellIs" dxfId="637" priority="678" operator="equal">
      <formula>"Mystic"</formula>
    </cfRule>
  </conditionalFormatting>
  <conditionalFormatting sqref="AL5">
    <cfRule type="cellIs" dxfId="636" priority="667" operator="equal">
      <formula>"Seeker"</formula>
    </cfRule>
    <cfRule type="cellIs" dxfId="635" priority="668" operator="equal">
      <formula>"Neutral"</formula>
    </cfRule>
    <cfRule type="cellIs" dxfId="634" priority="669" operator="equal">
      <formula>"Rogue"</formula>
    </cfRule>
    <cfRule type="cellIs" dxfId="633" priority="670" operator="equal">
      <formula>"Guardian"</formula>
    </cfRule>
    <cfRule type="cellIs" dxfId="632" priority="671" operator="equal">
      <formula>"Survivor"</formula>
    </cfRule>
    <cfRule type="cellIs" dxfId="631" priority="672" operator="equal">
      <formula>"Mystic"</formula>
    </cfRule>
  </conditionalFormatting>
  <conditionalFormatting sqref="AL6">
    <cfRule type="cellIs" dxfId="630" priority="661" operator="equal">
      <formula>"Seeker"</formula>
    </cfRule>
    <cfRule type="cellIs" dxfId="629" priority="662" operator="equal">
      <formula>"Neutral"</formula>
    </cfRule>
    <cfRule type="cellIs" dxfId="628" priority="663" operator="equal">
      <formula>"Rogue"</formula>
    </cfRule>
    <cfRule type="cellIs" dxfId="627" priority="664" operator="equal">
      <formula>"Guardian"</formula>
    </cfRule>
    <cfRule type="cellIs" dxfId="626" priority="665" operator="equal">
      <formula>"Survivor"</formula>
    </cfRule>
    <cfRule type="cellIs" dxfId="625" priority="666" operator="equal">
      <formula>"Mystic"</formula>
    </cfRule>
  </conditionalFormatting>
  <conditionalFormatting sqref="AL122">
    <cfRule type="cellIs" dxfId="624" priority="655" operator="equal">
      <formula>"Seeker"</formula>
    </cfRule>
    <cfRule type="cellIs" dxfId="623" priority="656" operator="equal">
      <formula>"Neutral"</formula>
    </cfRule>
    <cfRule type="cellIs" dxfId="622" priority="657" operator="equal">
      <formula>"Rogue"</formula>
    </cfRule>
    <cfRule type="cellIs" dxfId="621" priority="658" operator="equal">
      <formula>"Guardian"</formula>
    </cfRule>
    <cfRule type="cellIs" dxfId="620" priority="659" operator="equal">
      <formula>"Survivor"</formula>
    </cfRule>
    <cfRule type="cellIs" dxfId="619" priority="660" operator="equal">
      <formula>"Mystic"</formula>
    </cfRule>
  </conditionalFormatting>
  <conditionalFormatting sqref="AL123">
    <cfRule type="cellIs" dxfId="618" priority="649" operator="equal">
      <formula>"Seeker"</formula>
    </cfRule>
    <cfRule type="cellIs" dxfId="617" priority="650" operator="equal">
      <formula>"Neutral"</formula>
    </cfRule>
    <cfRule type="cellIs" dxfId="616" priority="651" operator="equal">
      <formula>"Rogue"</formula>
    </cfRule>
    <cfRule type="cellIs" dxfId="615" priority="652" operator="equal">
      <formula>"Guardian"</formula>
    </cfRule>
    <cfRule type="cellIs" dxfId="614" priority="653" operator="equal">
      <formula>"Survivor"</formula>
    </cfRule>
    <cfRule type="cellIs" dxfId="613" priority="654" operator="equal">
      <formula>"Mystic"</formula>
    </cfRule>
  </conditionalFormatting>
  <conditionalFormatting sqref="J123">
    <cfRule type="cellIs" dxfId="612" priority="643" operator="equal">
      <formula>"Seeker"</formula>
    </cfRule>
    <cfRule type="cellIs" dxfId="611" priority="644" operator="equal">
      <formula>"Neutral"</formula>
    </cfRule>
    <cfRule type="cellIs" dxfId="610" priority="645" operator="equal">
      <formula>"Rogue"</formula>
    </cfRule>
    <cfRule type="cellIs" dxfId="609" priority="646" operator="equal">
      <formula>"Guardian"</formula>
    </cfRule>
    <cfRule type="cellIs" dxfId="608" priority="647" operator="equal">
      <formula>"Survivor"</formula>
    </cfRule>
    <cfRule type="cellIs" dxfId="607" priority="648" operator="equal">
      <formula>"Mystic"</formula>
    </cfRule>
  </conditionalFormatting>
  <conditionalFormatting sqref="AM253">
    <cfRule type="cellIs" dxfId="606" priority="637" operator="equal">
      <formula>"seeker"</formula>
    </cfRule>
    <cfRule type="cellIs" dxfId="605" priority="638" operator="equal">
      <formula>"neutral"</formula>
    </cfRule>
    <cfRule type="cellIs" dxfId="604" priority="639" operator="equal">
      <formula>"rogue"</formula>
    </cfRule>
    <cfRule type="cellIs" dxfId="603" priority="640" operator="equal">
      <formula>"Guardian"</formula>
    </cfRule>
    <cfRule type="cellIs" dxfId="602" priority="641" operator="equal">
      <formula>"Survivor"</formula>
    </cfRule>
    <cfRule type="cellIs" dxfId="601" priority="642" operator="equal">
      <formula>"Mystic"</formula>
    </cfRule>
  </conditionalFormatting>
  <conditionalFormatting sqref="AM254">
    <cfRule type="cellIs" dxfId="600" priority="631" operator="equal">
      <formula>"seeker"</formula>
    </cfRule>
    <cfRule type="cellIs" dxfId="599" priority="632" operator="equal">
      <formula>"neutral"</formula>
    </cfRule>
    <cfRule type="cellIs" dxfId="598" priority="633" operator="equal">
      <formula>"rogue"</formula>
    </cfRule>
    <cfRule type="cellIs" dxfId="597" priority="634" operator="equal">
      <formula>"Guardian"</formula>
    </cfRule>
    <cfRule type="cellIs" dxfId="596" priority="635" operator="equal">
      <formula>"Survivor"</formula>
    </cfRule>
    <cfRule type="cellIs" dxfId="595" priority="636" operator="equal">
      <formula>"Mystic"</formula>
    </cfRule>
  </conditionalFormatting>
  <conditionalFormatting sqref="AM255">
    <cfRule type="cellIs" dxfId="594" priority="625" operator="equal">
      <formula>"seeker"</formula>
    </cfRule>
    <cfRule type="cellIs" dxfId="593" priority="626" operator="equal">
      <formula>"neutral"</formula>
    </cfRule>
    <cfRule type="cellIs" dxfId="592" priority="627" operator="equal">
      <formula>"rogue"</formula>
    </cfRule>
    <cfRule type="cellIs" dxfId="591" priority="628" operator="equal">
      <formula>"Guardian"</formula>
    </cfRule>
    <cfRule type="cellIs" dxfId="590" priority="629" operator="equal">
      <formula>"Survivor"</formula>
    </cfRule>
    <cfRule type="cellIs" dxfId="589" priority="630" operator="equal">
      <formula>"Mystic"</formula>
    </cfRule>
  </conditionalFormatting>
  <conditionalFormatting sqref="AM256">
    <cfRule type="cellIs" dxfId="588" priority="619" operator="equal">
      <formula>"seeker"</formula>
    </cfRule>
    <cfRule type="cellIs" dxfId="587" priority="620" operator="equal">
      <formula>"neutral"</formula>
    </cfRule>
    <cfRule type="cellIs" dxfId="586" priority="621" operator="equal">
      <formula>"rogue"</formula>
    </cfRule>
    <cfRule type="cellIs" dxfId="585" priority="622" operator="equal">
      <formula>"Guardian"</formula>
    </cfRule>
    <cfRule type="cellIs" dxfId="584" priority="623" operator="equal">
      <formula>"Survivor"</formula>
    </cfRule>
    <cfRule type="cellIs" dxfId="583" priority="624" operator="equal">
      <formula>"Mystic"</formula>
    </cfRule>
  </conditionalFormatting>
  <conditionalFormatting sqref="AM252">
    <cfRule type="cellIs" dxfId="582" priority="613" operator="equal">
      <formula>"seeker"</formula>
    </cfRule>
    <cfRule type="cellIs" dxfId="581" priority="614" operator="equal">
      <formula>"neutral"</formula>
    </cfRule>
    <cfRule type="cellIs" dxfId="580" priority="615" operator="equal">
      <formula>"rogue"</formula>
    </cfRule>
    <cfRule type="cellIs" dxfId="579" priority="616" operator="equal">
      <formula>"Guardian"</formula>
    </cfRule>
    <cfRule type="cellIs" dxfId="578" priority="617" operator="equal">
      <formula>"Survivor"</formula>
    </cfRule>
    <cfRule type="cellIs" dxfId="577" priority="618" operator="equal">
      <formula>"Mystic"</formula>
    </cfRule>
  </conditionalFormatting>
  <conditionalFormatting sqref="AM383:AM387">
    <cfRule type="cellIs" dxfId="576" priority="607" operator="equal">
      <formula>"Seeker"</formula>
    </cfRule>
    <cfRule type="cellIs" dxfId="575" priority="608" operator="equal">
      <formula>"Neutral"</formula>
    </cfRule>
    <cfRule type="cellIs" dxfId="574" priority="609" operator="equal">
      <formula>"Rogue"</formula>
    </cfRule>
    <cfRule type="cellIs" dxfId="573" priority="610" operator="equal">
      <formula>"Guardian"</formula>
    </cfRule>
    <cfRule type="cellIs" dxfId="572" priority="611" operator="equal">
      <formula>"Survivor"</formula>
    </cfRule>
    <cfRule type="cellIs" dxfId="571" priority="612" operator="equal">
      <formula>"Mystic"</formula>
    </cfRule>
  </conditionalFormatting>
  <conditionalFormatting sqref="K383:K387">
    <cfRule type="cellIs" dxfId="570" priority="601" operator="equal">
      <formula>"seeker"</formula>
    </cfRule>
    <cfRule type="cellIs" dxfId="569" priority="602" operator="equal">
      <formula>"neutral"</formula>
    </cfRule>
    <cfRule type="cellIs" dxfId="568" priority="603" operator="equal">
      <formula>"rogue"</formula>
    </cfRule>
    <cfRule type="cellIs" dxfId="567" priority="604" operator="equal">
      <formula>"Guardian"</formula>
    </cfRule>
    <cfRule type="cellIs" dxfId="566" priority="605" operator="equal">
      <formula>"Survivor"</formula>
    </cfRule>
    <cfRule type="cellIs" dxfId="565" priority="606" operator="equal">
      <formula>"Mystic"</formula>
    </cfRule>
  </conditionalFormatting>
  <conditionalFormatting sqref="AM233">
    <cfRule type="cellIs" dxfId="564" priority="595" operator="equal">
      <formula>"Seeker"</formula>
    </cfRule>
    <cfRule type="cellIs" dxfId="563" priority="596" operator="equal">
      <formula>"Neutral"</formula>
    </cfRule>
    <cfRule type="cellIs" dxfId="562" priority="597" operator="equal">
      <formula>"Rogue"</formula>
    </cfRule>
    <cfRule type="cellIs" dxfId="561" priority="598" operator="equal">
      <formula>"Guardian"</formula>
    </cfRule>
    <cfRule type="cellIs" dxfId="560" priority="599" operator="equal">
      <formula>"Survivor"</formula>
    </cfRule>
    <cfRule type="cellIs" dxfId="559" priority="600" operator="equal">
      <formula>"Mystic"</formula>
    </cfRule>
  </conditionalFormatting>
  <conditionalFormatting sqref="K233">
    <cfRule type="cellIs" dxfId="558" priority="589" operator="equal">
      <formula>"seeker"</formula>
    </cfRule>
    <cfRule type="cellIs" dxfId="557" priority="590" operator="equal">
      <formula>"neutral"</formula>
    </cfRule>
    <cfRule type="cellIs" dxfId="556" priority="591" operator="equal">
      <formula>"rogue"</formula>
    </cfRule>
    <cfRule type="cellIs" dxfId="555" priority="592" operator="equal">
      <formula>"Guardian"</formula>
    </cfRule>
    <cfRule type="cellIs" dxfId="554" priority="593" operator="equal">
      <formula>"Survivor"</formula>
    </cfRule>
    <cfRule type="cellIs" dxfId="553" priority="594" operator="equal">
      <formula>"Mystic"</formula>
    </cfRule>
  </conditionalFormatting>
  <conditionalFormatting sqref="K388:K429 AM388:AM429">
    <cfRule type="cellIs" dxfId="552" priority="583" operator="equal">
      <formula>"seeker"</formula>
    </cfRule>
    <cfRule type="cellIs" dxfId="551" priority="584" operator="equal">
      <formula>"neutral"</formula>
    </cfRule>
    <cfRule type="cellIs" dxfId="550" priority="585" operator="equal">
      <formula>"rogue"</formula>
    </cfRule>
    <cfRule type="cellIs" dxfId="549" priority="586" operator="equal">
      <formula>"Guardian"</formula>
    </cfRule>
    <cfRule type="cellIs" dxfId="548" priority="587" operator="equal">
      <formula>"Survivor"</formula>
    </cfRule>
    <cfRule type="cellIs" dxfId="547" priority="588" operator="equal">
      <formula>"Mystic"</formula>
    </cfRule>
  </conditionalFormatting>
  <conditionalFormatting sqref="K430:K466 AM430:AM442 AM450:AM466">
    <cfRule type="cellIs" dxfId="546" priority="577" operator="equal">
      <formula>"seeker"</formula>
    </cfRule>
    <cfRule type="cellIs" dxfId="545" priority="578" operator="equal">
      <formula>"neutral"</formula>
    </cfRule>
    <cfRule type="cellIs" dxfId="544" priority="579" operator="equal">
      <formula>"rogue"</formula>
    </cfRule>
    <cfRule type="cellIs" dxfId="543" priority="580" operator="equal">
      <formula>"Guardian"</formula>
    </cfRule>
    <cfRule type="cellIs" dxfId="542" priority="581" operator="equal">
      <formula>"Survivor"</formula>
    </cfRule>
    <cfRule type="cellIs" dxfId="541" priority="582" operator="equal">
      <formula>"Mystic"</formula>
    </cfRule>
  </conditionalFormatting>
  <conditionalFormatting sqref="AM443:AM449">
    <cfRule type="cellIs" dxfId="540" priority="571" operator="equal">
      <formula>"seeker"</formula>
    </cfRule>
    <cfRule type="cellIs" dxfId="539" priority="572" operator="equal">
      <formula>"neutral"</formula>
    </cfRule>
    <cfRule type="cellIs" dxfId="538" priority="573" operator="equal">
      <formula>"rogue"</formula>
    </cfRule>
    <cfRule type="cellIs" dxfId="537" priority="574" operator="equal">
      <formula>"Guardian"</formula>
    </cfRule>
    <cfRule type="cellIs" dxfId="536" priority="575" operator="equal">
      <formula>"Survivor"</formula>
    </cfRule>
    <cfRule type="cellIs" dxfId="535" priority="576" operator="equal">
      <formula>"Mystic"</formula>
    </cfRule>
  </conditionalFormatting>
  <conditionalFormatting sqref="AL737">
    <cfRule type="cellIs" dxfId="534" priority="535" operator="equal">
      <formula>"Seeker"</formula>
    </cfRule>
    <cfRule type="cellIs" dxfId="533" priority="536" operator="equal">
      <formula>"Neutral"</formula>
    </cfRule>
    <cfRule type="cellIs" dxfId="532" priority="537" operator="equal">
      <formula>"Rogue"</formula>
    </cfRule>
    <cfRule type="cellIs" dxfId="531" priority="538" operator="equal">
      <formula>"Guardian"</formula>
    </cfRule>
    <cfRule type="cellIs" dxfId="530" priority="539" operator="equal">
      <formula>"Survivor"</formula>
    </cfRule>
    <cfRule type="cellIs" dxfId="529" priority="540" operator="equal">
      <formula>"Mystic"</formula>
    </cfRule>
  </conditionalFormatting>
  <conditionalFormatting sqref="AL733 AL738:AL746 AL767:AL773">
    <cfRule type="cellIs" dxfId="528" priority="565" operator="equal">
      <formula>"Seeker"</formula>
    </cfRule>
    <cfRule type="cellIs" dxfId="527" priority="566" operator="equal">
      <formula>"Neutral"</formula>
    </cfRule>
    <cfRule type="cellIs" dxfId="526" priority="567" operator="equal">
      <formula>"Rogue"</formula>
    </cfRule>
    <cfRule type="cellIs" dxfId="525" priority="568" operator="equal">
      <formula>"Guardian"</formula>
    </cfRule>
    <cfRule type="cellIs" dxfId="524" priority="569" operator="equal">
      <formula>"Survivor"</formula>
    </cfRule>
    <cfRule type="cellIs" dxfId="523" priority="570" operator="equal">
      <formula>"Mystic"</formula>
    </cfRule>
  </conditionalFormatting>
  <conditionalFormatting sqref="K733:K773">
    <cfRule type="cellIs" dxfId="522" priority="559" operator="equal">
      <formula>"seeker"</formula>
    </cfRule>
    <cfRule type="cellIs" dxfId="521" priority="560" operator="equal">
      <formula>"neutral"</formula>
    </cfRule>
    <cfRule type="cellIs" dxfId="520" priority="561" operator="equal">
      <formula>"rogue"</formula>
    </cfRule>
    <cfRule type="cellIs" dxfId="519" priority="562" operator="equal">
      <formula>"Guardian"</formula>
    </cfRule>
    <cfRule type="cellIs" dxfId="518" priority="563" operator="equal">
      <formula>"Survivor"</formula>
    </cfRule>
    <cfRule type="cellIs" dxfId="517" priority="564" operator="equal">
      <formula>"Mystic"</formula>
    </cfRule>
  </conditionalFormatting>
  <conditionalFormatting sqref="AL734">
    <cfRule type="cellIs" dxfId="516" priority="553" operator="equal">
      <formula>"Seeker"</formula>
    </cfRule>
    <cfRule type="cellIs" dxfId="515" priority="554" operator="equal">
      <formula>"Neutral"</formula>
    </cfRule>
    <cfRule type="cellIs" dxfId="514" priority="555" operator="equal">
      <formula>"Rogue"</formula>
    </cfRule>
    <cfRule type="cellIs" dxfId="513" priority="556" operator="equal">
      <formula>"Guardian"</formula>
    </cfRule>
    <cfRule type="cellIs" dxfId="512" priority="557" operator="equal">
      <formula>"Survivor"</formula>
    </cfRule>
    <cfRule type="cellIs" dxfId="511" priority="558" operator="equal">
      <formula>"Mystic"</formula>
    </cfRule>
  </conditionalFormatting>
  <conditionalFormatting sqref="AL735">
    <cfRule type="cellIs" dxfId="510" priority="547" operator="equal">
      <formula>"Seeker"</formula>
    </cfRule>
    <cfRule type="cellIs" dxfId="509" priority="548" operator="equal">
      <formula>"Neutral"</formula>
    </cfRule>
    <cfRule type="cellIs" dxfId="508" priority="549" operator="equal">
      <formula>"Rogue"</formula>
    </cfRule>
    <cfRule type="cellIs" dxfId="507" priority="550" operator="equal">
      <formula>"Guardian"</formula>
    </cfRule>
    <cfRule type="cellIs" dxfId="506" priority="551" operator="equal">
      <formula>"Survivor"</formula>
    </cfRule>
    <cfRule type="cellIs" dxfId="505" priority="552" operator="equal">
      <formula>"Mystic"</formula>
    </cfRule>
  </conditionalFormatting>
  <conditionalFormatting sqref="AL736">
    <cfRule type="cellIs" dxfId="504" priority="541" operator="equal">
      <formula>"Seeker"</formula>
    </cfRule>
    <cfRule type="cellIs" dxfId="503" priority="542" operator="equal">
      <formula>"Neutral"</formula>
    </cfRule>
    <cfRule type="cellIs" dxfId="502" priority="543" operator="equal">
      <formula>"Rogue"</formula>
    </cfRule>
    <cfRule type="cellIs" dxfId="501" priority="544" operator="equal">
      <formula>"Guardian"</formula>
    </cfRule>
    <cfRule type="cellIs" dxfId="500" priority="545" operator="equal">
      <formula>"Survivor"</formula>
    </cfRule>
    <cfRule type="cellIs" dxfId="499" priority="546" operator="equal">
      <formula>"Mystic"</formula>
    </cfRule>
  </conditionalFormatting>
  <conditionalFormatting sqref="AM727:AM731">
    <cfRule type="cellIs" dxfId="498" priority="529" operator="equal">
      <formula>"Seeker"</formula>
    </cfRule>
    <cfRule type="cellIs" dxfId="497" priority="530" operator="equal">
      <formula>"Neutral"</formula>
    </cfRule>
    <cfRule type="cellIs" dxfId="496" priority="531" operator="equal">
      <formula>"Rogue"</formula>
    </cfRule>
    <cfRule type="cellIs" dxfId="495" priority="532" operator="equal">
      <formula>"Guardian"</formula>
    </cfRule>
    <cfRule type="cellIs" dxfId="494" priority="533" operator="equal">
      <formula>"Survivor"</formula>
    </cfRule>
    <cfRule type="cellIs" dxfId="493" priority="534" operator="equal">
      <formula>"Mystic"</formula>
    </cfRule>
  </conditionalFormatting>
  <conditionalFormatting sqref="K727:K731">
    <cfRule type="cellIs" dxfId="492" priority="523" operator="equal">
      <formula>"seeker"</formula>
    </cfRule>
    <cfRule type="cellIs" dxfId="491" priority="524" operator="equal">
      <formula>"neutral"</formula>
    </cfRule>
    <cfRule type="cellIs" dxfId="490" priority="525" operator="equal">
      <formula>"rogue"</formula>
    </cfRule>
    <cfRule type="cellIs" dxfId="489" priority="526" operator="equal">
      <formula>"Guardian"</formula>
    </cfRule>
    <cfRule type="cellIs" dxfId="488" priority="527" operator="equal">
      <formula>"Survivor"</formula>
    </cfRule>
    <cfRule type="cellIs" dxfId="487" priority="528" operator="equal">
      <formula>"Mystic"</formula>
    </cfRule>
  </conditionalFormatting>
  <conditionalFormatting sqref="AM732">
    <cfRule type="cellIs" dxfId="486" priority="517" operator="equal">
      <formula>"Seeker"</formula>
    </cfRule>
    <cfRule type="cellIs" dxfId="485" priority="518" operator="equal">
      <formula>"Neutral"</formula>
    </cfRule>
    <cfRule type="cellIs" dxfId="484" priority="519" operator="equal">
      <formula>"Rogue"</formula>
    </cfRule>
    <cfRule type="cellIs" dxfId="483" priority="520" operator="equal">
      <formula>"Guardian"</formula>
    </cfRule>
    <cfRule type="cellIs" dxfId="482" priority="521" operator="equal">
      <formula>"Survivor"</formula>
    </cfRule>
    <cfRule type="cellIs" dxfId="481" priority="522" operator="equal">
      <formula>"Mystic"</formula>
    </cfRule>
  </conditionalFormatting>
  <conditionalFormatting sqref="K732">
    <cfRule type="cellIs" dxfId="480" priority="511" operator="equal">
      <formula>"seeker"</formula>
    </cfRule>
    <cfRule type="cellIs" dxfId="479" priority="512" operator="equal">
      <formula>"neutral"</formula>
    </cfRule>
    <cfRule type="cellIs" dxfId="478" priority="513" operator="equal">
      <formula>"rogue"</formula>
    </cfRule>
    <cfRule type="cellIs" dxfId="477" priority="514" operator="equal">
      <formula>"Guardian"</formula>
    </cfRule>
    <cfRule type="cellIs" dxfId="476" priority="515" operator="equal">
      <formula>"Survivor"</formula>
    </cfRule>
    <cfRule type="cellIs" dxfId="475" priority="516" operator="equal">
      <formula>"Mystic"</formula>
    </cfRule>
  </conditionalFormatting>
  <conditionalFormatting sqref="AL863 AL865:AL881 AL855:AL860">
    <cfRule type="cellIs" dxfId="474" priority="505" operator="equal">
      <formula>"Seeker"</formula>
    </cfRule>
    <cfRule type="cellIs" dxfId="473" priority="506" operator="equal">
      <formula>"Neutral"</formula>
    </cfRule>
    <cfRule type="cellIs" dxfId="472" priority="507" operator="equal">
      <formula>"Rogue"</formula>
    </cfRule>
    <cfRule type="cellIs" dxfId="471" priority="508" operator="equal">
      <formula>"Guardian"</formula>
    </cfRule>
    <cfRule type="cellIs" dxfId="470" priority="509" operator="equal">
      <formula>"Survivor"</formula>
    </cfRule>
    <cfRule type="cellIs" dxfId="469" priority="510" operator="equal">
      <formula>"Mystic"</formula>
    </cfRule>
  </conditionalFormatting>
  <conditionalFormatting sqref="K865:K883 K889 K855:K863">
    <cfRule type="cellIs" dxfId="468" priority="499" operator="equal">
      <formula>"seeker"</formula>
    </cfRule>
    <cfRule type="cellIs" dxfId="467" priority="500" operator="equal">
      <formula>"neutral"</formula>
    </cfRule>
    <cfRule type="cellIs" dxfId="466" priority="501" operator="equal">
      <formula>"rogue"</formula>
    </cfRule>
    <cfRule type="cellIs" dxfId="465" priority="502" operator="equal">
      <formula>"Guardian"</formula>
    </cfRule>
    <cfRule type="cellIs" dxfId="464" priority="503" operator="equal">
      <formula>"Survivor"</formula>
    </cfRule>
    <cfRule type="cellIs" dxfId="463" priority="504" operator="equal">
      <formula>"Mystic"</formula>
    </cfRule>
  </conditionalFormatting>
  <conditionalFormatting sqref="AM861:AM862">
    <cfRule type="cellIs" dxfId="462" priority="493" operator="equal">
      <formula>"seeker"</formula>
    </cfRule>
    <cfRule type="cellIs" dxfId="461" priority="494" operator="equal">
      <formula>"neutral"</formula>
    </cfRule>
    <cfRule type="cellIs" dxfId="460" priority="495" operator="equal">
      <formula>"rogue"</formula>
    </cfRule>
    <cfRule type="cellIs" dxfId="459" priority="496" operator="equal">
      <formula>"Guardian"</formula>
    </cfRule>
    <cfRule type="cellIs" dxfId="458" priority="497" operator="equal">
      <formula>"Survivor"</formula>
    </cfRule>
    <cfRule type="cellIs" dxfId="457" priority="498" operator="equal">
      <formula>"Mystic"</formula>
    </cfRule>
  </conditionalFormatting>
  <conditionalFormatting sqref="AL864">
    <cfRule type="cellIs" dxfId="456" priority="487" operator="equal">
      <formula>"Seeker"</formula>
    </cfRule>
    <cfRule type="cellIs" dxfId="455" priority="488" operator="equal">
      <formula>"Neutral"</formula>
    </cfRule>
    <cfRule type="cellIs" dxfId="454" priority="489" operator="equal">
      <formula>"Rogue"</formula>
    </cfRule>
    <cfRule type="cellIs" dxfId="453" priority="490" operator="equal">
      <formula>"Guardian"</formula>
    </cfRule>
    <cfRule type="cellIs" dxfId="452" priority="491" operator="equal">
      <formula>"Survivor"</formula>
    </cfRule>
    <cfRule type="cellIs" dxfId="451" priority="492" operator="equal">
      <formula>"Mystic"</formula>
    </cfRule>
  </conditionalFormatting>
  <conditionalFormatting sqref="K864">
    <cfRule type="cellIs" dxfId="450" priority="481" operator="equal">
      <formula>"seeker"</formula>
    </cfRule>
    <cfRule type="cellIs" dxfId="449" priority="482" operator="equal">
      <formula>"neutral"</formula>
    </cfRule>
    <cfRule type="cellIs" dxfId="448" priority="483" operator="equal">
      <formula>"rogue"</formula>
    </cfRule>
    <cfRule type="cellIs" dxfId="447" priority="484" operator="equal">
      <formula>"Guardian"</formula>
    </cfRule>
    <cfRule type="cellIs" dxfId="446" priority="485" operator="equal">
      <formula>"Survivor"</formula>
    </cfRule>
    <cfRule type="cellIs" dxfId="445" priority="486" operator="equal">
      <formula>"Mystic"</formula>
    </cfRule>
  </conditionalFormatting>
  <conditionalFormatting sqref="AM882:AM883 AM889">
    <cfRule type="cellIs" dxfId="444" priority="475" operator="equal">
      <formula>"seeker"</formula>
    </cfRule>
    <cfRule type="cellIs" dxfId="443" priority="476" operator="equal">
      <formula>"neutral"</formula>
    </cfRule>
    <cfRule type="cellIs" dxfId="442" priority="477" operator="equal">
      <formula>"rogue"</formula>
    </cfRule>
    <cfRule type="cellIs" dxfId="441" priority="478" operator="equal">
      <formula>"Guardian"</formula>
    </cfRule>
    <cfRule type="cellIs" dxfId="440" priority="479" operator="equal">
      <formula>"Survivor"</formula>
    </cfRule>
    <cfRule type="cellIs" dxfId="439" priority="480" operator="equal">
      <formula>"Mystic"</formula>
    </cfRule>
  </conditionalFormatting>
  <conditionalFormatting sqref="K884">
    <cfRule type="cellIs" dxfId="438" priority="469" operator="equal">
      <formula>"seeker"</formula>
    </cfRule>
    <cfRule type="cellIs" dxfId="437" priority="470" operator="equal">
      <formula>"neutral"</formula>
    </cfRule>
    <cfRule type="cellIs" dxfId="436" priority="471" operator="equal">
      <formula>"rogue"</formula>
    </cfRule>
    <cfRule type="cellIs" dxfId="435" priority="472" operator="equal">
      <formula>"Guardian"</formula>
    </cfRule>
    <cfRule type="cellIs" dxfId="434" priority="473" operator="equal">
      <formula>"Survivor"</formula>
    </cfRule>
    <cfRule type="cellIs" dxfId="433" priority="474" operator="equal">
      <formula>"Mystic"</formula>
    </cfRule>
  </conditionalFormatting>
  <conditionalFormatting sqref="AM884">
    <cfRule type="cellIs" dxfId="432" priority="463" operator="equal">
      <formula>"seeker"</formula>
    </cfRule>
    <cfRule type="cellIs" dxfId="431" priority="464" operator="equal">
      <formula>"neutral"</formula>
    </cfRule>
    <cfRule type="cellIs" dxfId="430" priority="465" operator="equal">
      <formula>"rogue"</formula>
    </cfRule>
    <cfRule type="cellIs" dxfId="429" priority="466" operator="equal">
      <formula>"Guardian"</formula>
    </cfRule>
    <cfRule type="cellIs" dxfId="428" priority="467" operator="equal">
      <formula>"Survivor"</formula>
    </cfRule>
    <cfRule type="cellIs" dxfId="427" priority="468" operator="equal">
      <formula>"Mystic"</formula>
    </cfRule>
  </conditionalFormatting>
  <conditionalFormatting sqref="K885">
    <cfRule type="cellIs" dxfId="426" priority="457" operator="equal">
      <formula>"seeker"</formula>
    </cfRule>
    <cfRule type="cellIs" dxfId="425" priority="458" operator="equal">
      <formula>"neutral"</formula>
    </cfRule>
    <cfRule type="cellIs" dxfId="424" priority="459" operator="equal">
      <formula>"rogue"</formula>
    </cfRule>
    <cfRule type="cellIs" dxfId="423" priority="460" operator="equal">
      <formula>"Guardian"</formula>
    </cfRule>
    <cfRule type="cellIs" dxfId="422" priority="461" operator="equal">
      <formula>"Survivor"</formula>
    </cfRule>
    <cfRule type="cellIs" dxfId="421" priority="462" operator="equal">
      <formula>"Mystic"</formula>
    </cfRule>
  </conditionalFormatting>
  <conditionalFormatting sqref="AM885">
    <cfRule type="cellIs" dxfId="420" priority="451" operator="equal">
      <formula>"seeker"</formula>
    </cfRule>
    <cfRule type="cellIs" dxfId="419" priority="452" operator="equal">
      <formula>"neutral"</formula>
    </cfRule>
    <cfRule type="cellIs" dxfId="418" priority="453" operator="equal">
      <formula>"rogue"</formula>
    </cfRule>
    <cfRule type="cellIs" dxfId="417" priority="454" operator="equal">
      <formula>"Guardian"</formula>
    </cfRule>
    <cfRule type="cellIs" dxfId="416" priority="455" operator="equal">
      <formula>"Survivor"</formula>
    </cfRule>
    <cfRule type="cellIs" dxfId="415" priority="456" operator="equal">
      <formula>"Mystic"</formula>
    </cfRule>
  </conditionalFormatting>
  <conditionalFormatting sqref="K886">
    <cfRule type="cellIs" dxfId="414" priority="445" operator="equal">
      <formula>"seeker"</formula>
    </cfRule>
    <cfRule type="cellIs" dxfId="413" priority="446" operator="equal">
      <formula>"neutral"</formula>
    </cfRule>
    <cfRule type="cellIs" dxfId="412" priority="447" operator="equal">
      <formula>"rogue"</formula>
    </cfRule>
    <cfRule type="cellIs" dxfId="411" priority="448" operator="equal">
      <formula>"Guardian"</formula>
    </cfRule>
    <cfRule type="cellIs" dxfId="410" priority="449" operator="equal">
      <formula>"Survivor"</formula>
    </cfRule>
    <cfRule type="cellIs" dxfId="409" priority="450" operator="equal">
      <formula>"Mystic"</formula>
    </cfRule>
  </conditionalFormatting>
  <conditionalFormatting sqref="AM886">
    <cfRule type="cellIs" dxfId="408" priority="439" operator="equal">
      <formula>"seeker"</formula>
    </cfRule>
    <cfRule type="cellIs" dxfId="407" priority="440" operator="equal">
      <formula>"neutral"</formula>
    </cfRule>
    <cfRule type="cellIs" dxfId="406" priority="441" operator="equal">
      <formula>"rogue"</formula>
    </cfRule>
    <cfRule type="cellIs" dxfId="405" priority="442" operator="equal">
      <formula>"Guardian"</formula>
    </cfRule>
    <cfRule type="cellIs" dxfId="404" priority="443" operator="equal">
      <formula>"Survivor"</formula>
    </cfRule>
    <cfRule type="cellIs" dxfId="403" priority="444" operator="equal">
      <formula>"Mystic"</formula>
    </cfRule>
  </conditionalFormatting>
  <conditionalFormatting sqref="K887">
    <cfRule type="cellIs" dxfId="402" priority="433" operator="equal">
      <formula>"seeker"</formula>
    </cfRule>
    <cfRule type="cellIs" dxfId="401" priority="434" operator="equal">
      <formula>"neutral"</formula>
    </cfRule>
    <cfRule type="cellIs" dxfId="400" priority="435" operator="equal">
      <formula>"rogue"</formula>
    </cfRule>
    <cfRule type="cellIs" dxfId="399" priority="436" operator="equal">
      <formula>"Guardian"</formula>
    </cfRule>
    <cfRule type="cellIs" dxfId="398" priority="437" operator="equal">
      <formula>"Survivor"</formula>
    </cfRule>
    <cfRule type="cellIs" dxfId="397" priority="438" operator="equal">
      <formula>"Mystic"</formula>
    </cfRule>
  </conditionalFormatting>
  <conditionalFormatting sqref="AM887">
    <cfRule type="cellIs" dxfId="396" priority="427" operator="equal">
      <formula>"seeker"</formula>
    </cfRule>
    <cfRule type="cellIs" dxfId="395" priority="428" operator="equal">
      <formula>"neutral"</formula>
    </cfRule>
    <cfRule type="cellIs" dxfId="394" priority="429" operator="equal">
      <formula>"rogue"</formula>
    </cfRule>
    <cfRule type="cellIs" dxfId="393" priority="430" operator="equal">
      <formula>"Guardian"</formula>
    </cfRule>
    <cfRule type="cellIs" dxfId="392" priority="431" operator="equal">
      <formula>"Survivor"</formula>
    </cfRule>
    <cfRule type="cellIs" dxfId="391" priority="432" operator="equal">
      <formula>"Mystic"</formula>
    </cfRule>
  </conditionalFormatting>
  <conditionalFormatting sqref="K888">
    <cfRule type="cellIs" dxfId="390" priority="421" operator="equal">
      <formula>"seeker"</formula>
    </cfRule>
    <cfRule type="cellIs" dxfId="389" priority="422" operator="equal">
      <formula>"neutral"</formula>
    </cfRule>
    <cfRule type="cellIs" dxfId="388" priority="423" operator="equal">
      <formula>"rogue"</formula>
    </cfRule>
    <cfRule type="cellIs" dxfId="387" priority="424" operator="equal">
      <formula>"Guardian"</formula>
    </cfRule>
    <cfRule type="cellIs" dxfId="386" priority="425" operator="equal">
      <formula>"Survivor"</formula>
    </cfRule>
    <cfRule type="cellIs" dxfId="385" priority="426" operator="equal">
      <formula>"Mystic"</formula>
    </cfRule>
  </conditionalFormatting>
  <conditionalFormatting sqref="AM888">
    <cfRule type="cellIs" dxfId="384" priority="415" operator="equal">
      <formula>"seeker"</formula>
    </cfRule>
    <cfRule type="cellIs" dxfId="383" priority="416" operator="equal">
      <formula>"neutral"</formula>
    </cfRule>
    <cfRule type="cellIs" dxfId="382" priority="417" operator="equal">
      <formula>"rogue"</formula>
    </cfRule>
    <cfRule type="cellIs" dxfId="381" priority="418" operator="equal">
      <formula>"Guardian"</formula>
    </cfRule>
    <cfRule type="cellIs" dxfId="380" priority="419" operator="equal">
      <formula>"Survivor"</formula>
    </cfRule>
    <cfRule type="cellIs" dxfId="379" priority="420" operator="equal">
      <formula>"Mystic"</formula>
    </cfRule>
  </conditionalFormatting>
  <conditionalFormatting sqref="AM955:AM960 K933:K957 K960 K963 AM963 AM965:AM977 K965:K977">
    <cfRule type="cellIs" dxfId="378" priority="373" operator="equal">
      <formula>"seeker"</formula>
    </cfRule>
    <cfRule type="cellIs" dxfId="377" priority="374" operator="equal">
      <formula>"neutral"</formula>
    </cfRule>
    <cfRule type="cellIs" dxfId="376" priority="375" operator="equal">
      <formula>"rogue"</formula>
    </cfRule>
    <cfRule type="cellIs" dxfId="375" priority="376" operator="equal">
      <formula>"Guardian"</formula>
    </cfRule>
    <cfRule type="cellIs" dxfId="374" priority="377" operator="equal">
      <formula>"Survivor"</formula>
    </cfRule>
    <cfRule type="cellIs" dxfId="373" priority="378" operator="equal">
      <formula>"Mystic"</formula>
    </cfRule>
  </conditionalFormatting>
  <conditionalFormatting sqref="AL937">
    <cfRule type="cellIs" dxfId="372" priority="343" operator="equal">
      <formula>"Seeker"</formula>
    </cfRule>
    <cfRule type="cellIs" dxfId="371" priority="344" operator="equal">
      <formula>"Neutral"</formula>
    </cfRule>
    <cfRule type="cellIs" dxfId="370" priority="345" operator="equal">
      <formula>"Rogue"</formula>
    </cfRule>
    <cfRule type="cellIs" dxfId="369" priority="346" operator="equal">
      <formula>"Guardian"</formula>
    </cfRule>
    <cfRule type="cellIs" dxfId="368" priority="347" operator="equal">
      <formula>"Survivor"</formula>
    </cfRule>
    <cfRule type="cellIs" dxfId="367" priority="348" operator="equal">
      <formula>"Mystic"</formula>
    </cfRule>
  </conditionalFormatting>
  <conditionalFormatting sqref="AL933 AL938:AL944">
    <cfRule type="cellIs" dxfId="366" priority="367" operator="equal">
      <formula>"Seeker"</formula>
    </cfRule>
    <cfRule type="cellIs" dxfId="365" priority="368" operator="equal">
      <formula>"Neutral"</formula>
    </cfRule>
    <cfRule type="cellIs" dxfId="364" priority="369" operator="equal">
      <formula>"Rogue"</formula>
    </cfRule>
    <cfRule type="cellIs" dxfId="363" priority="370" operator="equal">
      <formula>"Guardian"</formula>
    </cfRule>
    <cfRule type="cellIs" dxfId="362" priority="371" operator="equal">
      <formula>"Survivor"</formula>
    </cfRule>
    <cfRule type="cellIs" dxfId="361" priority="372" operator="equal">
      <formula>"Mystic"</formula>
    </cfRule>
  </conditionalFormatting>
  <conditionalFormatting sqref="AL934">
    <cfRule type="cellIs" dxfId="360" priority="361" operator="equal">
      <formula>"Seeker"</formula>
    </cfRule>
    <cfRule type="cellIs" dxfId="359" priority="362" operator="equal">
      <formula>"Neutral"</formula>
    </cfRule>
    <cfRule type="cellIs" dxfId="358" priority="363" operator="equal">
      <formula>"Rogue"</formula>
    </cfRule>
    <cfRule type="cellIs" dxfId="357" priority="364" operator="equal">
      <formula>"Guardian"</formula>
    </cfRule>
    <cfRule type="cellIs" dxfId="356" priority="365" operator="equal">
      <formula>"Survivor"</formula>
    </cfRule>
    <cfRule type="cellIs" dxfId="355" priority="366" operator="equal">
      <formula>"Mystic"</formula>
    </cfRule>
  </conditionalFormatting>
  <conditionalFormatting sqref="AL935">
    <cfRule type="cellIs" dxfId="354" priority="355" operator="equal">
      <formula>"Seeker"</formula>
    </cfRule>
    <cfRule type="cellIs" dxfId="353" priority="356" operator="equal">
      <formula>"Neutral"</formula>
    </cfRule>
    <cfRule type="cellIs" dxfId="352" priority="357" operator="equal">
      <formula>"Rogue"</formula>
    </cfRule>
    <cfRule type="cellIs" dxfId="351" priority="358" operator="equal">
      <formula>"Guardian"</formula>
    </cfRule>
    <cfRule type="cellIs" dxfId="350" priority="359" operator="equal">
      <formula>"Survivor"</formula>
    </cfRule>
    <cfRule type="cellIs" dxfId="349" priority="360" operator="equal">
      <formula>"Mystic"</formula>
    </cfRule>
  </conditionalFormatting>
  <conditionalFormatting sqref="AL936">
    <cfRule type="cellIs" dxfId="348" priority="349" operator="equal">
      <formula>"Seeker"</formula>
    </cfRule>
    <cfRule type="cellIs" dxfId="347" priority="350" operator="equal">
      <formula>"Neutral"</formula>
    </cfRule>
    <cfRule type="cellIs" dxfId="346" priority="351" operator="equal">
      <formula>"Rogue"</formula>
    </cfRule>
    <cfRule type="cellIs" dxfId="345" priority="352" operator="equal">
      <formula>"Guardian"</formula>
    </cfRule>
    <cfRule type="cellIs" dxfId="344" priority="353" operator="equal">
      <formula>"Survivor"</formula>
    </cfRule>
    <cfRule type="cellIs" dxfId="343" priority="354" operator="equal">
      <formula>"Mystic"</formula>
    </cfRule>
  </conditionalFormatting>
  <conditionalFormatting sqref="K958">
    <cfRule type="cellIs" dxfId="342" priority="337" operator="equal">
      <formula>"seeker"</formula>
    </cfRule>
    <cfRule type="cellIs" dxfId="341" priority="338" operator="equal">
      <formula>"neutral"</formula>
    </cfRule>
    <cfRule type="cellIs" dxfId="340" priority="339" operator="equal">
      <formula>"rogue"</formula>
    </cfRule>
    <cfRule type="cellIs" dxfId="339" priority="340" operator="equal">
      <formula>"Guardian"</formula>
    </cfRule>
    <cfRule type="cellIs" dxfId="338" priority="341" operator="equal">
      <formula>"Survivor"</formula>
    </cfRule>
    <cfRule type="cellIs" dxfId="337" priority="342" operator="equal">
      <formula>"Mystic"</formula>
    </cfRule>
  </conditionalFormatting>
  <conditionalFormatting sqref="K959">
    <cfRule type="cellIs" dxfId="336" priority="331" operator="equal">
      <formula>"seeker"</formula>
    </cfRule>
    <cfRule type="cellIs" dxfId="335" priority="332" operator="equal">
      <formula>"neutral"</formula>
    </cfRule>
    <cfRule type="cellIs" dxfId="334" priority="333" operator="equal">
      <formula>"rogue"</formula>
    </cfRule>
    <cfRule type="cellIs" dxfId="333" priority="334" operator="equal">
      <formula>"Guardian"</formula>
    </cfRule>
    <cfRule type="cellIs" dxfId="332" priority="335" operator="equal">
      <formula>"Survivor"</formula>
    </cfRule>
    <cfRule type="cellIs" dxfId="331" priority="336" operator="equal">
      <formula>"Mystic"</formula>
    </cfRule>
  </conditionalFormatting>
  <conditionalFormatting sqref="AM961 K961">
    <cfRule type="cellIs" dxfId="330" priority="325" operator="equal">
      <formula>"seeker"</formula>
    </cfRule>
    <cfRule type="cellIs" dxfId="329" priority="326" operator="equal">
      <formula>"neutral"</formula>
    </cfRule>
    <cfRule type="cellIs" dxfId="328" priority="327" operator="equal">
      <formula>"rogue"</formula>
    </cfRule>
    <cfRule type="cellIs" dxfId="327" priority="328" operator="equal">
      <formula>"Guardian"</formula>
    </cfRule>
    <cfRule type="cellIs" dxfId="326" priority="329" operator="equal">
      <formula>"Survivor"</formula>
    </cfRule>
    <cfRule type="cellIs" dxfId="325" priority="330" operator="equal">
      <formula>"Mystic"</formula>
    </cfRule>
  </conditionalFormatting>
  <conditionalFormatting sqref="AM962 K962">
    <cfRule type="cellIs" dxfId="324" priority="319" operator="equal">
      <formula>"seeker"</formula>
    </cfRule>
    <cfRule type="cellIs" dxfId="323" priority="320" operator="equal">
      <formula>"neutral"</formula>
    </cfRule>
    <cfRule type="cellIs" dxfId="322" priority="321" operator="equal">
      <formula>"rogue"</formula>
    </cfRule>
    <cfRule type="cellIs" dxfId="321" priority="322" operator="equal">
      <formula>"Guardian"</formula>
    </cfRule>
    <cfRule type="cellIs" dxfId="320" priority="323" operator="equal">
      <formula>"Survivor"</formula>
    </cfRule>
    <cfRule type="cellIs" dxfId="319" priority="324" operator="equal">
      <formula>"Mystic"</formula>
    </cfRule>
  </conditionalFormatting>
  <conditionalFormatting sqref="K964 AM964">
    <cfRule type="cellIs" dxfId="318" priority="313" operator="equal">
      <formula>"seeker"</formula>
    </cfRule>
    <cfRule type="cellIs" dxfId="317" priority="314" operator="equal">
      <formula>"neutral"</formula>
    </cfRule>
    <cfRule type="cellIs" dxfId="316" priority="315" operator="equal">
      <formula>"rogue"</formula>
    </cfRule>
    <cfRule type="cellIs" dxfId="315" priority="316" operator="equal">
      <formula>"Guardian"</formula>
    </cfRule>
    <cfRule type="cellIs" dxfId="314" priority="317" operator="equal">
      <formula>"Survivor"</formula>
    </cfRule>
    <cfRule type="cellIs" dxfId="313" priority="318" operator="equal">
      <formula>"Mystic"</formula>
    </cfRule>
  </conditionalFormatting>
  <conditionalFormatting sqref="AM1000:AM1005 AM1008 AM1010:AM1019 K979:K993 K998:K1002 K1010:K1019 AM1021:AM1030 K1021:K1030 AM1032:AM1079 K1032:K1079">
    <cfRule type="cellIs" dxfId="312" priority="307" operator="equal">
      <formula>"seeker"</formula>
    </cfRule>
    <cfRule type="cellIs" dxfId="311" priority="308" operator="equal">
      <formula>"neutral"</formula>
    </cfRule>
    <cfRule type="cellIs" dxfId="310" priority="309" operator="equal">
      <formula>"rogue"</formula>
    </cfRule>
    <cfRule type="cellIs" dxfId="309" priority="310" operator="equal">
      <formula>"Guardian"</formula>
    </cfRule>
    <cfRule type="cellIs" dxfId="308" priority="311" operator="equal">
      <formula>"Survivor"</formula>
    </cfRule>
    <cfRule type="cellIs" dxfId="307" priority="312" operator="equal">
      <formula>"Mystic"</formula>
    </cfRule>
  </conditionalFormatting>
  <conditionalFormatting sqref="AL983:AL989">
    <cfRule type="cellIs" dxfId="306" priority="301" operator="equal">
      <formula>"Seeker"</formula>
    </cfRule>
    <cfRule type="cellIs" dxfId="305" priority="302" operator="equal">
      <formula>"Neutral"</formula>
    </cfRule>
    <cfRule type="cellIs" dxfId="304" priority="303" operator="equal">
      <formula>"Rogue"</formula>
    </cfRule>
    <cfRule type="cellIs" dxfId="303" priority="304" operator="equal">
      <formula>"Guardian"</formula>
    </cfRule>
    <cfRule type="cellIs" dxfId="302" priority="305" operator="equal">
      <formula>"Survivor"</formula>
    </cfRule>
    <cfRule type="cellIs" dxfId="301" priority="306" operator="equal">
      <formula>"Mystic"</formula>
    </cfRule>
  </conditionalFormatting>
  <conditionalFormatting sqref="AM1006">
    <cfRule type="cellIs" dxfId="300" priority="295" operator="equal">
      <formula>"seeker"</formula>
    </cfRule>
    <cfRule type="cellIs" dxfId="299" priority="296" operator="equal">
      <formula>"neutral"</formula>
    </cfRule>
    <cfRule type="cellIs" dxfId="298" priority="297" operator="equal">
      <formula>"rogue"</formula>
    </cfRule>
    <cfRule type="cellIs" dxfId="297" priority="298" operator="equal">
      <formula>"Guardian"</formula>
    </cfRule>
    <cfRule type="cellIs" dxfId="296" priority="299" operator="equal">
      <formula>"Survivor"</formula>
    </cfRule>
    <cfRule type="cellIs" dxfId="295" priority="300" operator="equal">
      <formula>"Mystic"</formula>
    </cfRule>
  </conditionalFormatting>
  <conditionalFormatting sqref="AM1007">
    <cfRule type="cellIs" dxfId="294" priority="289" operator="equal">
      <formula>"seeker"</formula>
    </cfRule>
    <cfRule type="cellIs" dxfId="293" priority="290" operator="equal">
      <formula>"neutral"</formula>
    </cfRule>
    <cfRule type="cellIs" dxfId="292" priority="291" operator="equal">
      <formula>"rogue"</formula>
    </cfRule>
    <cfRule type="cellIs" dxfId="291" priority="292" operator="equal">
      <formula>"Guardian"</formula>
    </cfRule>
    <cfRule type="cellIs" dxfId="290" priority="293" operator="equal">
      <formula>"Survivor"</formula>
    </cfRule>
    <cfRule type="cellIs" dxfId="289" priority="294" operator="equal">
      <formula>"Mystic"</formula>
    </cfRule>
  </conditionalFormatting>
  <conditionalFormatting sqref="AM1009">
    <cfRule type="cellIs" dxfId="288" priority="283" operator="equal">
      <formula>"seeker"</formula>
    </cfRule>
    <cfRule type="cellIs" dxfId="287" priority="284" operator="equal">
      <formula>"neutral"</formula>
    </cfRule>
    <cfRule type="cellIs" dxfId="286" priority="285" operator="equal">
      <formula>"rogue"</formula>
    </cfRule>
    <cfRule type="cellIs" dxfId="285" priority="286" operator="equal">
      <formula>"Guardian"</formula>
    </cfRule>
    <cfRule type="cellIs" dxfId="284" priority="287" operator="equal">
      <formula>"Survivor"</formula>
    </cfRule>
    <cfRule type="cellIs" dxfId="283" priority="288" operator="equal">
      <formula>"Mystic"</formula>
    </cfRule>
  </conditionalFormatting>
  <conditionalFormatting sqref="K978">
    <cfRule type="cellIs" dxfId="282" priority="277" operator="equal">
      <formula>"Seeker"</formula>
    </cfRule>
    <cfRule type="cellIs" dxfId="281" priority="278" operator="equal">
      <formula>"Neutral"</formula>
    </cfRule>
    <cfRule type="cellIs" dxfId="280" priority="279" operator="equal">
      <formula>"Rogue"</formula>
    </cfRule>
    <cfRule type="cellIs" dxfId="279" priority="280" operator="equal">
      <formula>"Guardian"</formula>
    </cfRule>
    <cfRule type="cellIs" dxfId="278" priority="281" operator="equal">
      <formula>"Survivor"</formula>
    </cfRule>
    <cfRule type="cellIs" dxfId="277" priority="282" operator="equal">
      <formula>"Mystic"</formula>
    </cfRule>
  </conditionalFormatting>
  <conditionalFormatting sqref="AM979:AM982">
    <cfRule type="cellIs" dxfId="276" priority="271" operator="equal">
      <formula>"seeker"</formula>
    </cfRule>
    <cfRule type="cellIs" dxfId="275" priority="272" operator="equal">
      <formula>"neutral"</formula>
    </cfRule>
    <cfRule type="cellIs" dxfId="274" priority="273" operator="equal">
      <formula>"rogue"</formula>
    </cfRule>
    <cfRule type="cellIs" dxfId="273" priority="274" operator="equal">
      <formula>"Guardian"</formula>
    </cfRule>
    <cfRule type="cellIs" dxfId="272" priority="275" operator="equal">
      <formula>"Survivor"</formula>
    </cfRule>
    <cfRule type="cellIs" dxfId="271" priority="276" operator="equal">
      <formula>"Mystic"</formula>
    </cfRule>
  </conditionalFormatting>
  <conditionalFormatting sqref="AM978">
    <cfRule type="cellIs" dxfId="270" priority="265" operator="equal">
      <formula>"Seeker"</formula>
    </cfRule>
    <cfRule type="cellIs" dxfId="269" priority="266" operator="equal">
      <formula>"Neutral"</formula>
    </cfRule>
    <cfRule type="cellIs" dxfId="268" priority="267" operator="equal">
      <formula>"Rogue"</formula>
    </cfRule>
    <cfRule type="cellIs" dxfId="267" priority="268" operator="equal">
      <formula>"Guardian"</formula>
    </cfRule>
    <cfRule type="cellIs" dxfId="266" priority="269" operator="equal">
      <formula>"Survivor"</formula>
    </cfRule>
    <cfRule type="cellIs" dxfId="265" priority="270" operator="equal">
      <formula>"Mystic"</formula>
    </cfRule>
  </conditionalFormatting>
  <conditionalFormatting sqref="K994">
    <cfRule type="cellIs" dxfId="264" priority="259" operator="equal">
      <formula>"Seeker"</formula>
    </cfRule>
    <cfRule type="cellIs" dxfId="263" priority="260" operator="equal">
      <formula>"Neutral"</formula>
    </cfRule>
    <cfRule type="cellIs" dxfId="262" priority="261" operator="equal">
      <formula>"Rogue"</formula>
    </cfRule>
    <cfRule type="cellIs" dxfId="261" priority="262" operator="equal">
      <formula>"Guardian"</formula>
    </cfRule>
    <cfRule type="cellIs" dxfId="260" priority="263" operator="equal">
      <formula>"Survivor"</formula>
    </cfRule>
    <cfRule type="cellIs" dxfId="259" priority="264" operator="equal">
      <formula>"Mystic"</formula>
    </cfRule>
  </conditionalFormatting>
  <conditionalFormatting sqref="K995">
    <cfRule type="cellIs" dxfId="258" priority="253" operator="equal">
      <formula>"Seeker"</formula>
    </cfRule>
    <cfRule type="cellIs" dxfId="257" priority="254" operator="equal">
      <formula>"Neutral"</formula>
    </cfRule>
    <cfRule type="cellIs" dxfId="256" priority="255" operator="equal">
      <formula>"Rogue"</formula>
    </cfRule>
    <cfRule type="cellIs" dxfId="255" priority="256" operator="equal">
      <formula>"Guardian"</formula>
    </cfRule>
    <cfRule type="cellIs" dxfId="254" priority="257" operator="equal">
      <formula>"Survivor"</formula>
    </cfRule>
    <cfRule type="cellIs" dxfId="253" priority="258" operator="equal">
      <formula>"Mystic"</formula>
    </cfRule>
  </conditionalFormatting>
  <conditionalFormatting sqref="K996">
    <cfRule type="cellIs" dxfId="252" priority="247" operator="equal">
      <formula>"Seeker"</formula>
    </cfRule>
    <cfRule type="cellIs" dxfId="251" priority="248" operator="equal">
      <formula>"Neutral"</formula>
    </cfRule>
    <cfRule type="cellIs" dxfId="250" priority="249" operator="equal">
      <formula>"Rogue"</formula>
    </cfRule>
    <cfRule type="cellIs" dxfId="249" priority="250" operator="equal">
      <formula>"Guardian"</formula>
    </cfRule>
    <cfRule type="cellIs" dxfId="248" priority="251" operator="equal">
      <formula>"Survivor"</formula>
    </cfRule>
    <cfRule type="cellIs" dxfId="247" priority="252" operator="equal">
      <formula>"Mystic"</formula>
    </cfRule>
  </conditionalFormatting>
  <conditionalFormatting sqref="K997">
    <cfRule type="cellIs" dxfId="246" priority="241" operator="equal">
      <formula>"Seeker"</formula>
    </cfRule>
    <cfRule type="cellIs" dxfId="245" priority="242" operator="equal">
      <formula>"Neutral"</formula>
    </cfRule>
    <cfRule type="cellIs" dxfId="244" priority="243" operator="equal">
      <formula>"Rogue"</formula>
    </cfRule>
    <cfRule type="cellIs" dxfId="243" priority="244" operator="equal">
      <formula>"Guardian"</formula>
    </cfRule>
    <cfRule type="cellIs" dxfId="242" priority="245" operator="equal">
      <formula>"Survivor"</formula>
    </cfRule>
    <cfRule type="cellIs" dxfId="241" priority="246" operator="equal">
      <formula>"Mystic"</formula>
    </cfRule>
  </conditionalFormatting>
  <conditionalFormatting sqref="K1003">
    <cfRule type="cellIs" dxfId="240" priority="235" operator="equal">
      <formula>"seeker"</formula>
    </cfRule>
    <cfRule type="cellIs" dxfId="239" priority="236" operator="equal">
      <formula>"neutral"</formula>
    </cfRule>
    <cfRule type="cellIs" dxfId="238" priority="237" operator="equal">
      <formula>"rogue"</formula>
    </cfRule>
    <cfRule type="cellIs" dxfId="237" priority="238" operator="equal">
      <formula>"Guardian"</formula>
    </cfRule>
    <cfRule type="cellIs" dxfId="236" priority="239" operator="equal">
      <formula>"Survivor"</formula>
    </cfRule>
    <cfRule type="cellIs" dxfId="235" priority="240" operator="equal">
      <formula>"Mystic"</formula>
    </cfRule>
  </conditionalFormatting>
  <conditionalFormatting sqref="K1004">
    <cfRule type="cellIs" dxfId="234" priority="229" operator="equal">
      <formula>"seeker"</formula>
    </cfRule>
    <cfRule type="cellIs" dxfId="233" priority="230" operator="equal">
      <formula>"neutral"</formula>
    </cfRule>
    <cfRule type="cellIs" dxfId="232" priority="231" operator="equal">
      <formula>"rogue"</formula>
    </cfRule>
    <cfRule type="cellIs" dxfId="231" priority="232" operator="equal">
      <formula>"Guardian"</formula>
    </cfRule>
    <cfRule type="cellIs" dxfId="230" priority="233" operator="equal">
      <formula>"Survivor"</formula>
    </cfRule>
    <cfRule type="cellIs" dxfId="229" priority="234" operator="equal">
      <formula>"Mystic"</formula>
    </cfRule>
  </conditionalFormatting>
  <conditionalFormatting sqref="K1005">
    <cfRule type="cellIs" dxfId="228" priority="223" operator="equal">
      <formula>"seeker"</formula>
    </cfRule>
    <cfRule type="cellIs" dxfId="227" priority="224" operator="equal">
      <formula>"neutral"</formula>
    </cfRule>
    <cfRule type="cellIs" dxfId="226" priority="225" operator="equal">
      <formula>"rogue"</formula>
    </cfRule>
    <cfRule type="cellIs" dxfId="225" priority="226" operator="equal">
      <formula>"Guardian"</formula>
    </cfRule>
    <cfRule type="cellIs" dxfId="224" priority="227" operator="equal">
      <formula>"Survivor"</formula>
    </cfRule>
    <cfRule type="cellIs" dxfId="223" priority="228" operator="equal">
      <formula>"Mystic"</formula>
    </cfRule>
  </conditionalFormatting>
  <conditionalFormatting sqref="K1006">
    <cfRule type="cellIs" dxfId="222" priority="217" operator="equal">
      <formula>"seeker"</formula>
    </cfRule>
    <cfRule type="cellIs" dxfId="221" priority="218" operator="equal">
      <formula>"neutral"</formula>
    </cfRule>
    <cfRule type="cellIs" dxfId="220" priority="219" operator="equal">
      <formula>"rogue"</formula>
    </cfRule>
    <cfRule type="cellIs" dxfId="219" priority="220" operator="equal">
      <formula>"Guardian"</formula>
    </cfRule>
    <cfRule type="cellIs" dxfId="218" priority="221" operator="equal">
      <formula>"Survivor"</formula>
    </cfRule>
    <cfRule type="cellIs" dxfId="217" priority="222" operator="equal">
      <formula>"Mystic"</formula>
    </cfRule>
  </conditionalFormatting>
  <conditionalFormatting sqref="K1007">
    <cfRule type="cellIs" dxfId="216" priority="211" operator="equal">
      <formula>"seeker"</formula>
    </cfRule>
    <cfRule type="cellIs" dxfId="215" priority="212" operator="equal">
      <formula>"neutral"</formula>
    </cfRule>
    <cfRule type="cellIs" dxfId="214" priority="213" operator="equal">
      <formula>"rogue"</formula>
    </cfRule>
    <cfRule type="cellIs" dxfId="213" priority="214" operator="equal">
      <formula>"Guardian"</formula>
    </cfRule>
    <cfRule type="cellIs" dxfId="212" priority="215" operator="equal">
      <formula>"Survivor"</formula>
    </cfRule>
    <cfRule type="cellIs" dxfId="211" priority="216" operator="equal">
      <formula>"Mystic"</formula>
    </cfRule>
  </conditionalFormatting>
  <conditionalFormatting sqref="K1008">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K1009">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AL1020">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K1020">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K1031">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L1031">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AM1081:AM1084">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AM1080">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K1081:K1084">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K1080">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AM1085:AM1094 K1095:K1111 K1113:K1117 AM1096:AM1117 K1119 AM1119:AM1121 K1121 AM1123 K1123 AM1126:AM1130 K1126:K113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K1085">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K1086">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087">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K1088">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1089">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090">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91">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K1092">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K1093">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K109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09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K1112">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118">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1118">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120">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1122">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12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K1124">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M1124">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K1125">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1125">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1131:K1174 AM1131:AM1176">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175">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1176">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18"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2" bestFit="1" customWidth="1"/>
    <col min="3" max="3" width="12.140625" bestFit="1" customWidth="1"/>
  </cols>
  <sheetData>
    <row r="2" spans="2:3">
      <c r="B2" s="31" t="s">
        <v>4058</v>
      </c>
      <c r="C2" s="26" t="s">
        <v>1939</v>
      </c>
    </row>
    <row r="3" spans="2:3">
      <c r="B3" s="27" t="s">
        <v>4059</v>
      </c>
      <c r="C3" s="26" t="s">
        <v>4039</v>
      </c>
    </row>
    <row r="4" spans="2:3">
      <c r="B4" s="31" t="s">
        <v>4060</v>
      </c>
      <c r="C4" s="26" t="s">
        <v>4040</v>
      </c>
    </row>
    <row r="5" spans="2:3">
      <c r="B5" s="31" t="s">
        <v>4061</v>
      </c>
      <c r="C5" s="26" t="s">
        <v>4041</v>
      </c>
    </row>
    <row r="6" spans="2:3">
      <c r="B6" s="31" t="s">
        <v>4062</v>
      </c>
      <c r="C6" s="26" t="s">
        <v>4042</v>
      </c>
    </row>
    <row r="7" spans="2:3">
      <c r="B7" s="31" t="s">
        <v>4063</v>
      </c>
      <c r="C7" s="26" t="s">
        <v>4043</v>
      </c>
    </row>
    <row r="8" spans="2:3">
      <c r="B8" s="31" t="s">
        <v>4064</v>
      </c>
      <c r="C8" s="26" t="s">
        <v>4044</v>
      </c>
    </row>
    <row r="9" spans="2:3">
      <c r="B9" s="31" t="s">
        <v>4065</v>
      </c>
      <c r="C9" s="26" t="s">
        <v>4045</v>
      </c>
    </row>
    <row r="10" spans="2:3">
      <c r="B10" s="31" t="s">
        <v>4066</v>
      </c>
      <c r="C10" s="26" t="s">
        <v>4046</v>
      </c>
    </row>
    <row r="11" spans="2:3">
      <c r="B11" s="31" t="s">
        <v>4067</v>
      </c>
      <c r="C11" s="26" t="s">
        <v>4047</v>
      </c>
    </row>
    <row r="12" spans="2:3">
      <c r="B12" s="31" t="s">
        <v>4068</v>
      </c>
      <c r="C12" s="26" t="s">
        <v>4048</v>
      </c>
    </row>
    <row r="13" spans="2:3">
      <c r="B13" s="27" t="s">
        <v>4069</v>
      </c>
      <c r="C13" s="26" t="s">
        <v>4049</v>
      </c>
    </row>
    <row r="14" spans="2:3">
      <c r="B14" s="27" t="s">
        <v>4070</v>
      </c>
      <c r="C14" s="26" t="s">
        <v>4050</v>
      </c>
    </row>
    <row r="15" spans="2:3">
      <c r="B15" s="27" t="s">
        <v>4071</v>
      </c>
      <c r="C15" s="26" t="s">
        <v>4051</v>
      </c>
    </row>
    <row r="16" spans="2:3">
      <c r="B16" s="27" t="s">
        <v>4072</v>
      </c>
      <c r="C16" s="26" t="s">
        <v>4052</v>
      </c>
    </row>
    <row r="17" spans="2:3">
      <c r="B17" s="27" t="s">
        <v>4073</v>
      </c>
      <c r="C17" s="26" t="s">
        <v>4053</v>
      </c>
    </row>
    <row r="18" spans="2:3">
      <c r="B18" s="27" t="s">
        <v>4074</v>
      </c>
      <c r="C18" s="26" t="s">
        <v>4054</v>
      </c>
    </row>
    <row r="19" spans="2:3">
      <c r="B19" s="27" t="s">
        <v>4075</v>
      </c>
      <c r="C19" s="26" t="s">
        <v>4055</v>
      </c>
    </row>
    <row r="20" spans="2:3">
      <c r="B20" s="27" t="s">
        <v>4076</v>
      </c>
      <c r="C20" s="26" t="s">
        <v>4056</v>
      </c>
    </row>
    <row r="21" spans="2:3">
      <c r="B21" s="27" t="s">
        <v>4077</v>
      </c>
      <c r="C21" s="26" t="s">
        <v>3</v>
      </c>
    </row>
    <row r="22" spans="2:3">
      <c r="B22" s="27" t="s">
        <v>4078</v>
      </c>
      <c r="C22" s="26"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2018-07-24T18:45:05Z</dcterms:modified>
</cp:coreProperties>
</file>