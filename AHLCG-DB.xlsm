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0" windowWidth="20175" windowHeight="117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<sst xmlns="http://schemas.openxmlformats.org/spreadsheetml/2006/main" count="14680" uniqueCount="7675">
  <si>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</si>
  <si>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</si>
  <si>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</si>
  <si>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</si>
  <si>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</si>
  <si>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</si>
  <si>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</si>
  <si>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</si>
  <si>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</si>
  <si>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</si>
  <si>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</si>
  <si>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</si>
  <si>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</si>
  <si>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</si>
  <si>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</si>
  <si>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</si>
  <si>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</si>
  <si>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</si>
  <si>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</si>
  <si>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</si>
  <si>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</si>
  <si>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</si>
  <si>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</si>
  <si>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</si>
  <si>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</si>
  <si>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</si>
  <si>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</si>
  <si>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</si>
  <si>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</si>
  <si>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</si>
  <si>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</si>
  <si>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</si>
  <si>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</si>
  <si>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</si>
  <si>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</si>
  <si>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</si>
  <si>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</si>
  <si>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</si>
  <si>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</si>
  <si>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</si>
  <si>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</si>
  <si>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</si>
  <si>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</si>
  <si>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</si>
  <si>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</si>
  <si>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</si>
  <si>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</si>
  <si>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</si>
  <si>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</si>
  <si>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</si>
  <si>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</si>
  <si>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</si>
  <si>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</si>
  <si>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</si>
  <si>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</si>
  <si>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</si>
  <si>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</si>
  <si>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</si>
  <si>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</si>
  <si>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</si>
  <si>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</si>
  <si>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</si>
  <si>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</si>
  <si>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</si>
  <si>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</si>
  <si>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</si>
  <si>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</si>
  <si>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</si>
  <si>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</si>
  <si>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</si>
  <si>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</si>
  <si>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</si>
  <si>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</si>
  <si>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</si>
  <si>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</si>
  <si>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</si>
  <si>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</si>
  <si>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</si>
  <si>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</si>
  <si>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</si>
  <si>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</si>
  <si>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</si>
  <si>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</si>
  <si>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</si>
  <si>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</si>
  <si>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</si>
  <si>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</si>
  <si>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</si>
  <si>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</si>
  <si>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</si>
  <si>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</si>
  <si>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</si>
  <si>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</si>
  <si>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</si>
  <si>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</si>
  <si>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</si>
  <si>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</si>
  <si>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</si>
  <si>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</si>
  <si>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</si>
  <si>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</si>
  <si>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</si>
  <si>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</si>
  <si>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</si>
  <si>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</si>
  <si>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</si>
  <si>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</si>
  <si>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</si>
  <si>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</si>
  <si>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</si>
  <si>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</si>
  <si>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</si>
  <si>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</si>
  <si>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</si>
  <si>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</si>
  <si>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</si>
  <si>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</si>
  <si>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</si>
  <si>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</si>
  <si>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</si>
  <si>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</si>
  <si>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</si>
  <si>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</si>
  <si>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</si>
  <si>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</si>
  <si>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</si>
  <si>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</si>
  <si>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</si>
  <si>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</si>
  <si>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</si>
  <si>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</si>
  <si>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</si>
  <si>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</si>
  <si>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</si>
  <si>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</si>
  <si>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</si>
  <si>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</si>
  <si>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</si>
  <si>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</si>
  <si>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</si>
  <si>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</si>
  <si>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</si>
  <si>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</si>
  <si>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</si>
  <si>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</si>
  <si>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</si>
  <si>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</si>
  <si>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</si>
  <si>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</si>
  <si>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</si>
  <si>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</si>
  <si>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</si>
  <si>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</si>
  <si>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</si>
  <si>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</si>
  <si>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</si>
  <si>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</si>
  <si>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</si>
  <si>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</si>
  <si>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</si>
  <si>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</si>
  <si>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</si>
  <si>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</si>
  <si>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</si>
  <si>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</si>
  <si>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</si>
  <si>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</si>
  <si>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</si>
  <si>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</si>
  <si>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</si>
  <si>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</si>
  <si>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</si>
  <si>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</si>
  <si>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</si>
  <si>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</si>
  <si>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</si>
  <si>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</si>
  <si>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</si>
  <si>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</si>
  <si>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</si>
  <si>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</si>
  <si>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</si>
  <si>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</si>
  <si>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</si>
  <si>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</si>
  <si>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</si>
  <si>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</si>
  <si>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</si>
  <si>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</si>
  <si>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</si>
  <si>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</si>
  <si>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</si>
  <si>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</si>
  <si>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</si>
  <si>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</si>
  <si>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</si>
  <si>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</si>
  <si>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</si>
  <si>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</si>
  <si>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</si>
  <si>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</si>
  <si>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</si>
  <si>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</si>
  <si>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</si>
  <si>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</si>
  <si>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</si>
  <si>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</si>
  <si>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</si>
  <si>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</si>
  <si>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</si>
  <si>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</si>
  <si>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</si>
  <si>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</si>
  <si>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</si>
  <si>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</si>
  <si>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</si>
  <si>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</si>
  <si>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</si>
  <si>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</si>
  <si>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</si>
  <si>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</si>
  <si>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</si>
  <si>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</si>
  <si>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</si>
  <si>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</si>
  <si>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</si>
  <si>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</si>
  <si>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</si>
  <si>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</si>
  <si>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</si>
  <si>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</si>
  <si>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</si>
  <si>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</si>
  <si>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</si>
  <si>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</si>
  <si>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</si>
  <si>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</si>
  <si>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</si>
  <si>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</si>
  <si>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</si>
  <si>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</si>
  <si>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</si>
  <si>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</si>
  <si>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</si>
  <si>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</si>
  <si>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</si>
  <si>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</si>
  <si>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</si>
  <si>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</si>
  <si>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</si>
  <si>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</si>
  <si>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</si>
  <si>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</si>
  <si>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</si>
  <si>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</si>
  <si>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</si>
  <si>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</si>
  <si>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</si>
  <si>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</si>
  <si>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</si>
  <si>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</si>
  <si>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</si>
  <si>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</si>
  <si>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</si>
  <si>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</si>
  <si>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</si>
  <si>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</si>
  <si>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</si>
  <si>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</si>
  <si>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</si>
  <si>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</si>
  <si>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</si>
  <si>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</si>
  <si>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</si>
  <si>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</si>
  <si>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</si>
  <si>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</si>
  <si>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</si>
  <si>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</si>
  <si>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</si>
  <si>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</si>
  <si>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</si>
  <si>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</si>
  <si>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</si>
  <si>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</si>
  <si>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</si>
  <si>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</si>
  <si>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</si>
  <si>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</si>
  <si>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</si>
  <si>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</si>
  <si>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</si>
  <si>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</si>
  <si>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</si>
  <si>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</si>
  <si>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</si>
  <si>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</si>
  <si>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</si>
  <si>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</si>
  <si>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</si>
  <si>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</si>
  <si>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</si>
  <si>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</si>
  <si>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</si>
  <si>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</si>
  <si>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</si>
  <si>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</si>
  <si>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</si>
  <si>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</si>
  <si>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</si>
  <si>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</si>
  <si>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</si>
  <si>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</si>
  <si>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</si>
  <si>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</si>
  <si>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</si>
  <si>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</si>
  <si>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</si>
  <si>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</si>
  <si>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</si>
  <si>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</si>
  <si>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</si>
  <si>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</si>
  <si>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</si>
  <si>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</si>
  <si>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</si>
  <si>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</si>
  <si>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</si>
  <si>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</si>
  <si>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</si>
  <si>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</si>
  <si>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</si>
  <si>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</si>
  <si>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</si>
  <si>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</si>
  <si>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</si>
  <si>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</si>
  <si>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</si>
  <si>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</si>
  <si>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</si>
  <si>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</si>
  <si>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</si>
  <si>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</si>
  <si>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</si>
  <si>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</si>
  <si>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</si>
  <si>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</si>
  <si>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</si>
  <si>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</si>
  <si>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</si>
  <si>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</si>
  <si>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</si>
  <si>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</si>
  <si>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</si>
  <si>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</si>
  <si>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</si>
  <si>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</si>
  <si>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</si>
  <si>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</si>
  <si>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</si>
  <si>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</si>
  <si>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</si>
  <si>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</si>
  <si>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</si>
  <si>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</si>
  <si>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</si>
  <si>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</si>
  <si>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</si>
  <si>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</si>
  <si>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</si>
  <si>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</si>
  <si>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</si>
  <si>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</si>
  <si>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</si>
  <si>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</si>
  <si>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</si>
  <si>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</si>
  <si>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</si>
  <si>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</si>
  <si>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</si>
  <si>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</si>
  <si>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</si>
  <si>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</si>
  <si>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</si>
  <si>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</si>
  <si>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</si>
  <si>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</si>
  <si>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</si>
  <si>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</si>
  <si>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</si>
  <si>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</si>
  <si>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</si>
  <si>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</si>
  <si>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</si>
  <si>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</si>
  <si>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</si>
  <si>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</si>
  <si>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</si>
  <si>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</si>
  <si>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</si>
  <si>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</si>
  <si>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</si>
  <si>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</si>
  <si>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</si>
  <si>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</si>
  <si>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</si>
  <si>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</si>
  <si>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</si>
  <si>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</si>
  <si>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</si>
  <si>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</si>
  <si>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</si>
  <si>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</si>
  <si>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</si>
  <si>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</si>
  <si>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</si>
  <si>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</si>
  <si>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</si>
  <si>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</si>
  <si>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</si>
  <si>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</si>
  <si>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</si>
  <si>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</si>
  <si>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</si>
  <si>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</si>
  <si>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</si>
  <si>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</si>
  <si>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</si>
  <si>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</si>
  <si>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</si>
  <si>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</si>
  <si>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</si>
  <si>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</si>
  <si>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</si>
  <si>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</si>
  <si>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</si>
  <si>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</si>
  <si>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</si>
  <si>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</si>
  <si>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</si>
  <si>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</si>
  <si>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</si>
  <si>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</si>
  <si>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</si>
  <si>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</si>
  <si>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</si>
  <si>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</si>
  <si>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</si>
  <si>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</si>
  <si>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</si>
  <si>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</si>
  <si>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</si>
  <si>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</si>
  <si>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</si>
  <si>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</si>
  <si>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</si>
  <si>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</si>
  <si>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</si>
  <si>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</si>
  <si>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</si>
  <si>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</si>
  <si>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</si>
  <si>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</si>
  <si>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</si>
  <si>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</si>
  <si>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</si>
  <si>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</si>
  <si>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</si>
  <si>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</si>
  <si>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</si>
  <si>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</si>
  <si>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</si>
  <si>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</si>
  <si>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</si>
  <si>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</si>
  <si>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</si>
  <si>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</si>
  <si>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</si>
  <si>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</si>
  <si>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</si>
  <si>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</si>
  <si>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</si>
  <si>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</si>
  <si>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</si>
  <si>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</si>
  <si>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</si>
  <si>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</si>
  <si>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</si>
  <si>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</si>
  <si>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</si>
  <si>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</si>
  <si>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</si>
  <si>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</si>
  <si>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</si>
  <si>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</si>
  <si>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</si>
  <si>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</si>
  <si>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</si>
  <si>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</si>
  <si>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</si>
  <si>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</si>
  <si>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</si>
  <si>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</si>
  <si>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</si>
  <si>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</si>
  <si>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</si>
  <si>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</si>
  <si>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</si>
  <si>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</si>
  <si>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</si>
  <si>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</si>
  <si>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</si>
  <si>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</si>
  <si>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</si>
  <si>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</si>
  <si>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</si>
  <si>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</si>
  <si>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</si>
  <si>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</si>
  <si>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</si>
  <si>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</si>
  <si>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</si>
  <si>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</si>
  <si>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</si>
  <si>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</si>
  <si>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</si>
  <si>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</si>
  <si>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</si>
  <si>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</si>
  <si>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</si>
  <si>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</si>
  <si>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</si>
  <si>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</si>
  <si>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</si>
  <si>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</si>
  <si>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</si>
  <si>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</si>
  <si>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</si>
  <si>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</si>
  <si>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</si>
  <si>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</si>
  <si>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</si>
  <si>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</si>
  <si>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</si>
  <si>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</si>
  <si>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</si>
  <si>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</si>
  <si>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</si>
  <si>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</si>
  <si>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</si>
  <si>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</si>
  <si>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</si>
  <si>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</si>
  <si>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</si>
  <si>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</si>
  <si>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</si>
  <si>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</si>
  <si>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</si>
  <si>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</si>
  <si>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</si>
  <si>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</si>
  <si>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</si>
  <si>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</si>
  <si>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</si>
  <si>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</si>
  <si>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</si>
  <si>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</si>
  <si>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</si>
  <si>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</si>
  <si>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</si>
  <si>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</si>
  <si>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</si>
  <si>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</si>
  <si>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</si>
  <si>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</si>
  <si>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</si>
  <si>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</si>
  <si>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</si>
  <si>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</si>
  <si>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</si>
  <si>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</si>
  <si>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</si>
  <si>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</si>
  <si>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</si>
  <si>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</si>
  <si>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</si>
  <si>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</si>
  <si>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</si>
  <si>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</si>
  <si>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</si>
  <si>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</si>
  <si>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</si>
  <si>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</si>
  <si>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</si>
  <si>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</si>
  <si>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</si>
  <si>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</si>
  <si>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</si>
  <si>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</si>
  <si>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</si>
  <si>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</si>
  <si>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</si>
  <si>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</si>
  <si>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</si>
  <si>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</si>
  <si>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</si>
  <si>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</si>
  <si>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</si>
  <si>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</si>
  <si>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</si>
  <si>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</si>
  <si>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</si>
  <si>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</si>
  <si>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</si>
  <si>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</si>
  <si>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</si>
  <si>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</si>
  <si>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</si>
  <si>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</si>
  <si>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</si>
  <si>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</si>
  <si>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</si>
  <si>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</si>
  <si>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</si>
  <si>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</si>
  <si>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</si>
  <si>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</si>
  <si>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</si>
  <si>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</si>
  <si>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</si>
  <si>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</si>
  <si>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</si>
  <si>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</si>
  <si>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</si>
  <si>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</si>
  <si>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</si>
  <si>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</si>
  <si>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</si>
  <si>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</si>
  <si>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</si>
  <si>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</si>
  <si>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</si>
  <si>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</si>
  <si>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</si>
  <si>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</si>
  <si>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</si>
  <si>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</si>
  <si>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</si>
  <si>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</si>
  <si>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</si>
  <si>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</si>
  <si>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</si>
  <si>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</si>
  <si>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</si>
  <si>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</si>
  <si>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</si>
  <si>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</si>
  <si>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</si>
  <si>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</si>
  <si>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</si>
  <si>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</si>
  <si>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</si>
  <si>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</si>
  <si>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</si>
  <si>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</si>
  <si>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</si>
  <si>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</si>
  <si>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</si>
  <si>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</si>
  <si>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</si>
  <si>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</si>
  <si>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</si>
  <si>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</si>
  <si>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</si>
  <si>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</si>
  <si>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</si>
  <si>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</si>
  <si>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</si>
  <si>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</si>
  <si>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</si>
  <si>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</si>
  <si>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</si>
  <si>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</si>
  <si>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</si>
  <si>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</si>
  <si>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</si>
  <si>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</si>
  <si>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</si>
  <si>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</si>
  <si>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</si>
  <si>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</si>
  <si>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</si>
  <si>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</si>
  <si>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</si>
  <si>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</si>
  <si>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</si>
  <si>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</si>
  <si>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</si>
  <si>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</si>
  <si>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</si>
  <si>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</si>
  <si>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</si>
  <si>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</si>
  <si>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</si>
  <si>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</si>
  <si>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</si>
  <si>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</si>
  <si>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</si>
  <si>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</si>
  <si>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</si>
  <si>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</si>
  <si>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</si>
  <si>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</si>
  <si>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</si>
  <si>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</si>
  <si>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</si>
  <si>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</si>
  <si>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</si>
  <si>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</si>
  <si>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</si>
  <si>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</si>
  <si>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</si>
  <si>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</si>
  <si>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</si>
  <si>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</si>
  <si>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</si>
  <si>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</si>
  <si>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</si>
  <si>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</si>
  <si>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</si>
  <si>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</si>
  <si>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</si>
  <si>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</si>
  <si>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</si>
  <si>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</si>
  <si>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</si>
  <si>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</si>
  <si>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</si>
  <si>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</si>
  <si>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</si>
  <si>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</si>
  <si>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</si>
  <si>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</si>
  <si>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</si>
  <si>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</si>
  <si>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</si>
  <si>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</si>
  <si>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</si>
  <si>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</si>
  <si>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</si>
  <si>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</si>
  <si>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</si>
  <si>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</si>
  <si>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</si>
  <si>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</si>
  <si>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</si>
  <si>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</si>
  <si>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</si>
  <si>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</si>
  <si>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</si>
  <si>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</si>
  <si>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</si>
  <si>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</si>
  <si>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</si>
  <si>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</si>
  <si>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</si>
  <si>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</si>
  <si>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</si>
  <si>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</si>
  <si>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</si>
  <si>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</si>
  <si>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</si>
  <si>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</si>
  <si>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</si>
  <si>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</si>
  <si>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</si>
  <si>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</si>
  <si>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</si>
  <si>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</si>
  <si>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</si>
  <si>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</si>
  <si>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</si>
  <si>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</si>
  <si>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</si>
  <si>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</si>
  <si>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</si>
  <si>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</si>
  <si>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</si>
  <si>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</si>
  <si>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</si>
  <si>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</si>
  <si>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</si>
  <si>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</si>
  <si>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</si>
  <si>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</si>
  <si>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</si>
  <si>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</si>
  <si>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</si>
  <si>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</si>
  <si>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</si>
  <si>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</si>
  <si>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</si>
  <si>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</si>
  <si>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</si>
  <si>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</si>
  <si>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</si>
  <si>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</si>
  <si>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</si>
  <si>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</si>
  <si>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</si>
  <si>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</si>
  <si>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</si>
  <si>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</si>
  <si>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</si>
  <si>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</si>
  <si>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</si>
  <si>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</si>
  <si>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</si>
  <si>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</si>
  <si>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</si>
  <si>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</si>
  <si>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</si>
  <si>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</si>
  <si>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</si>
  <si>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</si>
  <si>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</si>
  <si>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</si>
  <si>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</si>
  <si>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</si>
  <si>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</si>
  <si>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</si>
  <si>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</si>
  <si>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</si>
  <si>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</si>
  <si>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</si>
  <si>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</si>
  <si>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</si>
  <si>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</si>
  <si>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</si>
  <si>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</si>
  <si>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</si>
  <si>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</si>
  <si>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</si>
  <si>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</si>
  <si>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</si>
  <si>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</si>
  <si>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</si>
  <si>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</si>
  <si>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</si>
  <si>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</si>
  <si>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</si>
  <si>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</si>
  <si>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</si>
  <si>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</si>
  <si>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</si>
  <si>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</si>
  <si>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</si>
  <si>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</si>
  <si>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</si>
  <si>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</si>
  <si>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</si>
  <si>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</si>
  <si>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</si>
  <si>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</si>
  <si>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</si>
  <si>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</si>
  <si>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</si>
  <si>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</si>
  <si>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</si>
  <si>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</si>
  <si>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</si>
  <si>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</si>
  <si>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</si>
  <si>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</si>
  <si>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</si>
  <si>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</si>
  <si>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</si>
  <si>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</si>
  <si>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</si>
  <si>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</si>
  <si>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</si>
  <si>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</si>
  <si>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</si>
  <si>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</si>
  <si>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</si>
  <si>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</si>
  <si>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</si>
  <si>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</si>
  <si>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</si>
  <si>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</si>
  <si>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</si>
  <si>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</si>
  <si>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</si>
  <si>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</si>
  <si>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</si>
  <si>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</si>
  <si>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</si>
  <si>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</si>
  <si>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</si>
  <si>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</si>
  <si>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</si>
  <si>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</si>
  <si>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</si>
  <si>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</si>
  <si>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</si>
  <si>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</si>
  <si>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</si>
  <si>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</si>
  <si>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</si>
  <si>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</si>
  <si>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</si>
  <si>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</si>
  <si>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</si>
  <si>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</si>
  <si>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</si>
  <si>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</si>
  <si>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</si>
  <si>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</si>
  <si>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</si>
  <si>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</si>
  <si>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</si>
  <si>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</si>
  <si>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</si>
  <si>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</si>
  <si>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</si>
  <si>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</si>
  <si>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</si>
  <si>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</si>
  <si>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</si>
  <si>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</si>
  <si>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</si>
  <si>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</si>
  <si>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</si>
  <si>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</si>
  <si>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</si>
  <si>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</si>
  <si>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</si>
  <si>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</si>
  <si>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</si>
  <si>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</si>
  <si>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</si>
  <si>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</si>
  <si>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</si>
  <si>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</si>
  <si>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</si>
  <si>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</si>
  <si>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</si>
  <si>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</si>
  <si>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</si>
  <si>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</si>
  <si>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</si>
  <si>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</si>
  <si>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</si>
  <si>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</si>
  <si>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</si>
  <si>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</si>
  <si>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</si>
  <si>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</si>
  <si>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</si>
  <si>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</si>
  <si>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</si>
  <si>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</si>
  <si>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</si>
  <si>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</si>
  <si>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</si>
  <si>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</si>
  <si>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</si>
  <si>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</si>
  <si>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</si>
  <si>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</si>
  <si>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</si>
  <si>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</si>
  <si>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</si>
  <si>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</si>
  <si>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</si>
  <si>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</si>
  <si>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</si>
  <si>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</si>
  <si>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</si>
  <si>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</si>
  <si>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</si>
  <si>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</si>
  <si>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</si>
  <si>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</si>
  <si>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</si>
  <si>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</si>
  <si>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</si>
  <si>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</si>
  <si>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</si>
  <si>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</si>
  <si>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</si>
  <si>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</si>
  <si>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</si>
  <si>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</si>
  <si>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</si>
  <si>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</si>
  <si>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</si>
  <si>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</si>
  <si>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</si>
  <si>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</si>
  <si>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</si>
  <si>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</si>
  <si>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</si>
  <si>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</si>
  <si>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</si>
  <si>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</si>
  <si>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</si>
  <si>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</si>
  <si>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</si>
  <si>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</si>
  <si>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</si>
  <si>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</si>
  <si>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</si>
  <si>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</si>
  <si>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</si>
  <si>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</si>
  <si>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</si>
  <si>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</si>
  <si>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</si>
  <si>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</si>
  <si>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</si>
  <si>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</si>
  <si>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</si>
  <si>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</si>
  <si>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</si>
  <si>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</si>
  <si>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</si>
  <si>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</si>
  <si>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</si>
  <si>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</si>
  <si>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</si>
  <si>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</si>
  <si>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</si>
  <si>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</si>
  <si>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</si>
  <si>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</si>
  <si>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</si>
  <si>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</si>
  <si>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</si>
  <si>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</si>
  <si>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</si>
  <si>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</si>
  <si>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</si>
  <si>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</si>
  <si>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</si>
  <si>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</si>
  <si>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</si>
  <si>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</si>
  <si>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</si>
  <si>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</si>
  <si>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</si>
  <si>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</si>
  <si>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</si>
  <si>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</si>
  <si>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</si>
  <si>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</si>
  <si>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</si>
  <si>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</si>
  <si>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</si>
  <si>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</si>
  <si>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</si>
  <si>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</si>
  <si>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</si>
  <si>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</si>
  <si>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</si>
  <si>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</si>
  <si>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</si>
  <si>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</si>
  <si>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</si>
  <si>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</si>
  <si>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</si>
  <si>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</si>
  <si>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</si>
  <si>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</si>
  <si>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</si>
  <si>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</si>
  <si>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</si>
  <si>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</si>
  <si>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</si>
  <si>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</si>
  <si>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</si>
  <si>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</si>
  <si>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</si>
  <si>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</si>
  <si>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</si>
  <si>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</si>
  <si>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</si>
  <si>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</si>
  <si>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</si>
  <si>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</si>
  <si>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</si>
  <si>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</si>
  <si>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</si>
  <si>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</si>
  <si>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</si>
  <si>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</si>
  <si>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</si>
  <si>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</si>
  <si>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</si>
  <si>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</si>
  <si>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</si>
  <si>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</si>
  <si>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</si>
  <si>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</si>
  <si>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</si>
  <si>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</si>
  <si>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</si>
  <si>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</si>
  <si>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</si>
  <si>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</si>
  <si>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</si>
  <si>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</si>
  <si>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</si>
  <si>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</si>
  <si>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</si>
  <si>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</si>
  <si>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</si>
  <si>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</si>
  <si>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</si>
  <si>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</si>
  <si>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</si>
  <si>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</si>
  <si>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</si>
  <si>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</si>
  <si>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</si>
  <si>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</si>
  <si>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</si>
  <si>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</si>
  <si>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</si>
  <si>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</si>
  <si>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</si>
  <si>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</si>
  <si>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</si>
  <si>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</si>
  <si>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</si>
  <si>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</si>
  <si>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</si>
  <si>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</si>
  <si>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</si>
  <si>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</si>
  <si>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</si>
  <si>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</si>
  <si>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</si>
  <si>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</si>
  <si>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</si>
  <si>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</si>
  <si>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</si>
  <si>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</si>
  <si>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</si>
  <si>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</si>
  <si>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</si>
  <si>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</si>
  <si>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</si>
  <si>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</si>
  <si>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</si>
  <si>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</si>
  <si>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</si>
  <si>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</si>
  <si>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</si>
  <si>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</si>
  <si>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</si>
  <si>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</si>
  <si>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</si>
  <si>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</si>
  <si>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</si>
  <si>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</si>
  <si>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</si>
  <si>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</si>
  <si>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</si>
  <si>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</si>
  <si>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</si>
  <si>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</si>
  <si>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</si>
  <si>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</si>
  <si>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</si>
  <si>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</si>
  <si>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</si>
  <si>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</si>
  <si>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</si>
  <si>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</si>
  <si>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</si>
  <si>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</si>
  <si>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</si>
  <si>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</si>
  <si>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</si>
  <si>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</si>
  <si>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</si>
  <si>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</si>
  <si>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</si>
  <si>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</si>
  <si>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</si>
  <si>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</si>
  <si>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</si>
  <si>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</si>
  <si>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</si>
  <si>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</si>
  <si>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</si>
  <si>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</si>
  <si>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</si>
  <si>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</si>
  <si>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</si>
  <si>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</si>
  <si>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</si>
  <si>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</si>
  <si>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</si>
  <si>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</si>
  <si>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</si>
  <si>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</si>
  <si>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</si>
  <si>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</si>
  <si>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</si>
  <si>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</si>
  <si>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</si>
  <si>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</si>
  <si>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</si>
  <si>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</si>
  <si>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</si>
  <si>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</si>
  <si>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</si>
  <si>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</si>
  <si>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</si>
  <si>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</si>
  <si>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</si>
  <si>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</si>
  <si>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</si>
  <si>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</si>
  <si>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</si>
  <si>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</si>
  <si>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</si>
  <si>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</si>
  <si>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</si>
  <si>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</si>
  <si>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</si>
  <si>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</si>
  <si>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</si>
  <si>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</si>
  <si>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</si>
  <si>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</si>
  <si>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</si>
  <si>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</si>
  <si>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</si>
  <si>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</si>
  <si>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</si>
  <si>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</si>
  <si>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</si>
  <si>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</si>
  <si>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</si>
  <si>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</si>
  <si>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</si>
  <si>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</si>
  <si>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</si>
  <si>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</si>
  <si>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</si>
  <si>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</si>
  <si>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</si>
  <si>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</si>
  <si>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</si>
  <si>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</si>
  <si>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</si>
  <si>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</si>
  <si>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</si>
  <si>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</si>
  <si>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</si>
  <si>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</si>
  <si>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</si>
  <si>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</si>
  <si>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</si>
  <si>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</si>
  <si>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</si>
  <si>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</si>
  <si>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</si>
  <si>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</si>
  <si>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</si>
  <si>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</si>
  <si>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</si>
  <si>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</si>
  <si>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</si>
  <si>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</si>
  <si>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</si>
  <si>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</si>
  <si>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</si>
  <si>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</si>
  <si>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</si>
  <si>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</si>
  <si>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</si>
  <si>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</si>
  <si>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</si>
  <si>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</si>
  <si>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</si>
  <si>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</si>
  <si>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</si>
  <si>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</si>
  <si>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</si>
  <si>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</si>
  <si>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</si>
  <si>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</si>
  <si>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</si>
  <si>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</si>
  <si>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</si>
  <si>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</si>
  <si>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</si>
  <si>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</si>
  <si>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</si>
  <si>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</si>
  <si>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</si>
  <si>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</si>
  <si>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</si>
  <si>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</si>
  <si>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</si>
  <si>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</si>
  <si>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</si>
  <si>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</si>
  <si>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</si>
  <si>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</si>
  <si>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</si>
  <si>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</si>
  <si>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</si>
  <si>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</si>
  <si>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</si>
  <si>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</si>
  <si>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</si>
  <si>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</si>
  <si>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</si>
  <si>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</si>
  <si>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</si>
  <si>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</si>
  <si>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</si>
  <si>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</si>
  <si>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</si>
  <si>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</si>
  <si>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</si>
  <si>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</si>
  <si>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</si>
  <si>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</si>
  <si>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</si>
  <si>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</si>
  <si>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</si>
  <si>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</si>
  <si>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</si>
  <si>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</si>
  <si>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</si>
  <si>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</si>
  <si>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</si>
  <si>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</si>
  <si>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</si>
  <si>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</si>
  <si>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</si>
  <si>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</si>
  <si>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</si>
  <si>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</si>
  <si>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</si>
  <si>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</si>
  <si>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</si>
  <si>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</si>
  <si>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</si>
  <si>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</si>
  <si>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</si>
  <si>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</si>
  <si>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</si>
  <si>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</si>
  <si>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</si>
  <si>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</si>
  <si>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</si>
  <si>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</si>
  <si>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</si>
  <si>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</si>
  <si>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</si>
  <si>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</si>
  <si>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</si>
  <si>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</si>
  <si>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</si>
  <si>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</si>
  <si>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</si>
  <si>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</si>
  <si>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</si>
  <si>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</si>
  <si>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</si>
  <si>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</si>
  <si>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</si>
  <si>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</si>
  <si>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</si>
  <si>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</si>
  <si>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</si>
  <si>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</si>
  <si>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</si>
  <si>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</si>
  <si>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</si>
  <si>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</si>
  <si>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</si>
  <si>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</si>
  <si>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</si>
  <si>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</si>
  <si>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</si>
  <si>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</si>
  <si>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</si>
  <si>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</si>
  <si>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</si>
  <si>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</si>
  <si>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</si>
  <si>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</si>
  <si>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</si>
  <si>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</si>
  <si>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</si>
  <si>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</si>
  <si>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</si>
  <si>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</si>
  <si>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</si>
  <si>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</si>
  <si>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</si>
  <si>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</si>
  <si>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</si>
  <si>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</si>
  <si>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</si>
  <si>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</si>
  <si>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</si>
  <si>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</si>
  <si>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</si>
  <si>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</si>
  <si>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</si>
  <si>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</si>
  <si>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</si>
  <si>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</si>
  <si>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</si>
  <si>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</si>
  <si>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</si>
  <si>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</si>
  <si>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</si>
  <si>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</si>
  <si>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</si>
  <si>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</si>
  <si>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</si>
  <si>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</si>
  <si>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</si>
  <si>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</si>
  <si>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</si>
  <si>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</si>
  <si>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</si>
  <si>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</si>
  <si>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</si>
  <si>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</si>
  <si>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</si>
  <si>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</si>
  <si>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</si>
  <si>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</si>
  <si>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</si>
  <si>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</si>
  <si>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</si>
  <si>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</si>
  <si>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</si>
  <si>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</si>
  <si>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</si>
  <si>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</si>
  <si>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</si>
  <si>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</si>
  <si>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</si>
  <si>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</si>
  <si>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</si>
  <si>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</si>
  <si>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</si>
  <si>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</si>
  <si>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</si>
  <si>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</si>
  <si>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</si>
  <si>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</si>
  <si>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</si>
  <si>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</si>
  <si>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</si>
  <si>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</si>
  <si>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</si>
  <si>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</si>
  <si>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</si>
  <si>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</si>
  <si>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</si>
  <si>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</si>
  <si>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</si>
  <si>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</si>
  <si>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</si>
  <si>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</si>
  <si>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</si>
  <si>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</si>
  <si>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</si>
  <si>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</si>
  <si>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</si>
  <si>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</si>
  <si>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</si>
  <si>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</si>
  <si>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</si>
  <si>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</si>
  <si>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</si>
  <si>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</si>
  <si>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</si>
  <si>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</si>
  <si>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</si>
  <si>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</si>
  <si>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</si>
  <si>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</si>
  <si>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</si>
  <si>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</si>
  <si>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</si>
  <si>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</si>
  <si>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</si>
  <si>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</si>
  <si>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</si>
  <si>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</si>
  <si>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</si>
  <si>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</si>
  <si>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</si>
  <si>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</si>
  <si>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</si>
  <si>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</si>
  <si>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</si>
  <si>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</si>
  <si>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</si>
  <si>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</si>
  <si>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</si>
  <si>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</si>
  <si>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</si>
  <si>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</si>
  <si>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</si>
  <si>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</si>
  <si>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</si>
  <si>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</si>
  <si>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</si>
  <si>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</si>
  <si>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</si>
  <si>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</si>
  <si>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</si>
  <si>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</si>
  <si>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</si>
  <si>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</si>
  <si>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</si>
  <si>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</si>
  <si>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</si>
  <si>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</si>
  <si>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</si>
  <si>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</si>
  <si>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</si>
  <si>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</si>
  <si>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</si>
  <si>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</si>
  <si>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</si>
  <si>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</si>
  <si>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</si>
  <si>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</si>
  <si>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</si>
  <si>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</si>
  <si>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</si>
  <si>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</si>
  <si>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</si>
  <si>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</si>
  <si>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</si>
  <si>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</si>
  <si>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</si>
  <si>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</si>
  <si>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</si>
  <si>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</si>
  <si>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</si>
  <si>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</si>
  <si>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</si>
  <si>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</si>
  <si>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</si>
  <si>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</si>
  <si>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</si>
  <si>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</si>
  <si>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</si>
  <si>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</si>
  <si>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</si>
  <si>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</si>
  <si>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</si>
  <si>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</si>
  <si>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</si>
  <si>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</si>
  <si>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</si>
  <si>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</si>
  <si>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</si>
  <si>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</si>
  <si>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</si>
  <si>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</si>
  <si>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</si>
  <si>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</si>
  <si>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</si>
  <si>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</si>
  <si>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</si>
  <si>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</si>
  <si>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</si>
  <si>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</si>
  <si>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</si>
  <si>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</si>
  <si>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</si>
  <si>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</si>
  <si>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</si>
  <si>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</si>
  <si>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</si>
  <si>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</si>
  <si>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</si>
  <si>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</si>
  <si>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</si>
  <si>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</si>
  <si>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</si>
  <si>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</si>
  <si>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</si>
  <si>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</si>
  <si>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</si>
  <si>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</si>
  <si>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</si>
  <si>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</si>
  <si>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</si>
  <si>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</si>
  <si>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</si>
  <si>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</si>
  <si>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</si>
  <si>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</si>
  <si>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</si>
  <si>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</si>
  <si>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</si>
  <si>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</si>
  <si>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</si>
  <si>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</si>
  <si>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</si>
  <si>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</si>
  <si>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</si>
  <si>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</si>
  <si>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</si>
  <si>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</si>
  <si>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</si>
  <si>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</si>
  <si>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</si>
  <si>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</si>
  <si>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</si>
  <si>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</si>
  <si>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</si>
  <si>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</si>
  <si>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</si>
  <si>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</si>
  <si>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</si>
  <si>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</si>
  <si>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</si>
  <si>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</si>
  <si>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</si>
  <si>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</si>
  <si>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</si>
  <si>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</si>
  <si>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</si>
  <si>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</si>
  <si>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</si>
  <si>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</si>
  <si>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</si>
  <si>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</si>
  <si>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</si>
  <si>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</si>
  <si>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</si>
  <si>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</si>
  <si>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</si>
  <si>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</si>
  <si>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</si>
  <si>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</si>
  <si>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</si>
  <si>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</si>
  <si>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</si>
  <si>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</si>
  <si>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</si>
  <si>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</si>
  <si>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</si>
  <si>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</si>
  <si>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</si>
  <si>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</si>
  <si>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</si>
  <si>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</si>
  <si>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</si>
  <si>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</si>
  <si>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</si>
  <si>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</si>
  <si>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</si>
  <si>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</si>
  <si>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</si>
  <si>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</si>
  <si>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</si>
  <si>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</si>
  <si>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</si>
  <si>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</si>
  <si>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</si>
  <si>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</si>
  <si>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</si>
  <si>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</si>
  <si>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</si>
  <si>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</si>
  <si>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</si>
  <si>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</si>
  <si>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</si>
  <si>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</si>
  <si>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</si>
  <si>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</si>
  <si>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</si>
  <si>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</si>
  <si>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</si>
  <si>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</si>
  <si>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</si>
  <si>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</si>
  <si>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</si>
  <si>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</si>
  <si>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</si>
  <si>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</si>
  <si>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</si>
  <si>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</si>
  <si>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</si>
  <si>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</si>
  <si>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</si>
  <si>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</si>
  <si>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</si>
  <si>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</si>
  <si>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</si>
  <si>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</si>
  <si>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</si>
  <si>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</si>
  <si>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</si>
  <si>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</si>
  <si>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</si>
  <si>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</si>
  <si>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</si>
  <si>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</si>
  <si>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</si>
  <si>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</si>
  <si>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</si>
  <si>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</si>
  <si>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</si>
  <si>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</si>
  <si>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</si>
  <si>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</si>
  <si>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</si>
  <si>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</si>
  <si>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</si>
  <si>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</si>
  <si>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</si>
  <si>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</si>
  <si>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</si>
  <si>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</si>
  <si>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</si>
  <si>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</si>
  <si>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</si>
  <si>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</si>
  <si>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</si>
  <si>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</si>
  <si>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</si>
  <si>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</si>
  <si>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</si>
  <si>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</si>
  <si>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</si>
  <si>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</si>
  <si>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</si>
  <si>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</si>
  <si>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</si>
  <si>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</si>
  <si>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</si>
  <si>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</si>
  <si>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</si>
  <si>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</si>
  <si>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</si>
  <si>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</si>
  <si>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</si>
  <si>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</si>
  <si>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</si>
  <si>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</si>
  <si>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</si>
  <si>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</si>
  <si>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</si>
  <si>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</si>
  <si>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</si>
  <si>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</si>
  <si>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</si>
  <si>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</si>
  <si>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</si>
  <si>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</si>
  <si>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</si>
  <si>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</si>
  <si>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</si>
  <si>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</si>
  <si>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</si>
  <si>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</si>
  <si>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</si>
  <si>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</si>
  <si>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</si>
  <si>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</si>
  <si>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</si>
  <si>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</si>
  <si>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</si>
  <si>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</si>
  <si>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</si>
  <si>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</si>
  <si>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</si>
  <si>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</si>
  <si>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</si>
  <si>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</si>
  <si>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</si>
  <si>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</si>
  <si>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</si>
  <si>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</si>
  <si>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</si>
  <si>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</si>
  <si>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</si>
  <si>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</si>
  <si>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</si>
  <si>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</si>
  <si>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</si>
  <si>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</si>
  <si>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</si>
  <si>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</si>
  <si>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</si>
  <si>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</si>
  <si>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</si>
  <si>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</si>
  <si>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</si>
  <si>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</si>
  <si>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</si>
  <si>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</si>
  <si>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</si>
  <si>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</si>
  <si>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</si>
  <si>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</si>
  <si>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</si>
  <si>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</si>
  <si>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</si>
  <si>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</si>
  <si>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</si>
  <si>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</si>
  <si>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</si>
  <si>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</si>
  <si>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</si>
  <si>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</si>
  <si>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</si>
  <si>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</si>
  <si>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</si>
  <si>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</si>
  <si>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</si>
  <si>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</si>
  <si>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</si>
  <si>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</si>
  <si>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</si>
  <si>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</si>
  <si>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</si>
  <si>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</si>
  <si>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</si>
  <si>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</si>
  <si>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</si>
  <si>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</si>
  <si>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</si>
  <si>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</si>
  <si>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</si>
  <si>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</si>
  <si>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</si>
  <si>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</si>
  <si>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</si>
  <si>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</si>
  <si>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</si>
  <si>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</si>
  <si>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</si>
  <si>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</si>
  <si>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</si>
  <si>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</si>
  <si>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</si>
  <si>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</si>
  <si>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</si>
  <si>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</si>
  <si>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</si>
  <si>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</si>
  <si>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</si>
  <si>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</si>
  <si>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</si>
  <si>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</si>
  <si>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</si>
  <si>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</si>
  <si>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</si>
  <si>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</si>
  <si>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</si>
  <si>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</si>
  <si>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</si>
  <si>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</si>
  <si>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</si>
  <si>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</si>
  <si>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</si>
  <si>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</si>
  <si>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</si>
  <si>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</si>
  <si>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</si>
  <si>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</si>
  <si>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</si>
  <si>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</si>
  <si>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</si>
  <si>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</si>
  <si>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</si>
  <si>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</si>
  <si>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</si>
  <si>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</si>
  <si>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</si>
  <si>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</si>
  <si>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</si>
  <si>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</si>
  <si>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</si>
  <si>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</si>
  <si>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</si>
  <si>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</si>
  <si>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</si>
  <si>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</si>
  <si>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</si>
  <si>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</si>
  <si>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</si>
  <si>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</si>
  <si>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</si>
  <si>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</si>
  <si>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</si>
  <si>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</si>
  <si>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</si>
  <si>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</si>
  <si>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</si>
  <si>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</si>
  <si>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</si>
  <si>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</si>
  <si>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</si>
  <si>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</si>
  <si>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</si>
  <si>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</si>
  <si>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</si>
  <si>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</si>
  <si>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</si>
  <si>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</si>
  <si>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</si>
  <si>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</si>
  <si>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</si>
  <si>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</si>
  <si>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</si>
  <si>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</si>
  <si>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</si>
  <si>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</si>
  <si>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</si>
  <si>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</si>
  <si>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</si>
  <si>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</si>
  <si>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</si>
  <si>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</si>
  <si>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</si>
  <si>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</si>
  <si>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</si>
  <si>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</si>
  <si>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</si>
  <si>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</si>
  <si>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</si>
  <si>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</si>
  <si>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</si>
  <si>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</si>
  <si>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</si>
  <si>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</si>
  <si>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</si>
  <si>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</si>
  <si>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</si>
  <si>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</si>
  <si>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</si>
  <si>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</si>
  <si>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</si>
  <si>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</si>
  <si>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</si>
  <si>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</si>
  <si>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</si>
  <si>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</si>
  <si>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</si>
  <si>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</si>
  <si>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</si>
  <si>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</si>
  <si>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</si>
  <si>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</si>
  <si>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</si>
  <si>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</si>
  <si>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</si>
  <si>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</si>
  <si>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</si>
  <si>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</si>
  <si>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</si>
  <si>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</si>
  <si>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</si>
  <si>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</si>
  <si>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</si>
  <si>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</si>
  <si>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</si>
  <si>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</si>
  <si>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</si>
  <si>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</si>
  <si>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</si>
  <si>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</si>
  <si>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</si>
  <si>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</si>
  <si>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</si>
  <si>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</si>
  <si>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</si>
  <si>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</si>
  <si>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</si>
  <si>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</si>
  <si>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</si>
  <si>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</si>
  <si>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</si>
  <si>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</si>
  <si>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</si>
  <si>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</si>
  <si>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</si>
  <si>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</si>
  <si>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</si>
  <si>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</si>
  <si>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</si>
  <si>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</si>
  <si>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</si>
  <si>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</si>
  <si>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</si>
  <si>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</si>
  <si>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</si>
  <si>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</si>
  <si>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</si>
  <si>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</si>
  <si>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</si>
  <si>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</si>
  <si>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</si>
  <si>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</si>
  <si>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</si>
  <si>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</si>
  <si>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</si>
  <si>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</si>
  <si>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</si>
  <si>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</si>
  <si>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</si>
  <si>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</si>
  <si>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</si>
  <si>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</si>
  <si>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</si>
  <si>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</si>
  <si>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</si>
  <si>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</si>
  <si>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</si>
  <si>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</si>
  <si>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</si>
  <si>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</si>
  <si>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</si>
  <si>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</si>
  <si>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</si>
  <si>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</si>
  <si>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</si>
  <si>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</si>
  <si>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</si>
  <si>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</si>
  <si>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</si>
  <si>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</si>
  <si>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</si>
  <si>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</si>
  <si>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</si>
  <si>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</si>
  <si>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</si>
  <si>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</si>
  <si>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</si>
  <si>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</si>
  <si>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</si>
  <si>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</si>
  <si>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</si>
  <si>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</si>
  <si>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</si>
  <si>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</si>
  <si>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</si>
  <si>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</si>
  <si>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</si>
  <si>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</si>
  <si>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</si>
  <si>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</si>
  <si>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</si>
  <si>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</si>
  <si>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</si>
  <si>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</si>
  <si>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</si>
  <si>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</si>
  <si>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</si>
  <si>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</si>
  <si>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</si>
  <si>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</si>
  <si>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</si>
  <si>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</si>
  <si>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</si>
  <si>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</si>
  <si>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</si>
  <si>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</si>
  <si>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</si>
  <si>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</si>
  <si>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</si>
  <si>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</si>
  <si>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</si>
  <si>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</si>
  <si>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</si>
  <si>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</si>
  <si>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</si>
  <si>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</si>
  <si>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</si>
  <si>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</si>
  <si>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</si>
  <si>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</si>
  <si>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</si>
  <si>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</si>
  <si>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</si>
  <si>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</si>
  <si>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</si>
  <si>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</si>
  <si>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</si>
  <si>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</si>
  <si>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</si>
  <si>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</si>
  <si>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</si>
  <si>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</si>
  <si>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</si>
  <si>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</si>
  <si>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</si>
  <si>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</si>
  <si>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</si>
  <si>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</si>
  <si>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</si>
  <si>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</si>
  <si>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</si>
  <si>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</si>
  <si>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</si>
  <si>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</si>
  <si>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</si>
  <si>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</si>
  <si>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</si>
  <si>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</si>
  <si>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</si>
  <si>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</si>
  <si>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</si>
  <si>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</si>
  <si>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</si>
  <si>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</si>
  <si>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</si>
  <si>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</si>
  <si>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</si>
  <si>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</si>
  <si>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</si>
  <si>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</si>
  <si>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</si>
  <si>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</si>
  <si>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</si>
  <si>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</si>
  <si>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</si>
  <si>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</si>
  <si>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</si>
  <si>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</si>
  <si>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</si>
  <si>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</si>
  <si>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</si>
  <si>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</si>
  <si>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</si>
  <si>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</si>
  <si>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</si>
  <si>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</si>
  <si>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</si>
  <si>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</si>
  <si>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</si>
  <si>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</si>
  <si>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</si>
  <si>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</si>
  <si>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</si>
  <si>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</si>
  <si>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</si>
  <si>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</si>
  <si>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</si>
  <si>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</si>
  <si>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</si>
  <si>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</si>
  <si>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</si>
  <si>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</si>
  <si>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</si>
  <si>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</si>
  <si>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</si>
  <si>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</si>
  <si>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</si>
  <si>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</si>
  <si>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</si>
  <si>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</si>
  <si>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</si>
  <si>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</si>
  <si>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</si>
  <si>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</si>
  <si>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</si>
  <si>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</si>
  <si>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</si>
  <si>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</si>
  <si>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</si>
  <si>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</si>
  <si>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</si>
  <si>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</si>
  <si>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</si>
  <si>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</si>
  <si>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</si>
  <si>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</si>
  <si>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</si>
  <si>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</si>
  <si>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</si>
  <si>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</si>
  <si>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</si>
  <si>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</si>
  <si>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</si>
  <si>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</si>
  <si>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</si>
  <si>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</si>
  <si>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</si>
  <si>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</si>
  <si>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</si>
  <si>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</si>
  <si>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</si>
  <si>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</si>
  <si>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</si>
  <si>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</si>
  <si>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</si>
  <si>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</si>
  <si>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</si>
  <si>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</si>
  <si>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</si>
  <si>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</si>
  <si>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</si>
  <si>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</si>
  <si>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</si>
  <si>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</si>
  <si>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</si>
  <si>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</si>
  <si>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</si>
  <si>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</si>
  <si>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</si>
  <si>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</si>
  <si>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</si>
  <si>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</si>
  <si>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</si>
  <si>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</si>
  <si>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</si>
  <si>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</si>
  <si>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</si>
  <si>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</si>
  <si>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</si>
  <si>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</si>
  <si>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</si>
  <si>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</si>
  <si>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</si>
  <si>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</si>
  <si>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</si>
  <si>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</si>
  <si>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</si>
  <si>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</si>
  <si>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</si>
  <si>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</si>
  <si>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</si>
  <si>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</si>
  <si>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</si>
  <si>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</si>
  <si>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</si>
  <si>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</si>
  <si>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</si>
  <si>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</si>
  <si>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</si>
  <si>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</si>
  <si>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</si>
  <si>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</si>
  <si>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</si>
  <si>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</si>
  <si>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</si>
  <si>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</si>
  <si>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</si>
  <si>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</si>
  <si>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</si>
  <si>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</si>
  <si>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</si>
  <si>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</si>
  <si>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</si>
  <si>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</si>
  <si>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</si>
  <si>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</si>
  <si>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</si>
  <si>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</si>
  <si>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</si>
  <si>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</si>
  <si>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</si>
  <si>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</si>
  <si>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</si>
  <si>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</si>
  <si>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</si>
  <si>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</si>
  <si>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</si>
  <si>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</si>
  <si>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</si>
  <si>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</si>
  <si>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</si>
  <si>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</si>
  <si>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</si>
  <si>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</si>
  <si>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</si>
  <si>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</si>
  <si>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</si>
  <si>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</si>
  <si>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</si>
  <si>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</si>
  <si>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</si>
  <si>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</si>
  <si>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</si>
  <si>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</si>
  <si>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</si>
  <si>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</si>
  <si>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</si>
  <si>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</si>
  <si>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</si>
  <si>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</si>
  <si>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</si>
  <si>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</si>
  <si>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</si>
  <si>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</si>
  <si>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</si>
  <si>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</si>
  <si>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</si>
  <si>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</si>
  <si>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</si>
  <si>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</si>
  <si>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</si>
  <si>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</si>
  <si>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</si>
  <si>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</si>
  <si>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</si>
  <si>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</si>
  <si>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</si>
  <si>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</si>
  <si>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</si>
  <si>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</si>
  <si>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</si>
  <si>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</si>
  <si>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</si>
  <si>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</si>
  <si>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</si>
  <si>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</si>
  <si>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</si>
  <si>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</si>
  <si>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</si>
  <si>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</si>
  <si>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</si>
  <si>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</si>
  <si>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</si>
  <si>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</si>
  <si>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</si>
  <si>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</si>
  <si>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</si>
  <si>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</si>
  <si>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</si>
  <si>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</si>
  <si>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</si>
  <si>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</si>
  <si>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</si>
  <si>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</si>
  <si>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</si>
  <si>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</si>
  <si>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</si>
  <si>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</si>
  <si>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</si>
  <si>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</si>
  <si>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</si>
  <si>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</si>
  <si>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</si>
  <si>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</si>
  <si>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</si>
  <si>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</si>
  <si>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</si>
  <si>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</si>
  <si>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</si>
  <si>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</si>
  <si>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</si>
  <si>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</si>
  <si>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</si>
  <si>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</si>
  <si>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</si>
  <si>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</si>
  <si>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</si>
  <si>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</si>
  <si>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</si>
  <si>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</si>
  <si>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</si>
  <si>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</si>
  <si>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</si>
  <si>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</si>
  <si>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</si>
  <si>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</si>
  <si>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</si>
  <si>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</si>
  <si>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</si>
  <si>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</si>
  <si>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</si>
  <si>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</si>
  <si>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</si>
  <si>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</si>
  <si>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</si>
  <si>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</si>
  <si>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</si>
  <si>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</si>
  <si>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</si>
  <si>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</si>
  <si>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</si>
  <si>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</si>
  <si>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</si>
  <si>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</si>
  <si>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</si>
  <si>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</si>
  <si>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</si>
  <si>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</si>
  <si>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</si>
  <si>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</si>
  <si>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</si>
  <si>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</si>
  <si>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</si>
  <si>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</si>
  <si>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</si>
  <si>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</si>
  <si>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</si>
  <si>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</si>
  <si>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</si>
  <si>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</si>
  <si>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</si>
  <si>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</si>
  <si>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</si>
  <si>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</si>
  <si>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</si>
  <si>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</si>
  <si>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</si>
  <si>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</si>
  <si>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</si>
  <si>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</si>
  <si>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</si>
  <si>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</si>
  <si>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</si>
  <si>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</si>
  <si>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</si>
  <si>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</si>
  <si>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</si>
  <si>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</si>
  <si>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</si>
  <si>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</si>
  <si>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</si>
  <si>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</si>
  <si>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</si>
  <si>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</si>
  <si>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</si>
  <si>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</si>
  <si>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</si>
  <si>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</si>
  <si>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</si>
  <si>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</si>
  <si>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</si>
  <si>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</si>
  <si>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</si>
  <si>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</si>
  <si>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</si>
  <si>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</si>
  <si>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</si>
  <si>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</si>
  <si>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</si>
  <si>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</si>
  <si>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</si>
  <si>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</si>
  <si>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</si>
  <si>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</si>
  <si>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</si>
  <si>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</si>
  <si>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</si>
  <si>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</si>
  <si>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</si>
  <si>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</si>
  <si>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</si>
  <si>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</si>
  <si>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</si>
  <si>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</si>
  <si>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</si>
  <si>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</si>
  <si>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</si>
  <si>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</si>
  <si>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</si>
  <si>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</si>
  <si>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</si>
  <si>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</si>
  <si>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</si>
  <si>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</si>
  <si>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</si>
  <si>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</si>
  <si>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</si>
  <si>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</si>
  <si>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</si>
  <si>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</si>
  <si>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</si>
  <si>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</si>
  <si>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</si>
  <si>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</si>
  <si>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</si>
  <si>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</si>
  <si>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</si>
  <si>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</si>
  <si>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</si>
  <si>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</si>
  <si>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</si>
  <si>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</si>
  <si>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</si>
  <si>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</si>
  <si>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</si>
  <si>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</si>
  <si>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</si>
  <si>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</si>
  <si>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</si>
  <si>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</si>
  <si>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</si>
  <si>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</si>
  <si>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</si>
  <si>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</si>
  <si>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</si>
  <si>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</si>
  <si>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</si>
  <si>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</si>
  <si>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</si>
  <si>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</si>
  <si>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</si>
  <si>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</si>
  <si>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</si>
  <si>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</si>
  <si>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</si>
  <si>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</si>
  <si>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</si>
  <si>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</si>
  <si>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</si>
  <si>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</si>
  <si>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</si>
  <si>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</si>
  <si>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</si>
  <si>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</si>
  <si>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</si>
  <si>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</si>
  <si>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</si>
  <si>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</si>
  <si>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</si>
  <si>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</si>
  <si>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</si>
  <si>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</si>
  <si>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</si>
  <si>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</si>
  <si>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</si>
  <si>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</si>
  <si>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</si>
  <si>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</si>
  <si>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</si>
  <si>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</si>
  <si>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</si>
  <si>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</si>
  <si>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</si>
  <si>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</si>
  <si>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</si>
  <si>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</si>
  <si>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</si>
  <si>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</si>
  <si>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</si>
  <si>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</si>
  <si>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</si>
  <si>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</si>
  <si>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</si>
  <si>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</si>
  <si>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</si>
  <si>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</si>
  <si>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</si>
  <si>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</si>
  <si>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</si>
  <si>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</si>
  <si>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</si>
  <si>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</si>
  <si>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</si>
  <si>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</si>
  <si>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</si>
  <si>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</si>
  <si>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</si>
  <si>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</si>
  <si>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</si>
  <si>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</si>
  <si>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</si>
  <si>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</si>
  <si>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</si>
  <si>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</si>
  <si>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</si>
  <si>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</si>
  <si>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</si>
  <si>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</si>
  <si>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</si>
  <si>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</si>
  <si>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</si>
  <si>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</si>
  <si>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</si>
  <si>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</si>
  <si>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</si>
  <si>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</si>
  <si>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</si>
  <si>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</si>
  <si>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</si>
  <si>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</si>
  <si>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</si>
  <si>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</si>
  <si>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</si>
  <si>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</si>
  <si>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</si>
  <si>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</si>
  <si>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</si>
  <si>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</si>
  <si>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</si>
  <si>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</si>
  <si>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</si>
  <si>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</si>
  <si>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</si>
  <si>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</si>
  <si>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</si>
  <si>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</si>
  <si>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</si>
  <si>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</si>
  <si>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</si>
  <si>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</si>
  <si>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</si>
  <si>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</si>
  <si>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</si>
  <si>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</si>
  <si>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</si>
  <si>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</si>
  <si>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</si>
  <si>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</si>
  <si>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</si>
  <si>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</si>
  <si>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</si>
  <si>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</si>
  <si>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</si>
  <si>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</si>
  <si>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</si>
  <si>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</si>
  <si>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</si>
  <si>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</si>
  <si>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</si>
  <si>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</si>
  <si>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</si>
  <si>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</si>
  <si>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</si>
  <si>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</si>
  <si>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</si>
  <si>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</si>
  <si>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</si>
  <si>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</si>
  <si>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</si>
  <si>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</si>
  <si>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</si>
  <si>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</si>
  <si>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</si>
  <si>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</si>
  <si>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</si>
  <si>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</si>
  <si>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</si>
  <si>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</si>
  <si>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</si>
  <si>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</si>
  <si>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</si>
  <si>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</si>
  <si>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</si>
  <si>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</si>
  <si>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</si>
  <si>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</si>
  <si>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</si>
  <si>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</si>
  <si>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</si>
  <si>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</si>
  <si>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</si>
  <si>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</si>
  <si>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</si>
  <si>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</si>
  <si>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</si>
  <si>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</si>
  <si>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</si>
  <si>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</si>
  <si>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</si>
  <si>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</si>
  <si>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</si>
  <si>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</si>
  <si>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</si>
  <si>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</si>
  <si>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</si>
  <si>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</si>
  <si>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</si>
  <si>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</si>
  <si>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</si>
  <si>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</si>
  <si>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</si>
  <si>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</si>
  <si>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</si>
  <si>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</si>
  <si>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</si>
  <si>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</si>
  <si>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</si>
  <si>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</si>
  <si>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</si>
  <si>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</si>
  <si>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</si>
  <si>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</si>
  <si>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</si>
  <si>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</si>
  <si>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</si>
  <si>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</si>
  <si>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</si>
  <si>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</si>
  <si>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</si>
  <si>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</si>
  <si>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</si>
  <si>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</si>
  <si>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</si>
  <si>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</si>
  <si>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</si>
  <si>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</si>
  <si>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</si>
  <si>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</si>
  <si>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</si>
  <si>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</si>
  <si>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</si>
  <si>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</si>
  <si>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</si>
  <si>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</si>
  <si>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</si>
  <si>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</si>
  <si>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</si>
  <si>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</si>
  <si>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</si>
  <si>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</si>
  <si>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</si>
  <si>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</si>
  <si>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</si>
  <si>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</si>
  <si>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</si>
  <si>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</si>
  <si>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</si>
  <si>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</si>
  <si>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</si>
  <si>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</si>
  <si>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</si>
  <si>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</si>
  <si>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</si>
  <si>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</si>
  <si>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</si>
  <si>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</si>
  <si>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</si>
  <si>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</si>
  <si>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</si>
  <si>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</si>
  <si>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</si>
  <si>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</si>
  <si>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</si>
  <si>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</si>
  <si>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</si>
  <si>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</si>
  <si>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</si>
  <si>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</si>
  <si>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</si>
  <si>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</si>
  <si>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</si>
  <si>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</si>
  <si>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</si>
  <si>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</si>
  <si>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</si>
  <si>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</si>
  <si>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</si>
  <si>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</si>
  <si>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</si>
  <si>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</si>
  <si>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</si>
  <si>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</si>
  <si>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</si>
  <si>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</si>
  <si>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</si>
  <si>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</si>
  <si>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</si>
  <si>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</si>
  <si>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</si>
  <si>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</si>
  <si>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</si>
  <si>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</si>
  <si>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</si>
  <si>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</si>
  <si>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</si>
  <si>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</si>
  <si>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</si>
  <si>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</si>
  <si>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</si>
  <si>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</si>
  <si>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</si>
  <si>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</si>
  <si>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</si>
  <si>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</si>
  <si>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</si>
  <si>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</si>
  <si>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</si>
  <si>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</si>
  <si>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</si>
  <si>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</si>
  <si>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</si>
  <si>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</si>
  <si>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</si>
  <si>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</si>
  <si>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</si>
  <si>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</si>
  <si>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</si>
  <si>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</si>
  <si>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</si>
  <si>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</si>
  <si>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</si>
  <si>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</si>
  <si>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</si>
  <si>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</si>
  <si>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</si>
  <si>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</si>
  <si>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</si>
  <si>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</si>
  <si>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</si>
  <si>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</si>
  <si>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</si>
  <si>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</si>
  <si>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</si>
  <si>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</si>
  <si>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</si>
  <si>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</si>
  <si>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</si>
  <si>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</si>
  <si>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</si>
  <si>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</si>
  <si>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</si>
  <si>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</si>
  <si>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</si>
  <si>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</si>
  <si>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</si>
  <si>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</si>
  <si>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</si>
  <si>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</si>
  <si>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</si>
  <si>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</si>
  <si>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</si>
  <si>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</si>
  <si>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</si>
  <si>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</si>
  <si>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</si>
  <si>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</si>
  <si>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</si>
  <si>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</si>
  <si>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</si>
  <si>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</si>
  <si>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</si>
  <si>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</si>
  <si>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</si>
  <si>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</si>
  <si>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</si>
  <si>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</si>
  <si>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</si>
  <si>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</si>
  <si>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</si>
  <si>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</si>
  <si>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</si>
  <si>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</si>
  <si>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</si>
  <si>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</si>
  <si>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</si>
  <si>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</si>
  <si>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</si>
  <si>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</si>
  <si>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</si>
  <si>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</si>
  <si>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</si>
  <si>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</si>
  <si>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</si>
  <si>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</si>
  <si>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</si>
  <si>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</si>
  <si>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</si>
  <si>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</si>
  <si>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</si>
  <si>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</si>
  <si>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</si>
  <si>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</si>
  <si>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</si>
  <si>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</si>
  <si>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</si>
  <si>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</si>
  <si>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</si>
  <si>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</si>
  <si>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</si>
  <si>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</si>
  <si>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</si>
  <si>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</si>
  <si>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</si>
  <si>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</si>
  <si>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</si>
  <si>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</si>
  <si>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</si>
  <si>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</si>
  <si>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</si>
  <si>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</si>
  <si>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</si>
  <si>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</si>
  <si>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</si>
  <si>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</si>
  <si>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</si>
  <si>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</si>
  <si>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</si>
  <si>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</si>
  <si>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</si>
  <si>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</si>
  <si>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</si>
  <si>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</si>
  <si>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</si>
  <si>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</si>
  <si>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</si>
  <si>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</si>
  <si>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</si>
  <si>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</si>
  <si>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</si>
  <si>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</si>
  <si>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</si>
  <si>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</si>
  <si>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</si>
  <si>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</si>
  <si>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</si>
  <si>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</si>
  <si>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</si>
  <si>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</si>
  <si>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</si>
  <si>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</si>
  <si>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</si>
  <si>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</si>
  <si>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</si>
  <si>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</si>
  <si>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</si>
  <si>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</si>
  <si>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</si>
  <si>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</si>
  <si>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</si>
  <si>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</si>
  <si>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</si>
  <si>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</si>
  <si>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</si>
  <si>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</si>
  <si>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</si>
  <si>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</si>
  <si>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</si>
  <si>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</si>
  <si>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</si>
  <si>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</si>
  <si>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</si>
  <si>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</si>
  <si>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</si>
  <si>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</si>
  <si>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</si>
  <si>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</si>
  <si>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</si>
  <si>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</si>
  <si>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</si>
  <si>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</si>
  <si>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</si>
  <si>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</si>
  <si>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</si>
  <si>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</si>
  <si>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</si>
  <si>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</si>
  <si>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</si>
  <si>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</si>
  <si>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</si>
  <si>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</si>
  <si>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</si>
  <si>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</si>
  <si>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</si>
  <si>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</si>
  <si>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</si>
  <si>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</si>
  <si>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</si>
  <si>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</si>
  <si>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</si>
  <si>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</si>
  <si>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</si>
  <si>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</si>
  <si>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</si>
  <si>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</si>
  <si>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</si>
  <si>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</si>
  <si>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</si>
  <si>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</si>
  <si>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</si>
  <si>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</si>
  <si>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</si>
  <si>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</si>
  <si>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</si>
  <si>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</si>
  <si>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</si>
  <si>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</si>
  <si>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</si>
  <si>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</si>
  <si>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</si>
  <si>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</si>
  <si>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</si>
  <si>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</si>
  <si>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</si>
  <si>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</si>
  <si>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</si>
  <si>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</si>
  <si>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</si>
  <si>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</si>
  <si>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</si>
  <si>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</si>
  <si>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</si>
  <si>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</si>
  <si>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</si>
  <si>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</si>
  <si>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</si>
  <si>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</si>
  <si>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</si>
  <si>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</si>
  <si>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</si>
  <si>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</si>
  <si>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</si>
  <si>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</si>
  <si>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</si>
  <si>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</si>
  <si>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</si>
  <si>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</si>
  <si>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</si>
  <si>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</si>
  <si>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</si>
  <si>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</si>
  <si>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</si>
  <si>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</si>
  <si>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</si>
  <si>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</si>
  <si>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</si>
  <si>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</si>
  <si>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</si>
  <si>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</si>
  <si>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</si>
  <si>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</si>
  <si>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</si>
  <si>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</si>
  <si>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</si>
  <si>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</si>
  <si>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</si>
  <si>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</si>
  <si>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</si>
  <si>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</si>
  <si>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</si>
  <si>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</si>
  <si>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</si>
  <si>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</si>
  <si>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</si>
  <si>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</si>
  <si>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</si>
  <si>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</si>
  <si>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</si>
  <si>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</si>
  <si>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</si>
  <si>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</si>
  <si>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</si>
  <si>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</si>
  <si>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</si>
  <si>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</si>
  <si>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</si>
  <si>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</si>
  <si>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</si>
  <si>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</si>
  <si>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</si>
  <si>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</si>
  <si>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</si>
  <si>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</si>
  <si>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</si>
  <si>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</si>
  <si>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</si>
  <si>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</si>
  <si>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</si>
  <si>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</si>
  <si>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</si>
  <si>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</si>
  <si>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</si>
  <si>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</si>
  <si>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</si>
  <si>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</si>
  <si>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</si>
  <si>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</si>
  <si>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</si>
  <si>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</si>
  <si>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</si>
  <si>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</si>
  <si>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</si>
  <si>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</si>
  <si>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</si>
  <si>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</si>
  <si>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</si>
  <si>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</si>
  <si>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</si>
  <si>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</si>
  <si>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</si>
  <si>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</si>
  <si>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</si>
  <si>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</si>
  <si>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</si>
  <si>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</si>
  <si>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</si>
  <si>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</si>
  <si>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</si>
  <si>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</si>
  <si>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</si>
  <si>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</si>
  <si>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</si>
  <si>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</si>
  <si>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</si>
  <si>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</si>
  <si>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</si>
  <si>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</si>
  <si>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</si>
  <si>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</si>
  <si>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</si>
  <si>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</si>
  <si>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</si>
  <si>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</si>
  <si>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</si>
  <si>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</si>
  <si>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</si>
  <si>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</si>
  <si>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</si>
  <si>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</si>
  <si>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</si>
  <si>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</si>
  <si>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</si>
  <si>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</si>
  <si>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</si>
  <si>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</si>
  <si>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</si>
  <si>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</si>
  <si>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</si>
  <si>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</si>
  <si>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</si>
  <si>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</si>
  <si>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</si>
  <si>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</si>
  <si>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</si>
  <si>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</si>
  <si>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</si>
  <si>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</si>
  <si>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</si>
  <si>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</si>
  <si>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</si>
  <si>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</si>
  <si>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</si>
  <si>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</si>
  <si>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</si>
  <si>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</si>
  <si>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</si>
  <si>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</si>
  <si>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</si>
  <si>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</si>
  <si>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</si>
  <si>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</si>
  <si>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</si>
  <si>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</si>
  <si>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</si>
  <si>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</si>
  <si>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</si>
  <si>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</si>
  <si>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</si>
  <si>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</si>
  <si>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</si>
  <si>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</si>
  <si>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</si>
  <si>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</si>
  <si>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</si>
  <si>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</si>
  <si>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</si>
  <si>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</si>
  <si>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</si>
  <si>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</si>
  <si>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</si>
  <si>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</si>
  <si>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</si>
  <si>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</si>
  <si>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</si>
  <si>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</si>
  <si>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</si>
  <si>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</si>
  <si>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</si>
  <si>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</si>
  <si>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</si>
  <si>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</si>
  <si>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</si>
  <si>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</si>
  <si>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</si>
  <si>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</si>
  <si>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</si>
  <si>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</si>
  <si>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</si>
  <si>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</si>
  <si>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</si>
  <si>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</si>
  <si>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</si>
  <si>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</si>
  <si>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</si>
  <si>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</si>
  <si>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</si>
  <si>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</si>
  <si>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</si>
  <si>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</si>
  <si>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</si>
  <si>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</si>
  <si>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</si>
  <si>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</si>
  <si>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</si>
  <si>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</si>
  <si>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</si>
  <si>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</si>
  <si>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</si>
  <si>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</si>
  <si>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</si>
  <si>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</si>
  <si>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</si>
  <si>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</si>
  <si>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</si>
  <si>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</si>
  <si>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</si>
  <si>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</si>
  <si>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</si>
  <si>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</si>
  <si>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</si>
  <si>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</si>
  <si>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</si>
  <si>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</si>
  <si>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</si>
  <si>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</si>
  <si>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</si>
  <si>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</si>
  <si>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</si>
  <si>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</si>
  <si>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</si>
  <si>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</si>
  <si>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</si>
  <si>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</si>
  <si>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</si>
  <si>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</si>
  <si>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</si>
  <si>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</si>
  <si>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</si>
  <si>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</si>
  <si>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</si>
  <si>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</si>
  <si>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</si>
  <si>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</si>
  <si>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</si>
  <si>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</si>
  <si>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</si>
  <si>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</si>
  <si>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</si>
  <si>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</si>
  <si>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</si>
  <si>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</si>
  <si>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</si>
  <si>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</si>
  <si>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</si>
  <si>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</si>
  <si>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</si>
  <si>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</si>
  <si>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</si>
  <si>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</si>
  <si>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</si>
  <si>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</si>
  <si>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</si>
  <si>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</si>
  <si>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</si>
  <si>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</si>
  <si>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</si>
  <si>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</si>
  <si>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</si>
  <si>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</si>
  <si>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</si>
  <si>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</si>
  <si>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</si>
  <si>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</si>
  <si>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</si>
  <si>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</si>
  <si>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</si>
  <si>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</si>
  <si>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</si>
  <si>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</si>
  <si>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</si>
  <si>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</si>
  <si>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</si>
  <si>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</si>
  <si>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</si>
  <si>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</si>
  <si>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</si>
  <si>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</si>
  <si>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</si>
  <si>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</si>
  <si>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</si>
  <si>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</si>
  <si>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</si>
  <si>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</si>
  <si>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</si>
  <si>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</si>
  <si>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</si>
  <si>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</si>
  <si>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</si>
  <si>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</si>
  <si>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</si>
  <si>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</si>
  <si>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</si>
  <si>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</si>
  <si>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</si>
  <si>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</si>
  <si>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</si>
  <si>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</si>
  <si>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</si>
  <si>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</si>
  <si>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</si>
  <si>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</si>
  <si>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</si>
  <si>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</si>
  <si>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</si>
  <si>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</si>
  <si>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</si>
  <si>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</si>
  <si>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</si>
  <si>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</si>
  <si>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</si>
  <si>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</si>
  <si>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</si>
  <si>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</si>
  <si>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</si>
  <si>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</si>
  <si>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</si>
  <si>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</si>
  <si>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</si>
  <si>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</si>
  <si>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</si>
  <si>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</si>
  <si>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</si>
  <si>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</si>
  <si>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</si>
  <si>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</si>
  <si>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</si>
  <si>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</si>
  <si>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</si>
  <si>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</si>
  <si>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</si>
  <si>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</si>
  <si>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</si>
  <si>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</si>
  <si>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</si>
  <si>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</si>
  <si>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</si>
  <si>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</si>
  <si>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</si>
  <si>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</si>
  <si>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</si>
  <si>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</si>
  <si>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</si>
  <si>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</si>
  <si>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</si>
  <si>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</si>
  <si>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</si>
  <si>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</si>
  <si>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</si>
  <si>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</si>
  <si>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</si>
  <si>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</si>
  <si>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</si>
  <si>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</si>
  <si>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</si>
  <si>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</si>
  <si>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</si>
  <si>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</si>
  <si>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</si>
  <si>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</si>
  <si>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</si>
  <si>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</si>
  <si>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</si>
  <si>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</si>
  <si>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</si>
  <si>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</si>
  <si>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</si>
  <si>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</si>
  <si>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</si>
  <si>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</si>
  <si>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</si>
  <si>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</si>
  <si>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</si>
  <si>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</si>
  <si>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</si>
  <si>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</si>
  <si>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</si>
  <si>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</si>
  <si>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</si>
  <si>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</si>
  <si>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</si>
  <si>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</si>
  <si>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</si>
  <si>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</si>
  <si>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</si>
  <si>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</si>
  <si>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</si>
  <si>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</si>
  <si>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</si>
  <si>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</si>
  <si>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</si>
  <si>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</si>
  <si>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</si>
  <si>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</si>
  <si>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</si>
  <si>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</si>
  <si>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</si>
  <si>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</si>
  <si>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</si>
  <si>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</si>
  <si>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</si>
  <si>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</si>
  <si>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</si>
  <si>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</si>
  <si>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</si>
  <si>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</si>
  <si>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</si>
  <si>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</si>
  <si>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</si>
  <si>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</si>
  <si>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</si>
  <si>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</si>
  <si>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</si>
  <si>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</si>
  <si>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</si>
  <si>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</si>
  <si>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</si>
  <si>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</si>
  <si>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</si>
  <si>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</si>
  <si>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</si>
  <si>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</si>
  <si>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</si>
  <si>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</si>
  <si>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</si>
  <si>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</si>
  <si>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</si>
  <si>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</si>
  <si>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</si>
  <si>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</si>
  <si>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</si>
  <si>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</si>
  <si>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</si>
  <si>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</si>
  <si>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</si>
  <si>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</si>
  <si>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</si>
  <si>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</si>
  <si>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</si>
  <si>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</si>
  <si>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</si>
  <si>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</si>
  <si>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</si>
  <si>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</si>
  <si>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</si>
  <si>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</si>
  <si>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</si>
  <si>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</si>
  <si>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</si>
  <si>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</si>
  <si>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</si>
  <si>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</si>
  <si>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</si>
  <si>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</si>
  <si>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</si>
  <si>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</si>
  <si>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</si>
  <si>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</si>
  <si>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</si>
  <si>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</si>
  <si>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</si>
  <si>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</si>
  <si>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</si>
  <si>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</si>
  <si>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</si>
  <si>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</si>
  <si>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</si>
  <si>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</si>
  <si>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</si>
  <si>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</si>
  <si>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</si>
  <si>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</si>
  <si>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</si>
  <si>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</si>
  <si>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</si>
  <si>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</si>
  <si>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</si>
  <si>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</si>
  <si>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</si>
  <si>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</si>
  <si>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</si>
  <si>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</si>
  <si>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</si>
  <si>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</si>
  <si>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</si>
  <si>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</si>
  <si>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</si>
  <si>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</si>
  <si>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</si>
  <si>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</si>
  <si>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</si>
  <si>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</si>
  <si>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</si>
  <si>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</si>
  <si>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</si>
  <si>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</si>
  <si>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</si>
  <si>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</si>
  <si>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</si>
  <si>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</si>
  <si>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</si>
  <si>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</si>
  <si>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</si>
  <si>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</si>
  <si>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</si>
  <si>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</si>
  <si>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</si>
  <si>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</si>
  <si>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</si>
  <si>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</si>
  <si>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</si>
  <si>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</si>
  <si>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</si>
  <si>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</si>
  <si>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</si>
  <si>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</si>
  <si>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</si>
  <si>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</si>
  <si>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</si>
  <si>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</si>
  <si>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</si>
  <si>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</si>
  <si>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</si>
  <si>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</si>
  <si>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</si>
  <si>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</si>
  <si>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</si>
  <si>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</si>
  <si>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</si>
  <si>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</si>
  <si>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</si>
  <si>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</si>
  <si>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</si>
  <si>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</si>
  <si>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</si>
  <si>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</si>
  <si>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</si>
  <si>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</si>
  <si>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</si>
  <si>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</si>
  <si>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</si>
  <si>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</si>
  <si>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</si>
  <si>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</si>
  <si>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</si>
  <si>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</si>
  <si>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</si>
  <si>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</si>
  <si>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</si>
  <si>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</si>
  <si>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</si>
  <si>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</si>
  <si>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</si>
  <si>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</si>
  <si>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</si>
  <si>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</si>
  <si>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</si>
  <si>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</si>
  <si>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</si>
  <si>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</si>
  <si>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</si>
  <si>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</si>
  <si>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</si>
  <si>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</si>
  <si>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</si>
  <si>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</si>
  <si>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</si>
  <si>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</si>
  <si>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</si>
  <si>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</si>
  <si>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</si>
  <si>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</si>
  <si>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</si>
  <si>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</si>
  <si>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</si>
  <si>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</si>
  <si>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</si>
  <si>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</si>
  <si>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</si>
  <si>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</si>
  <si>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</si>
  <si>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</si>
  <si>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</si>
  <si>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</si>
  <si>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</si>
  <si>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</si>
  <si>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</si>
  <si>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</si>
  <si>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</si>
  <si>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</si>
  <si>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</si>
  <si>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</si>
  <si>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</si>
  <si>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</si>
  <si>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</si>
  <si>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</si>
  <si>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</si>
  <si>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</si>
  <si>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</si>
  <si>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</si>
  <si>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</si>
  <si>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</si>
  <si>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</si>
  <si>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</si>
  <si>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</si>
  <si>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</si>
  <si>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</si>
  <si>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</si>
  <si>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</si>
  <si>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</si>
  <si>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</si>
  <si>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</si>
  <si>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</si>
  <si>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</si>
  <si>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</si>
  <si>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</si>
  <si>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</si>
  <si>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</si>
  <si>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</si>
  <si>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</si>
  <si>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</si>
  <si>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</si>
  <si>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</si>
  <si>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</si>
  <si>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</si>
  <si>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</si>
  <si>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</si>
  <si>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</si>
  <si>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</si>
  <si>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</si>
  <si>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</si>
  <si>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</si>
  <si>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</si>
  <si>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</si>
  <si>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</si>
  <si>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</si>
  <si>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</si>
  <si>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</si>
  <si>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</si>
  <si>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</si>
  <si>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</si>
  <si>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</si>
  <si>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</si>
  <si>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</si>
  <si>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</si>
  <si>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</si>
  <si>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</si>
  <si>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</si>
  <si>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</si>
  <si>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</si>
  <si>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</si>
  <si>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</si>
  <si>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</si>
  <si>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</si>
  <si>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</si>
  <si>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</si>
  <si>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</si>
  <si>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</si>
  <si>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</si>
  <si>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</si>
  <si>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</si>
  <si>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</si>
  <si>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</si>
  <si>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</si>
  <si>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</si>
  <si>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</si>
  <si>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</si>
  <si>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</si>
  <si>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</si>
  <si>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</si>
  <si>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</si>
  <si>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</si>
  <si>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</si>
  <si>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</si>
  <si>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</si>
  <si>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</si>
  <si>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</si>
  <si>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</si>
  <si>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</si>
  <si>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</si>
  <si>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</si>
  <si>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</si>
  <si>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</si>
  <si>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</si>
  <si>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</si>
  <si>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</si>
  <si>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</si>
  <si>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</si>
  <si>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</si>
  <si>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</si>
  <si>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</si>
  <si>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</si>
  <si>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</si>
  <si>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</si>
  <si>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</si>
  <si>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</si>
  <si>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</si>
  <si>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</si>
  <si>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</si>
  <si>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</si>
  <si>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</si>
  <si>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</si>
  <si>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</si>
  <si>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</si>
  <si>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</si>
  <si>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</si>
  <si>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</si>
  <si>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</si>
  <si>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</si>
  <si>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</si>
  <si>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</si>
  <si>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</si>
  <si>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</si>
  <si>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</si>
  <si>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</si>
  <si>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</si>
  <si>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</si>
  <si>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</si>
  <si>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</si>
  <si>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</si>
  <si>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</si>
  <si>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</si>
  <si>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</si>
  <si>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</si>
  <si>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</si>
  <si>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</si>
  <si>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</si>
  <si>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</si>
  <si>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</si>
  <si>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</si>
  <si>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</si>
  <si>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</si>
  <si>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</si>
  <si>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</si>
  <si>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</si>
  <si>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</si>
  <si>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</si>
  <si>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</si>
  <si>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</si>
  <si>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</si>
  <si>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</si>
  <si>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</si>
  <si>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</si>
  <si>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</si>
  <si>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</si>
  <si>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</si>
  <si>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</si>
  <si>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</si>
  <si>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</si>
  <si>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</si>
  <si>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</si>
  <si>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</si>
  <si>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</si>
  <si>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</si>
  <si>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</si>
  <si>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</si>
  <si>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</si>
  <si>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</si>
  <si>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</si>
  <si>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</si>
  <si>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</si>
  <si>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</si>
  <si>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</si>
  <si>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</si>
  <si>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</si>
  <si>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</si>
  <si>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</si>
  <si>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</si>
  <si>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</si>
  <si>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</si>
  <si>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</si>
  <si>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</si>
  <si>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</si>
  <si>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</si>
  <si>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</si>
  <si>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</si>
  <si>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</si>
  <si>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</si>
  <si>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</si>
  <si>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</si>
  <si>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</si>
  <si>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</si>
  <si>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</si>
  <si>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</si>
  <si>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</si>
  <si>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</si>
  <si>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</si>
  <si>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</si>
  <si>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</si>
  <si>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</si>
  <si>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</si>
  <si>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</si>
  <si>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</si>
  <si>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</si>
  <si>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</si>
  <si>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</si>
  <si>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</si>
  <si>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</si>
  <si>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</si>
  <si>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</si>
  <si>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</si>
  <si>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</si>
  <si>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</si>
  <si>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</si>
  <si>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</si>
  <si>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</si>
  <si>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</si>
  <si>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</si>
  <si>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</si>
  <si>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</si>
  <si>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</si>
  <si>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</si>
  <si>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</si>
  <si>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</si>
  <si>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</si>
  <si>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</si>
  <si>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</si>
  <si>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</si>
  <si>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</si>
  <si>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</si>
  <si>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</si>
  <si>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</si>
  <si>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</si>
  <si>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</si>
  <si>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</si>
  <si>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</si>
  <si>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</si>
  <si>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</si>
  <si>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</si>
  <si>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</si>
  <si>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</si>
  <si>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</si>
  <si>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</si>
  <si>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</si>
  <si>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</si>
  <si>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</si>
  <si>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</si>
  <si>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</si>
  <si>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</si>
  <si>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</si>
  <si>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</si>
  <si>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</si>
  <si>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</si>
  <si>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</si>
  <si>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</si>
  <si>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</si>
  <si>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</si>
  <si>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</si>
  <si>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</si>
  <si>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</si>
  <si>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</si>
  <si>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</si>
  <si>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</si>
  <si>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</si>
  <si>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</si>
  <si>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</si>
  <si>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</si>
  <si>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</si>
  <si>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</si>
  <si>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</si>
  <si>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</si>
  <si>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</si>
  <si>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</si>
  <si>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</si>
  <si>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</si>
  <si>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</si>
  <si>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</si>
  <si>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</si>
  <si>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</si>
  <si>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</si>
  <si>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</si>
  <si>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</si>
  <si>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</si>
  <si>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</si>
  <si>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</si>
  <si>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</si>
  <si>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</si>
  <si>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</si>
  <si>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</si>
  <si>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</si>
  <si>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</si>
  <si>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</si>
  <si>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</si>
  <si>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</si>
  <si>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</si>
  <si>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</si>
  <si>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</si>
  <si>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</si>
  <si>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</si>
  <si>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</si>
  <si>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</si>
  <si>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</si>
  <si>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</si>
  <si>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</si>
  <si>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</si>
  <si>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</si>
  <si>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</si>
  <si>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</si>
  <si>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</si>
  <si>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</si>
  <si>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</si>
  <si>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</si>
  <si>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</si>
  <si>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</si>
  <si>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</si>
  <si>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</si>
  <si>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</si>
  <si>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</si>
  <si>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</si>
  <si>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</si>
  <si>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</si>
  <si>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</si>
  <si>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</si>
  <si>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</si>
  <si>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</si>
  <si>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</si>
  <si>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</si>
  <si>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</si>
  <si>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</si>
  <si>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</si>
  <si>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</si>
  <si>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</si>
  <si>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</si>
  <si>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</si>
  <si>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</si>
  <si>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</si>
  <si>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</si>
  <si>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</si>
  <si>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</si>
  <si>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</si>
  <si>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</si>
  <si>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</si>
  <si>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</si>
  <si>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</si>
  <si>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</si>
  <si>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</si>
  <si>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</si>
  <si>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</si>
  <si>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</si>
  <si>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</si>
  <si>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</si>
  <si>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</si>
  <si>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</si>
  <si>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</si>
  <si>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</si>
  <si>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</si>
  <si>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</si>
  <si>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</si>
  <si>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</si>
  <si>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</si>
  <si>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</si>
  <si>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</si>
  <si>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</si>
  <si>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</si>
  <si>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</si>
  <si>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</si>
  <si>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</si>
  <si>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</si>
  <si>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</si>
  <si>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</si>
  <si>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</si>
  <si>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</si>
  <si>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</si>
  <si>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</si>
  <si>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</si>
  <si>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</si>
  <si>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</si>
  <si>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</si>
  <si>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</si>
  <si>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</si>
  <si>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</si>
  <si>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</si>
  <si>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</si>
  <si>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</si>
  <si>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</si>
  <si>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</si>
  <si>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</si>
  <si>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</si>
  <si>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</si>
  <si>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</si>
  <si>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</si>
  <si>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</si>
  <si>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</si>
  <si>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</si>
  <si>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</si>
  <si>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</si>
  <si>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</si>
  <si>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</si>
  <si>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</si>
  <si>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</si>
  <si>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</si>
  <si>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</si>
  <si>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</si>
  <si>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</si>
  <si>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</si>
  <si>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</si>
  <si>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</si>
  <si>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</si>
  <si>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</si>
  <si>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</si>
  <si>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</si>
  <si>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</si>
  <si>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</si>
  <si>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</si>
  <si>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</si>
  <si>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</si>
  <si>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</si>
  <si>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</si>
  <si>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</si>
  <si>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</si>
  <si>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</si>
  <si>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</si>
  <si>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</si>
  <si>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</si>
  <si>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</si>
  <si>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</si>
  <si>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</si>
  <si>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</si>
  <si>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</si>
  <si>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</si>
  <si>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</si>
  <si>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</si>
  <si>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</si>
  <si>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</si>
  <si>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</si>
  <si>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</si>
  <si>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</si>
  <si>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</si>
  <si>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</si>
  <si>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</si>
  <si>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</si>
  <si>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</si>
  <si>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</si>
  <si>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</si>
  <si>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</si>
  <si>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</si>
  <si>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</si>
  <si>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</si>
  <si>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</si>
  <si>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</si>
  <si>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</si>
  <si>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</si>
  <si>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</si>
  <si>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</si>
  <si>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</si>
  <si>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</si>
  <si>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</si>
  <si>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</si>
  <si>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</si>
  <si>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</si>
  <si>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</si>
  <si>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</si>
  <si>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</si>
  <si>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</si>
  <si>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</si>
  <si>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</si>
  <si>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</si>
  <si>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</si>
  <si>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</si>
  <si>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</si>
  <si>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</si>
  <si>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</si>
  <si>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</si>
  <si>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</si>
  <si>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</si>
  <si>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</si>
  <si>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</si>
  <si>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</si>
  <si>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</si>
  <si>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</si>
  <si>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</si>
  <si>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</si>
  <si>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</si>
  <si>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</si>
  <si>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</si>
  <si>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</si>
  <si>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</si>
  <si>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</si>
  <si>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</si>
  <si>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</si>
  <si>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</si>
  <si>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</si>
  <si>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</si>
  <si>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</si>
  <si>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</si>
  <si>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</si>
  <si>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</si>
  <si>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</si>
  <si>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</si>
  <si>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</si>
  <si>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</si>
  <si>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</si>
  <si>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</si>
  <si>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</si>
  <si>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</si>
  <si>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</si>
  <si>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</si>
  <si>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</si>
  <si>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</si>
  <si>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</si>
  <si>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</si>
  <si>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</si>
  <si>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</si>
  <si>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</si>
  <si>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</si>
  <si>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</si>
  <si>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</si>
  <si>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</si>
  <si>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</si>
  <si>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</si>
  <si>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</si>
  <si>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</si>
  <si>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</si>
  <si>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</si>
  <si>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</si>
  <si>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</si>
  <si>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</si>
  <si>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</si>
  <si>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</si>
  <si>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</si>
  <si>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</si>
  <si>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</si>
  <si>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</si>
  <si>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</si>
  <si>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</si>
  <si>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</si>
  <si>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</si>
  <si>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</si>
  <si>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</si>
  <si>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</si>
  <si>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</si>
  <si>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</si>
  <si>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</si>
  <si>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</si>
  <si>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</si>
  <si>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</si>
  <si>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</si>
  <si>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</si>
  <si>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</si>
  <si>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</si>
  <si>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</si>
  <si>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</si>
  <si>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</si>
  <si>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</si>
  <si>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</si>
  <si>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</si>
  <si>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</si>
  <si>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</si>
  <si>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</si>
  <si>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</si>
  <si>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</si>
  <si>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</si>
  <si>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</si>
  <si>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</si>
  <si>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</si>
  <si>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</si>
  <si>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</si>
  <si>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</si>
  <si>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</si>
  <si>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</si>
  <si>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</si>
  <si>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</si>
  <si>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</si>
  <si>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</si>
  <si>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</si>
  <si>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</si>
  <si>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</si>
  <si>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</si>
  <si>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</si>
  <si>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</si>
  <si>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</si>
  <si>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</si>
  <si>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</si>
  <si>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</si>
  <si>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</si>
  <si>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</si>
  <si>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</si>
  <si>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</si>
  <si>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</si>
  <si>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</si>
  <si>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</si>
  <si>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</si>
  <si>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</si>
  <si>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</si>
  <si>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</si>
  <si>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</si>
  <si>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</si>
  <si>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</si>
  <si>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</si>
  <si>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</si>
  <si>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</si>
  <si>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</si>
  <si>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</si>
  <si>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</si>
  <si>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</si>
  <si>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</si>
  <si>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</si>
  <si>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</si>
  <si>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</si>
  <si>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</si>
  <si>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</si>
  <si>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</si>
  <si>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</si>
  <si>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</si>
  <si>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</si>
  <si>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</si>
  <si>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</si>
  <si>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</si>
  <si>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</si>
  <si>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</si>
  <si>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</si>
  <si>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</si>
  <si>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</si>
  <si>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</si>
  <si>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</si>
  <si>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</si>
  <si>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</si>
  <si>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</si>
  <si>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</si>
  <si>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</si>
  <si>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</si>
  <si>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</si>
  <si>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</si>
  <si>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</si>
  <si>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</si>
  <si>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</si>
  <si>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</si>
  <si>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</si>
  <si>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</si>
  <si>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</si>
  <si>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</si>
  <si>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</si>
  <si>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</si>
  <si>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</si>
  <si>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</si>
  <si>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</si>
  <si>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</si>
  <si>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</si>
  <si>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</si>
  <si>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</si>
  <si>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</si>
  <si>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</si>
  <si>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</si>
  <si>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</si>
  <si>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</si>
  <si>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</si>
  <si>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</si>
  <si>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</si>
  <si>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</si>
  <si>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</si>
  <si>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</si>
  <si>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</si>
  <si>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</si>
  <si>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</si>
  <si>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</si>
  <si>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</si>
  <si>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</si>
  <si>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</si>
  <si>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</si>
  <si>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</si>
  <si>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</si>
  <si>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</si>
  <si>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</si>
  <si>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</si>
  <si>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</si>
  <si>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</si>
  <si>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</si>
  <si>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</si>
  <si>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</si>
  <si>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</si>
  <si>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</si>
  <si>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</si>
  <si>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</si>
  <si>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</si>
  <si>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</si>
  <si>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</si>
  <si>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</si>
  <si>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</si>
  <si>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</si>
  <si>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</si>
  <si>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</si>
  <si>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</si>
  <si>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</si>
  <si>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</si>
  <si>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</si>
  <si>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</si>
  <si>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</si>
  <si>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</si>
  <si>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</si>
  <si>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</si>
  <si>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</si>
  <si>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</si>
  <si>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</si>
  <si>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</si>
  <si>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</si>
  <si>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</si>
  <si>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</si>
  <si>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</si>
  <si>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</si>
  <si>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</si>
  <si>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</si>
  <si>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</si>
  <si>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</si>
  <si>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</si>
  <si>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</si>
  <si>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</si>
  <si>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</si>
  <si>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</si>
  <si>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</si>
  <si>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</si>
  <si>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</si>
  <si>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</si>
  <si>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</si>
  <si>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</si>
  <si>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</si>
  <si>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</si>
  <si>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</si>
  <si>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</si>
  <si>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</si>
  <si>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</si>
  <si>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</si>
  <si>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</si>
  <si>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</si>
  <si>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</si>
  <si>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</si>
  <si>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</si>
  <si>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</si>
  <si>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</si>
  <si>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</si>
  <si>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</si>
  <si>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</si>
  <si>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</si>
  <si>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</si>
  <si>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</si>
  <si>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</si>
  <si>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</si>
  <si>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</si>
  <si>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</si>
  <si>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</si>
  <si>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</si>
  <si>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</si>
  <si>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</si>
  <si>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</si>
  <si>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</si>
  <si>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</si>
  <si>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</si>
  <si>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</si>
  <si>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</si>
  <si>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</si>
  <si>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</si>
  <si>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</si>
  <si>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</si>
  <si>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</si>
  <si>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</si>
  <si>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</si>
  <si>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</si>
  <si>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</si>
  <si>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</si>
  <si>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</si>
  <si>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</si>
  <si>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</si>
  <si>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</si>
  <si>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</si>
  <si>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</si>
  <si>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</si>
  <si>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</si>
  <si>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</si>
  <si>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</si>
  <si>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</si>
  <si>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</si>
  <si>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</si>
  <si>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</si>
  <si>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</si>
  <si>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</si>
  <si>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</si>
  <si>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</si>
  <si>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</si>
  <si>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</si>
  <si>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</si>
  <si>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</si>
  <si>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</si>
  <si>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</si>
  <si>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</si>
  <si>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</si>
  <si>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</si>
  <si>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</si>
  <si>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</si>
  <si>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</si>
  <si>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</si>
  <si>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</si>
  <si>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</si>
  <si>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</si>
  <si>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</si>
  <si>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</si>
  <si>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</si>
  <si>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</si>
  <si>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</si>
  <si>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</si>
  <si>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</si>
  <si>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</si>
  <si>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</si>
  <si>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</si>
  <si>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</si>
  <si>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</si>
  <si>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</si>
  <si>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</si>
  <si>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</si>
  <si>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</si>
  <si>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</si>
  <si>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</si>
  <si>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</si>
  <si>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</si>
  <si>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</si>
  <si>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</si>
  <si>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</si>
  <si>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</si>
  <si>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</si>
  <si>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</si>
  <si>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</si>
  <si>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</si>
  <si>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</si>
  <si>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</si>
  <si>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</si>
  <si>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</si>
  <si>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</si>
  <si>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</si>
  <si>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</si>
  <si>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</si>
  <si>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</si>
  <si>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</si>
  <si>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</si>
  <si>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</si>
  <si>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</si>
  <si>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</si>
  <si>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</si>
  <si>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</si>
  <si>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</si>
  <si>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</si>
  <si>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</si>
  <si>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</si>
  <si>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</si>
  <si>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</si>
  <si>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</si>
  <si>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</si>
  <si>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</si>
  <si>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</si>
  <si>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</si>
  <si>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</si>
  <si>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</si>
  <si>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</si>
  <si>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</si>
  <si>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</si>
  <si>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</si>
  <si>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</si>
  <si>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</si>
  <si>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</si>
  <si>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</si>
  <si>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</si>
  <si>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</si>
  <si>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</si>
  <si>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</si>
  <si>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</si>
  <si>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</si>
  <si>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</si>
  <si>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</si>
  <si>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</si>
  <si>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</si>
  <si>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</si>
  <si>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</si>
  <si>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</si>
  <si>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</si>
  <si>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</si>
  <si>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</si>
  <si>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</si>
  <si>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</si>
  <si>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</si>
  <si>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</si>
  <si>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</si>
  <si>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</si>
  <si>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</si>
  <si>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</si>
  <si>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</si>
  <si>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</si>
  <si>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</si>
  <si>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</si>
  <si>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</si>
  <si>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</si>
  <si>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</si>
  <si>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</si>
  <si>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</si>
  <si>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</si>
  <si>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</si>
  <si>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</si>
  <si>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</si>
  <si>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</si>
  <si>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</si>
  <si>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</si>
  <si>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</si>
  <si>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</si>
  <si>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</si>
  <si>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</si>
  <si>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</si>
  <si>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</si>
  <si>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</si>
  <si>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</si>
  <si>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</si>
  <si>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</si>
  <si>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</si>
  <si>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</si>
  <si>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</si>
  <si>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</si>
  <si>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</si>
  <si>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</si>
  <si>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</si>
  <si>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</si>
  <si>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</si>
  <si>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</si>
  <si>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</si>
  <si>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</si>
  <si>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</si>
  <si>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</si>
  <si>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</si>
  <si>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</si>
  <si>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</si>
  <si>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</si>
  <si>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</si>
  <si>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</si>
  <si>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</si>
  <si>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</si>
  <si>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</si>
  <si>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</si>
  <si>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</si>
  <si>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</si>
  <si>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</si>
  <si>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</si>
  <si>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</si>
  <si>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</si>
  <si>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</si>
  <si>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</si>
  <si>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</si>
  <si>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</si>
  <si>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</si>
  <si>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</si>
  <si>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</si>
  <si>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</si>
  <si>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</si>
  <si>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</si>
  <si>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</si>
  <si>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</si>
  <si>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</si>
  <si>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</si>
  <si>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</si>
  <si>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</si>
  <si>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</si>
  <si>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</si>
  <si>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</si>
  <si>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</si>
  <si>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</si>
  <si>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</si>
  <si>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</si>
  <si>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</si>
  <si>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</si>
  <si>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</si>
  <si>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</si>
  <si>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</si>
  <si>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</si>
  <si>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</si>
  <si>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</si>
  <si>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</si>
  <si>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</si>
  <si>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</si>
  <si>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</si>
  <si>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</si>
  <si>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</si>
  <si>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</si>
  <si>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</si>
  <si>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</si>
  <si>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</si>
  <si>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</si>
  <si>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</si>
  <si>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</si>
  <si>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</si>
  <si>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</si>
  <si>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</si>
  <si>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</si>
  <si>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</si>
  <si>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</si>
  <si>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</si>
  <si>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</si>
  <si>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</si>
  <si>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</si>
  <si>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</si>
  <si>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</si>
  <si>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</si>
  <si>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</si>
  <si>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</si>
  <si>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</si>
  <si>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</si>
  <si>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</si>
  <si>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</si>
  <si>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</si>
  <si>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</si>
  <si>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</si>
  <si>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</si>
  <si>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</si>
  <si>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</si>
  <si>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</si>
  <si>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</si>
  <si>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</si>
  <si>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</si>
  <si>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</si>
  <si>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</si>
  <si>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</si>
  <si>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</si>
  <si>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</si>
  <si>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</si>
  <si>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</si>
  <si>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</si>
  <si>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</si>
  <si>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</si>
  <si>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</si>
  <si>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</si>
  <si>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</si>
  <si>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</si>
  <si>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</si>
  <si>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</si>
  <si>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</si>
  <si>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</si>
  <si>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</si>
  <si>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</si>
  <si>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</si>
  <si>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</si>
  <si>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</si>
  <si>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</si>
  <si>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</si>
  <si>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</si>
  <si>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</si>
  <si>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</si>
  <si>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</si>
  <si>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</si>
  <si>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</si>
  <si>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</si>
  <si>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</si>
  <si>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</si>
  <si>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</si>
  <si>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</si>
  <si>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</si>
  <si>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</si>
  <si>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</si>
  <si>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</si>
  <si>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</si>
  <si>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</si>
  <si>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</si>
  <si>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</si>
  <si>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</si>
  <si>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</si>
  <si>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</si>
  <si>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</si>
  <si>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</si>
  <si>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</si>
  <si>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</si>
  <si>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</si>
  <si>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</si>
  <si>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</si>
  <si>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</si>
  <si>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</si>
  <si>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</si>
  <si>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</si>
  <si>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</si>
  <si>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</si>
  <si>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</si>
  <si>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</si>
  <si>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</si>
  <si>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</si>
  <si>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</si>
  <si>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</si>
  <si>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</si>
  <si>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</si>
  <si>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</si>
  <si>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</si>
  <si>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</si>
  <si>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</si>
  <si>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</si>
  <si>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</si>
  <si>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</si>
  <si>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</si>
  <si>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</si>
  <si>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</si>
  <si>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</si>
  <si>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</si>
  <si>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</si>
  <si>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</si>
  <si>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</si>
  <si>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</si>
  <si>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</si>
  <si>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</si>
  <si>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</si>
  <si>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</si>
  <si>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</si>
  <si>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</si>
  <si>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</si>
  <si>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</si>
  <si>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</si>
  <si>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</si>
  <si>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</si>
  <si>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</si>
  <si>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</si>
  <si>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</si>
  <si>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</si>
  <si>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</si>
  <si>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</si>
  <si>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</si>
  <si>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</si>
  <si>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</si>
  <si>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</si>
  <si>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</si>
  <si>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</si>
  <si>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</si>
  <si>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</si>
  <si>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</si>
  <si>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</si>
  <si>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</si>
  <si>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</si>
  <si>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</si>
  <si>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</si>
  <si>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</si>
  <si>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</si>
  <si>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</si>
  <si>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</si>
  <si>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</si>
  <si>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</si>
  <si>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</si>
  <si>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</si>
  <si>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</si>
  <si>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</si>
  <si>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</si>
  <si>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</si>
  <si>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</si>
  <si>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</si>
  <si>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</si>
  <si>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</si>
  <si>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</si>
  <si>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</si>
  <si>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</si>
  <si>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</si>
  <si>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</si>
  <si>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</si>
  <si>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</si>
  <si>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</si>
  <si>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</si>
  <si>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</si>
  <si>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</si>
  <si>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</si>
  <si>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</si>
  <si>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</si>
  <si>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</si>
  <si>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</si>
  <si>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</si>
  <si>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</si>
  <si>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</si>
  <si>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</si>
  <si>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</si>
  <si>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</si>
  <si>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</si>
  <si>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</si>
  <si>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</si>
  <si>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</si>
  <si>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</si>
  <si>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</si>
  <si>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</si>
  <si>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</si>
  <si>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</si>
  <si>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</si>
  <si>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</si>
  <si>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</si>
  <si>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</si>
  <si>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</si>
  <si>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</si>
  <si>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</si>
  <si>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</si>
  <si>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</si>
  <si>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</si>
  <si>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</si>
  <si>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</si>
  <si>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</si>
  <si>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</si>
  <si>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</si>
  <si>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</si>
  <si>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</si>
  <si>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</si>
  <si>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</si>
  <si>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</si>
  <si>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</si>
  <si>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</si>
  <si>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</si>
  <si>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</si>
  <si>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</si>
  <si>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</si>
  <si>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</si>
  <si>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</si>
  <si>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</si>
  <si>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</si>
  <si>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</si>
  <si>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</si>
  <si>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</si>
  <si>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</si>
  <si>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</si>
  <si>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</si>
  <si>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</si>
  <si>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</si>
  <si>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</si>
  <si>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</si>
  <si>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</si>
  <si>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</si>
  <si>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</si>
  <si>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</si>
  <si>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</si>
  <si>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</si>
  <si>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</si>
  <si>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</si>
  <si>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</si>
  <si>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</si>
  <si>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</si>
  <si>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</si>
  <si>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</si>
  <si>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</si>
  <si>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</si>
  <si>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</si>
  <si>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</si>
  <si>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</si>
  <si>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</si>
  <si>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</si>
  <si>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</si>
  <si>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</si>
  <si>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</si>
  <si>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</si>
  <si>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</si>
  <si>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</si>
  <si>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</si>
  <si>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</si>
  <si>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</si>
  <si>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</si>
  <si>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</si>
  <si>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</si>
  <si>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</si>
  <si>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</si>
  <si>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</si>
  <si>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</si>
  <si>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</si>
  <si>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</si>
  <si>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</si>
  <si>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</si>
  <si>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</si>
  <si>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</si>
  <si>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</si>
  <si>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</si>
  <si>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</si>
  <si>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</si>
  <si>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</si>
  <si>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</si>
  <si>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</si>
  <si>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</si>
  <si>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</si>
  <si>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</si>
  <si>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</si>
  <si>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</si>
  <si>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</si>
  <si>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</si>
  <si>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</si>
  <si>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</si>
  <si>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</si>
  <si>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</si>
  <si>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</si>
  <si>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</si>
  <si>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</si>
  <si>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</si>
  <si>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</si>
  <si>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</si>
  <si>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</si>
  <si>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</si>
  <si>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</si>
  <si>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</si>
  <si>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</si>
  <si>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</si>
  <si>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</si>
  <si>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</si>
  <si>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</si>
  <si>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</si>
  <si>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</si>
  <si>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</si>
  <si>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</si>
  <si>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</si>
  <si>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</si>
  <si>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</si>
  <si>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</si>
  <si>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</si>
  <si>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</si>
  <si>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</si>
  <si>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</si>
  <si>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</si>
  <si>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</si>
  <si>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</si>
  <si>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</si>
  <si>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</si>
  <si>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</si>
  <si>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</si>
  <si>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</si>
  <si>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</si>
  <si>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</si>
  <si>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</si>
  <si>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</si>
  <si>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</si>
  <si>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</si>
  <si>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</si>
  <si>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</si>
  <si>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</si>
  <si>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</si>
  <si>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</si>
  <si>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</si>
  <si>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</si>
  <si>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</si>
  <si>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</si>
  <si>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</si>
  <si>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</si>
  <si>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</si>
  <si>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</si>
  <si>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</si>
  <si>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</si>
  <si>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</si>
  <si>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</si>
  <si>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</si>
  <si>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</si>
  <si>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</si>
  <si>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</si>
  <si>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</si>
  <si>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</si>
  <si>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</si>
  <si>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</si>
  <si>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</si>
  <si>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</si>
  <si>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</si>
  <si>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</si>
  <si>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</si>
  <si>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</si>
  <si>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</si>
  <si>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</si>
  <si>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</si>
  <si>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</si>
  <si>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</si>
  <si>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</si>
  <si>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</si>
  <si>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</si>
  <si>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</si>
  <si>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</si>
  <si>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</si>
  <si>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</si>
  <si>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</si>
  <si>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</si>
  <si>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</si>
  <si>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</si>
  <si>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</si>
  <si>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</si>
  <si>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</si>
  <si>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</si>
  <si>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</si>
  <si>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</si>
  <si>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</si>
  <si>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</si>
  <si>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</si>
  <si>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</si>
  <si>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</si>
  <si>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</si>
  <si>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</si>
  <si>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</si>
  <si>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</si>
  <si>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</si>
  <si>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</si>
  <si>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</si>
  <si>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</si>
  <si>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</si>
  <si>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</si>
  <si>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</si>
  <si>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</si>
  <si>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</si>
  <si>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</si>
  <si>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</si>
  <si>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</si>
  <si>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</si>
  <si>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</si>
  <si>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</si>
  <si>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</si>
  <si>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</si>
  <si>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</si>
  <si>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</si>
  <si>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</si>
  <si>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</si>
  <si>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</si>
  <si>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</si>
  <si>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</si>
  <si>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</si>
  <si>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</si>
  <si>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</si>
  <si>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</si>
  <si>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</si>
  <si>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</si>
  <si>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</si>
  <si>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</si>
  <si>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</si>
  <si>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</si>
  <si>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</si>
  <si>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</si>
  <si>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</si>
  <si>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</si>
  <si>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</si>
  <si>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</si>
  <si>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</si>
  <si>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</si>
  <si>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</si>
  <si>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</si>
  <si>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</si>
  <si>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</si>
  <si>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</si>
  <si>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</si>
  <si>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</si>
  <si>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</si>
  <si>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</si>
  <si>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</si>
  <si>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</si>
  <si>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</si>
  <si>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</si>
  <si>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</si>
  <si>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</si>
  <si>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</si>
  <si>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</si>
  <si>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</si>
  <si>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</si>
  <si>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</si>
  <si>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</si>
  <si>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</si>
  <si>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</si>
  <si>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</si>
  <si>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</si>
  <si>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</si>
  <si>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</si>
  <si>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</si>
  <si>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</si>
  <si>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</si>
  <si>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</si>
  <si>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</si>
  <si>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</si>
  <si>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</si>
  <si>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</si>
  <si>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</si>
  <si>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</si>
  <si>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</si>
  <si>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</si>
  <si>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</si>
  <si>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</si>
  <si>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</si>
  <si>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</si>
  <si>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</si>
  <si>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</si>
  <si>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</si>
  <si>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</si>
  <si>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</si>
  <si>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</si>
  <si>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</si>
  <si>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</si>
  <si>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</si>
  <si>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</si>
  <si>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</si>
  <si>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</si>
  <si>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</si>
  <si>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</si>
  <si>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</si>
  <si>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</si>
  <si>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</si>
  <si>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</si>
  <si>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</si>
  <si>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</si>
  <si>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</si>
  <si>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</si>
  <si>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</si>
  <si>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</si>
  <si>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</si>
  <si>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</si>
  <si>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</si>
  <si>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</si>
  <si>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</si>
  <si>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</si>
  <si>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</si>
  <si>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</si>
  <si>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</si>
  <si>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</si>
  <si>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</si>
  <si>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</si>
  <si>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</si>
  <si>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</si>
  <si>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</si>
  <si>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</si>
  <si>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</si>
  <si>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</si>
  <si>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</si>
  <si>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</si>
  <si>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</si>
  <si>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</si>
  <si>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</si>
  <si>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</si>
  <si>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</si>
  <si>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</si>
  <si>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</si>
  <si>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</si>
  <si>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</si>
  <si>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</si>
  <si>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</si>
  <si>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</si>
  <si>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</si>
  <si>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</si>
  <si>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</si>
  <si>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</si>
  <si>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</si>
  <si>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</si>
  <si>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</si>
  <si>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</si>
  <si>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</si>
  <si>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</si>
  <si>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</si>
  <si>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</si>
  <si>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</si>
  <si>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</si>
  <si>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</si>
  <si>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</si>
  <si>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</si>
  <si>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</si>
  <si>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</si>
  <si>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</si>
  <si>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</si>
  <si>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</si>
  <si>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</si>
  <si>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</si>
  <si>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</si>
  <si>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</si>
  <si>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</si>
  <si>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</si>
  <si>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</si>
  <si>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</si>
  <si>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</si>
  <si>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</si>
  <si>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</si>
  <si>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</si>
  <si>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</si>
  <si>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</si>
  <si>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</si>
  <si>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</si>
  <si>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</si>
  <si>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</si>
  <si>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</si>
  <si>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</si>
  <si>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</si>
  <si>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</si>
  <si>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</si>
  <si>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</si>
  <si>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</si>
  <si>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</si>
  <si>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</si>
  <si>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</si>
  <si>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</si>
  <si>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</si>
  <si>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</si>
  <si>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</si>
  <si>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</si>
  <si>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</si>
  <si>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</si>
  <si>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</si>
  <si>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</si>
  <si>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</si>
  <si>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</si>
  <si>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</si>
  <si>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</si>
  <si>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</si>
  <si>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</si>
  <si>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</si>
  <si>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</si>
  <si>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</si>
  <si>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</si>
  <si>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</si>
  <si>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</si>
  <si>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</si>
  <si>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</si>
  <si>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</si>
  <si>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</si>
  <si>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</si>
  <si>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</si>
  <si>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</si>
  <si>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</si>
  <si>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</si>
  <si>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</si>
  <si>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</si>
  <si>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</si>
  <si>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</si>
  <si>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</si>
  <si>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</si>
  <si>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</si>
  <si>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</si>
  <si>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</si>
  <si>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</si>
  <si>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</si>
  <si>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</si>
  <si>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</si>
  <si>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</si>
  <si>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</si>
  <si>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</si>
  <si>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</si>
  <si>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</si>
  <si>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</si>
  <si>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</si>
  <si>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</si>
  <si>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</si>
  <si>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</si>
  <si>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</si>
  <si>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</si>
  <si>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</si>
  <si>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</si>
  <si>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</si>
  <si>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</si>
  <si>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</si>
  <si>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</si>
  <si>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</si>
  <si>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</si>
  <si>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</si>
  <si>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</si>
  <si>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</si>
  <si>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</si>
  <si>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</si>
  <si>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</si>
  <si>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</si>
  <si>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</si>
  <si>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</si>
  <si>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</si>
  <si>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</si>
  <si>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</si>
  <si>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</si>
  <si>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</si>
  <si>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</si>
  <si>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</si>
  <si>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</si>
  <si>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</si>
  <si>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</si>
  <si>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</si>
  <si>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</si>
  <si>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</si>
  <si>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</si>
  <si>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</si>
  <si>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</si>
  <si>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</si>
  <si>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</si>
  <si>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</si>
  <si>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</si>
  <si>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</si>
  <si>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</si>
  <si>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</si>
  <si>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</si>
  <si>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</si>
  <si>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</si>
  <si>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</si>
  <si>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</si>
  <si>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</si>
  <si>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</si>
  <si>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</si>
  <si>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</si>
  <si>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</si>
  <si>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</si>
  <si>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</si>
  <si>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</si>
  <si>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</si>
  <si>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</si>
  <si>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</si>
  <si>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</si>
  <si>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</si>
  <si>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</si>
  <si>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</si>
  <si>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</si>
  <si>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</si>
  <si>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</si>
  <si>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</si>
  <si>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</si>
  <si>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</si>
  <si>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</si>
  <si>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</si>
  <si>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</si>
  <si>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</si>
  <si>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</si>
  <si>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</si>
  <si>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</si>
  <si>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</si>
  <si>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</si>
  <si>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</si>
  <si>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</si>
  <si>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</si>
  <si>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</si>
  <si>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</si>
  <si>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</si>
  <si>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</si>
  <si>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</si>
  <si>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</si>
  <si>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</si>
  <si>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</si>
  <si>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</si>
  <si>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</si>
  <si>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</si>
  <si>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</si>
  <si>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</si>
  <si>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</si>
  <si>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</si>
  <si>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</si>
  <si>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</si>
  <si>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</si>
  <si>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</si>
  <si>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</si>
  <si>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</si>
  <si>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</si>
  <si>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</si>
  <si>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</si>
  <si>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</si>
  <si>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</si>
  <si>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</si>
  <si>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</si>
  <si>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</si>
  <si>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</si>
  <si>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</si>
  <si>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</si>
  <si>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</si>
  <si>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</si>
  <si>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</si>
  <si>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</si>
  <si>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</si>
  <si>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</si>
  <si>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</si>
  <si>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</si>
  <si>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</si>
  <si>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</si>
  <si>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</si>
  <si>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</si>
  <si>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</si>
  <si>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</si>
  <si>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</si>
  <si>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</si>
  <si>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</si>
  <si>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</si>
  <si>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</si>
  <si>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</si>
  <si>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</si>
  <si>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</si>
  <si>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</si>
  <si>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</si>
  <si>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</si>
  <si>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</si>
  <si>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</si>
  <si>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</si>
  <si>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</si>
  <si>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</si>
  <si>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</si>
  <si>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</si>
  <si>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</si>
  <si>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</si>
  <si>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</si>
  <si>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</si>
  <si>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</si>
  <si>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</si>
  <si>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</si>
  <si>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</si>
  <si>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</si>
  <si>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</si>
  <si>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</si>
  <si>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</si>
  <si>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</si>
  <si>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</si>
  <si>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</si>
  <si>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</si>
  <si>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</si>
  <si>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</si>
  <si>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</si>
  <si>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</si>
  <si>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</si>
  <si>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</si>
  <si>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</si>
  <si>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</si>
  <si>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</si>
  <si>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</si>
  <si>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</si>
  <si>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</si>
  <si>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</si>
  <si>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</si>
  <si>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</si>
  <si>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</si>
  <si>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</si>
  <si>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</si>
  <si>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</si>
  <si>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</si>
  <si>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</si>
  <si>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</si>
  <si>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</si>
  <si>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</si>
  <si>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</si>
  <si>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</si>
  <si>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</si>
  <si>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</si>
  <si>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</si>
  <si>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</si>
  <si>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</si>
  <si>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</si>
  <si>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</si>
  <si>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</si>
  <si>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</si>
  <si>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</si>
  <si>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</si>
  <si>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</si>
  <si>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</si>
  <si>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</si>
  <si>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</si>
  <si>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</si>
  <si>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</si>
  <si>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</si>
  <si>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</si>
  <si>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</si>
  <si>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</si>
  <si>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</si>
  <si>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</si>
  <si>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</si>
  <si>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</si>
  <si>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</si>
  <si>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</si>
  <si>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</si>
  <si>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</si>
  <si>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</si>
  <si>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</si>
  <si>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</si>
  <si>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</si>
  <si>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</si>
  <si>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</si>
  <si>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</si>
  <si>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</si>
  <si>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</si>
  <si>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</si>
  <si>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</si>
  <si>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</si>
  <si>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</si>
  <si>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</si>
  <si>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</si>
  <si>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</si>
  <si>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</si>
  <si>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</si>
  <si>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</si>
  <si>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</si>
  <si>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</si>
  <si>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</si>
  <si>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</si>
  <si>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</si>
  <si>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</si>
  <si>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</si>
  <si>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</si>
  <si>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</si>
  <si>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</si>
  <si>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</si>
  <si>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</si>
  <si>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</si>
  <si>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</si>
  <si>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</si>
  <si>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</si>
  <si>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</si>
  <si>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</si>
  <si>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</si>
  <si>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</si>
  <si>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</si>
  <si>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</si>
  <si>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</si>
  <si>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</si>
  <si>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</si>
  <si>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</si>
  <si>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</si>
  <si>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</si>
  <si>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</si>
  <si>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</si>
  <si>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</si>
  <si>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</si>
  <si>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</si>
  <si>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</si>
  <si>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</si>
  <si>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</si>
  <si>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</si>
  <si>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</si>
  <si>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</si>
  <si>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</si>
  <si>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</si>
  <si>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</si>
  <si>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</si>
  <si>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</si>
  <si>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</si>
  <si>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</si>
  <si>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</si>
  <si>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</si>
  <si>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</si>
  <si>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</si>
  <si>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</si>
  <si>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</si>
  <si>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</si>
  <si>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</si>
  <si>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</si>
  <si>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</si>
  <si>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</si>
  <si>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</si>
  <si>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</si>
  <si>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</si>
  <si>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</si>
  <si>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</si>
  <si>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</si>
  <si>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</si>
  <si>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</si>
  <si>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</si>
  <si>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</si>
  <si>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</si>
  <si>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</si>
  <si>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</si>
  <si>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</si>
  <si>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</si>
  <si>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</si>
  <si>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</si>
  <si>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</si>
  <si>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</si>
  <si>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</si>
  <si>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</si>
  <si>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</si>
  <si>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</si>
  <si>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</si>
  <si>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</si>
  <si>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</si>
  <si>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</si>
  <si>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</si>
  <si>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</si>
  <si>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</si>
  <si>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</si>
  <si>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</si>
  <si>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</si>
  <si>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</si>
  <si>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</si>
  <si>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</si>
  <si>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</si>
  <si>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</si>
  <si>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</si>
  <si>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</si>
  <si>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</si>
  <si>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</si>
  <si>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</si>
  <si>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</si>
  <si>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</si>
  <si>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</si>
  <si>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</si>
  <si>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</si>
  <si>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</si>
  <si>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</si>
  <si>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</si>
  <si>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</si>
  <si>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</si>
  <si>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</si>
  <si>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</si>
  <si>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</si>
  <si>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</si>
  <si>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</si>
  <si>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</si>
  <si>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</si>
  <si>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</si>
  <si>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</si>
  <si>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</si>
  <si>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</si>
  <si>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</si>
  <si>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</si>
  <si>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</si>
  <si>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</si>
  <si>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</si>
  <si>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</si>
  <si>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</si>
  <si>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</si>
  <si>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</si>
  <si>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</si>
  <si>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</si>
  <si>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</si>
  <si>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</si>
  <si>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</si>
  <si>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</si>
  <si>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</si>
  <si>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</si>
  <si>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</si>
  <si>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</si>
  <si>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</si>
  <si>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</si>
  <si>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</si>
  <si>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</si>
  <si>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</si>
  <si>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</si>
  <si>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</si>
  <si>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</si>
  <si>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</si>
  <si>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</si>
  <si>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</si>
  <si>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</si>
  <si>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</si>
  <si>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</si>
  <si>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</si>
  <si>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</si>
  <si>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</si>
  <si>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</si>
  <si>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</si>
  <si>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</si>
  <si>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</si>
  <si>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</si>
  <si>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</si>
  <si>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</si>
  <si>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</si>
  <si>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</si>
  <si>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</si>
  <si>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</si>
  <si>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</si>
  <si>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</si>
  <si>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</si>
  <si>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</si>
  <si>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</si>
  <si>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</si>
  <si>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</si>
  <si>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</si>
  <si>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</si>
  <si>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</si>
  <si>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</si>
  <si>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</si>
  <si>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</si>
  <si>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</si>
  <si>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</si>
  <si>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</si>
  <si>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</si>
  <si>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</si>
  <si>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</si>
  <si>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</si>
  <si>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</si>
  <si>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</si>
  <si>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</si>
  <si>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</si>
  <si>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</si>
  <si>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</si>
  <si>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</si>
  <si>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</si>
  <si>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</si>
  <si>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</si>
  <si>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</si>
  <si>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</si>
  <si>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</si>
  <si>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</si>
  <si>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</si>
  <si>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</si>
  <si>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</si>
  <si>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</si>
  <si>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</si>
  <si>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</si>
  <si>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</si>
  <si>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</si>
  <si>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</si>
  <si>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</si>
  <si>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</si>
  <si>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</si>
  <si>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</si>
  <si>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</si>
  <si>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</si>
  <si>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</si>
  <si>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</si>
  <si>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</si>
  <si>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</si>
  <si>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</si>
  <si>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</si>
  <si>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</si>
  <si>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</si>
  <si>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</si>
  <si>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</si>
  <si>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</si>
  <si>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</si>
  <si>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</si>
  <si>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</si>
  <si>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</si>
  <si>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</si>
  <si>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</si>
  <si>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</si>
  <si>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</si>
  <si>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</si>
  <si>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</si>
  <si>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</si>
  <si>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</si>
  <si>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</si>
  <si>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</si>
  <si>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</si>
  <si>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</si>
  <si>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</si>
  <si>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</si>
  <si>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</si>
  <si>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</si>
  <si>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</si>
  <si>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</si>
  <si>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</si>
  <si>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</si>
  <si>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</si>
  <si>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</si>
  <si>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</si>
  <si>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</si>
  <si>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</si>
  <si>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</si>
  <si>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</si>
  <si>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</si>
  <si>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</si>
  <si>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</si>
  <si>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</si>
  <si>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</si>
  <si>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</si>
  <si>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</si>
  <si>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</si>
  <si>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</si>
  <si>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</si>
  <si>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</si>
  <si>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</si>
  <si>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</si>
  <si>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</si>
  <si>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</si>
  <si>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</si>
  <si>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</si>
  <si>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</si>
  <si>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</si>
  <si>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</si>
  <si>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</si>
  <si>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</si>
  <si>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</si>
  <si>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</si>
  <si>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</si>
  <si>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</si>
  <si>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</si>
  <si>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</si>
  <si>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</si>
  <si>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</si>
  <si>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</si>
  <si>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</si>
  <si>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</si>
  <si>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</si>
  <si>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</si>
  <si>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</si>
  <si>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</si>
  <si>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</si>
  <si>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</si>
  <si>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</si>
  <si>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</si>
  <si>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</si>
  <si>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</si>
  <si>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</si>
  <si>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</si>
  <si>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</si>
  <si>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</si>
  <si>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</si>
  <si>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</si>
  <si>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</si>
  <si>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</si>
  <si>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</si>
  <si>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</si>
  <si>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</si>
  <si>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</si>
  <si>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</si>
  <si>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</si>
  <si>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</si>
  <si>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</si>
  <si>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</si>
  <si>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</si>
  <si>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</si>
  <si>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</si>
  <si>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</si>
  <si>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</si>
  <si>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</si>
  <si>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</si>
  <si>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</si>
  <si>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</si>
  <si>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</si>
  <si>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</si>
  <si>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</si>
  <si>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</si>
  <si>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</si>
  <si>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</si>
  <si>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</si>
  <si>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</si>
  <si>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</si>
  <si>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</si>
  <si>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</si>
  <si>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</si>
  <si>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</si>
  <si>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</si>
  <si>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</si>
  <si>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</si>
  <si>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</si>
  <si>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</si>
  <si>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</si>
  <si>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</si>
  <si>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</si>
  <si>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</si>
  <si>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</si>
  <si>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</si>
  <si>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</si>
  <si>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</si>
  <si>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</si>
  <si>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</si>
  <si>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</si>
  <si>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</si>
  <si>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</si>
  <si>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</si>
  <si>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</si>
  <si>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</si>
  <si>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</si>
  <si>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</si>
  <si>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</si>
  <si>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</si>
  <si>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</si>
  <si>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</si>
  <si>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</si>
  <si>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</si>
  <si>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</si>
  <si>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</si>
  <si>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</si>
  <si>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</si>
  <si>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</si>
  <si>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</si>
  <si>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</si>
  <si>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</si>
  <si>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</si>
  <si>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</si>
  <si>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</si>
  <si>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</si>
  <si>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</si>
  <si>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</si>
  <si>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</si>
  <si>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</si>
  <si>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</si>
  <si>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</si>
  <si>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</si>
  <si>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</si>
  <si>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</si>
  <si>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</si>
  <si>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</si>
  <si>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</si>
  <si>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</si>
  <si>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</si>
  <si>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</si>
  <si>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</si>
  <si>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</si>
  <si>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</si>
  <si>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</si>
  <si>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</si>
  <si>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</si>
  <si>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</si>
  <si>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</si>
  <si>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</si>
  <si>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</si>
  <si>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</si>
  <si>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</si>
  <si>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</si>
  <si>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</si>
  <si>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</si>
  <si>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</si>
  <si>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</si>
  <si>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</si>
  <si>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</si>
  <si>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</si>
  <si>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</si>
  <si>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</si>
  <si>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</si>
  <si>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</si>
  <si>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</si>
  <si>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</si>
  <si>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</si>
  <si>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</si>
  <si>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</si>
  <si>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</si>
  <si>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</si>
  <si>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</si>
  <si>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</si>
  <si>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</si>
  <si>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</si>
  <si>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</si>
  <si>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</si>
  <si>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</si>
  <si>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</si>
  <si>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</si>
  <si>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</si>
  <si>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</si>
  <si>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</si>
  <si>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</si>
  <si>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</si>
  <si>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</si>
  <si>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</si>
  <si>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</si>
  <si>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</si>
  <si>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</si>
  <si>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</si>
  <si>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</si>
  <si>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</si>
  <si>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</si>
  <si>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</si>
  <si>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</si>
  <si>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</si>
  <si>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</si>
  <si>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</si>
  <si>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</si>
  <si>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</si>
  <si>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</si>
  <si>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</si>
  <si>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</si>
  <si>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</si>
  <si>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</si>
  <si>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</si>
  <si>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</si>
  <si>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</si>
  <si>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</si>
  <si>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</si>
  <si>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</si>
  <si>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</si>
  <si>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</si>
  <si>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</si>
  <si>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</si>
  <si>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</si>
  <si>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</si>
  <si>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</si>
  <si>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</si>
  <si>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</si>
  <si>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</si>
  <si>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</si>
  <si>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</si>
  <si>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</si>
  <si>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</si>
  <si>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</si>
  <si>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</si>
  <si>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</si>
  <si>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</si>
  <si>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</si>
  <si>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</si>
  <si>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</si>
  <si>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</si>
  <si>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</si>
  <si>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</si>
  <si>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</si>
  <si>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</si>
  <si>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</si>
  <si>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</si>
  <si>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</si>
  <si>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</si>
  <si>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</si>
  <si>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</si>
  <si>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</si>
  <si>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</si>
  <si>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</si>
  <si>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</si>
  <si>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</si>
  <si>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</si>
  <si>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</si>
  <si>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</si>
  <si>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</si>
  <si>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</si>
  <si>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</si>
  <si>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</si>
  <si>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</si>
  <si>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</si>
  <si>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</si>
  <si>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</si>
  <si>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</si>
  <si>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</si>
  <si>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</si>
  <si>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</si>
  <si>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</si>
  <si>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</si>
  <si>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</si>
  <si>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</si>
  <si>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</si>
  <si>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</si>
  <si>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</si>
  <si>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</si>
  <si>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</si>
  <si>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</si>
  <si>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</si>
  <si>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</si>
  <si>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</si>
  <si>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</si>
  <si>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</si>
  <si>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</si>
  <si>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</si>
  <si>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</si>
  <si>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</si>
  <si>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</si>
  <si>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</si>
  <si>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</si>
  <si>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</si>
  <si>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</si>
  <si>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</si>
  <si>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</si>
  <si>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</si>
  <si>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</si>
  <si>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</si>
  <si>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</si>
  <si>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</si>
  <si>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</si>
  <si>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</si>
  <si>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</si>
  <si>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</si>
  <si>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</si>
  <si>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</si>
  <si>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</si>
  <si>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</si>
  <si>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</si>
  <si>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</si>
  <si>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</si>
  <si>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</si>
  <si>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</si>
  <si>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</si>
  <si>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</si>
  <si>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</si>
  <si>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</si>
  <si>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</si>
  <si>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</si>
  <si>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</si>
  <si>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</si>
  <si>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</si>
  <si>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</si>
  <si>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</si>
  <si>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</si>
  <si>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</si>
  <si>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</si>
  <si>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</si>
  <si>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</si>
  <si>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</si>
  <si>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</si>
  <si>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</si>
  <si>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</si>
  <si>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</si>
  <si>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</si>
  <si>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</si>
  <si>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</si>
  <si>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</si>
  <si>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</si>
  <si>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</si>
  <si>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</si>
  <si>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</si>
  <si>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</si>
  <si>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</si>
  <si>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</si>
  <si>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</si>
  <si>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</si>
  <si>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</si>
  <si>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</si>
  <si>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</si>
  <si>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</si>
  <si>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</si>
  <si>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</si>
  <si>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</si>
  <si>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</si>
  <si>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</si>
  <si>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</si>
  <si>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</si>
  <si>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</si>
  <si>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</si>
  <si>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</si>
  <si>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</si>
  <si>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</si>
  <si>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</si>
  <si>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</si>
  <si>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</si>
  <si>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</si>
  <si>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</si>
  <si>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</si>
  <si>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</si>
  <si>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</si>
  <si>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</si>
  <si>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</si>
  <si>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</si>
  <si>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</si>
  <si>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</si>
  <si>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</si>
  <si>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</si>
  <si>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</si>
  <si>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</si>
  <si>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</si>
  <si>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</si>
  <si>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</si>
  <si>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</si>
  <si>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</si>
  <si>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</si>
  <si>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</si>
  <si>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</si>
  <si>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</si>
  <si>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</si>
  <si>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</si>
  <si>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</si>
  <si>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</si>
  <si>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</si>
  <si>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</si>
  <si>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</si>
  <si>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</si>
  <si>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</si>
  <si>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</si>
  <si>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</si>
  <si>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</si>
  <si>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</si>
  <si>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</si>
  <si>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</si>
  <si>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</si>
  <si>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</si>
  <si>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</si>
  <si>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</si>
  <si>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</si>
  <si>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</si>
  <si>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</si>
  <si>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</si>
  <si>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</si>
  <si>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</si>
  <si>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</si>
  <si>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</si>
  <si>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</si>
  <si>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</si>
  <si>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</si>
  <si>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</si>
  <si>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</si>
  <si>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</si>
  <si>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</si>
  <si>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</si>
  <si>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</si>
  <si>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</si>
  <si>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</si>
  <si>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</si>
  <si>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</si>
  <si>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</si>
  <si>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</si>
  <si>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</si>
  <si>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</si>
  <si>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</si>
  <si>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</si>
  <si>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</si>
  <si>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</si>
  <si>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</si>
  <si>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</si>
  <si>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</si>
  <si>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</si>
  <si>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</si>
  <si>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</si>
  <si>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</si>
  <si>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</si>
  <si>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</si>
  <si>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</si>
  <si>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</si>
  <si>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</si>
  <si>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</si>
  <si>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</si>
  <si>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</si>
  <si>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</si>
  <si>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</si>
  <si>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</si>
  <si>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</si>
  <si>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</si>
  <si>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</si>
  <si>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</si>
  <si>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</si>
  <si>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</si>
  <si>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</si>
  <si>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</si>
  <si>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</si>
  <si>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</si>
  <si>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</si>
  <si>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</si>
  <si>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</si>
  <si>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</si>
  <si>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</si>
  <si>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</si>
  <si>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</si>
  <si>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</si>
  <si>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</si>
  <si>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</si>
  <si>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</si>
  <si>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</si>
  <si>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</si>
  <si>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</si>
  <si>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</si>
  <si>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</si>
  <si>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</si>
  <si>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</si>
  <si>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</si>
  <si>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</si>
  <si>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</si>
  <si>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</si>
  <si>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</si>
  <si>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</si>
  <si>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</si>
  <si>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</si>
  <si>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</si>
  <si>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</si>
  <si>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</si>
  <si>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</si>
  <si>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</si>
  <si>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</si>
  <si>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</si>
  <si>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</si>
  <si>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</si>
  <si>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</si>
  <si>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</si>
  <si>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</si>
  <si>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</si>
  <si>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</si>
  <si>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</si>
  <si>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</si>
  <si>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</si>
  <si>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</si>
  <si>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</si>
  <si>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</si>
  <si>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</si>
  <si>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</si>
  <si>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</si>
  <si>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</si>
  <si>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</si>
  <si>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</si>
  <si>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</si>
  <si>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</si>
  <si>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</si>
  <si>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</si>
  <si>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</si>
  <si>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</si>
  <si>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</si>
  <si>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</si>
  <si>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</si>
  <si>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</si>
  <si>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</si>
  <si>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</si>
  <si>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</si>
  <si>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</si>
  <si>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</si>
  <si>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</si>
  <si>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</si>
  <si>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</si>
  <si>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</si>
  <si>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</si>
  <si>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</si>
  <si>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</si>
  <si>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</si>
  <si>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</si>
  <si>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</si>
  <si>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</si>
  <si>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</si>
  <si>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</si>
  <si>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</si>
  <si>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</si>
  <si>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</si>
  <si>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</si>
  <si>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</si>
  <si>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</si>
  <si>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</si>
  <si>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</si>
  <si>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</si>
  <si>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</si>
  <si>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</si>
  <si>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</si>
  <si>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</si>
  <si>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</si>
  <si>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</si>
  <si>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</si>
  <si>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</si>
  <si>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</si>
  <si>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</si>
  <si>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</si>
  <si>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</si>
  <si>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</si>
  <si>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</si>
  <si>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</si>
  <si>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</si>
  <si>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</si>
  <si>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</si>
  <si>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</si>
  <si>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</si>
  <si>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</si>
  <si>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</si>
  <si>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</si>
  <si>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</si>
  <si>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</si>
  <si>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</si>
  <si>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</si>
  <si>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</si>
  <si>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</si>
  <si>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</si>
  <si>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</si>
  <si>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</si>
  <si>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</si>
  <si>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</si>
  <si>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</si>
  <si>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</si>
  <si>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</si>
  <si>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</si>
  <si>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</si>
  <si>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</si>
  <si>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</si>
  <si>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</si>
  <si>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</si>
  <si>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</si>
  <si>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</si>
  <si>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</si>
  <si>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</si>
  <si>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</si>
  <si>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</si>
  <si>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</si>
  <si>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</si>
  <si>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</si>
  <si>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</si>
  <si>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</si>
  <si>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</si>
  <si>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</si>
  <si>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</si>
  <si>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</si>
  <si>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</si>
  <si>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</si>
  <si>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</si>
  <si>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</si>
  <si>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</si>
  <si>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</si>
  <si>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</si>
  <si>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</si>
  <si>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</si>
  <si>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</si>
  <si>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</si>
  <si>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</si>
  <si>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</si>
  <si>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</si>
  <si>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</si>
  <si>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</si>
  <si>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</si>
  <si>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</si>
  <si>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</si>
  <si>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</si>
  <si>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</si>
  <si>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</si>
  <si>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</si>
  <si>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</si>
  <si>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</si>
  <si>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</si>
  <si>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</si>
  <si>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</si>
  <si>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</si>
  <si>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</si>
  <si>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</si>
  <si>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</si>
  <si>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</si>
  <si>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</si>
  <si>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</si>
  <si>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</si>
  <si>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</si>
  <si>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</si>
  <si>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</si>
  <si>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</si>
  <si>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</si>
  <si>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</si>
  <si>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</si>
  <si>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</si>
  <si>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</si>
  <si>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</si>
  <si>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</si>
  <si>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</si>
  <si>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</si>
  <si>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</si>
  <si>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</si>
  <si>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</si>
  <si>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</si>
  <si>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</si>
  <si>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</si>
  <si>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</si>
  <si>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</si>
  <si>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</si>
  <si>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</si>
  <si>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</si>
  <si>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</si>
  <si>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</si>
  <si>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</si>
  <si>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</si>
  <si>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</si>
  <si>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</si>
  <si>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</si>
  <si>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</si>
  <si>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</si>
  <si>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</si>
  <si>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</si>
  <si>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</si>
  <si>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</si>
  <si>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</si>
  <si>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</si>
  <si>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</si>
  <si>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</si>
  <si>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</si>
  <si>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</si>
  <si>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</si>
  <si>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</si>
  <si>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</si>
  <si>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</si>
  <si>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</si>
  <si>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</si>
  <si>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</si>
  <si>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</si>
  <si>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</si>
  <si>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</si>
  <si>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</si>
  <si>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</si>
  <si>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</si>
  <si>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</si>
  <si>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</si>
  <si>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</si>
  <si>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</si>
  <si>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</si>
  <si>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</si>
  <si>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</si>
  <si>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</si>
  <si>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</si>
  <si>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</si>
  <si>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</si>
  <si>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</si>
  <si>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</si>
  <si>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</si>
  <si>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</si>
  <si>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</si>
  <si>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</si>
  <si>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</si>
  <si>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</si>
  <si>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</si>
  <si>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</si>
  <si>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</si>
  <si>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</si>
  <si>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</si>
  <si>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</si>
  <si>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</si>
  <si>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</si>
  <si>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</si>
  <si>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</si>
  <si>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</si>
  <si>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</si>
  <si>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</si>
  <si>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</si>
  <si>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</si>
  <si>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</si>
  <si>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</si>
  <si>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</si>
  <si>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</si>
  <si>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</si>
  <si>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</si>
  <si>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</si>
  <si>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</si>
  <si>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</si>
  <si>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</si>
  <si>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</si>
  <si>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</si>
  <si>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</si>
  <si>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</si>
  <si>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</si>
  <si>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</si>
  <si>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</si>
  <si>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</si>
  <si>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</si>
  <si>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</si>
  <si>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</si>
  <si>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</si>
  <si>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</si>
  <si>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</si>
  <si>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</si>
  <si>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</si>
  <si>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</si>
  <si>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</si>
  <si>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</si>
  <si>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</si>
  <si>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</si>
  <si>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</si>
  <si>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</si>
  <si>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</si>
  <si>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</si>
  <si>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</si>
  <si>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</si>
  <si>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</si>
  <si>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</si>
  <si>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</si>
  <si>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</si>
  <si>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</si>
  <si>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</si>
  <si>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</si>
  <si>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</si>
  <si>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</si>
  <si>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</si>
  <si>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</si>
  <si>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</si>
  <si>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</si>
  <si>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</si>
  <si>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</si>
  <si>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</si>
  <si>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</si>
  <si>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</si>
  <si>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</si>
  <si>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</si>
  <si>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</si>
  <si>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</si>
  <si>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</si>
  <si>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</si>
  <si>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</si>
  <si>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</si>
  <si>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</si>
  <si>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</si>
  <si>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</si>
  <si>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</si>
  <si>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</si>
  <si>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</si>
  <si>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</si>
  <si>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</si>
  <si>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</si>
  <si>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</si>
  <si>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</si>
  <si>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</si>
  <si>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</si>
  <si>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</si>
  <si>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</si>
  <si>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</si>
  <si>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</si>
  <si>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</si>
  <si>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</si>
  <si>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</si>
  <si>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</si>
  <si>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</si>
  <si>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</si>
  <si>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</si>
  <si>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</si>
  <si>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</si>
  <si>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</si>
  <si>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</si>
  <si>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</si>
  <si>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</si>
  <si>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</si>
  <si>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</si>
  <si>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</si>
  <si>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</si>
  <si>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</si>
  <si>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</si>
  <si>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</si>
  <si>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</si>
  <si>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</si>
  <si>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</si>
  <si>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</si>
  <si>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</si>
  <si>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</si>
  <si>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</si>
  <si>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</si>
  <si>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</si>
  <si>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</si>
  <si>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</si>
  <si>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</si>
  <si>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</si>
  <si>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</si>
  <si>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</si>
  <si>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</si>
  <si>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</si>
  <si>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</si>
  <si>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</si>
  <si>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</si>
  <si>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</si>
  <si>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</si>
  <si>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</si>
  <si>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</si>
  <si>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</si>
  <si>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</si>
  <si>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</si>
  <si>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</si>
  <si>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</si>
  <si>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</si>
  <si>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</si>
  <si>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</si>
  <si>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</si>
  <si>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</si>
  <si>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</si>
  <si>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</si>
  <si>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</si>
  <si>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</si>
  <si>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</si>
  <si>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</si>
  <si>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</si>
  <si>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</si>
  <si>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</si>
  <si>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</si>
  <si>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</si>
  <si>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</si>
  <si>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</si>
  <si>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</si>
  <si>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</si>
  <si>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</si>
  <si>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</si>
  <si>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</si>
  <si>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</si>
  <si>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</si>
  <si>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</si>
  <si>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</si>
  <si>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</si>
  <si>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</si>
  <si>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</si>
  <si>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</si>
  <si>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</si>
  <si>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</si>
  <si>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</si>
  <si>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</si>
  <si>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</si>
  <si>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</si>
  <si>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</si>
  <si>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</si>
  <si>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</si>
  <si>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</si>
  <si>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</si>
  <si>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</si>
  <si>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</si>
  <si>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</si>
  <si>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</si>
  <si>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</si>
  <si>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</si>
  <si>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</si>
  <si>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</si>
  <si>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</si>
  <si>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</si>
  <si>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</si>
  <si>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</si>
  <si>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</si>
  <si>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</si>
  <si>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</si>
  <si>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</si>
  <si>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</si>
  <si>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</si>
  <si>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</si>
  <si>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</si>
  <si>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</si>
  <si>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</si>
  <si>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</si>
  <si>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</si>
  <si>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</si>
  <si>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</si>
  <si>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</si>
  <si>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</si>
  <si>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</si>
  <si>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</si>
  <si>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</si>
  <si>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</si>
  <si>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</si>
  <si>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</si>
  <si>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</si>
  <si>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</si>
  <si>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</si>
  <si>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</si>
  <si>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</si>
  <si>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</si>
  <si>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</si>
  <si>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</si>
  <si>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</si>
  <si>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</si>
  <si>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</si>
  <si>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</si>
  <si>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</si>
  <si>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</si>
  <si>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</si>
  <si>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</si>
  <si>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</si>
  <si>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</si>
  <si>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</si>
  <si>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</si>
  <si>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</si>
  <si>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</si>
  <si>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</si>
  <si>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</si>
  <si>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</si>
  <si>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</si>
  <si>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</si>
  <si>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</si>
  <si>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</si>
  <si>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</si>
  <si>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</si>
  <si>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</si>
  <si>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</si>
  <si>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</si>
  <si>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</si>
  <si>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</si>
  <si>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</si>
  <si>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</si>
  <si>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</si>
  <si>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</si>
  <si>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</si>
  <si>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</si>
  <si>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</si>
  <si>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</si>
  <si>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</si>
  <si>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</si>
  <si>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</si>
  <si>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</si>
  <si>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</si>
  <si>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</si>
  <si>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</si>
  <si>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</si>
  <si>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</si>
  <si>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</si>
  <si>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</si>
  <si>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</si>
  <si>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</si>
  <si>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</si>
  <si>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</si>
  <si>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</si>
  <si>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</si>
  <si>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</si>
  <si>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</si>
  <si>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</si>
  <si>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</si>
  <si>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</si>
  <si>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</si>
  <si>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</si>
  <si>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</si>
  <si>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</si>
  <si>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</si>
  <si>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</si>
  <si>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</si>
  <si>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</si>
  <si>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</si>
  <si>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</si>
  <si>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</si>
  <si>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</si>
  <si>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</si>
  <si>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</si>
  <si>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</si>
  <si>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</si>
  <si>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</si>
  <si>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</si>
  <si>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</si>
  <si>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</si>
  <si>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</si>
  <si>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</si>
  <si>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</si>
  <si>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</si>
  <si>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</si>
  <si>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</si>
  <si>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</si>
  <si>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</si>
  <si>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</si>
  <si>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</si>
  <si>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</si>
  <si>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</si>
  <si>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</si>
  <si>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</si>
  <si>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</si>
  <si>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</si>
  <si>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</si>
  <si>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</si>
  <si>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</si>
  <si>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</si>
  <si>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</si>
  <si>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</si>
  <si>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</si>
  <si>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</si>
  <si>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</si>
  <si>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</si>
  <si>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</si>
  <si>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</si>
  <si>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</si>
  <si>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</si>
  <si>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</si>
  <si>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</si>
  <si>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</si>
  <si>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</si>
  <si>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</si>
  <si>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</si>
  <si>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</si>
  <si>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</si>
  <si>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</si>
  <si>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</si>
  <si>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</si>
  <si>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</si>
  <si>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</si>
  <si>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</si>
  <si>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</si>
  <si>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</si>
  <si>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</si>
  <si>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</si>
  <si>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</si>
  <si>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</si>
  <si>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</si>
  <si>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</si>
  <si>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</si>
  <si>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</si>
  <si>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</si>
  <si>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</si>
  <si>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</si>
  <si>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</si>
  <si>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</si>
  <si>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</si>
  <si>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</si>
  <si>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</si>
  <si>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</si>
  <si>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</si>
  <si>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</si>
  <si>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</si>
  <si>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</si>
  <si>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</si>
  <si>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</si>
  <si>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</si>
  <si>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</si>
  <si>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</si>
  <si>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</si>
  <si>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</si>
  <si>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</si>
  <si>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</si>
  <si>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</si>
  <si>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</si>
  <si>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</si>
  <si>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</si>
  <si>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</si>
  <si>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</si>
  <si>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</si>
  <si>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</si>
  <si>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</si>
  <si>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</si>
  <si>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</si>
  <si>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</si>
  <si>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</si>
  <si>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</si>
  <si>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</si>
  <si>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</si>
  <si>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</si>
  <si>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</si>
  <si>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</si>
  <si>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</si>
  <si>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</si>
  <si>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</si>
  <si>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</si>
  <si>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</si>
  <si>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</si>
  <si>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</si>
  <si>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</si>
  <si>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</si>
  <si>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</si>
  <si>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</si>
  <si>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</si>
  <si>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</si>
  <si>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</si>
  <si>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</si>
  <si>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</si>
  <si>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</si>
  <si>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</si>
  <si>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</si>
  <si>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</si>
  <si>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</si>
  <si>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</si>
  <si>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</si>
  <si>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</si>
  <si>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</si>
  <si>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</si>
  <si>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</si>
  <si>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</si>
  <si>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</si>
  <si>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</si>
  <si>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</si>
  <si>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</si>
  <si>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</si>
  <si>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</si>
  <si>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</si>
  <si>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</si>
  <si>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</si>
  <si>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</si>
  <si>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</si>
  <si>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</si>
  <si>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</si>
  <si>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</si>
  <si>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</si>
  <si>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</si>
  <si>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</si>
  <si>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</si>
  <si>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</si>
  <si>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</si>
  <si>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</si>
  <si>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</si>
  <si>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</si>
  <si>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</si>
  <si>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</si>
  <si>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</si>
  <si>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</si>
  <si>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</si>
  <si>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</si>
  <si>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</si>
  <si>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</si>
  <si>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</si>
  <si>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</si>
  <si>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</si>
  <si>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</si>
  <si>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</si>
  <si>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</si>
  <si>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</si>
  <si>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</si>
  <si>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</si>
  <si>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</si>
  <si>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</si>
  <si>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</si>
  <si>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</si>
  <si>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</si>
  <si>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</si>
  <si>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</si>
  <si>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</si>
  <si>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</si>
  <si>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</si>
  <si>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</si>
  <si>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</si>
  <si>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</si>
  <si>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</si>
  <si>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</si>
  <si>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</si>
  <si>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</si>
  <si>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</si>
  <si>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</si>
  <si>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</si>
  <si>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</si>
  <si>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</si>
  <si>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</si>
  <si>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</si>
  <si>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</si>
  <si>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</si>
  <si>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</si>
  <si>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</si>
  <si>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</si>
  <si>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</si>
  <si>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</si>
  <si>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</si>
  <si>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</si>
  <si>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</si>
  <si>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</si>
  <si>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</si>
  <si>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</si>
  <si>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</si>
  <si>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</si>
  <si>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</si>
  <si>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</si>
  <si>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</si>
  <si>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</si>
  <si>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</si>
  <si>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</si>
  <si>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</si>
  <si>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</si>
  <si>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</si>
  <si>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</si>
  <si>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</si>
  <si>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</si>
  <si>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</si>
  <si>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</si>
  <si>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</si>
  <si>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</si>
  <si>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</si>
  <si>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</si>
  <si>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</si>
  <si>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</si>
  <si>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</si>
  <si>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</si>
  <si>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</si>
  <si>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</si>
  <si>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</si>
  <si>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</si>
  <si>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</si>
  <si>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</si>
  <si>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</si>
  <si>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</si>
  <si>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</si>
  <si>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</si>
  <si>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</si>
  <si>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</si>
  <si>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</si>
  <si>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</si>
  <si>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</si>
  <si>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</si>
  <si>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</si>
  <si>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</si>
  <si>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</si>
  <si>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</si>
  <si>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</si>
  <si>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</si>
  <si>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</si>
  <si>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</si>
  <si>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</si>
  <si>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</si>
  <si>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</si>
  <si>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</si>
  <si>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</si>
  <si>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</si>
  <si>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</si>
  <si>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</si>
  <si>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</si>
  <si>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</si>
  <si>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</si>
  <si>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</si>
  <si>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</si>
  <si>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</si>
  <si>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</si>
  <si>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</si>
  <si>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</si>
  <si>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</si>
  <si>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</si>
  <si>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</si>
  <si>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</si>
  <si>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</si>
  <si>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</si>
  <si>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</si>
  <si>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</si>
  <si>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</si>
  <si>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</si>
  <si>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</si>
  <si>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</si>
  <si>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</si>
  <si>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</si>
  <si>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</si>
  <si>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</si>
  <si>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</si>
  <si>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</si>
  <si>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</si>
  <si>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</si>
  <si>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</si>
  <si>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</si>
  <si>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</si>
  <si>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</si>
  <si>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</si>
  <si>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</si>
  <si>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</si>
  <si>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</si>
  <si>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</si>
  <si>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</si>
  <si>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</si>
  <si>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</si>
  <si>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</si>
  <si>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</si>
  <si>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</si>
  <si>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</si>
  <si>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</si>
  <si>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</si>
  <si>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</si>
  <si>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</si>
  <si>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</si>
  <si>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</si>
  <si>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</si>
  <si>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</si>
  <si>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</si>
  <si>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</si>
  <si>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</si>
  <si>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</si>
  <si>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</si>
  <si>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</si>
  <si>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</si>
  <si>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</si>
  <si>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</si>
  <si>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</si>
  <si>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</si>
  <si>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</si>
  <si>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</si>
  <si>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</si>
  <si>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</si>
  <si>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</si>
  <si>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</si>
  <si>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</si>
  <si>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</si>
  <si>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</si>
  <si>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</si>
  <si>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</si>
  <si>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</si>
  <si>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</si>
  <si>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</si>
  <si>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</si>
  <si>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</si>
  <si>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</si>
  <si>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</si>
  <si>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</si>
  <si>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</si>
  <si>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</si>
  <si>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</si>
  <si>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</si>
  <si>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</si>
  <si>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</si>
  <si>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</si>
  <si>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</si>
  <si>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</si>
  <si>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</si>
  <si>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</si>
  <si>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</si>
  <si>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</si>
  <si>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</si>
  <si>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</si>
  <si>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</si>
  <si>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</si>
  <si>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</si>
  <si>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</si>
  <si>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</si>
  <si>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</si>
  <si>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</si>
  <si>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</si>
  <si>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</si>
  <si>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</si>
  <si>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</si>
  <si>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</si>
  <si>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</si>
  <si>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</si>
  <si>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</si>
  <si>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</si>
  <si>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</si>
  <si>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</si>
  <si>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</si>
  <si>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</si>
  <si>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</si>
  <si>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</si>
  <si>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</si>
  <si>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</si>
  <si>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</si>
  <si>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</si>
  <si>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</si>
  <si>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</si>
  <si>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</si>
  <si>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</si>
  <si>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</si>
  <si>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</si>
  <si>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</si>
  <si>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</si>
  <si>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</si>
  <si>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</si>
  <si>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</si>
  <si>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</si>
  <si>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</si>
  <si>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</si>
  <si>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</si>
  <si>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</si>
  <si>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</si>
  <si>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</si>
  <si>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</si>
  <si>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</si>
  <si>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</si>
  <si>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</si>
  <si>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</si>
  <si>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</si>
  <si>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</si>
  <si>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</si>
  <si>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</si>
  <si>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</si>
  <si>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</si>
  <si>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</si>
  <si>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</si>
  <si>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</si>
  <si>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</si>
  <si>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</si>
  <si>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</si>
  <si>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</si>
  <si>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</si>
  <si>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</si>
  <si>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</si>
  <si>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</si>
  <si>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</si>
  <si>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</si>
  <si>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</si>
  <si>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</si>
  <si>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</si>
  <si>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</si>
  <si>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</si>
  <si>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</si>
  <si>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</si>
  <si>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</si>
  <si>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</si>
  <si>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</si>
  <si>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</si>
  <si>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</si>
  <si>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</si>
  <si>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</si>
  <si>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</si>
  <si>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</si>
  <si>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</si>
  <si>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</si>
  <si>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</si>
  <si>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</si>
  <si>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</si>
  <si>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</si>
  <si>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</si>
  <si>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</si>
  <si>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</si>
  <si>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</si>
  <si>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</si>
  <si>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</si>
  <si>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</si>
  <si>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</si>
  <si>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</si>
  <si>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</si>
  <si>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</si>
  <si>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</si>
  <si>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</si>
  <si>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</si>
  <si>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</si>
  <si>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</si>
  <si>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</si>
  <si>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</si>
  <si>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</si>
  <si>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</si>
  <si>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</si>
  <si>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</si>
  <si>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</si>
  <si>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</si>
  <si>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</si>
  <si>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</si>
  <si>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</si>
  <si>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</si>
  <si>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</si>
  <si>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</si>
  <si>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</si>
  <si>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</si>
  <si>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</si>
  <si>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</si>
  <si>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</si>
  <si>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</si>
  <si>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</si>
  <si>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</si>
  <si>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</si>
  <si>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</si>
  <si>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</si>
  <si>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</si>
  <si>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</si>
  <si>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</si>
  <si>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</si>
  <si>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</si>
  <si>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</si>
  <si>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</si>
  <si>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</si>
  <si>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</si>
  <si>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</si>
  <si>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</si>
  <si>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</si>
  <si>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</si>
  <si>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</si>
  <si>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</si>
  <si>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</si>
  <si>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</si>
  <si>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</si>
  <si>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</si>
  <si>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</si>
  <si>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</si>
  <si>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</si>
  <si>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</si>
  <si>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</si>
  <si>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</si>
  <si>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</si>
  <si>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</si>
  <si>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</si>
  <si>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</si>
  <si>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</si>
  <si>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</si>
  <si>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</si>
  <si>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</si>
  <si>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</si>
  <si>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</si>
  <si>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</si>
  <si>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</si>
  <si>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</si>
  <si>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</si>
  <si>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</si>
  <si>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</si>
  <si>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</si>
  <si>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</si>
  <si>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</si>
  <si>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</si>
  <si>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</si>
  <si>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</si>
  <si>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</si>
  <si>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</si>
  <si>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</si>
  <si>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</si>
  <si>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</si>
  <si>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</si>
  <si>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</si>
  <si>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</si>
  <si>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</si>
  <si>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</si>
  <si>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</si>
  <si>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</si>
  <si>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</si>
  <si>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</si>
  <si>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</si>
  <si>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</si>
  <si>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</si>
  <si>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</si>
  <si>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</si>
  <si>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</si>
  <si>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</si>
  <si>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</si>
  <si>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</si>
  <si>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</si>
  <si>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</si>
  <si>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</si>
  <si>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</si>
  <si>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</si>
  <si>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</si>
  <si>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</si>
  <si>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</si>
  <si>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</si>
  <si>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</si>
  <si>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</si>
  <si>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</si>
  <si>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</si>
  <si>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</si>
  <si>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</si>
  <si>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</si>
  <si>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</si>
  <si>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</si>
  <si>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</si>
  <si>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</si>
  <si>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</si>
  <si>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</si>
  <si>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</si>
  <si>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</si>
  <si>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</si>
  <si>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</si>
  <si>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</si>
  <si>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</si>
  <si>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</si>
  <si>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</si>
  <si>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</si>
  <si>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</si>
  <si>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</si>
  <si>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</si>
  <si>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</si>
  <si>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</si>
  <si>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</si>
  <si>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</si>
  <si>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</si>
  <si>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</si>
  <si>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</si>
  <si>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</si>
  <si>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</si>
  <si>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</si>
  <si>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</si>
  <si>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</si>
  <si>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</si>
  <si>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</si>
  <si>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</si>
  <si>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</si>
  <si>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</si>
  <si>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</si>
  <si>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</si>
  <si>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</si>
  <si>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</si>
  <si>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</si>
  <si>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</si>
  <si>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</si>
  <si>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</si>
  <si>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</si>
  <si>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</si>
  <si>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</si>
  <si>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</si>
  <si>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</si>
  <si>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</si>
  <si>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</si>
  <si>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</si>
  <si>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</si>
  <si>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</si>
  <si>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</si>
  <si>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</si>
  <si>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</si>
  <si>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</si>
  <si>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</si>
  <si>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</si>
  <si>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</si>
  <si>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</si>
  <si>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</si>
  <si>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</si>
  <si>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</si>
  <si>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</si>
  <si>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</si>
  <si>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</si>
  <si>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</si>
  <si>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</si>
  <si>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</si>
  <si>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</si>
  <si>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</si>
  <si>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</si>
  <si>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</si>
  <si>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</si>
  <si>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</si>
  <si>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</si>
  <si>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</si>
  <si>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</si>
  <si>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</si>
  <si>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</si>
  <si>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</si>
  <si>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</si>
  <si>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</si>
  <si>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</si>
  <si>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</si>
  <si>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</si>
  <si>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</si>
  <si>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</si>
  <si>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</si>
  <si>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</si>
  <si>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</si>
  <si>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</si>
  <si>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</si>
  <si>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</si>
  <si>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</si>
  <si>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</si>
  <si>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</si>
  <si>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</si>
  <si>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</si>
  <si>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</si>
  <si>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</si>
  <si>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</si>
  <si>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</si>
  <si>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</si>
  <si>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</si>
  <si>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</si>
  <si>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</si>
  <si>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</si>
  <si>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</si>
  <si>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</si>
  <si>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</si>
  <si>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</si>
  <si>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</si>
  <si>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</si>
  <si>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</si>
  <si>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</si>
  <si>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</si>
  <si>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</si>
  <si>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</si>
  <si>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</si>
  <si>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</si>
  <si>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</si>
  <si>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</si>
  <si>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</si>
  <si>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</si>
  <si>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</si>
  <si>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</si>
  <si>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</si>
  <si>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</si>
  <si>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</si>
  <si>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</si>
  <si>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</si>
  <si>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</si>
  <si>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</si>
  <si>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</si>
  <si>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</si>
  <si>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</si>
  <si>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</si>
  <si>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</si>
  <si>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</si>
  <si>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</si>
  <si>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</si>
  <si>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</si>
  <si>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</si>
  <si>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</si>
  <si>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</si>
  <si>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</si>
  <si>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</si>
  <si>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</si>
  <si>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</si>
  <si>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</si>
  <si>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</si>
  <si>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</si>
  <si>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</si>
  <si>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</si>
  <si>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</si>
  <si>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</si>
  <si>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</si>
  <si>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</si>
  <si>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</si>
  <si>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</si>
  <si>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</si>
  <si>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</si>
  <si>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</si>
  <si>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</si>
  <si>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</si>
  <si>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</si>
  <si>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</si>
  <si>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</si>
  <si>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</si>
  <si>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</si>
  <si>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</si>
  <si>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</si>
  <si>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</si>
  <si>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</si>
  <si>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</si>
  <si>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</si>
  <si>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</si>
  <si>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</si>
  <si>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</si>
  <si>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</si>
  <si>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</si>
  <si>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</si>
  <si>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</si>
  <si>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</si>
  <si>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</si>
  <si>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</si>
  <si>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</si>
  <si>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</si>
  <si>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</si>
  <si>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</si>
  <si>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</si>
  <si>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</si>
  <si>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</si>
  <si>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</si>
  <si>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</si>
  <si>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</si>
  <si>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</si>
  <si>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</si>
  <si>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</si>
  <si>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</si>
  <si>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</si>
  <si>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</si>
  <si>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</si>
  <si>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</si>
  <si>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</si>
  <si>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</si>
  <si>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</si>
  <si>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</si>
  <si>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</si>
  <si>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</si>
  <si>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</si>
  <si>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</si>
  <si>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</si>
  <si>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</si>
  <si>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</si>
  <si>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</si>
  <si>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</si>
  <si>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</si>
  <si>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</si>
  <si>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</si>
  <si>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</si>
  <si>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</si>
  <si>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</si>
  <si>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</si>
  <si>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</si>
  <si>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</si>
  <si>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</si>
  <si>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</si>
  <si>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</si>
  <si>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</si>
  <si>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</si>
  <si>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</si>
  <si>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</si>
  <si>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</si>
  <si>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</si>
  <si>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</si>
  <si>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</si>
  <si>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</si>
  <si>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</si>
  <si>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</si>
  <si>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</si>
  <si>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</si>
  <si>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</si>
  <si>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</si>
  <si>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</si>
  <si>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</si>
  <si>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</si>
  <si>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</si>
  <si>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</si>
  <si>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</si>
  <si>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</si>
  <si>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</si>
  <si>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</si>
  <si>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</si>
  <si>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</si>
  <si>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</si>
  <si>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</si>
  <si>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</si>
  <si>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</si>
  <si>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</si>
  <si>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</si>
  <si>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</si>
  <si>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</si>
  <si>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</si>
  <si>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</si>
  <si>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</si>
  <si>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DCC</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</si>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</sst>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6">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27" fillId="0" borderId="0" xfId="0" applyNumberFormat="1" applyFont="1" applyAlignment="1">
      <alignment horizontal="left" vertical="top" wrapText="1"/>
    </xf>
    <xf numFmtId="0" fontId="26" fillId="0" borderId="0" xfId="0" applyFont="1" applyAlignment="1">
      <alignment horizontal="left" vertical="top" wrapText="1"/>
    </xf>
  </cellXfs>
  <cellStyles count="1">
    <cellStyle name="Normal" xfId="0" builtinId="0"/>
  </cellStyles>
  <dxfs count="63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H20" sqref="H20"/>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60" t="s">
        <v>3303</v>
      </c>
      <c r="H1" s="161"/>
      <c r="I1" s="161"/>
      <c r="J1" s="162"/>
      <c r="K1" s="27"/>
      <c r="L1" s="35"/>
      <c r="M1" s="23"/>
      <c r="N1" s="163" t="s">
        <v>4</v>
      </c>
      <c r="O1" s="163"/>
      <c r="P1" s="163"/>
      <c r="Q1" s="163"/>
      <c r="R1" s="163"/>
      <c r="S1" s="163"/>
      <c r="T1" s="163"/>
      <c r="U1" s="21"/>
      <c r="V1" s="163" t="s">
        <v>4079</v>
      </c>
      <c r="W1" s="163"/>
      <c r="X1" s="163"/>
      <c r="Y1" s="163"/>
      <c r="Z1" s="163"/>
      <c r="AA1" s="163"/>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A19" s="14" t="s">
        <v>7351</v>
      </c>
      <c r="B19" s="14" t="s">
        <v>6641</v>
      </c>
      <c r="C19" s="16" t="s">
        <v>2107</v>
      </c>
      <c r="E19" s="14" t="s">
        <v>7488</v>
      </c>
      <c r="G19" s="24">
        <f>SUMIF('Card Data'!$A:$A,$A19,'Card Data'!$E:$E)</f>
        <v>60</v>
      </c>
      <c r="H19" s="24">
        <f>SUMIFS('Card Data'!$E:$E,'Card Data'!$A:$A,$A19,'Card Data'!$K:$K,"&lt;&gt;",'Card Data'!$J:$J,"&lt;&gt;Investigator")-SUMIFS('Card Data'!$E:$E,'Card Data'!$A:$A,$A19,'Card Data'!$K:$K,"&lt;&gt;",'Card Data'!$J:$J,"Mini")</f>
        <v>60</v>
      </c>
      <c r="I19" s="24">
        <f>SUMIFS('Card Data'!$E:$E,'Card Data'!$A:$A,$A19,'Card Data'!$K:$K,"",'Card Data'!$J:$J,"&lt;&gt;Campaign")+SUMIFS('Card Data'!$E:$E,'Card Data'!$A:$A,$A19,'Card Data'!$K:$K,"Mythos")-J19</f>
        <v>30</v>
      </c>
      <c r="J19" s="24">
        <f>SUMIFS('Card Data'!$E:$E,'Card Data'!$J:$J,J$2,'Card Data'!$A:$A,$A19,'Card Data'!$AD:$AD,"&lt;&gt;*Side Quest.*")</f>
        <v>8</v>
      </c>
      <c r="K19" s="24">
        <f>COUNTIFS('Card Data'!$J:$J,K$2,'Card Data'!$A:$A,$A19,'Card Data'!$AD:$AD,"&lt;&gt;*Side Quest.*")</f>
        <v>2</v>
      </c>
      <c r="L19" s="24">
        <f>COUNTIFS('Card Data'!$J:$J,L$2,'Card Data'!$A:$A,$A19,'Card Data'!$AD:$AD,"&lt;&gt;*Side Quest.*")</f>
        <v>1</v>
      </c>
      <c r="M19" s="26"/>
      <c r="N19" s="24">
        <f>COUNTIFS('Card Data'!$J:$J,N$2,'Card Data'!$A:$A,$A19)</f>
        <v>0</v>
      </c>
      <c r="O19" s="24">
        <f>COUNTIFS('Card Data'!$J:$J,O$2,'Card Data'!$A:$A,$A19)</f>
        <v>5</v>
      </c>
      <c r="P19" s="24">
        <f>COUNTIFS('Card Data'!$J:$J,P$2,'Card Data'!$A:$A,$A19)</f>
        <v>5</v>
      </c>
      <c r="Q19" s="24">
        <f>COUNTIFS('Card Data'!$J:$J,Q$2,'Card Data'!$A:$A,$A19)</f>
        <v>1</v>
      </c>
      <c r="R19" s="24">
        <f>COUNTIFS('Card Data'!$J:$J,R$2,'Card Data'!$A:$A,$A19)</f>
        <v>2</v>
      </c>
      <c r="S19" s="24">
        <f>COUNTIFS('Card Data'!$J:$J,S$2,'Card Data'!$A:$A,$A19)</f>
        <v>17</v>
      </c>
      <c r="T19" s="24">
        <f>COUNTIFS('Card Data'!$J:$J,T$2,'Card Data'!$A:$A,$A19)</f>
        <v>2</v>
      </c>
      <c r="U19" s="26"/>
      <c r="V19" s="24">
        <f>COUNTIFS('Card Data'!$K:$K,V$2,'Card Data'!$A:$A,$A19)</f>
        <v>2</v>
      </c>
      <c r="W19" s="24">
        <f>COUNTIFS('Card Data'!$K:$K,W$2,'Card Data'!$A:$A,$A19)</f>
        <v>2</v>
      </c>
      <c r="X19" s="24">
        <f>COUNTIFS('Card Data'!$K:$K,X$2,'Card Data'!$A:$A,$A19)</f>
        <v>2</v>
      </c>
      <c r="Y19" s="24">
        <f>COUNTIFS('Card Data'!$K:$K,Y$2,'Card Data'!$A:$A,$A19)</f>
        <v>3</v>
      </c>
      <c r="Z19" s="24">
        <f>COUNTIFS('Card Data'!$K:$K,Z$2,'Card Data'!$A:$A,$A19)</f>
        <v>2</v>
      </c>
      <c r="AA19" s="24">
        <f>COUNTIFS('Card Data'!$K:$K,AA$2,'Card Data'!$A:$A,$A19)</f>
        <v>0</v>
      </c>
    </row>
    <row r="20" spans="1:27">
      <c r="A20" s="159" t="s">
        <v>7489</v>
      </c>
      <c r="B20" s="14" t="s">
        <v>7538</v>
      </c>
      <c r="C20" s="16" t="s">
        <v>2107</v>
      </c>
      <c r="E20" s="14" t="s">
        <v>7587</v>
      </c>
      <c r="G20" s="24">
        <f>SUMIF('Card Data'!$A:$A,$A20,'Card Data'!$E:$E)</f>
        <v>60</v>
      </c>
      <c r="H20" s="24">
        <f>SUMIFS('Card Data'!$E:$E,'Card Data'!$A:$A,$A20,'Card Data'!$K:$K,"&lt;&gt;",'Card Data'!$J:$J,"&lt;&gt;Investigator")-SUMIFS('Card Data'!$E:$E,'Card Data'!$A:$A,$A20,'Card Data'!$K:$K,"&lt;&gt;",'Card Data'!$J:$J,"Mini")</f>
        <v>60</v>
      </c>
      <c r="I20" s="24">
        <f>SUMIFS('Card Data'!$E:$E,'Card Data'!$A:$A,$A20,'Card Data'!$K:$K,"",'Card Data'!$J:$J,"&lt;&gt;Campaign")+SUMIFS('Card Data'!$E:$E,'Card Data'!$A:$A,$A20,'Card Data'!$K:$K,"Mythos")-J20</f>
        <v>33</v>
      </c>
      <c r="J20" s="24">
        <f>SUMIFS('Card Data'!$E:$E,'Card Data'!$J:$J,J$2,'Card Data'!$A:$A,$A20,'Card Data'!$AD:$AD,"&lt;&gt;*Side Quest.*")</f>
        <v>3</v>
      </c>
      <c r="K20" s="24">
        <f>COUNTIFS('Card Data'!$J:$J,K$2,'Card Data'!$A:$A,$A20,'Card Data'!$AD:$AD,"&lt;&gt;*Side Quest.*")</f>
        <v>5</v>
      </c>
      <c r="L20" s="24">
        <f>COUNTIFS('Card Data'!$J:$J,L$2,'Card Data'!$A:$A,$A20,'Card Data'!$AD:$AD,"&lt;&gt;*Side Quest.*")</f>
        <v>1</v>
      </c>
      <c r="M20" s="26"/>
      <c r="N20" s="24">
        <f>COUNTIFS('Card Data'!$J:$J,N$2,'Card Data'!$A:$A,$A20)</f>
        <v>0</v>
      </c>
      <c r="O20" s="24">
        <f>COUNTIFS('Card Data'!$J:$J,O$2,'Card Data'!$A:$A,$A20)</f>
        <v>5</v>
      </c>
      <c r="P20" s="24">
        <f>COUNTIFS('Card Data'!$J:$J,P$2,'Card Data'!$A:$A,$A20)</f>
        <v>6</v>
      </c>
      <c r="Q20" s="24">
        <f>COUNTIFS('Card Data'!$J:$J,Q$2,'Card Data'!$A:$A,$A20)</f>
        <v>1</v>
      </c>
      <c r="R20" s="24">
        <f>COUNTIFS('Card Data'!$J:$J,R$2,'Card Data'!$A:$A,$A20)</f>
        <v>5</v>
      </c>
      <c r="S20" s="24">
        <f>COUNTIFS('Card Data'!$J:$J,S$2,'Card Data'!$A:$A,$A20)</f>
        <v>13</v>
      </c>
      <c r="T20" s="24">
        <f>COUNTIFS('Card Data'!$J:$J,T$2,'Card Data'!$A:$A,$A20)</f>
        <v>6</v>
      </c>
      <c r="U20" s="26"/>
      <c r="V20" s="24">
        <f>COUNTIFS('Card Data'!$K:$K,V$2,'Card Data'!$A:$A,$A20)</f>
        <v>2</v>
      </c>
      <c r="W20" s="24">
        <f>COUNTIFS('Card Data'!$K:$K,W$2,'Card Data'!$A:$A,$A20)</f>
        <v>2</v>
      </c>
      <c r="X20" s="24">
        <f>COUNTIFS('Card Data'!$K:$K,X$2,'Card Data'!$A:$A,$A20)</f>
        <v>3</v>
      </c>
      <c r="Y20" s="24">
        <f>COUNTIFS('Card Data'!$K:$K,Y$2,'Card Data'!$A:$A,$A20)</f>
        <v>2</v>
      </c>
      <c r="Z20" s="24">
        <f>COUNTIFS('Card Data'!$K:$K,Z$2,'Card Data'!$A:$A,$A20)</f>
        <v>2</v>
      </c>
      <c r="AA20" s="24">
        <f>COUNTIFS('Card Data'!$K:$K,AA$2,'Card Data'!$A:$A,$A20)</f>
        <v>1</v>
      </c>
    </row>
  </sheetData>
  <mergeCells count="3">
    <mergeCell ref="G1:J1"/>
    <mergeCell ref="N1:T1"/>
    <mergeCell ref="V1:AA1"/>
  </mergeCells>
  <conditionalFormatting sqref="V2">
    <cfRule type="cellIs" dxfId="629" priority="29" operator="equal">
      <formula>"Fellowship"</formula>
    </cfRule>
    <cfRule type="cellIs" dxfId="628" priority="30" operator="equal">
      <formula>"Neutral"</formula>
    </cfRule>
    <cfRule type="cellIs" dxfId="627" priority="31" operator="equal">
      <formula>"Baggins"</formula>
    </cfRule>
    <cfRule type="cellIs" dxfId="626" priority="32" operator="equal">
      <formula>"Lore"</formula>
    </cfRule>
    <cfRule type="cellIs" dxfId="625" priority="33" operator="equal">
      <formula>"Spirit"</formula>
    </cfRule>
    <cfRule type="cellIs" dxfId="624" priority="34" operator="equal">
      <formula>"Tactics"</formula>
    </cfRule>
    <cfRule type="cellIs" dxfId="623" priority="35" operator="equal">
      <formula>"Leadership"</formula>
    </cfRule>
  </conditionalFormatting>
  <conditionalFormatting sqref="W2">
    <cfRule type="cellIs" dxfId="622" priority="22" operator="equal">
      <formula>"Fellowship"</formula>
    </cfRule>
    <cfRule type="cellIs" dxfId="621" priority="23" operator="equal">
      <formula>"Neutral"</formula>
    </cfRule>
    <cfRule type="cellIs" dxfId="620" priority="24" operator="equal">
      <formula>"Baggins"</formula>
    </cfRule>
    <cfRule type="cellIs" dxfId="619" priority="25" operator="equal">
      <formula>"Lore"</formula>
    </cfRule>
    <cfRule type="cellIs" dxfId="618" priority="26" operator="equal">
      <formula>"Spirit"</formula>
    </cfRule>
    <cfRule type="cellIs" dxfId="617" priority="27" operator="equal">
      <formula>"Tactics"</formula>
    </cfRule>
    <cfRule type="cellIs" dxfId="616" priority="28" operator="equal">
      <formula>"Leadership"</formula>
    </cfRule>
  </conditionalFormatting>
  <conditionalFormatting sqref="X2">
    <cfRule type="cellIs" dxfId="615" priority="15" operator="equal">
      <formula>"Fellowship"</formula>
    </cfRule>
    <cfRule type="cellIs" dxfId="614" priority="16" operator="equal">
      <formula>"Neutral"</formula>
    </cfRule>
    <cfRule type="cellIs" dxfId="613" priority="17" operator="equal">
      <formula>"Baggins"</formula>
    </cfRule>
    <cfRule type="cellIs" dxfId="612" priority="18" operator="equal">
      <formula>"Lore"</formula>
    </cfRule>
    <cfRule type="cellIs" dxfId="611" priority="19" operator="equal">
      <formula>"Spirit"</formula>
    </cfRule>
    <cfRule type="cellIs" dxfId="610" priority="20" operator="equal">
      <formula>"Tactics"</formula>
    </cfRule>
    <cfRule type="cellIs" dxfId="609" priority="21" operator="equal">
      <formula>"Leadership"</formula>
    </cfRule>
  </conditionalFormatting>
  <conditionalFormatting sqref="Y2:Z2">
    <cfRule type="cellIs" dxfId="608" priority="8" operator="equal">
      <formula>"Fellowship"</formula>
    </cfRule>
    <cfRule type="cellIs" dxfId="607" priority="9" operator="equal">
      <formula>"Neutral"</formula>
    </cfRule>
    <cfRule type="cellIs" dxfId="606" priority="10" operator="equal">
      <formula>"Baggins"</formula>
    </cfRule>
    <cfRule type="cellIs" dxfId="605" priority="11" operator="equal">
      <formula>"Lore"</formula>
    </cfRule>
    <cfRule type="cellIs" dxfId="604" priority="12" operator="equal">
      <formula>"Spirit"</formula>
    </cfRule>
    <cfRule type="cellIs" dxfId="603" priority="13" operator="equal">
      <formula>"Tactics"</formula>
    </cfRule>
    <cfRule type="cellIs" dxfId="602" priority="14" operator="equal">
      <formula>"Leadership"</formula>
    </cfRule>
  </conditionalFormatting>
  <conditionalFormatting sqref="AA2">
    <cfRule type="cellIs" dxfId="601" priority="1" operator="equal">
      <formula>"Fellowship"</formula>
    </cfRule>
    <cfRule type="cellIs" dxfId="600" priority="2" operator="equal">
      <formula>"Neutral"</formula>
    </cfRule>
    <cfRule type="cellIs" dxfId="599" priority="3" operator="equal">
      <formula>"Baggins"</formula>
    </cfRule>
    <cfRule type="cellIs" dxfId="598" priority="4" operator="equal">
      <formula>"Lore"</formula>
    </cfRule>
    <cfRule type="cellIs" dxfId="597" priority="5" operator="equal">
      <formula>"Spirit"</formula>
    </cfRule>
    <cfRule type="cellIs" dxfId="596" priority="6" operator="equal">
      <formula>"Tactics"</formula>
    </cfRule>
    <cfRule type="cellIs" dxfId="59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tabSelected="1" zoomScale="85" zoomScaleNormal="85" workbookViewId="0">
      <pane xSplit="7" ySplit="1" topLeftCell="H801" activePane="bottomRight" state="frozen"/>
      <selection activeCell="E1" sqref="E1"/>
      <selection pane="topRight" activeCell="F1" sqref="F1"/>
      <selection pane="bottomLeft" activeCell="E2" sqref="E2"/>
      <selection pane="bottomRight" sqref="A1:XFD1048576"/>
    </sheetView>
  </sheetViews>
  <sheetFormatPr defaultColWidth="9.140625" defaultRowHeight="15" customHeight="1"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1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15" customHeight="1">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15" customHeight="1">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15" customHeight="1">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15" customHeight="1">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15" customHeight="1">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15" customHeight="1">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15" customHeight="1">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15" customHeight="1">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15" customHeight="1">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15" customHeight="1">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15" customHeight="1">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15" customHeight="1">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 customHeight="1">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15" customHeight="1">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15" customHeight="1">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15" customHeight="1">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5" customHeight="1">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15" customHeight="1">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15" customHeight="1">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5" customHeight="1">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5" customHeight="1">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15" customHeight="1">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15" customHeight="1">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15" customHeight="1">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15" customHeight="1">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15" customHeight="1">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15" customHeight="1">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15" customHeight="1">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15" customHeight="1">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15" customHeight="1">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15" customHeight="1">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15" customHeight="1">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15" customHeight="1">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15" customHeight="1">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15" customHeight="1">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15" customHeight="1">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15" customHeight="1">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15" customHeight="1">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15" customHeight="1">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15" customHeight="1">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15" customHeight="1">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15" customHeight="1">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15" customHeight="1">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15" customHeight="1">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15" customHeight="1">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15" customHeight="1">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15" customHeight="1">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15" customHeight="1">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15" customHeight="1">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15" customHeight="1">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15" customHeight="1">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15" customHeight="1">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15" customHeight="1">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15" customHeight="1">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15" customHeight="1">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15" customHeight="1">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15" customHeight="1">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15" customHeight="1">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15" customHeight="1">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15" customHeight="1">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15" customHeight="1">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15" customHeight="1">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15" customHeight="1">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15" customHeight="1">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15" customHeight="1">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15" customHeight="1">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15" customHeight="1">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15" customHeight="1">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15" customHeight="1">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15" customHeight="1">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15" customHeight="1">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15" customHeight="1">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15" customHeight="1">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15" customHeight="1">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15" customHeight="1">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15" customHeight="1">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15" customHeight="1">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15" customHeight="1">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15" customHeight="1">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15" customHeight="1">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15" customHeight="1">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15" customHeight="1">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15" customHeight="1">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58"/>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15" customHeight="1">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15" customHeight="1">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15" customHeight="1">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15" customHeight="1">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15" customHeight="1">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15" customHeight="1">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15" customHeight="1">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15" customHeight="1">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15" customHeight="1">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15" customHeight="1">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5" customHeight="1">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15" customHeight="1">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5" customHeight="1">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15" customHeight="1">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15" customHeight="1">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15" customHeight="1">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15" customHeight="1">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15" customHeight="1">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15" customHeight="1">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15" customHeight="1">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15" customHeight="1">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15" customHeight="1">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15" customHeight="1">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15" customHeight="1">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58"/>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15" customHeight="1">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58"/>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15" customHeight="1">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15" customHeight="1">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15" customHeight="1">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15" customHeight="1">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15" customHeight="1">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15" customHeight="1">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15" customHeight="1">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15" customHeight="1">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ht="15" customHeight="1">
      <c r="A890" s="36" t="s">
        <v>7351</v>
      </c>
      <c r="B890" s="36" t="s">
        <v>7352</v>
      </c>
      <c r="C890" s="36" t="s">
        <v>7487</v>
      </c>
      <c r="D890" s="37">
        <v>263</v>
      </c>
      <c r="E890" s="36">
        <v>2</v>
      </c>
      <c r="G890" s="36" t="s">
        <v>7353</v>
      </c>
      <c r="J890" s="36" t="s">
        <v>27</v>
      </c>
      <c r="K890" s="36" t="s">
        <v>4052</v>
      </c>
      <c r="L890" s="36">
        <v>0</v>
      </c>
      <c r="N890" s="75">
        <v>1</v>
      </c>
      <c r="P890" s="77">
        <v>1</v>
      </c>
      <c r="Q890" s="78">
        <v>1</v>
      </c>
      <c r="AB890" s="36" t="s">
        <v>4945</v>
      </c>
      <c r="AD890" s="36" t="s">
        <v>4161</v>
      </c>
      <c r="AF890" s="36" t="s">
        <v>7354</v>
      </c>
      <c r="AP890" s="86"/>
      <c r="AQ890" s="88"/>
      <c r="AR890" s="89"/>
      <c r="AS890" s="90"/>
      <c r="AV890" s="88"/>
      <c r="AW890" s="96"/>
      <c r="AX890" s="97"/>
      <c r="AY890" s="93"/>
      <c r="BB890" s="94"/>
    </row>
    <row r="891" spans="1:59" ht="15" customHeight="1">
      <c r="A891" s="36" t="s">
        <v>7351</v>
      </c>
      <c r="B891" s="36" t="s">
        <v>7355</v>
      </c>
      <c r="C891" s="36" t="s">
        <v>7487</v>
      </c>
      <c r="D891" s="37">
        <v>264</v>
      </c>
      <c r="E891" s="36">
        <v>2</v>
      </c>
      <c r="G891" s="36" t="s">
        <v>7356</v>
      </c>
      <c r="J891" s="36" t="s">
        <v>4111</v>
      </c>
      <c r="K891" s="36" t="s">
        <v>4052</v>
      </c>
      <c r="L891" s="36">
        <v>3</v>
      </c>
      <c r="N891" s="75" t="s">
        <v>38</v>
      </c>
      <c r="AD891" s="36" t="s">
        <v>4143</v>
      </c>
      <c r="AF891" s="36" t="s">
        <v>7357</v>
      </c>
      <c r="AP891" s="86"/>
      <c r="AQ891" s="88"/>
      <c r="AR891" s="89"/>
      <c r="AS891" s="90"/>
      <c r="AV891" s="88"/>
      <c r="AW891" s="96"/>
      <c r="AX891" s="97"/>
      <c r="AY891" s="93"/>
      <c r="BB891" s="94"/>
    </row>
    <row r="892" spans="1:59" ht="15" customHeight="1">
      <c r="A892" s="36" t="s">
        <v>7351</v>
      </c>
      <c r="B892" s="36" t="s">
        <v>7358</v>
      </c>
      <c r="C892" s="36" t="s">
        <v>7487</v>
      </c>
      <c r="D892" s="37">
        <v>265</v>
      </c>
      <c r="E892" s="36">
        <v>2</v>
      </c>
      <c r="G892" s="36" t="s">
        <v>7359</v>
      </c>
      <c r="J892" s="36" t="s">
        <v>27</v>
      </c>
      <c r="K892" s="36" t="s">
        <v>4053</v>
      </c>
      <c r="L892" s="36">
        <v>0</v>
      </c>
      <c r="N892" s="75">
        <v>0</v>
      </c>
      <c r="S892" s="126">
        <v>1</v>
      </c>
      <c r="AB892" s="36" t="s">
        <v>4062</v>
      </c>
      <c r="AD892" s="36" t="s">
        <v>4194</v>
      </c>
      <c r="AF892" s="36" t="s">
        <v>7360</v>
      </c>
      <c r="AP892" s="86"/>
      <c r="AQ892" s="88"/>
      <c r="AR892" s="89"/>
      <c r="AS892" s="90"/>
      <c r="AV892" s="88"/>
      <c r="AW892" s="96"/>
      <c r="AX892" s="97"/>
      <c r="AY892" s="93"/>
      <c r="BB892" s="94"/>
    </row>
    <row r="893" spans="1:59" ht="15" customHeight="1">
      <c r="A893" s="36" t="s">
        <v>7351</v>
      </c>
      <c r="B893" s="36" t="s">
        <v>7361</v>
      </c>
      <c r="C893" s="36" t="s">
        <v>7487</v>
      </c>
      <c r="D893" s="37">
        <v>266</v>
      </c>
      <c r="E893" s="36">
        <v>2</v>
      </c>
      <c r="G893" s="36" t="s">
        <v>7362</v>
      </c>
      <c r="J893" s="36" t="s">
        <v>4111</v>
      </c>
      <c r="K893" s="36" t="s">
        <v>4053</v>
      </c>
      <c r="L893" s="36">
        <v>4</v>
      </c>
      <c r="N893" s="75">
        <v>3</v>
      </c>
      <c r="O893" s="76">
        <v>1</v>
      </c>
      <c r="P893" s="77">
        <v>1</v>
      </c>
      <c r="AB893" s="36" t="s">
        <v>6176</v>
      </c>
      <c r="AC893" s="36" t="s">
        <v>4232</v>
      </c>
      <c r="AD893" s="36" t="s">
        <v>4133</v>
      </c>
      <c r="AF893" s="36" t="s">
        <v>7363</v>
      </c>
      <c r="AP893" s="86"/>
      <c r="AQ893" s="88"/>
      <c r="AR893" s="89"/>
      <c r="AS893" s="90"/>
      <c r="AV893" s="88"/>
      <c r="AW893" s="96"/>
      <c r="AX893" s="97"/>
      <c r="AY893" s="93"/>
      <c r="BB893" s="94"/>
    </row>
    <row r="894" spans="1:59" ht="15" customHeight="1">
      <c r="A894" s="36" t="s">
        <v>7351</v>
      </c>
      <c r="B894" s="36" t="s">
        <v>7364</v>
      </c>
      <c r="C894" s="36" t="s">
        <v>7487</v>
      </c>
      <c r="D894" s="37">
        <v>267</v>
      </c>
      <c r="E894" s="36">
        <v>2</v>
      </c>
      <c r="G894" s="36" t="s">
        <v>7365</v>
      </c>
      <c r="J894" s="36" t="s">
        <v>27</v>
      </c>
      <c r="K894" s="36" t="s">
        <v>4055</v>
      </c>
      <c r="L894" s="36">
        <v>0</v>
      </c>
      <c r="N894" s="75">
        <v>0</v>
      </c>
      <c r="R894" s="79">
        <v>2</v>
      </c>
      <c r="AB894" s="36" t="s">
        <v>4949</v>
      </c>
      <c r="AD894" s="36" t="s">
        <v>4226</v>
      </c>
      <c r="AF894" s="36" t="s">
        <v>7366</v>
      </c>
      <c r="AP894" s="86"/>
      <c r="AQ894" s="88"/>
      <c r="AR894" s="89"/>
      <c r="AS894" s="90"/>
      <c r="AV894" s="88"/>
      <c r="AW894" s="96"/>
      <c r="AX894" s="97"/>
      <c r="AY894" s="93"/>
      <c r="BB894" s="94"/>
    </row>
    <row r="895" spans="1:59" ht="15" customHeight="1">
      <c r="A895" s="36" t="s">
        <v>7351</v>
      </c>
      <c r="B895" s="36" t="s">
        <v>7367</v>
      </c>
      <c r="C895" s="36" t="s">
        <v>7487</v>
      </c>
      <c r="D895" s="37">
        <v>268</v>
      </c>
      <c r="E895" s="36">
        <v>2</v>
      </c>
      <c r="G895" s="36" t="s">
        <v>7368</v>
      </c>
      <c r="J895" s="36" t="s">
        <v>4111</v>
      </c>
      <c r="K895" s="36" t="s">
        <v>4055</v>
      </c>
      <c r="L895" s="36">
        <v>4</v>
      </c>
      <c r="N895" s="75">
        <v>3</v>
      </c>
      <c r="O895" s="76">
        <v>1</v>
      </c>
      <c r="R895" s="79">
        <v>1</v>
      </c>
      <c r="AB895" s="36" t="s">
        <v>6042</v>
      </c>
      <c r="AC895" s="36" t="s">
        <v>4232</v>
      </c>
      <c r="AD895" s="36" t="s">
        <v>4133</v>
      </c>
      <c r="AF895" s="36" t="s">
        <v>7369</v>
      </c>
      <c r="AP895" s="86"/>
      <c r="AQ895" s="88"/>
      <c r="AR895" s="89"/>
      <c r="AS895" s="90"/>
      <c r="AV895" s="88"/>
      <c r="AW895" s="96"/>
      <c r="AX895" s="97"/>
      <c r="AY895" s="93"/>
      <c r="BB895" s="94"/>
    </row>
    <row r="896" spans="1:59" ht="15" customHeight="1">
      <c r="A896" s="36" t="s">
        <v>7351</v>
      </c>
      <c r="B896" s="36" t="s">
        <v>7370</v>
      </c>
      <c r="C896" s="36" t="s">
        <v>7487</v>
      </c>
      <c r="D896" s="37">
        <v>269</v>
      </c>
      <c r="E896" s="36">
        <v>2</v>
      </c>
      <c r="G896" s="36" t="s">
        <v>7371</v>
      </c>
      <c r="H896" s="36" t="s">
        <v>7372</v>
      </c>
      <c r="I896" s="36" t="s">
        <v>4077</v>
      </c>
      <c r="J896" s="36" t="s">
        <v>4111</v>
      </c>
      <c r="K896" s="36" t="s">
        <v>4054</v>
      </c>
      <c r="L896" s="36">
        <v>0</v>
      </c>
      <c r="N896" s="75">
        <v>4</v>
      </c>
      <c r="O896" s="76">
        <v>1</v>
      </c>
      <c r="AB896" s="36" t="s">
        <v>4058</v>
      </c>
      <c r="AC896" s="36" t="s">
        <v>4129</v>
      </c>
      <c r="AD896" s="36" t="s">
        <v>4229</v>
      </c>
      <c r="AF896" s="36" t="s">
        <v>7373</v>
      </c>
      <c r="AP896" s="86"/>
      <c r="AQ896" s="88"/>
      <c r="AR896" s="89"/>
      <c r="AS896" s="90"/>
      <c r="AV896" s="88"/>
      <c r="AW896" s="96"/>
      <c r="AX896" s="97"/>
      <c r="AY896" s="93"/>
      <c r="BB896" s="94"/>
    </row>
    <row r="897" spans="1:59" ht="15" customHeight="1">
      <c r="A897" s="36" t="s">
        <v>7351</v>
      </c>
      <c r="B897" s="36" t="s">
        <v>7374</v>
      </c>
      <c r="C897" s="36" t="s">
        <v>7487</v>
      </c>
      <c r="D897" s="37">
        <v>270</v>
      </c>
      <c r="E897" s="36">
        <v>2</v>
      </c>
      <c r="G897" s="36" t="s">
        <v>4527</v>
      </c>
      <c r="J897" s="36" t="s">
        <v>27</v>
      </c>
      <c r="K897" s="36" t="s">
        <v>4054</v>
      </c>
      <c r="L897" s="36">
        <v>2</v>
      </c>
      <c r="N897" s="75">
        <v>1</v>
      </c>
      <c r="S897" s="126">
        <v>1</v>
      </c>
      <c r="AB897" s="36" t="s">
        <v>4062</v>
      </c>
      <c r="AD897" s="36" t="s">
        <v>4528</v>
      </c>
      <c r="AF897" s="36" t="s">
        <v>7375</v>
      </c>
      <c r="AP897" s="86"/>
      <c r="AQ897" s="88"/>
      <c r="AR897" s="89"/>
      <c r="AS897" s="90"/>
      <c r="AV897" s="88"/>
      <c r="AW897" s="96"/>
      <c r="AX897" s="97"/>
      <c r="AY897" s="93"/>
      <c r="BB897" s="94"/>
    </row>
    <row r="898" spans="1:59" ht="15" customHeight="1">
      <c r="A898" s="36" t="s">
        <v>7351</v>
      </c>
      <c r="B898" s="36" t="s">
        <v>7376</v>
      </c>
      <c r="C898" s="36" t="s">
        <v>7487</v>
      </c>
      <c r="D898" s="37">
        <v>271</v>
      </c>
      <c r="E898" s="36">
        <v>2</v>
      </c>
      <c r="G898" s="36" t="s">
        <v>4523</v>
      </c>
      <c r="J898" s="36" t="s">
        <v>4111</v>
      </c>
      <c r="K898" s="36" t="s">
        <v>4054</v>
      </c>
      <c r="L898" s="36">
        <v>3</v>
      </c>
      <c r="N898" s="75">
        <v>0</v>
      </c>
      <c r="O898" s="76">
        <v>1</v>
      </c>
      <c r="Q898" s="78">
        <v>1</v>
      </c>
      <c r="T898" s="81">
        <v>1</v>
      </c>
      <c r="U898" s="76">
        <v>3</v>
      </c>
      <c r="AB898" s="36" t="s">
        <v>6033</v>
      </c>
      <c r="AC898" s="36" t="s">
        <v>25</v>
      </c>
      <c r="AD898" s="36" t="s">
        <v>4524</v>
      </c>
      <c r="AF898" s="36" t="s">
        <v>7377</v>
      </c>
      <c r="AP898" s="86"/>
      <c r="AQ898" s="88"/>
      <c r="AR898" s="89"/>
      <c r="AS898" s="90"/>
      <c r="AV898" s="88"/>
      <c r="AW898" s="96"/>
      <c r="AX898" s="97"/>
      <c r="AY898" s="93"/>
      <c r="BB898" s="94"/>
    </row>
    <row r="899" spans="1:59" ht="15" customHeight="1">
      <c r="A899" s="36" t="s">
        <v>7351</v>
      </c>
      <c r="B899" s="36" t="s">
        <v>7378</v>
      </c>
      <c r="C899" s="36" t="s">
        <v>7487</v>
      </c>
      <c r="D899" s="37">
        <v>272</v>
      </c>
      <c r="E899" s="36">
        <v>2</v>
      </c>
      <c r="G899" s="36" t="s">
        <v>7379</v>
      </c>
      <c r="J899" s="36" t="s">
        <v>4166</v>
      </c>
      <c r="K899" s="36" t="s">
        <v>4056</v>
      </c>
      <c r="L899" s="36">
        <v>0</v>
      </c>
      <c r="O899" s="76">
        <v>1</v>
      </c>
      <c r="Q899" s="78">
        <v>1</v>
      </c>
      <c r="R899" s="79">
        <v>1</v>
      </c>
      <c r="AB899" s="36" t="s">
        <v>7250</v>
      </c>
      <c r="AD899" s="36" t="s">
        <v>4266</v>
      </c>
      <c r="AF899" s="36" t="s">
        <v>7380</v>
      </c>
      <c r="AP899" s="86"/>
      <c r="AQ899" s="88"/>
      <c r="AR899" s="89"/>
      <c r="AS899" s="90"/>
      <c r="AV899" s="88"/>
      <c r="AW899" s="96"/>
      <c r="AX899" s="97"/>
      <c r="AY899" s="93"/>
      <c r="BB899" s="94"/>
    </row>
    <row r="900" spans="1:59" ht="15" customHeight="1">
      <c r="A900" s="36" t="s">
        <v>7351</v>
      </c>
      <c r="B900" s="36" t="s">
        <v>7381</v>
      </c>
      <c r="C900" s="36" t="s">
        <v>7487</v>
      </c>
      <c r="D900" s="37">
        <v>273</v>
      </c>
      <c r="E900" s="36">
        <v>2</v>
      </c>
      <c r="G900" s="36" t="s">
        <v>7382</v>
      </c>
      <c r="J900" s="36" t="s">
        <v>27</v>
      </c>
      <c r="K900" s="36" t="s">
        <v>4056</v>
      </c>
      <c r="L900" s="36">
        <v>3</v>
      </c>
      <c r="N900" s="75">
        <v>3</v>
      </c>
      <c r="AD900" s="36" t="s">
        <v>5659</v>
      </c>
      <c r="AF900" s="36" t="s">
        <v>7383</v>
      </c>
      <c r="AP900" s="86"/>
      <c r="AQ900" s="88"/>
      <c r="AR900" s="89"/>
      <c r="AS900" s="90"/>
      <c r="AV900" s="88"/>
      <c r="AW900" s="96"/>
      <c r="AX900" s="97"/>
      <c r="AY900" s="93"/>
      <c r="BB900" s="94"/>
    </row>
    <row r="901" spans="1:59" ht="15" customHeight="1">
      <c r="A901" s="36" t="s">
        <v>7351</v>
      </c>
      <c r="B901" s="36" t="s">
        <v>7384</v>
      </c>
      <c r="C901" s="36" t="s">
        <v>7487</v>
      </c>
      <c r="D901" s="37">
        <v>274</v>
      </c>
      <c r="E901" s="36">
        <v>1</v>
      </c>
      <c r="F901" s="36" t="s">
        <v>6641</v>
      </c>
      <c r="G901" s="36" t="s">
        <v>6641</v>
      </c>
      <c r="J901" s="36" t="s">
        <v>4472</v>
      </c>
      <c r="K901" s="36" t="s">
        <v>6280</v>
      </c>
      <c r="AF901" s="36" t="s">
        <v>7385</v>
      </c>
      <c r="AI901" s="36" t="s">
        <v>6641</v>
      </c>
      <c r="AL901" s="36" t="s">
        <v>4472</v>
      </c>
      <c r="AM901" s="36" t="s">
        <v>6280</v>
      </c>
      <c r="AP901" s="86"/>
      <c r="AQ901" s="88"/>
      <c r="AR901" s="89"/>
      <c r="AS901" s="90"/>
      <c r="AV901" s="88"/>
      <c r="AW901" s="96"/>
      <c r="AX901" s="97"/>
      <c r="AY901" s="93"/>
      <c r="BB901" s="94"/>
      <c r="BG901" s="36" t="s">
        <v>7386</v>
      </c>
    </row>
    <row r="902" spans="1:59" ht="15" customHeight="1">
      <c r="A902" s="36" t="s">
        <v>7351</v>
      </c>
      <c r="B902" s="36" t="s">
        <v>7387</v>
      </c>
      <c r="C902" s="36" t="s">
        <v>7487</v>
      </c>
      <c r="D902" s="37">
        <v>275</v>
      </c>
      <c r="E902" s="36">
        <v>1</v>
      </c>
      <c r="F902" s="36" t="s">
        <v>6641</v>
      </c>
      <c r="G902" s="36" t="s">
        <v>7388</v>
      </c>
      <c r="J902" s="36" t="s">
        <v>4473</v>
      </c>
      <c r="K902" s="36" t="s">
        <v>6280</v>
      </c>
      <c r="L902" s="36">
        <v>1</v>
      </c>
      <c r="Z902" s="81">
        <v>5</v>
      </c>
      <c r="AF902" s="36" t="s">
        <v>7389</v>
      </c>
      <c r="AI902" s="36" t="s">
        <v>7390</v>
      </c>
      <c r="AL902" s="36" t="s">
        <v>4473</v>
      </c>
      <c r="AM902" s="36" t="s">
        <v>6280</v>
      </c>
      <c r="AN902" s="36">
        <v>1</v>
      </c>
      <c r="AP902" s="86"/>
      <c r="AQ902" s="88"/>
      <c r="AR902" s="89"/>
      <c r="AS902" s="90"/>
      <c r="AV902" s="88"/>
      <c r="AW902" s="96"/>
      <c r="AX902" s="97"/>
      <c r="AY902" s="93"/>
      <c r="BB902" s="94"/>
      <c r="BG902" s="36" t="s">
        <v>7391</v>
      </c>
    </row>
    <row r="903" spans="1:59" ht="15" customHeight="1">
      <c r="A903" s="36" t="s">
        <v>7351</v>
      </c>
      <c r="B903" s="36" t="s">
        <v>7392</v>
      </c>
      <c r="C903" s="36" t="s">
        <v>7487</v>
      </c>
      <c r="D903" s="37">
        <v>276</v>
      </c>
      <c r="E903" s="36">
        <v>1</v>
      </c>
      <c r="F903" s="36" t="s">
        <v>7393</v>
      </c>
      <c r="G903" s="36" t="s">
        <v>7394</v>
      </c>
      <c r="J903" s="36" t="s">
        <v>4473</v>
      </c>
      <c r="K903" s="36" t="s">
        <v>6280</v>
      </c>
      <c r="L903" s="36">
        <v>2</v>
      </c>
      <c r="Z903" s="81">
        <v>6</v>
      </c>
      <c r="AF903" s="36" t="s">
        <v>7395</v>
      </c>
      <c r="AI903" s="36" t="s">
        <v>7396</v>
      </c>
      <c r="AL903" s="36" t="s">
        <v>4473</v>
      </c>
      <c r="AM903" s="36" t="s">
        <v>6280</v>
      </c>
      <c r="AN903" s="36">
        <v>2</v>
      </c>
      <c r="AP903" s="86"/>
      <c r="AQ903" s="88"/>
      <c r="AR903" s="89"/>
      <c r="AS903" s="90"/>
      <c r="AV903" s="88"/>
      <c r="AW903" s="96"/>
      <c r="AX903" s="97"/>
      <c r="AY903" s="93"/>
      <c r="BB903" s="94"/>
      <c r="BG903" s="36" t="s">
        <v>7397</v>
      </c>
    </row>
    <row r="904" spans="1:59" ht="15" customHeight="1">
      <c r="A904" s="36" t="s">
        <v>7351</v>
      </c>
      <c r="B904" s="36" t="s">
        <v>7398</v>
      </c>
      <c r="C904" s="36" t="s">
        <v>7487</v>
      </c>
      <c r="D904" s="37">
        <v>276</v>
      </c>
      <c r="E904" s="36">
        <v>1</v>
      </c>
      <c r="F904" s="36" t="s">
        <v>7399</v>
      </c>
      <c r="G904" s="36" t="s">
        <v>7394</v>
      </c>
      <c r="J904" s="36" t="s">
        <v>4473</v>
      </c>
      <c r="K904" s="36" t="s">
        <v>6280</v>
      </c>
      <c r="L904" s="36">
        <v>2</v>
      </c>
      <c r="Z904" s="81">
        <v>6</v>
      </c>
      <c r="AF904" s="36" t="s">
        <v>7395</v>
      </c>
      <c r="AI904" s="36" t="s">
        <v>6792</v>
      </c>
      <c r="AL904" s="36" t="s">
        <v>4473</v>
      </c>
      <c r="AM904" s="36" t="s">
        <v>6280</v>
      </c>
      <c r="AN904" s="36">
        <v>2</v>
      </c>
      <c r="AP904" s="86"/>
      <c r="AQ904" s="88"/>
      <c r="AR904" s="89"/>
      <c r="AS904" s="90"/>
      <c r="AV904" s="88"/>
      <c r="AW904" s="96"/>
      <c r="AX904" s="97"/>
      <c r="AY904" s="93"/>
      <c r="BB904" s="94"/>
      <c r="BG904" s="36" t="s">
        <v>7400</v>
      </c>
    </row>
    <row r="905" spans="1:59" ht="15" customHeight="1">
      <c r="A905" s="36" t="s">
        <v>7351</v>
      </c>
      <c r="B905" s="36" t="s">
        <v>7401</v>
      </c>
      <c r="C905" s="36" t="s">
        <v>7487</v>
      </c>
      <c r="D905" s="37">
        <v>277</v>
      </c>
      <c r="E905" s="36">
        <v>1</v>
      </c>
      <c r="F905" s="36" t="s">
        <v>6641</v>
      </c>
      <c r="G905" s="36" t="s">
        <v>7402</v>
      </c>
      <c r="J905" s="36" t="s">
        <v>4473</v>
      </c>
      <c r="K905" s="36" t="s">
        <v>6280</v>
      </c>
      <c r="L905" s="36">
        <v>3</v>
      </c>
      <c r="Z905" s="81">
        <v>8</v>
      </c>
      <c r="AF905" s="36" t="s">
        <v>7403</v>
      </c>
      <c r="AI905" s="36" t="s">
        <v>7404</v>
      </c>
      <c r="AL905" s="36" t="s">
        <v>4473</v>
      </c>
      <c r="AM905" s="36" t="s">
        <v>6280</v>
      </c>
      <c r="AN905" s="36">
        <v>3</v>
      </c>
      <c r="AP905" s="86"/>
      <c r="AQ905" s="88"/>
      <c r="AR905" s="89"/>
      <c r="AS905" s="90"/>
      <c r="AV905" s="88"/>
      <c r="AW905" s="96"/>
      <c r="AX905" s="97"/>
      <c r="AY905" s="93"/>
      <c r="BB905" s="94"/>
      <c r="BG905" s="36" t="s">
        <v>5341</v>
      </c>
    </row>
    <row r="906" spans="1:59" ht="15" customHeight="1">
      <c r="A906" s="36" t="s">
        <v>7351</v>
      </c>
      <c r="B906" s="36" t="s">
        <v>7405</v>
      </c>
      <c r="C906" s="36" t="s">
        <v>7487</v>
      </c>
      <c r="D906" s="37">
        <v>278</v>
      </c>
      <c r="E906" s="36">
        <v>1</v>
      </c>
      <c r="F906" s="36" t="s">
        <v>6641</v>
      </c>
      <c r="G906" s="36" t="s">
        <v>4642</v>
      </c>
      <c r="J906" s="36" t="s">
        <v>4473</v>
      </c>
      <c r="K906" s="36" t="s">
        <v>6280</v>
      </c>
      <c r="L906" s="36">
        <v>1</v>
      </c>
      <c r="Z906" s="81">
        <v>5</v>
      </c>
      <c r="AF906" s="36" t="s">
        <v>7406</v>
      </c>
      <c r="AI906" s="36" t="s">
        <v>7407</v>
      </c>
      <c r="AL906" s="36" t="s">
        <v>4473</v>
      </c>
      <c r="AM906" s="36" t="s">
        <v>6280</v>
      </c>
      <c r="AN906" s="36">
        <v>1</v>
      </c>
      <c r="AP906" s="86"/>
      <c r="AQ906" s="88"/>
      <c r="AR906" s="89"/>
      <c r="AS906" s="90"/>
      <c r="AV906" s="88"/>
      <c r="AW906" s="96"/>
      <c r="AX906" s="97"/>
      <c r="AY906" s="93"/>
      <c r="BB906" s="94"/>
      <c r="BG906" s="36" t="s">
        <v>7408</v>
      </c>
    </row>
    <row r="907" spans="1:59" ht="15" customHeight="1">
      <c r="A907" s="36" t="s">
        <v>7351</v>
      </c>
      <c r="B907" s="36" t="s">
        <v>7409</v>
      </c>
      <c r="C907" s="36" t="s">
        <v>7487</v>
      </c>
      <c r="D907" s="37">
        <v>279</v>
      </c>
      <c r="E907" s="36">
        <v>1</v>
      </c>
      <c r="F907" s="36" t="s">
        <v>7399</v>
      </c>
      <c r="G907" s="36" t="s">
        <v>7410</v>
      </c>
      <c r="J907" s="36" t="s">
        <v>4473</v>
      </c>
      <c r="K907" s="36" t="s">
        <v>6280</v>
      </c>
      <c r="L907" s="36">
        <v>2</v>
      </c>
      <c r="Z907" s="81">
        <v>6</v>
      </c>
      <c r="AF907" s="36" t="s">
        <v>7411</v>
      </c>
      <c r="AI907" s="36" t="s">
        <v>7396</v>
      </c>
      <c r="AL907" s="36" t="s">
        <v>4473</v>
      </c>
      <c r="AM907" s="36" t="s">
        <v>6280</v>
      </c>
      <c r="AN907" s="36">
        <v>2</v>
      </c>
      <c r="AP907" s="86"/>
      <c r="AQ907" s="88"/>
      <c r="AR907" s="89"/>
      <c r="AS907" s="90"/>
      <c r="AV907" s="88"/>
      <c r="AW907" s="96"/>
      <c r="AX907" s="97"/>
      <c r="AY907" s="93"/>
      <c r="BB907" s="94"/>
      <c r="BG907" s="36" t="s">
        <v>7412</v>
      </c>
    </row>
    <row r="908" spans="1:59" ht="15" customHeight="1">
      <c r="A908" s="36" t="s">
        <v>7351</v>
      </c>
      <c r="B908" s="36" t="s">
        <v>7413</v>
      </c>
      <c r="C908" s="36" t="s">
        <v>7487</v>
      </c>
      <c r="D908" s="37">
        <v>279</v>
      </c>
      <c r="E908" s="36">
        <v>1</v>
      </c>
      <c r="F908" s="36" t="s">
        <v>7393</v>
      </c>
      <c r="G908" s="36" t="s">
        <v>7410</v>
      </c>
      <c r="J908" s="36" t="s">
        <v>4473</v>
      </c>
      <c r="K908" s="36" t="s">
        <v>6280</v>
      </c>
      <c r="L908" s="36">
        <v>2</v>
      </c>
      <c r="Z908" s="81">
        <v>6</v>
      </c>
      <c r="AF908" s="36" t="s">
        <v>7411</v>
      </c>
      <c r="AI908" s="36" t="s">
        <v>6792</v>
      </c>
      <c r="AL908" s="36" t="s">
        <v>4473</v>
      </c>
      <c r="AM908" s="36" t="s">
        <v>6280</v>
      </c>
      <c r="AN908" s="36">
        <v>2</v>
      </c>
      <c r="AP908" s="86"/>
      <c r="AQ908" s="88"/>
      <c r="AR908" s="89"/>
      <c r="AS908" s="90"/>
      <c r="AV908" s="88"/>
      <c r="AW908" s="96"/>
      <c r="AX908" s="97"/>
      <c r="AY908" s="93"/>
      <c r="BB908" s="94"/>
      <c r="BG908" s="36" t="s">
        <v>7414</v>
      </c>
    </row>
    <row r="909" spans="1:59" ht="15" customHeight="1">
      <c r="A909" s="36" t="s">
        <v>7351</v>
      </c>
      <c r="B909" s="36" t="s">
        <v>7415</v>
      </c>
      <c r="C909" s="36" t="s">
        <v>7487</v>
      </c>
      <c r="D909" s="37">
        <v>280</v>
      </c>
      <c r="E909" s="36">
        <v>1</v>
      </c>
      <c r="F909" s="36" t="s">
        <v>6641</v>
      </c>
      <c r="G909" s="36" t="s">
        <v>7416</v>
      </c>
      <c r="J909" s="36" t="s">
        <v>4473</v>
      </c>
      <c r="K909" s="36" t="s">
        <v>6280</v>
      </c>
      <c r="L909" s="36">
        <v>3</v>
      </c>
      <c r="Z909" s="81">
        <v>8</v>
      </c>
      <c r="AF909" s="36" t="s">
        <v>7417</v>
      </c>
      <c r="AI909" s="36" t="s">
        <v>7404</v>
      </c>
      <c r="AL909" s="36" t="s">
        <v>4473</v>
      </c>
      <c r="AM909" s="36" t="s">
        <v>6280</v>
      </c>
      <c r="AN909" s="36">
        <v>3</v>
      </c>
      <c r="AP909" s="86"/>
      <c r="AQ909" s="88"/>
      <c r="AR909" s="89"/>
      <c r="AS909" s="90"/>
      <c r="AV909" s="88"/>
      <c r="AW909" s="96"/>
      <c r="AX909" s="97"/>
      <c r="AY909" s="93"/>
      <c r="BB909" s="94"/>
      <c r="BG909" s="36" t="s">
        <v>5341</v>
      </c>
    </row>
    <row r="910" spans="1:59" ht="15" customHeight="1">
      <c r="A910" s="36" t="s">
        <v>7351</v>
      </c>
      <c r="B910" s="36" t="s">
        <v>7418</v>
      </c>
      <c r="C910" s="36" t="s">
        <v>7487</v>
      </c>
      <c r="D910" s="37">
        <v>281</v>
      </c>
      <c r="E910" s="36">
        <v>1</v>
      </c>
      <c r="F910" s="36" t="s">
        <v>6641</v>
      </c>
      <c r="G910" s="36" t="s">
        <v>7419</v>
      </c>
      <c r="J910" s="36" t="s">
        <v>4475</v>
      </c>
      <c r="K910" s="36" t="s">
        <v>6280</v>
      </c>
      <c r="L910" s="36">
        <v>3</v>
      </c>
      <c r="Y910" s="79" t="s">
        <v>38</v>
      </c>
      <c r="AF910" s="36" t="s">
        <v>7420</v>
      </c>
      <c r="AI910" s="36" t="s">
        <v>7421</v>
      </c>
      <c r="AL910" s="36" t="s">
        <v>4475</v>
      </c>
      <c r="AM910" s="36" t="s">
        <v>6280</v>
      </c>
      <c r="AN910" s="36">
        <v>3</v>
      </c>
      <c r="AP910" s="86"/>
      <c r="AQ910" s="88"/>
      <c r="AR910" s="89"/>
      <c r="AS910" s="90"/>
      <c r="AV910" s="88"/>
      <c r="AW910" s="96"/>
      <c r="AX910" s="97"/>
      <c r="AY910" s="93"/>
      <c r="BB910" s="94"/>
      <c r="BG910" s="36" t="s">
        <v>5740</v>
      </c>
    </row>
    <row r="911" spans="1:59" ht="15" customHeight="1">
      <c r="A911" s="36" t="s">
        <v>7351</v>
      </c>
      <c r="B911" s="36" t="s">
        <v>7422</v>
      </c>
      <c r="C911" s="36" t="s">
        <v>7487</v>
      </c>
      <c r="D911" s="37">
        <v>282</v>
      </c>
      <c r="E911" s="36">
        <v>1</v>
      </c>
      <c r="F911" s="36" t="s">
        <v>6641</v>
      </c>
      <c r="G911" s="36" t="s">
        <v>7423</v>
      </c>
      <c r="J911" s="36" t="s">
        <v>4475</v>
      </c>
      <c r="K911" s="36" t="s">
        <v>6280</v>
      </c>
      <c r="L911" s="36">
        <v>3</v>
      </c>
      <c r="Y911" s="79" t="s">
        <v>38</v>
      </c>
      <c r="AF911" s="36" t="s">
        <v>7424</v>
      </c>
      <c r="AI911" s="36" t="s">
        <v>7421</v>
      </c>
      <c r="AL911" s="36" t="s">
        <v>4475</v>
      </c>
      <c r="AM911" s="36" t="s">
        <v>6280</v>
      </c>
      <c r="AN911" s="36">
        <v>3</v>
      </c>
      <c r="AP911" s="86"/>
      <c r="AQ911" s="88"/>
      <c r="AR911" s="89"/>
      <c r="AS911" s="90"/>
      <c r="AV911" s="88"/>
      <c r="AW911" s="96"/>
      <c r="AX911" s="97"/>
      <c r="AY911" s="93"/>
      <c r="BB911" s="94"/>
      <c r="BG911" s="36" t="s">
        <v>6066</v>
      </c>
    </row>
    <row r="912" spans="1:59" ht="15" customHeight="1">
      <c r="A912" s="36" t="s">
        <v>7351</v>
      </c>
      <c r="B912" s="36" t="s">
        <v>7425</v>
      </c>
      <c r="C912" s="36" t="s">
        <v>7487</v>
      </c>
      <c r="D912" s="37">
        <v>283</v>
      </c>
      <c r="E912" s="36">
        <v>1</v>
      </c>
      <c r="F912" s="36" t="s">
        <v>6641</v>
      </c>
      <c r="G912" s="36" t="s">
        <v>7426</v>
      </c>
      <c r="J912" s="36" t="s">
        <v>31</v>
      </c>
      <c r="K912" s="36" t="s">
        <v>6280</v>
      </c>
      <c r="AI912" s="36" t="s">
        <v>7426</v>
      </c>
      <c r="AL912" s="36" t="s">
        <v>31</v>
      </c>
      <c r="AM912" s="36" t="s">
        <v>6280</v>
      </c>
      <c r="AP912" s="86"/>
      <c r="AQ912" s="88"/>
      <c r="AR912" s="89"/>
      <c r="AS912" s="90"/>
      <c r="AV912" s="88"/>
      <c r="AW912" s="96"/>
      <c r="AX912" s="97"/>
      <c r="AY912" s="93">
        <v>3</v>
      </c>
      <c r="AZ912" s="79" t="s">
        <v>4927</v>
      </c>
      <c r="BB912" s="94"/>
      <c r="BG912" s="36" t="s">
        <v>7427</v>
      </c>
    </row>
    <row r="913" spans="1:59" ht="15" customHeight="1">
      <c r="A913" s="36" t="s">
        <v>7351</v>
      </c>
      <c r="B913" s="36" t="s">
        <v>7428</v>
      </c>
      <c r="C913" s="36" t="s">
        <v>7487</v>
      </c>
      <c r="D913" s="37">
        <v>284</v>
      </c>
      <c r="E913" s="36">
        <v>1</v>
      </c>
      <c r="F913" s="36" t="s">
        <v>6641</v>
      </c>
      <c r="G913" s="36" t="s">
        <v>7429</v>
      </c>
      <c r="J913" s="36" t="s">
        <v>31</v>
      </c>
      <c r="K913" s="36" t="s">
        <v>6280</v>
      </c>
      <c r="AI913" s="36" t="s">
        <v>7429</v>
      </c>
      <c r="AL913" s="36" t="s">
        <v>31</v>
      </c>
      <c r="AM913" s="36" t="s">
        <v>6280</v>
      </c>
      <c r="AP913" s="86"/>
      <c r="AQ913" s="88"/>
      <c r="AR913" s="89"/>
      <c r="AS913" s="90"/>
      <c r="AV913" s="88"/>
      <c r="AW913" s="96"/>
      <c r="AX913" s="97"/>
      <c r="AY913" s="93">
        <v>1</v>
      </c>
      <c r="AZ913" s="79" t="s">
        <v>4927</v>
      </c>
      <c r="BB913" s="94"/>
      <c r="BG913" s="36" t="s">
        <v>7430</v>
      </c>
    </row>
    <row r="914" spans="1:59" ht="15" customHeight="1">
      <c r="A914" s="36" t="s">
        <v>7351</v>
      </c>
      <c r="B914" s="36" t="s">
        <v>7431</v>
      </c>
      <c r="C914" s="36" t="s">
        <v>7487</v>
      </c>
      <c r="D914" s="37">
        <v>285</v>
      </c>
      <c r="E914" s="36">
        <v>1</v>
      </c>
      <c r="F914" s="36" t="s">
        <v>6641</v>
      </c>
      <c r="G914" s="36" t="s">
        <v>7432</v>
      </c>
      <c r="J914" s="36" t="s">
        <v>31</v>
      </c>
      <c r="K914" s="36" t="s">
        <v>6280</v>
      </c>
      <c r="AI914" s="36" t="s">
        <v>7432</v>
      </c>
      <c r="AL914" s="36" t="s">
        <v>31</v>
      </c>
      <c r="AM914" s="36" t="s">
        <v>6280</v>
      </c>
      <c r="AP914" s="86"/>
      <c r="AQ914" s="88"/>
      <c r="AR914" s="89"/>
      <c r="AS914" s="90"/>
      <c r="AV914" s="88"/>
      <c r="AW914" s="96"/>
      <c r="AX914" s="97"/>
      <c r="AY914" s="93">
        <v>2</v>
      </c>
      <c r="AZ914" s="79" t="s">
        <v>4965</v>
      </c>
      <c r="BB914" s="94">
        <v>1</v>
      </c>
      <c r="BG914" s="36" t="s">
        <v>7433</v>
      </c>
    </row>
    <row r="915" spans="1:59" ht="15" customHeight="1">
      <c r="A915" s="36" t="s">
        <v>7351</v>
      </c>
      <c r="B915" s="36" t="s">
        <v>7434</v>
      </c>
      <c r="C915" s="36" t="s">
        <v>7487</v>
      </c>
      <c r="D915" s="37">
        <v>286</v>
      </c>
      <c r="E915" s="36">
        <v>1</v>
      </c>
      <c r="F915" s="36" t="s">
        <v>6641</v>
      </c>
      <c r="G915" s="36" t="s">
        <v>7432</v>
      </c>
      <c r="J915" s="36" t="s">
        <v>31</v>
      </c>
      <c r="K915" s="36" t="s">
        <v>6280</v>
      </c>
      <c r="AI915" s="36" t="s">
        <v>7432</v>
      </c>
      <c r="AL915" s="36" t="s">
        <v>31</v>
      </c>
      <c r="AM915" s="36" t="s">
        <v>6280</v>
      </c>
      <c r="AP915" s="86"/>
      <c r="AQ915" s="88"/>
      <c r="AR915" s="89"/>
      <c r="AS915" s="90"/>
      <c r="AV915" s="88"/>
      <c r="AW915" s="96"/>
      <c r="AX915" s="97"/>
      <c r="AY915" s="93">
        <v>4</v>
      </c>
      <c r="AZ915" s="79" t="s">
        <v>4927</v>
      </c>
      <c r="BB915" s="94">
        <v>1</v>
      </c>
      <c r="BG915" s="36" t="s">
        <v>7435</v>
      </c>
    </row>
    <row r="916" spans="1:59" ht="15" customHeight="1">
      <c r="A916" s="36" t="s">
        <v>7351</v>
      </c>
      <c r="B916" s="36" t="s">
        <v>7436</v>
      </c>
      <c r="C916" s="36" t="s">
        <v>7487</v>
      </c>
      <c r="D916" s="37">
        <v>287</v>
      </c>
      <c r="E916" s="36">
        <v>1</v>
      </c>
      <c r="F916" s="36" t="s">
        <v>6641</v>
      </c>
      <c r="G916" s="36" t="s">
        <v>7437</v>
      </c>
      <c r="J916" s="36" t="s">
        <v>31</v>
      </c>
      <c r="K916" s="36" t="s">
        <v>6280</v>
      </c>
      <c r="AI916" s="36" t="s">
        <v>7437</v>
      </c>
      <c r="AL916" s="36" t="s">
        <v>31</v>
      </c>
      <c r="AM916" s="36" t="s">
        <v>6280</v>
      </c>
      <c r="AP916" s="86"/>
      <c r="AQ916" s="88"/>
      <c r="AR916" s="89"/>
      <c r="AS916" s="90"/>
      <c r="AV916" s="88"/>
      <c r="AW916" s="96"/>
      <c r="AX916" s="97"/>
      <c r="AY916" s="93">
        <v>2</v>
      </c>
      <c r="AZ916" s="79" t="s">
        <v>4965</v>
      </c>
      <c r="BB916" s="94">
        <v>1</v>
      </c>
      <c r="BG916" s="36" t="s">
        <v>7438</v>
      </c>
    </row>
    <row r="917" spans="1:59" ht="15" customHeight="1">
      <c r="A917" s="36" t="s">
        <v>7351</v>
      </c>
      <c r="B917" s="36" t="s">
        <v>7439</v>
      </c>
      <c r="C917" s="36" t="s">
        <v>7487</v>
      </c>
      <c r="D917" s="37">
        <v>288</v>
      </c>
      <c r="E917" s="36">
        <v>1</v>
      </c>
      <c r="F917" s="36" t="s">
        <v>6641</v>
      </c>
      <c r="G917" s="36" t="s">
        <v>7437</v>
      </c>
      <c r="J917" s="36" t="s">
        <v>31</v>
      </c>
      <c r="K917" s="36" t="s">
        <v>6280</v>
      </c>
      <c r="AI917" s="36" t="s">
        <v>7437</v>
      </c>
      <c r="AL917" s="36" t="s">
        <v>31</v>
      </c>
      <c r="AM917" s="36" t="s">
        <v>6280</v>
      </c>
      <c r="AP917" s="86"/>
      <c r="AQ917" s="88"/>
      <c r="AR917" s="89"/>
      <c r="AS917" s="90"/>
      <c r="AV917" s="88"/>
      <c r="AW917" s="96"/>
      <c r="AX917" s="97"/>
      <c r="AY917" s="93">
        <v>4</v>
      </c>
      <c r="AZ917" s="79" t="s">
        <v>4927</v>
      </c>
      <c r="BB917" s="94">
        <v>1</v>
      </c>
      <c r="BG917" s="36" t="s">
        <v>7440</v>
      </c>
    </row>
    <row r="918" spans="1:59" ht="15" customHeight="1">
      <c r="A918" s="36" t="s">
        <v>7351</v>
      </c>
      <c r="B918" s="36" t="s">
        <v>7441</v>
      </c>
      <c r="C918" s="36" t="s">
        <v>7487</v>
      </c>
      <c r="D918" s="37">
        <v>289</v>
      </c>
      <c r="E918" s="36">
        <v>1</v>
      </c>
      <c r="F918" s="36" t="s">
        <v>6641</v>
      </c>
      <c r="G918" s="36" t="s">
        <v>7442</v>
      </c>
      <c r="J918" s="36" t="s">
        <v>31</v>
      </c>
      <c r="K918" s="36" t="s">
        <v>6280</v>
      </c>
      <c r="AI918" s="36" t="s">
        <v>7442</v>
      </c>
      <c r="AL918" s="36" t="s">
        <v>31</v>
      </c>
      <c r="AM918" s="36" t="s">
        <v>6280</v>
      </c>
      <c r="AP918" s="86"/>
      <c r="AQ918" s="88"/>
      <c r="AR918" s="89"/>
      <c r="AS918" s="90"/>
      <c r="AV918" s="88"/>
      <c r="AW918" s="96"/>
      <c r="AX918" s="97"/>
      <c r="AY918" s="93">
        <v>4</v>
      </c>
      <c r="AZ918" s="79">
        <v>0</v>
      </c>
      <c r="BB918" s="94"/>
      <c r="BG918" s="36" t="s">
        <v>7443</v>
      </c>
    </row>
    <row r="919" spans="1:59" ht="15" customHeight="1">
      <c r="A919" s="36" t="s">
        <v>7351</v>
      </c>
      <c r="B919" s="36" t="s">
        <v>7444</v>
      </c>
      <c r="C919" s="36" t="s">
        <v>7487</v>
      </c>
      <c r="D919" s="37">
        <v>290</v>
      </c>
      <c r="E919" s="36">
        <v>1</v>
      </c>
      <c r="F919" s="36" t="s">
        <v>6641</v>
      </c>
      <c r="G919" s="36" t="s">
        <v>7442</v>
      </c>
      <c r="J919" s="36" t="s">
        <v>31</v>
      </c>
      <c r="K919" s="36" t="s">
        <v>6280</v>
      </c>
      <c r="AI919" s="36" t="s">
        <v>7442</v>
      </c>
      <c r="AL919" s="36" t="s">
        <v>31</v>
      </c>
      <c r="AM919" s="36" t="s">
        <v>6280</v>
      </c>
      <c r="AP919" s="86"/>
      <c r="AQ919" s="88"/>
      <c r="AR919" s="89"/>
      <c r="AS919" s="90"/>
      <c r="AV919" s="88"/>
      <c r="AW919" s="96"/>
      <c r="AX919" s="97"/>
      <c r="AY919" s="93">
        <v>3</v>
      </c>
      <c r="AZ919" s="79">
        <v>0</v>
      </c>
      <c r="BB919" s="94"/>
      <c r="BG919" s="36" t="s">
        <v>7445</v>
      </c>
    </row>
    <row r="920" spans="1:59" ht="15" customHeight="1">
      <c r="A920" s="36" t="s">
        <v>7351</v>
      </c>
      <c r="B920" s="36" t="s">
        <v>7446</v>
      </c>
      <c r="C920" s="36" t="s">
        <v>7487</v>
      </c>
      <c r="D920" s="37">
        <v>291</v>
      </c>
      <c r="E920" s="36">
        <v>1</v>
      </c>
      <c r="F920" s="36" t="s">
        <v>6641</v>
      </c>
      <c r="G920" s="36" t="s">
        <v>7447</v>
      </c>
      <c r="J920" s="36" t="s">
        <v>31</v>
      </c>
      <c r="K920" s="36" t="s">
        <v>6280</v>
      </c>
      <c r="AF920" s="36" t="s">
        <v>7448</v>
      </c>
      <c r="AI920" s="36" t="s">
        <v>7447</v>
      </c>
      <c r="AL920" s="36" t="s">
        <v>31</v>
      </c>
      <c r="AM920" s="36" t="s">
        <v>6280</v>
      </c>
      <c r="AP920" s="86"/>
      <c r="AQ920" s="88"/>
      <c r="AR920" s="89"/>
      <c r="AS920" s="90"/>
      <c r="AV920" s="88"/>
      <c r="AW920" s="96"/>
      <c r="AX920" s="97"/>
      <c r="AY920" s="93">
        <v>3</v>
      </c>
      <c r="AZ920" s="79" t="s">
        <v>4927</v>
      </c>
      <c r="BB920" s="94">
        <v>1</v>
      </c>
      <c r="BG920" s="36" t="s">
        <v>7449</v>
      </c>
    </row>
    <row r="921" spans="1:59" ht="15" customHeight="1">
      <c r="A921" s="36" t="s">
        <v>7351</v>
      </c>
      <c r="B921" s="36" t="s">
        <v>7450</v>
      </c>
      <c r="C921" s="36" t="s">
        <v>7487</v>
      </c>
      <c r="D921" s="37">
        <v>292</v>
      </c>
      <c r="E921" s="36">
        <v>1</v>
      </c>
      <c r="F921" s="36" t="s">
        <v>6641</v>
      </c>
      <c r="G921" s="36" t="s">
        <v>7451</v>
      </c>
      <c r="J921" s="36" t="s">
        <v>31</v>
      </c>
      <c r="K921" s="36" t="s">
        <v>6280</v>
      </c>
      <c r="AI921" s="36" t="s">
        <v>7451</v>
      </c>
      <c r="AL921" s="36" t="s">
        <v>31</v>
      </c>
      <c r="AM921" s="36" t="s">
        <v>6280</v>
      </c>
      <c r="AP921" s="86"/>
      <c r="AQ921" s="88"/>
      <c r="AR921" s="89"/>
      <c r="AS921" s="90"/>
      <c r="AV921" s="88"/>
      <c r="AW921" s="96"/>
      <c r="AX921" s="97"/>
      <c r="AY921" s="93">
        <v>3</v>
      </c>
      <c r="AZ921" s="79" t="s">
        <v>4927</v>
      </c>
      <c r="BB921" s="94"/>
      <c r="BG921" s="36" t="s">
        <v>7452</v>
      </c>
    </row>
    <row r="922" spans="1:59" ht="15" customHeight="1">
      <c r="A922" s="36" t="s">
        <v>7351</v>
      </c>
      <c r="B922" s="36" t="s">
        <v>7453</v>
      </c>
      <c r="C922" s="36" t="s">
        <v>7487</v>
      </c>
      <c r="D922" s="37">
        <v>293</v>
      </c>
      <c r="E922" s="36">
        <v>1</v>
      </c>
      <c r="F922" s="36" t="s">
        <v>6641</v>
      </c>
      <c r="G922" s="36" t="s">
        <v>7451</v>
      </c>
      <c r="J922" s="36" t="s">
        <v>31</v>
      </c>
      <c r="K922" s="36" t="s">
        <v>6280</v>
      </c>
      <c r="AI922" s="36" t="s">
        <v>7451</v>
      </c>
      <c r="AL922" s="36" t="s">
        <v>31</v>
      </c>
      <c r="AM922" s="36" t="s">
        <v>6280</v>
      </c>
      <c r="AP922" s="86"/>
      <c r="AQ922" s="88"/>
      <c r="AR922" s="89"/>
      <c r="AS922" s="90"/>
      <c r="AV922" s="88"/>
      <c r="AW922" s="96"/>
      <c r="AX922" s="97"/>
      <c r="AY922" s="93">
        <v>3</v>
      </c>
      <c r="AZ922" s="79" t="s">
        <v>4927</v>
      </c>
      <c r="BB922" s="94"/>
      <c r="BG922" s="36" t="s">
        <v>7454</v>
      </c>
    </row>
    <row r="923" spans="1:59" ht="15" customHeight="1">
      <c r="A923" s="36" t="s">
        <v>7351</v>
      </c>
      <c r="B923" s="36" t="s">
        <v>7455</v>
      </c>
      <c r="C923" s="36" t="s">
        <v>7487</v>
      </c>
      <c r="D923" s="37">
        <v>294</v>
      </c>
      <c r="E923" s="36">
        <v>1</v>
      </c>
      <c r="F923" s="36" t="s">
        <v>6641</v>
      </c>
      <c r="G923" s="36" t="s">
        <v>7456</v>
      </c>
      <c r="J923" s="36" t="s">
        <v>31</v>
      </c>
      <c r="K923" s="36" t="s">
        <v>6280</v>
      </c>
      <c r="AI923" s="36" t="s">
        <v>7456</v>
      </c>
      <c r="AL923" s="36" t="s">
        <v>31</v>
      </c>
      <c r="AM923" s="36" t="s">
        <v>6280</v>
      </c>
      <c r="AP923" s="86"/>
      <c r="AQ923" s="88"/>
      <c r="AR923" s="89"/>
      <c r="AS923" s="90"/>
      <c r="AV923" s="88"/>
      <c r="AW923" s="96"/>
      <c r="AX923" s="97"/>
      <c r="AY923" s="93">
        <v>2</v>
      </c>
      <c r="AZ923" s="79" t="s">
        <v>4927</v>
      </c>
      <c r="BB923" s="94"/>
      <c r="BG923" s="36" t="s">
        <v>7457</v>
      </c>
    </row>
    <row r="924" spans="1:59" ht="15" customHeight="1">
      <c r="A924" s="36" t="s">
        <v>7351</v>
      </c>
      <c r="B924" s="36" t="s">
        <v>7458</v>
      </c>
      <c r="C924" s="36" t="s">
        <v>7487</v>
      </c>
      <c r="D924" s="37">
        <v>295</v>
      </c>
      <c r="E924" s="36">
        <v>1</v>
      </c>
      <c r="F924" s="36" t="s">
        <v>6641</v>
      </c>
      <c r="G924" s="36" t="s">
        <v>7459</v>
      </c>
      <c r="J924" s="36" t="s">
        <v>31</v>
      </c>
      <c r="K924" s="36" t="s">
        <v>6280</v>
      </c>
      <c r="AI924" s="36" t="s">
        <v>7459</v>
      </c>
      <c r="AL924" s="36" t="s">
        <v>31</v>
      </c>
      <c r="AM924" s="36" t="s">
        <v>6280</v>
      </c>
      <c r="AP924" s="86"/>
      <c r="AQ924" s="88"/>
      <c r="AR924" s="89"/>
      <c r="AS924" s="90"/>
      <c r="AV924" s="88"/>
      <c r="AW924" s="96"/>
      <c r="AX924" s="97"/>
      <c r="AY924" s="93">
        <v>2</v>
      </c>
      <c r="AZ924" s="79" t="s">
        <v>4927</v>
      </c>
      <c r="BB924" s="94"/>
      <c r="BG924" s="36" t="s">
        <v>7460</v>
      </c>
    </row>
    <row r="925" spans="1:59" ht="15" customHeight="1">
      <c r="A925" s="36" t="s">
        <v>7351</v>
      </c>
      <c r="B925" s="36" t="s">
        <v>7461</v>
      </c>
      <c r="C925" s="36" t="s">
        <v>7487</v>
      </c>
      <c r="D925" s="37">
        <v>296</v>
      </c>
      <c r="E925" s="36">
        <v>1</v>
      </c>
      <c r="F925" s="36" t="s">
        <v>7399</v>
      </c>
      <c r="G925" s="36" t="s">
        <v>7462</v>
      </c>
      <c r="J925" s="36" t="s">
        <v>31</v>
      </c>
      <c r="K925" s="36" t="s">
        <v>6280</v>
      </c>
      <c r="AF925" s="36" t="s">
        <v>7463</v>
      </c>
      <c r="AI925" s="36" t="s">
        <v>7462</v>
      </c>
      <c r="AJ925" s="36" t="s">
        <v>7464</v>
      </c>
      <c r="AL925" s="36" t="s">
        <v>31</v>
      </c>
      <c r="AM925" s="36" t="s">
        <v>6280</v>
      </c>
      <c r="AP925" s="86"/>
      <c r="AQ925" s="88"/>
      <c r="AR925" s="89"/>
      <c r="AS925" s="90"/>
      <c r="AV925" s="88"/>
      <c r="AW925" s="96"/>
      <c r="AX925" s="97"/>
      <c r="AY925" s="93">
        <v>3</v>
      </c>
      <c r="AZ925" s="79" t="s">
        <v>4965</v>
      </c>
      <c r="BB925" s="94"/>
      <c r="BG925" s="36" t="s">
        <v>7465</v>
      </c>
    </row>
    <row r="926" spans="1:59" ht="15" customHeight="1">
      <c r="A926" s="36" t="s">
        <v>7351</v>
      </c>
      <c r="B926" s="36" t="s">
        <v>7466</v>
      </c>
      <c r="C926" s="36" t="s">
        <v>7487</v>
      </c>
      <c r="D926" s="37">
        <v>297</v>
      </c>
      <c r="E926" s="36">
        <v>1</v>
      </c>
      <c r="F926" s="36" t="s">
        <v>7393</v>
      </c>
      <c r="G926" s="36" t="s">
        <v>7462</v>
      </c>
      <c r="J926" s="36" t="s">
        <v>31</v>
      </c>
      <c r="K926" s="36" t="s">
        <v>6280</v>
      </c>
      <c r="AF926" s="36" t="s">
        <v>7463</v>
      </c>
      <c r="AI926" s="36" t="s">
        <v>7462</v>
      </c>
      <c r="AJ926" s="36" t="s">
        <v>7467</v>
      </c>
      <c r="AL926" s="36" t="s">
        <v>31</v>
      </c>
      <c r="AM926" s="36" t="s">
        <v>6280</v>
      </c>
      <c r="AP926" s="86"/>
      <c r="AQ926" s="88"/>
      <c r="AR926" s="89"/>
      <c r="AS926" s="90"/>
      <c r="AV926" s="88"/>
      <c r="AW926" s="96"/>
      <c r="AX926" s="97"/>
      <c r="AY926" s="93">
        <v>2</v>
      </c>
      <c r="AZ926" s="79" t="s">
        <v>4966</v>
      </c>
      <c r="BB926" s="94">
        <v>2</v>
      </c>
    </row>
    <row r="927" spans="1:59" ht="15" customHeight="1">
      <c r="A927" s="36" t="s">
        <v>7351</v>
      </c>
      <c r="B927" s="36" t="s">
        <v>7468</v>
      </c>
      <c r="C927" s="36" t="s">
        <v>7487</v>
      </c>
      <c r="D927" s="37">
        <v>298</v>
      </c>
      <c r="E927" s="36">
        <v>1</v>
      </c>
      <c r="F927" s="36" t="s">
        <v>7393</v>
      </c>
      <c r="G927" s="36" t="s">
        <v>7469</v>
      </c>
      <c r="J927" s="36" t="s">
        <v>31</v>
      </c>
      <c r="K927" s="36" t="s">
        <v>6280</v>
      </c>
      <c r="AF927" s="36" t="s">
        <v>7470</v>
      </c>
      <c r="AI927" s="36" t="s">
        <v>7469</v>
      </c>
      <c r="AJ927" s="36" t="s">
        <v>7464</v>
      </c>
      <c r="AL927" s="36" t="s">
        <v>31</v>
      </c>
      <c r="AM927" s="36" t="s">
        <v>6280</v>
      </c>
      <c r="AP927" s="86"/>
      <c r="AQ927" s="88"/>
      <c r="AR927" s="89"/>
      <c r="AS927" s="90"/>
      <c r="AV927" s="88"/>
      <c r="AW927" s="96"/>
      <c r="AX927" s="97"/>
      <c r="AY927" s="93">
        <v>3</v>
      </c>
      <c r="AZ927" s="79" t="s">
        <v>4965</v>
      </c>
      <c r="BB927" s="94"/>
      <c r="BG927" s="36" t="s">
        <v>7471</v>
      </c>
    </row>
    <row r="928" spans="1:59" ht="15" customHeight="1">
      <c r="A928" s="36" t="s">
        <v>7351</v>
      </c>
      <c r="B928" s="36" t="s">
        <v>7472</v>
      </c>
      <c r="C928" s="36" t="s">
        <v>7487</v>
      </c>
      <c r="D928" s="37">
        <v>299</v>
      </c>
      <c r="E928" s="36">
        <v>1</v>
      </c>
      <c r="F928" s="36" t="s">
        <v>7399</v>
      </c>
      <c r="G928" s="36" t="s">
        <v>7469</v>
      </c>
      <c r="J928" s="36" t="s">
        <v>31</v>
      </c>
      <c r="K928" s="36" t="s">
        <v>6280</v>
      </c>
      <c r="AF928" s="36" t="s">
        <v>7470</v>
      </c>
      <c r="AI928" s="36" t="s">
        <v>7469</v>
      </c>
      <c r="AJ928" s="36" t="s">
        <v>7473</v>
      </c>
      <c r="AL928" s="36" t="s">
        <v>31</v>
      </c>
      <c r="AM928" s="36" t="s">
        <v>6280</v>
      </c>
      <c r="AP928" s="86"/>
      <c r="AQ928" s="88"/>
      <c r="AR928" s="89"/>
      <c r="AS928" s="90"/>
      <c r="AV928" s="88"/>
      <c r="AW928" s="96"/>
      <c r="AX928" s="97"/>
      <c r="AY928" s="93">
        <v>2</v>
      </c>
      <c r="AZ928" s="79" t="s">
        <v>4966</v>
      </c>
      <c r="BB928" s="94">
        <v>2</v>
      </c>
    </row>
    <row r="929" spans="1:58" ht="15" customHeight="1">
      <c r="A929" s="36" t="s">
        <v>7351</v>
      </c>
      <c r="B929" s="36" t="s">
        <v>7474</v>
      </c>
      <c r="C929" s="36" t="s">
        <v>7487</v>
      </c>
      <c r="D929" s="37">
        <v>300</v>
      </c>
      <c r="E929" s="36">
        <v>2</v>
      </c>
      <c r="F929" s="36" t="s">
        <v>6641</v>
      </c>
      <c r="G929" s="36" t="s">
        <v>7475</v>
      </c>
      <c r="J929" s="36" t="s">
        <v>29</v>
      </c>
      <c r="K929" s="36" t="s">
        <v>6280</v>
      </c>
      <c r="Q929" s="78">
        <v>4</v>
      </c>
      <c r="R929" s="79">
        <v>2</v>
      </c>
      <c r="T929" s="81">
        <v>4</v>
      </c>
      <c r="V929" s="82">
        <v>1</v>
      </c>
      <c r="W929" s="83">
        <v>2</v>
      </c>
      <c r="AD929" s="36" t="s">
        <v>6638</v>
      </c>
      <c r="AF929" s="36" t="s">
        <v>7476</v>
      </c>
      <c r="AP929" s="86"/>
      <c r="AQ929" s="88"/>
      <c r="AR929" s="89"/>
      <c r="AS929" s="90"/>
      <c r="AV929" s="88"/>
      <c r="AW929" s="96"/>
      <c r="AX929" s="97"/>
      <c r="AY929" s="93"/>
      <c r="BB929" s="94"/>
    </row>
    <row r="930" spans="1:58" ht="15" customHeight="1">
      <c r="A930" s="36" t="s">
        <v>7351</v>
      </c>
      <c r="B930" s="36" t="s">
        <v>7477</v>
      </c>
      <c r="C930" s="36" t="s">
        <v>7487</v>
      </c>
      <c r="D930" s="37">
        <v>301</v>
      </c>
      <c r="E930" s="36">
        <v>2</v>
      </c>
      <c r="F930" s="36" t="s">
        <v>6641</v>
      </c>
      <c r="G930" s="36" t="s">
        <v>7478</v>
      </c>
      <c r="J930" s="36" t="s">
        <v>29</v>
      </c>
      <c r="K930" s="36" t="s">
        <v>6280</v>
      </c>
      <c r="Q930" s="78">
        <v>3</v>
      </c>
      <c r="R930" s="79">
        <v>4</v>
      </c>
      <c r="T930" s="81">
        <v>3</v>
      </c>
      <c r="V930" s="82">
        <v>1</v>
      </c>
      <c r="W930" s="83">
        <v>1</v>
      </c>
      <c r="AD930" s="36" t="s">
        <v>7479</v>
      </c>
      <c r="AF930" s="36" t="s">
        <v>7480</v>
      </c>
      <c r="AP930" s="86"/>
      <c r="AQ930" s="88"/>
      <c r="AR930" s="89"/>
      <c r="AS930" s="90"/>
      <c r="AV930" s="88"/>
      <c r="AW930" s="96"/>
      <c r="AX930" s="97"/>
      <c r="AY930" s="93"/>
      <c r="BB930" s="94"/>
    </row>
    <row r="931" spans="1:58" ht="15" customHeight="1">
      <c r="A931" s="36" t="s">
        <v>7351</v>
      </c>
      <c r="B931" s="36" t="s">
        <v>7481</v>
      </c>
      <c r="C931" s="36" t="s">
        <v>7487</v>
      </c>
      <c r="D931" s="37">
        <v>302</v>
      </c>
      <c r="E931" s="36">
        <v>3</v>
      </c>
      <c r="F931" s="36" t="s">
        <v>6641</v>
      </c>
      <c r="G931" s="36" t="s">
        <v>7482</v>
      </c>
      <c r="J931" s="36" t="s">
        <v>28</v>
      </c>
      <c r="K931" s="36" t="s">
        <v>6280</v>
      </c>
      <c r="AD931" s="36" t="s">
        <v>4346</v>
      </c>
      <c r="AF931" s="36" t="s">
        <v>7483</v>
      </c>
      <c r="AP931" s="86"/>
      <c r="AQ931" s="88"/>
      <c r="AR931" s="89"/>
      <c r="AS931" s="90"/>
      <c r="AV931" s="88"/>
      <c r="AW931" s="96"/>
      <c r="AX931" s="97"/>
      <c r="AY931" s="93"/>
      <c r="BB931" s="94"/>
    </row>
    <row r="932" spans="1:58" ht="15" customHeight="1">
      <c r="A932" s="36" t="s">
        <v>7351</v>
      </c>
      <c r="B932" s="36" t="s">
        <v>7484</v>
      </c>
      <c r="C932" s="36" t="s">
        <v>7487</v>
      </c>
      <c r="D932" s="37">
        <v>303</v>
      </c>
      <c r="E932" s="36">
        <v>3</v>
      </c>
      <c r="F932" s="36" t="s">
        <v>6641</v>
      </c>
      <c r="G932" s="36" t="s">
        <v>7485</v>
      </c>
      <c r="J932" s="36" t="s">
        <v>28</v>
      </c>
      <c r="K932" s="36" t="s">
        <v>6280</v>
      </c>
      <c r="AD932" s="36" t="s">
        <v>4346</v>
      </c>
      <c r="AF932" s="36" t="s">
        <v>7486</v>
      </c>
      <c r="AP932" s="86"/>
      <c r="AQ932" s="88"/>
      <c r="AR932" s="89"/>
      <c r="AS932" s="90"/>
      <c r="AV932" s="88"/>
      <c r="AW932" s="96"/>
      <c r="AX932" s="97"/>
      <c r="AY932" s="93"/>
      <c r="BB932" s="94"/>
    </row>
    <row r="933" spans="1:58" ht="15" customHeight="1">
      <c r="A933" s="41" t="s">
        <v>7489</v>
      </c>
      <c r="B933" s="41" t="s">
        <v>7490</v>
      </c>
      <c r="C933" s="41" t="s">
        <v>7491</v>
      </c>
      <c r="D933" s="44">
        <v>304</v>
      </c>
      <c r="E933" s="41">
        <v>2</v>
      </c>
      <c r="F933" s="41"/>
      <c r="G933" s="41" t="s">
        <v>7492</v>
      </c>
      <c r="H933" s="41"/>
      <c r="J933" s="36" t="s">
        <v>27</v>
      </c>
      <c r="K933" s="36" t="s">
        <v>4052</v>
      </c>
      <c r="L933" s="36">
        <v>2</v>
      </c>
      <c r="N933" s="37">
        <v>0</v>
      </c>
      <c r="O933" s="131"/>
      <c r="P933" s="132"/>
      <c r="Q933" s="133">
        <v>1</v>
      </c>
      <c r="R933" s="42">
        <v>1</v>
      </c>
      <c r="S933" s="134"/>
      <c r="T933" s="135"/>
      <c r="U933" s="131"/>
      <c r="V933" s="136"/>
      <c r="W933" s="137"/>
      <c r="X933" s="138"/>
      <c r="Y933" s="42"/>
      <c r="Z933" s="135"/>
      <c r="AA933" s="139"/>
      <c r="AB933" s="28" t="s">
        <v>6035</v>
      </c>
      <c r="AD933" s="36" t="s">
        <v>4161</v>
      </c>
      <c r="AF933" s="36" t="s">
        <v>7493</v>
      </c>
      <c r="AI933" s="41"/>
      <c r="AJ933" s="41"/>
      <c r="AO933" s="37"/>
      <c r="AP933" s="37"/>
      <c r="AQ933" s="131"/>
      <c r="AR933" s="132"/>
      <c r="AS933" s="133"/>
      <c r="AT933" s="42"/>
      <c r="AU933" s="135"/>
      <c r="AV933" s="131"/>
      <c r="AW933" s="136"/>
      <c r="AX933" s="137"/>
      <c r="AY933" s="138"/>
      <c r="AZ933" s="42"/>
      <c r="BA933" s="135"/>
      <c r="BB933" s="139"/>
      <c r="BE933" s="37"/>
      <c r="BF933" s="36"/>
    </row>
    <row r="934" spans="1:58" ht="15" customHeight="1">
      <c r="A934" s="41" t="s">
        <v>7489</v>
      </c>
      <c r="B934" s="36" t="s">
        <v>7494</v>
      </c>
      <c r="C934" s="36" t="s">
        <v>7491</v>
      </c>
      <c r="D934" s="44">
        <v>305</v>
      </c>
      <c r="E934" s="36">
        <v>2</v>
      </c>
      <c r="G934" s="36" t="s">
        <v>7495</v>
      </c>
      <c r="J934" s="36" t="s">
        <v>4111</v>
      </c>
      <c r="K934" s="36" t="s">
        <v>4052</v>
      </c>
      <c r="L934" s="36">
        <v>5</v>
      </c>
      <c r="N934" s="37">
        <v>4</v>
      </c>
      <c r="O934" s="131">
        <v>2</v>
      </c>
      <c r="P934" s="132"/>
      <c r="Q934" s="133">
        <v>2</v>
      </c>
      <c r="R934" s="42"/>
      <c r="S934" s="134"/>
      <c r="T934" s="135">
        <v>4</v>
      </c>
      <c r="U934" s="131"/>
      <c r="V934" s="136"/>
      <c r="W934" s="137"/>
      <c r="X934" s="138"/>
      <c r="Y934" s="42"/>
      <c r="Z934" s="135"/>
      <c r="AA934" s="139"/>
      <c r="AB934" s="28" t="s">
        <v>7496</v>
      </c>
      <c r="AC934" s="36" t="s">
        <v>4247</v>
      </c>
      <c r="AD934" s="36" t="s">
        <v>7497</v>
      </c>
      <c r="AF934" s="36" t="s">
        <v>7498</v>
      </c>
      <c r="AO934" s="37"/>
      <c r="AP934" s="37"/>
      <c r="AQ934" s="131"/>
      <c r="AR934" s="132"/>
      <c r="AS934" s="133"/>
      <c r="AT934" s="42"/>
      <c r="AU934" s="135"/>
      <c r="AV934" s="131"/>
      <c r="AW934" s="136"/>
      <c r="AX934" s="137"/>
      <c r="AY934" s="138"/>
      <c r="AZ934" s="42"/>
      <c r="BA934" s="135"/>
      <c r="BB934" s="139"/>
      <c r="BE934" s="37"/>
      <c r="BF934" s="36"/>
    </row>
    <row r="935" spans="1:58" ht="15" customHeight="1">
      <c r="A935" s="41" t="s">
        <v>7489</v>
      </c>
      <c r="B935" s="36" t="s">
        <v>7499</v>
      </c>
      <c r="C935" s="36" t="s">
        <v>7491</v>
      </c>
      <c r="D935" s="44">
        <v>306</v>
      </c>
      <c r="E935" s="36">
        <v>2</v>
      </c>
      <c r="G935" s="36" t="s">
        <v>7500</v>
      </c>
      <c r="J935" s="36" t="s">
        <v>27</v>
      </c>
      <c r="K935" s="36" t="s">
        <v>4053</v>
      </c>
      <c r="L935" s="36">
        <v>3</v>
      </c>
      <c r="N935" s="37" t="s">
        <v>38</v>
      </c>
      <c r="O935" s="131"/>
      <c r="P935" s="132">
        <v>1</v>
      </c>
      <c r="Q935" s="133"/>
      <c r="R935" s="42">
        <v>1</v>
      </c>
      <c r="S935" s="134"/>
      <c r="T935" s="135"/>
      <c r="U935" s="131"/>
      <c r="V935" s="136"/>
      <c r="W935" s="137"/>
      <c r="X935" s="138"/>
      <c r="Y935" s="42"/>
      <c r="Z935" s="135"/>
      <c r="AA935" s="139"/>
      <c r="AB935" s="28" t="s">
        <v>6169</v>
      </c>
      <c r="AD935" s="36" t="s">
        <v>5659</v>
      </c>
      <c r="AF935" s="36" t="s">
        <v>7501</v>
      </c>
      <c r="AO935" s="37"/>
      <c r="AP935" s="37"/>
      <c r="AQ935" s="131"/>
      <c r="AR935" s="132"/>
      <c r="AS935" s="133"/>
      <c r="AT935" s="42"/>
      <c r="AU935" s="135"/>
      <c r="AV935" s="131"/>
      <c r="AW935" s="136"/>
      <c r="AX935" s="137"/>
      <c r="AY935" s="138"/>
      <c r="AZ935" s="42"/>
      <c r="BA935" s="135"/>
      <c r="BB935" s="139"/>
      <c r="BE935" s="37"/>
      <c r="BF935" s="36"/>
    </row>
    <row r="936" spans="1:58" ht="15" customHeight="1">
      <c r="A936" s="41" t="s">
        <v>7489</v>
      </c>
      <c r="B936" s="36" t="s">
        <v>7502</v>
      </c>
      <c r="C936" s="36" t="s">
        <v>7491</v>
      </c>
      <c r="D936" s="44">
        <v>307</v>
      </c>
      <c r="E936" s="36">
        <v>2</v>
      </c>
      <c r="G936" s="36" t="s">
        <v>6448</v>
      </c>
      <c r="J936" s="36" t="s">
        <v>27</v>
      </c>
      <c r="K936" s="36" t="s">
        <v>4053</v>
      </c>
      <c r="L936" s="36">
        <v>5</v>
      </c>
      <c r="N936" s="37">
        <v>2</v>
      </c>
      <c r="O936" s="131"/>
      <c r="P936" s="132">
        <v>1</v>
      </c>
      <c r="Q936" s="133"/>
      <c r="R936" s="42"/>
      <c r="S936" s="134">
        <v>1</v>
      </c>
      <c r="T936" s="135"/>
      <c r="U936" s="131"/>
      <c r="V936" s="136"/>
      <c r="W936" s="137"/>
      <c r="X936" s="138"/>
      <c r="Y936" s="42"/>
      <c r="Z936" s="135"/>
      <c r="AA936" s="139"/>
      <c r="AB936" s="28" t="s">
        <v>7503</v>
      </c>
      <c r="AD936" s="36" t="s">
        <v>4194</v>
      </c>
      <c r="AF936" s="36" t="s">
        <v>7504</v>
      </c>
      <c r="AO936" s="37"/>
      <c r="AP936" s="37"/>
      <c r="AQ936" s="131"/>
      <c r="AR936" s="132"/>
      <c r="AS936" s="133"/>
      <c r="AT936" s="42"/>
      <c r="AU936" s="135"/>
      <c r="AV936" s="131"/>
      <c r="AW936" s="136"/>
      <c r="AX936" s="137"/>
      <c r="AY936" s="138"/>
      <c r="AZ936" s="42"/>
      <c r="BA936" s="135"/>
      <c r="BB936" s="139"/>
      <c r="BE936" s="37"/>
      <c r="BF936" s="36"/>
    </row>
    <row r="937" spans="1:58" ht="15" customHeight="1">
      <c r="A937" s="41" t="s">
        <v>7489</v>
      </c>
      <c r="B937" s="36" t="s">
        <v>7505</v>
      </c>
      <c r="C937" s="36" t="s">
        <v>7491</v>
      </c>
      <c r="D937" s="44">
        <v>308</v>
      </c>
      <c r="E937" s="36">
        <v>2</v>
      </c>
      <c r="G937" s="36" t="s">
        <v>7506</v>
      </c>
      <c r="H937" s="36" t="s">
        <v>7507</v>
      </c>
      <c r="I937" s="36" t="s">
        <v>4077</v>
      </c>
      <c r="J937" s="36" t="s">
        <v>4111</v>
      </c>
      <c r="K937" s="36" t="s">
        <v>4055</v>
      </c>
      <c r="L937" s="36">
        <v>1</v>
      </c>
      <c r="N937" s="36" t="s">
        <v>38</v>
      </c>
      <c r="O937" s="131"/>
      <c r="P937" s="132"/>
      <c r="Q937" s="133"/>
      <c r="R937" s="42"/>
      <c r="S937" s="134"/>
      <c r="T937" s="135"/>
      <c r="U937" s="131"/>
      <c r="V937" s="136"/>
      <c r="W937" s="137"/>
      <c r="X937" s="138"/>
      <c r="Y937" s="42"/>
      <c r="Z937" s="135"/>
      <c r="AA937" s="139"/>
      <c r="AB937" s="28"/>
      <c r="AD937" s="36" t="s">
        <v>4130</v>
      </c>
      <c r="AE937" s="36" t="s">
        <v>7508</v>
      </c>
      <c r="AF937" s="36" t="s">
        <v>7509</v>
      </c>
      <c r="AO937" s="37"/>
      <c r="AP937" s="36"/>
      <c r="AQ937" s="131"/>
      <c r="AR937" s="132"/>
      <c r="AS937" s="133"/>
      <c r="AT937" s="42"/>
      <c r="AU937" s="135"/>
      <c r="AV937" s="131"/>
      <c r="AW937" s="136"/>
      <c r="AX937" s="137"/>
      <c r="AY937" s="138"/>
      <c r="AZ937" s="42"/>
      <c r="BA937" s="135"/>
      <c r="BB937" s="139"/>
      <c r="BE937" s="37"/>
      <c r="BF937" s="36"/>
    </row>
    <row r="938" spans="1:58" ht="15" customHeight="1">
      <c r="A938" s="41" t="s">
        <v>7489</v>
      </c>
      <c r="B938" s="36" t="s">
        <v>7510</v>
      </c>
      <c r="C938" s="36" t="s">
        <v>7491</v>
      </c>
      <c r="D938" s="44">
        <v>309</v>
      </c>
      <c r="E938" s="36">
        <v>2</v>
      </c>
      <c r="G938" s="36" t="s">
        <v>7511</v>
      </c>
      <c r="J938" s="36" t="s">
        <v>4111</v>
      </c>
      <c r="K938" s="36" t="s">
        <v>4055</v>
      </c>
      <c r="L938" s="36">
        <v>3</v>
      </c>
      <c r="N938" s="36">
        <v>3</v>
      </c>
      <c r="O938" s="131"/>
      <c r="P938" s="132"/>
      <c r="Q938" s="133">
        <v>1</v>
      </c>
      <c r="R938" s="42"/>
      <c r="S938" s="134"/>
      <c r="T938" s="135"/>
      <c r="U938" s="131"/>
      <c r="V938" s="136"/>
      <c r="W938" s="137"/>
      <c r="X938" s="138"/>
      <c r="Y938" s="42"/>
      <c r="Z938" s="135"/>
      <c r="AA938" s="139"/>
      <c r="AB938" s="140" t="s">
        <v>4060</v>
      </c>
      <c r="AC938" s="36" t="s">
        <v>4112</v>
      </c>
      <c r="AD938" s="36" t="s">
        <v>4777</v>
      </c>
      <c r="AE938" s="36" t="s">
        <v>7512</v>
      </c>
      <c r="AF938" s="36" t="s">
        <v>7513</v>
      </c>
      <c r="AO938" s="37"/>
      <c r="AP938" s="36"/>
      <c r="AQ938" s="131"/>
      <c r="AR938" s="132"/>
      <c r="AS938" s="133"/>
      <c r="AT938" s="42"/>
      <c r="AU938" s="135"/>
      <c r="AV938" s="131"/>
      <c r="AW938" s="136"/>
      <c r="AX938" s="137"/>
      <c r="AY938" s="138"/>
      <c r="AZ938" s="42"/>
      <c r="BA938" s="135"/>
      <c r="BB938" s="139"/>
      <c r="BE938" s="37"/>
      <c r="BF938" s="36"/>
    </row>
    <row r="939" spans="1:58" ht="15" customHeight="1">
      <c r="A939" s="41" t="s">
        <v>7489</v>
      </c>
      <c r="B939" s="36" t="s">
        <v>7514</v>
      </c>
      <c r="C939" s="36" t="s">
        <v>7491</v>
      </c>
      <c r="D939" s="44">
        <v>310</v>
      </c>
      <c r="E939" s="36">
        <v>2</v>
      </c>
      <c r="G939" s="36" t="s">
        <v>7515</v>
      </c>
      <c r="J939" s="36" t="s">
        <v>27</v>
      </c>
      <c r="K939" s="36" t="s">
        <v>4055</v>
      </c>
      <c r="L939" s="36">
        <v>5</v>
      </c>
      <c r="N939" s="36">
        <v>1</v>
      </c>
      <c r="O939" s="131"/>
      <c r="P939" s="132"/>
      <c r="Q939" s="133"/>
      <c r="R939" s="42"/>
      <c r="S939" s="134">
        <v>1</v>
      </c>
      <c r="T939" s="135"/>
      <c r="U939" s="131"/>
      <c r="V939" s="136"/>
      <c r="W939" s="137"/>
      <c r="X939" s="138"/>
      <c r="Y939" s="42"/>
      <c r="Z939" s="135"/>
      <c r="AA939" s="139"/>
      <c r="AB939" s="28" t="s">
        <v>4062</v>
      </c>
      <c r="AD939" s="36" t="s">
        <v>7516</v>
      </c>
      <c r="AE939" s="36"/>
      <c r="AF939" s="36" t="s">
        <v>7517</v>
      </c>
      <c r="AO939" s="37"/>
      <c r="AP939" s="36"/>
      <c r="AQ939" s="131"/>
      <c r="AR939" s="132"/>
      <c r="AS939" s="133"/>
      <c r="AT939" s="42"/>
      <c r="AU939" s="135"/>
      <c r="AV939" s="131"/>
      <c r="AW939" s="136"/>
      <c r="AX939" s="137"/>
      <c r="AY939" s="138"/>
      <c r="AZ939" s="42"/>
      <c r="BA939" s="135"/>
      <c r="BB939" s="139"/>
      <c r="BE939" s="37"/>
      <c r="BF939" s="36"/>
    </row>
    <row r="940" spans="1:58" ht="15" customHeight="1">
      <c r="A940" s="41" t="s">
        <v>7489</v>
      </c>
      <c r="B940" s="36" t="s">
        <v>7518</v>
      </c>
      <c r="C940" s="36" t="s">
        <v>7491</v>
      </c>
      <c r="D940" s="44">
        <v>311</v>
      </c>
      <c r="E940" s="36">
        <v>2</v>
      </c>
      <c r="G940" s="36" t="s">
        <v>7519</v>
      </c>
      <c r="J940" s="36" t="s">
        <v>27</v>
      </c>
      <c r="K940" s="36" t="s">
        <v>4054</v>
      </c>
      <c r="L940" s="36">
        <v>2</v>
      </c>
      <c r="N940" s="36">
        <v>1</v>
      </c>
      <c r="O940" s="131"/>
      <c r="P940" s="132"/>
      <c r="Q940" s="133"/>
      <c r="R940" s="42"/>
      <c r="S940" s="134"/>
      <c r="T940" s="135"/>
      <c r="U940" s="131"/>
      <c r="V940" s="136"/>
      <c r="W940" s="137"/>
      <c r="X940" s="138"/>
      <c r="Y940" s="42"/>
      <c r="Z940" s="135"/>
      <c r="AA940" s="139"/>
      <c r="AB940" s="140"/>
      <c r="AD940" s="36" t="s">
        <v>7520</v>
      </c>
      <c r="AE940" s="36"/>
      <c r="AF940" s="36" t="s">
        <v>7521</v>
      </c>
      <c r="AO940" s="37"/>
      <c r="AP940" s="36"/>
      <c r="AQ940" s="131"/>
      <c r="AR940" s="132"/>
      <c r="AS940" s="133"/>
      <c r="AT940" s="42"/>
      <c r="AU940" s="135"/>
      <c r="AV940" s="131"/>
      <c r="AW940" s="136"/>
      <c r="AX940" s="137"/>
      <c r="AY940" s="138"/>
      <c r="AZ940" s="42"/>
      <c r="BA940" s="135"/>
      <c r="BB940" s="139"/>
      <c r="BE940" s="37"/>
      <c r="BF940" s="36"/>
    </row>
    <row r="941" spans="1:58" ht="15" customHeight="1">
      <c r="A941" s="41" t="s">
        <v>7489</v>
      </c>
      <c r="B941" s="36" t="s">
        <v>7522</v>
      </c>
      <c r="C941" s="36" t="s">
        <v>7491</v>
      </c>
      <c r="D941" s="44">
        <v>312</v>
      </c>
      <c r="E941" s="36">
        <v>2</v>
      </c>
      <c r="G941" s="36" t="s">
        <v>7523</v>
      </c>
      <c r="J941" s="36" t="s">
        <v>4166</v>
      </c>
      <c r="K941" s="36" t="s">
        <v>4054</v>
      </c>
      <c r="L941" s="36">
        <v>5</v>
      </c>
      <c r="N941" s="141"/>
      <c r="O941" s="131"/>
      <c r="P941" s="132"/>
      <c r="Q941" s="133"/>
      <c r="R941" s="42"/>
      <c r="S941" s="134">
        <v>1</v>
      </c>
      <c r="T941" s="135"/>
      <c r="U941" s="131"/>
      <c r="V941" s="136"/>
      <c r="W941" s="137"/>
      <c r="X941" s="138"/>
      <c r="Y941" s="42"/>
      <c r="Z941" s="135"/>
      <c r="AA941" s="139"/>
      <c r="AB941" s="28" t="s">
        <v>4062</v>
      </c>
      <c r="AD941" s="36" t="s">
        <v>7524</v>
      </c>
      <c r="AE941" s="36"/>
      <c r="AF941" s="36" t="s">
        <v>7525</v>
      </c>
      <c r="AO941" s="37"/>
      <c r="AP941" s="36"/>
      <c r="AQ941" s="131"/>
      <c r="AR941" s="132"/>
      <c r="AS941" s="133"/>
      <c r="AT941" s="42"/>
      <c r="AU941" s="135"/>
      <c r="AV941" s="131"/>
      <c r="AW941" s="136"/>
      <c r="AX941" s="137"/>
      <c r="AY941" s="138"/>
      <c r="AZ941" s="42"/>
      <c r="BA941" s="135"/>
      <c r="BB941" s="139"/>
      <c r="BE941" s="37"/>
      <c r="BF941" s="36"/>
    </row>
    <row r="942" spans="1:58" ht="15" customHeight="1">
      <c r="A942" s="41" t="s">
        <v>7489</v>
      </c>
      <c r="B942" s="36" t="s">
        <v>7526</v>
      </c>
      <c r="C942" s="36" t="s">
        <v>7491</v>
      </c>
      <c r="D942" s="44">
        <v>313</v>
      </c>
      <c r="E942" s="36">
        <v>2</v>
      </c>
      <c r="G942" s="36" t="s">
        <v>5671</v>
      </c>
      <c r="J942" s="36" t="s">
        <v>4111</v>
      </c>
      <c r="K942" s="36" t="s">
        <v>4056</v>
      </c>
      <c r="L942" s="36">
        <v>2</v>
      </c>
      <c r="N942" s="36">
        <v>1</v>
      </c>
      <c r="O942" s="131"/>
      <c r="P942" s="132">
        <v>2</v>
      </c>
      <c r="Q942" s="133"/>
      <c r="R942" s="42"/>
      <c r="S942" s="134"/>
      <c r="T942" s="135"/>
      <c r="U942" s="131"/>
      <c r="V942" s="136"/>
      <c r="W942" s="137"/>
      <c r="X942" s="138"/>
      <c r="Y942" s="42"/>
      <c r="Z942" s="135"/>
      <c r="AA942" s="139"/>
      <c r="AB942" s="140" t="s">
        <v>4938</v>
      </c>
      <c r="AC942" s="36" t="s">
        <v>4112</v>
      </c>
      <c r="AD942" s="36" t="s">
        <v>4119</v>
      </c>
      <c r="AE942" s="36"/>
      <c r="AF942" s="36" t="s">
        <v>7527</v>
      </c>
      <c r="AO942" s="37"/>
      <c r="AP942" s="36"/>
      <c r="AQ942" s="131"/>
      <c r="AR942" s="132"/>
      <c r="AS942" s="133"/>
      <c r="AT942" s="42"/>
      <c r="AU942" s="135"/>
      <c r="AV942" s="131"/>
      <c r="AW942" s="136"/>
      <c r="AX942" s="137"/>
      <c r="AY942" s="138"/>
      <c r="AZ942" s="42"/>
      <c r="BA942" s="135"/>
      <c r="BB942" s="139"/>
      <c r="BE942" s="37"/>
      <c r="BF942" s="36"/>
    </row>
    <row r="943" spans="1:58" ht="15" customHeight="1">
      <c r="A943" s="41" t="s">
        <v>7489</v>
      </c>
      <c r="B943" s="36" t="s">
        <v>7528</v>
      </c>
      <c r="C943" s="36" t="s">
        <v>7491</v>
      </c>
      <c r="D943" s="44">
        <v>314</v>
      </c>
      <c r="E943" s="36">
        <v>2</v>
      </c>
      <c r="G943" s="36" t="s">
        <v>7529</v>
      </c>
      <c r="J943" s="36" t="s">
        <v>27</v>
      </c>
      <c r="K943" s="36" t="s">
        <v>4056</v>
      </c>
      <c r="L943" s="36">
        <v>3</v>
      </c>
      <c r="N943" s="36">
        <v>1</v>
      </c>
      <c r="O943" s="131"/>
      <c r="P943" s="132">
        <v>2</v>
      </c>
      <c r="Q943" s="133"/>
      <c r="R943" s="42">
        <v>2</v>
      </c>
      <c r="S943" s="134"/>
      <c r="T943" s="135"/>
      <c r="U943" s="131"/>
      <c r="V943" s="136"/>
      <c r="W943" s="137"/>
      <c r="X943" s="138"/>
      <c r="Y943" s="42"/>
      <c r="Z943" s="135"/>
      <c r="AA943" s="139"/>
      <c r="AB943" s="28" t="s">
        <v>7530</v>
      </c>
      <c r="AD943" s="36" t="s">
        <v>5266</v>
      </c>
      <c r="AE943" s="36"/>
      <c r="AF943" s="36" t="s">
        <v>7531</v>
      </c>
      <c r="AO943" s="37"/>
      <c r="AP943" s="36"/>
      <c r="AQ943" s="131"/>
      <c r="AR943" s="132"/>
      <c r="AS943" s="133"/>
      <c r="AT943" s="42"/>
      <c r="AU943" s="135"/>
      <c r="AV943" s="131"/>
      <c r="AW943" s="136"/>
      <c r="AX943" s="137"/>
      <c r="AY943" s="138"/>
      <c r="AZ943" s="42"/>
      <c r="BA943" s="135"/>
      <c r="BB943" s="139"/>
      <c r="BE943" s="37"/>
      <c r="BF943" s="36"/>
    </row>
    <row r="944" spans="1:58" ht="15" customHeight="1">
      <c r="A944" s="41" t="s">
        <v>7489</v>
      </c>
      <c r="B944" s="36" t="s">
        <v>7532</v>
      </c>
      <c r="C944" s="36" t="s">
        <v>7491</v>
      </c>
      <c r="D944" s="37">
        <v>315</v>
      </c>
      <c r="E944" s="36">
        <v>2</v>
      </c>
      <c r="G944" s="36" t="s">
        <v>7533</v>
      </c>
      <c r="H944" s="36" t="s">
        <v>7534</v>
      </c>
      <c r="I944" s="36" t="s">
        <v>4077</v>
      </c>
      <c r="J944" s="36" t="s">
        <v>4111</v>
      </c>
      <c r="K944" s="36" t="s">
        <v>26</v>
      </c>
      <c r="L944" s="36">
        <v>5</v>
      </c>
      <c r="N944" s="36">
        <v>3</v>
      </c>
      <c r="O944" s="131">
        <v>1</v>
      </c>
      <c r="P944" s="132"/>
      <c r="Q944" s="133"/>
      <c r="R944" s="42"/>
      <c r="S944" s="134">
        <v>1</v>
      </c>
      <c r="T944" s="135"/>
      <c r="U944" s="131">
        <v>4</v>
      </c>
      <c r="V944" s="136"/>
      <c r="W944" s="137"/>
      <c r="X944" s="138"/>
      <c r="Y944" s="42"/>
      <c r="Z944" s="135"/>
      <c r="AA944" s="139"/>
      <c r="AB944" s="140" t="s">
        <v>7535</v>
      </c>
      <c r="AC944" s="36" t="s">
        <v>4129</v>
      </c>
      <c r="AD944" s="36" t="s">
        <v>4130</v>
      </c>
      <c r="AE944" s="36"/>
      <c r="AF944" s="36" t="s">
        <v>7536</v>
      </c>
      <c r="AO944" s="37"/>
      <c r="AP944" s="36"/>
      <c r="AQ944" s="131"/>
      <c r="AR944" s="132"/>
      <c r="AS944" s="133"/>
      <c r="AT944" s="42"/>
      <c r="AU944" s="135"/>
      <c r="AV944" s="131"/>
      <c r="AW944" s="136"/>
      <c r="AX944" s="137"/>
      <c r="AY944" s="138"/>
      <c r="AZ944" s="42"/>
      <c r="BA944" s="135"/>
      <c r="BB944" s="139"/>
      <c r="BE944" s="37"/>
      <c r="BF944" s="36"/>
    </row>
    <row r="945" spans="1:59" ht="15" customHeight="1">
      <c r="A945" s="41" t="s">
        <v>7489</v>
      </c>
      <c r="B945" s="36" t="s">
        <v>7537</v>
      </c>
      <c r="C945" s="36" t="s">
        <v>7491</v>
      </c>
      <c r="D945" s="44">
        <v>316</v>
      </c>
      <c r="E945" s="36">
        <v>1</v>
      </c>
      <c r="F945" s="36" t="s">
        <v>7538</v>
      </c>
      <c r="G945" s="36" t="s">
        <v>7538</v>
      </c>
      <c r="J945" s="36" t="s">
        <v>4472</v>
      </c>
      <c r="K945" s="36" t="s">
        <v>6280</v>
      </c>
      <c r="N945" s="36"/>
      <c r="O945" s="131"/>
      <c r="P945" s="132"/>
      <c r="Q945" s="133"/>
      <c r="R945" s="42"/>
      <c r="S945" s="134"/>
      <c r="T945" s="135"/>
      <c r="U945" s="131"/>
      <c r="V945" s="136"/>
      <c r="W945" s="137"/>
      <c r="X945" s="138"/>
      <c r="Y945" s="42"/>
      <c r="Z945" s="135"/>
      <c r="AA945" s="139"/>
      <c r="AB945" s="28"/>
      <c r="AE945" s="36"/>
      <c r="AF945" s="36" t="s">
        <v>7539</v>
      </c>
      <c r="AI945" s="36" t="s">
        <v>7538</v>
      </c>
      <c r="AL945" s="36" t="s">
        <v>4472</v>
      </c>
      <c r="AO945" s="37"/>
      <c r="AP945" s="36"/>
      <c r="AQ945" s="131"/>
      <c r="AR945" s="132"/>
      <c r="AS945" s="133"/>
      <c r="AT945" s="42"/>
      <c r="AU945" s="135"/>
      <c r="AV945" s="131"/>
      <c r="AW945" s="136"/>
      <c r="AX945" s="137"/>
      <c r="AY945" s="138"/>
      <c r="AZ945" s="42"/>
      <c r="BA945" s="135"/>
      <c r="BB945" s="139"/>
      <c r="BE945" s="37"/>
      <c r="BF945" s="36"/>
      <c r="BG945" s="36" t="s">
        <v>7540</v>
      </c>
    </row>
    <row r="946" spans="1:59" ht="15" customHeight="1">
      <c r="A946" s="41" t="s">
        <v>7489</v>
      </c>
      <c r="B946" s="36" t="s">
        <v>7541</v>
      </c>
      <c r="C946" s="36" t="s">
        <v>7491</v>
      </c>
      <c r="D946" s="37">
        <v>317</v>
      </c>
      <c r="E946" s="36">
        <v>1</v>
      </c>
      <c r="F946" s="36" t="s">
        <v>7538</v>
      </c>
      <c r="G946" s="36" t="s">
        <v>7542</v>
      </c>
      <c r="J946" s="36" t="s">
        <v>4473</v>
      </c>
      <c r="K946" s="36" t="s">
        <v>6280</v>
      </c>
      <c r="L946" s="36">
        <v>1</v>
      </c>
      <c r="N946" s="36"/>
      <c r="O946" s="131"/>
      <c r="P946" s="132"/>
      <c r="Q946" s="133"/>
      <c r="R946" s="42"/>
      <c r="S946" s="134"/>
      <c r="T946" s="135"/>
      <c r="U946" s="131"/>
      <c r="V946" s="136"/>
      <c r="W946" s="137"/>
      <c r="X946" s="138"/>
      <c r="Y946" s="42"/>
      <c r="Z946" s="135">
        <v>7</v>
      </c>
      <c r="AA946" s="139"/>
      <c r="AB946" s="140"/>
      <c r="AE946" s="36"/>
      <c r="AF946" s="36" t="s">
        <v>7543</v>
      </c>
      <c r="AI946" s="36" t="s">
        <v>7544</v>
      </c>
      <c r="AL946" s="36" t="s">
        <v>4473</v>
      </c>
      <c r="AN946" s="36">
        <v>1</v>
      </c>
      <c r="AO946" s="37"/>
      <c r="AP946" s="36"/>
      <c r="AQ946" s="131"/>
      <c r="AR946" s="132"/>
      <c r="AS946" s="133"/>
      <c r="AT946" s="42"/>
      <c r="AU946" s="135"/>
      <c r="AV946" s="131"/>
      <c r="AW946" s="136"/>
      <c r="AX946" s="137"/>
      <c r="AY946" s="138"/>
      <c r="AZ946" s="42"/>
      <c r="BA946" s="135"/>
      <c r="BB946" s="139"/>
      <c r="BE946" s="37"/>
      <c r="BF946" s="36"/>
      <c r="BG946" s="36" t="s">
        <v>7545</v>
      </c>
    </row>
    <row r="947" spans="1:59" ht="15" customHeight="1">
      <c r="A947" s="41" t="s">
        <v>7489</v>
      </c>
      <c r="B947" s="36" t="s">
        <v>7546</v>
      </c>
      <c r="C947" s="36" t="s">
        <v>7491</v>
      </c>
      <c r="D947" s="44">
        <v>318</v>
      </c>
      <c r="E947" s="36">
        <v>1</v>
      </c>
      <c r="F947" s="36" t="s">
        <v>7538</v>
      </c>
      <c r="G947" s="36" t="s">
        <v>7547</v>
      </c>
      <c r="J947" s="36" t="s">
        <v>4473</v>
      </c>
      <c r="K947" s="36" t="s">
        <v>6280</v>
      </c>
      <c r="L947" s="36">
        <v>2</v>
      </c>
      <c r="N947" s="36"/>
      <c r="O947" s="131"/>
      <c r="P947" s="132"/>
      <c r="Q947" s="133"/>
      <c r="R947" s="42"/>
      <c r="S947" s="134"/>
      <c r="T947" s="135"/>
      <c r="U947" s="131"/>
      <c r="V947" s="136"/>
      <c r="W947" s="137"/>
      <c r="X947" s="138"/>
      <c r="Y947" s="42"/>
      <c r="Z947" s="135">
        <v>7</v>
      </c>
      <c r="AA947" s="139"/>
      <c r="AB947" s="140"/>
      <c r="AE947" s="36"/>
      <c r="AF947" s="36" t="s">
        <v>7548</v>
      </c>
      <c r="AI947" s="36" t="s">
        <v>7549</v>
      </c>
      <c r="AL947" s="36" t="s">
        <v>4473</v>
      </c>
      <c r="AN947" s="36">
        <v>2</v>
      </c>
      <c r="AO947" s="37"/>
      <c r="AP947" s="36"/>
      <c r="AQ947" s="131"/>
      <c r="AR947" s="132"/>
      <c r="AS947" s="133"/>
      <c r="AT947" s="42"/>
      <c r="AU947" s="135"/>
      <c r="AV947" s="131"/>
      <c r="AW947" s="136"/>
      <c r="AX947" s="137"/>
      <c r="AY947" s="138"/>
      <c r="AZ947" s="42"/>
      <c r="BA947" s="135"/>
      <c r="BB947" s="139"/>
      <c r="BE947" s="37"/>
      <c r="BF947" s="36"/>
      <c r="BG947" s="36" t="s">
        <v>7550</v>
      </c>
    </row>
    <row r="948" spans="1:59" ht="15" customHeight="1">
      <c r="A948" s="41" t="s">
        <v>7489</v>
      </c>
      <c r="B948" s="36" t="s">
        <v>7551</v>
      </c>
      <c r="C948" s="36" t="s">
        <v>7491</v>
      </c>
      <c r="D948" s="37">
        <v>319</v>
      </c>
      <c r="E948" s="36">
        <v>1</v>
      </c>
      <c r="F948" s="36" t="s">
        <v>7538</v>
      </c>
      <c r="G948" s="36" t="s">
        <v>7552</v>
      </c>
      <c r="J948" s="36" t="s">
        <v>4473</v>
      </c>
      <c r="K948" s="36" t="s">
        <v>6280</v>
      </c>
      <c r="L948" s="36">
        <v>3</v>
      </c>
      <c r="N948" s="36"/>
      <c r="O948" s="131"/>
      <c r="P948" s="132"/>
      <c r="Q948" s="133"/>
      <c r="R948" s="42"/>
      <c r="S948" s="134"/>
      <c r="T948" s="135"/>
      <c r="U948" s="131"/>
      <c r="V948" s="136"/>
      <c r="W948" s="137"/>
      <c r="X948" s="138"/>
      <c r="Y948" s="42"/>
      <c r="Z948" s="135">
        <v>9</v>
      </c>
      <c r="AA948" s="139"/>
      <c r="AB948" s="140"/>
      <c r="AE948" s="36"/>
      <c r="AF948" s="36" t="s">
        <v>7553</v>
      </c>
      <c r="AI948" s="36" t="s">
        <v>7554</v>
      </c>
      <c r="AL948" s="36" t="s">
        <v>4473</v>
      </c>
      <c r="AN948" s="36">
        <v>3</v>
      </c>
      <c r="AO948" s="37"/>
      <c r="AP948" s="36"/>
      <c r="AQ948" s="131"/>
      <c r="AR948" s="132"/>
      <c r="AS948" s="133"/>
      <c r="AT948" s="42"/>
      <c r="AU948" s="135"/>
      <c r="AV948" s="131"/>
      <c r="AW948" s="136"/>
      <c r="AX948" s="137"/>
      <c r="AY948" s="138"/>
      <c r="AZ948" s="42"/>
      <c r="BA948" s="135"/>
      <c r="BB948" s="139"/>
      <c r="BE948" s="37"/>
      <c r="BF948" s="36"/>
      <c r="BG948" s="36" t="s">
        <v>7555</v>
      </c>
    </row>
    <row r="949" spans="1:59" ht="15" customHeight="1">
      <c r="A949" s="41" t="s">
        <v>7489</v>
      </c>
      <c r="B949" s="36" t="s">
        <v>7556</v>
      </c>
      <c r="C949" s="36" t="s">
        <v>7491</v>
      </c>
      <c r="D949" s="44">
        <v>320</v>
      </c>
      <c r="E949" s="36">
        <v>1</v>
      </c>
      <c r="F949" s="36" t="s">
        <v>7538</v>
      </c>
      <c r="G949" s="36" t="s">
        <v>7557</v>
      </c>
      <c r="J949" s="36" t="s">
        <v>4475</v>
      </c>
      <c r="K949" s="36" t="s">
        <v>6280</v>
      </c>
      <c r="L949" s="36">
        <v>1</v>
      </c>
      <c r="N949" s="36"/>
      <c r="O949" s="131"/>
      <c r="P949" s="132"/>
      <c r="Q949" s="133"/>
      <c r="R949" s="42"/>
      <c r="S949" s="134"/>
      <c r="T949" s="135"/>
      <c r="U949" s="131"/>
      <c r="V949" s="136"/>
      <c r="W949" s="137"/>
      <c r="X949" s="138"/>
      <c r="Y949" s="42" t="s">
        <v>5551</v>
      </c>
      <c r="Z949" s="135"/>
      <c r="AA949" s="139"/>
      <c r="AB949" s="140"/>
      <c r="AE949" s="36"/>
      <c r="AF949" s="36" t="s">
        <v>7558</v>
      </c>
      <c r="AI949" s="36" t="s">
        <v>7559</v>
      </c>
      <c r="AL949" s="36" t="s">
        <v>4475</v>
      </c>
      <c r="AN949" s="36">
        <v>1</v>
      </c>
      <c r="AO949" s="37"/>
      <c r="AP949" s="36"/>
      <c r="AQ949" s="131"/>
      <c r="AR949" s="132"/>
      <c r="AS949" s="133"/>
      <c r="AT949" s="42"/>
      <c r="AU949" s="135"/>
      <c r="AV949" s="131"/>
      <c r="AW949" s="136"/>
      <c r="AX949" s="137"/>
      <c r="AY949" s="138"/>
      <c r="AZ949" s="42"/>
      <c r="BA949" s="135"/>
      <c r="BB949" s="139"/>
      <c r="BE949" s="37"/>
      <c r="BF949" s="36"/>
      <c r="BG949" s="36" t="s">
        <v>7560</v>
      </c>
    </row>
    <row r="950" spans="1:59" ht="15" customHeight="1">
      <c r="A950" s="41" t="s">
        <v>7489</v>
      </c>
      <c r="B950" s="36" t="s">
        <v>7561</v>
      </c>
      <c r="C950" s="36" t="s">
        <v>7491</v>
      </c>
      <c r="D950" s="37">
        <v>321</v>
      </c>
      <c r="E950" s="36">
        <v>1</v>
      </c>
      <c r="F950" s="36" t="s">
        <v>7538</v>
      </c>
      <c r="G950" s="36" t="s">
        <v>7562</v>
      </c>
      <c r="J950" s="36" t="s">
        <v>4475</v>
      </c>
      <c r="K950" s="36" t="s">
        <v>6280</v>
      </c>
      <c r="L950" s="36">
        <v>2</v>
      </c>
      <c r="N950" s="36"/>
      <c r="O950" s="131"/>
      <c r="P950" s="132"/>
      <c r="Q950" s="133"/>
      <c r="R950" s="42"/>
      <c r="S950" s="134"/>
      <c r="T950" s="135"/>
      <c r="U950" s="131"/>
      <c r="V950" s="136"/>
      <c r="W950" s="137"/>
      <c r="X950" s="138"/>
      <c r="Y950" s="42" t="s">
        <v>38</v>
      </c>
      <c r="Z950" s="135"/>
      <c r="AA950" s="139"/>
      <c r="AB950" s="140"/>
      <c r="AE950" s="36"/>
      <c r="AF950" s="36" t="s">
        <v>7563</v>
      </c>
      <c r="AI950" s="36" t="s">
        <v>7564</v>
      </c>
      <c r="AJ950" s="36" t="s">
        <v>7565</v>
      </c>
      <c r="AK950" s="36" t="s">
        <v>4077</v>
      </c>
      <c r="AL950" s="36" t="s">
        <v>4111</v>
      </c>
      <c r="AM950" s="36" t="s">
        <v>26</v>
      </c>
      <c r="AO950" s="37"/>
      <c r="AP950" s="36">
        <v>0</v>
      </c>
      <c r="AQ950" s="131"/>
      <c r="AR950" s="132"/>
      <c r="AS950" s="133"/>
      <c r="AT950" s="42"/>
      <c r="AU950" s="135"/>
      <c r="AV950" s="131"/>
      <c r="AW950" s="136"/>
      <c r="AX950" s="137"/>
      <c r="AY950" s="138"/>
      <c r="AZ950" s="42"/>
      <c r="BA950" s="135"/>
      <c r="BB950" s="139"/>
      <c r="BE950" s="37" t="s">
        <v>4130</v>
      </c>
      <c r="BF950" s="36"/>
      <c r="BG950" s="36" t="s">
        <v>7566</v>
      </c>
    </row>
    <row r="951" spans="1:59" ht="15" customHeight="1">
      <c r="A951" s="41" t="s">
        <v>7489</v>
      </c>
      <c r="B951" s="36" t="s">
        <v>7567</v>
      </c>
      <c r="C951" s="36" t="s">
        <v>7491</v>
      </c>
      <c r="D951" s="44">
        <v>322</v>
      </c>
      <c r="E951" s="36">
        <v>1</v>
      </c>
      <c r="F951" s="36" t="s">
        <v>7538</v>
      </c>
      <c r="G951" s="36" t="s">
        <v>7568</v>
      </c>
      <c r="J951" s="36" t="s">
        <v>4475</v>
      </c>
      <c r="K951" s="36" t="s">
        <v>6280</v>
      </c>
      <c r="L951" s="36">
        <v>2</v>
      </c>
      <c r="N951" s="36"/>
      <c r="O951" s="131"/>
      <c r="P951" s="132"/>
      <c r="Q951" s="133"/>
      <c r="R951" s="42"/>
      <c r="S951" s="134"/>
      <c r="T951" s="135"/>
      <c r="U951" s="131"/>
      <c r="V951" s="136"/>
      <c r="W951" s="137"/>
      <c r="X951" s="138"/>
      <c r="Y951" s="42" t="s">
        <v>38</v>
      </c>
      <c r="Z951" s="135"/>
      <c r="AA951" s="139"/>
      <c r="AB951" s="140"/>
      <c r="AE951" s="36"/>
      <c r="AF951" s="36" t="s">
        <v>7569</v>
      </c>
      <c r="AI951" s="36" t="s">
        <v>7570</v>
      </c>
      <c r="AL951" s="36" t="s">
        <v>4475</v>
      </c>
      <c r="AN951" s="36">
        <v>2</v>
      </c>
      <c r="AO951" s="37"/>
      <c r="AP951" s="36"/>
      <c r="AQ951" s="131"/>
      <c r="AR951" s="132"/>
      <c r="AS951" s="133"/>
      <c r="AT951" s="42"/>
      <c r="AU951" s="135"/>
      <c r="AV951" s="131"/>
      <c r="AW951" s="136"/>
      <c r="AX951" s="137"/>
      <c r="AY951" s="138"/>
      <c r="AZ951" s="42"/>
      <c r="BA951" s="135"/>
      <c r="BB951" s="139"/>
      <c r="BE951" s="37"/>
      <c r="BF951" s="36"/>
      <c r="BG951" s="36" t="s">
        <v>7571</v>
      </c>
    </row>
    <row r="952" spans="1:59" ht="15" customHeight="1">
      <c r="A952" s="41" t="s">
        <v>7489</v>
      </c>
      <c r="B952" s="36" t="s">
        <v>7572</v>
      </c>
      <c r="C952" s="36" t="s">
        <v>7491</v>
      </c>
      <c r="D952" s="37">
        <v>323</v>
      </c>
      <c r="E952" s="36">
        <v>1</v>
      </c>
      <c r="F952" s="36" t="s">
        <v>7538</v>
      </c>
      <c r="G952" s="36" t="s">
        <v>7573</v>
      </c>
      <c r="J952" s="36" t="s">
        <v>4475</v>
      </c>
      <c r="K952" s="36" t="s">
        <v>6280</v>
      </c>
      <c r="L952" s="36">
        <v>2</v>
      </c>
      <c r="N952" s="36"/>
      <c r="O952" s="131"/>
      <c r="P952" s="132"/>
      <c r="Q952" s="133"/>
      <c r="R952" s="42"/>
      <c r="S952" s="134"/>
      <c r="T952" s="135"/>
      <c r="U952" s="131"/>
      <c r="V952" s="136"/>
      <c r="W952" s="137"/>
      <c r="X952" s="138"/>
      <c r="Y952" s="42" t="s">
        <v>38</v>
      </c>
      <c r="Z952" s="135"/>
      <c r="AA952" s="139"/>
      <c r="AB952" s="140"/>
      <c r="AE952" s="36"/>
      <c r="AF952" s="36" t="s">
        <v>7574</v>
      </c>
      <c r="AI952" s="36" t="s">
        <v>7575</v>
      </c>
      <c r="AL952" s="36" t="s">
        <v>4475</v>
      </c>
      <c r="AN952" s="36">
        <v>2</v>
      </c>
      <c r="AO952" s="37"/>
      <c r="AP952" s="36"/>
      <c r="AQ952" s="131"/>
      <c r="AR952" s="132"/>
      <c r="AS952" s="133"/>
      <c r="AT952" s="42"/>
      <c r="AU952" s="135"/>
      <c r="AV952" s="131"/>
      <c r="AW952" s="136"/>
      <c r="AX952" s="137"/>
      <c r="AY952" s="138"/>
      <c r="AZ952" s="42"/>
      <c r="BA952" s="135"/>
      <c r="BB952" s="139"/>
      <c r="BE952" s="37"/>
      <c r="BF952" s="36"/>
      <c r="BG952" s="36" t="s">
        <v>7576</v>
      </c>
    </row>
    <row r="953" spans="1:59" ht="15" customHeight="1">
      <c r="A953" s="41" t="s">
        <v>7489</v>
      </c>
      <c r="B953" s="36" t="s">
        <v>7577</v>
      </c>
      <c r="C953" s="36" t="s">
        <v>7491</v>
      </c>
      <c r="D953" s="44">
        <v>324</v>
      </c>
      <c r="E953" s="36">
        <v>1</v>
      </c>
      <c r="F953" s="36" t="s">
        <v>7538</v>
      </c>
      <c r="G953" s="36" t="s">
        <v>7578</v>
      </c>
      <c r="J953" s="36" t="s">
        <v>4475</v>
      </c>
      <c r="K953" s="36" t="s">
        <v>6280</v>
      </c>
      <c r="L953" s="36">
        <v>3</v>
      </c>
      <c r="N953" s="36"/>
      <c r="O953" s="131"/>
      <c r="P953" s="132"/>
      <c r="Q953" s="133"/>
      <c r="R953" s="42"/>
      <c r="S953" s="134"/>
      <c r="T953" s="135"/>
      <c r="U953" s="131"/>
      <c r="V953" s="136"/>
      <c r="W953" s="137"/>
      <c r="X953" s="138"/>
      <c r="Y953" s="42" t="s">
        <v>38</v>
      </c>
      <c r="Z953" s="135"/>
      <c r="AA953" s="139"/>
      <c r="AB953" s="140"/>
      <c r="AE953" s="36"/>
      <c r="AF953" s="36" t="s">
        <v>7579</v>
      </c>
      <c r="AI953" s="36" t="s">
        <v>7580</v>
      </c>
      <c r="AL953" s="36" t="s">
        <v>4475</v>
      </c>
      <c r="AN953" s="36">
        <v>3</v>
      </c>
      <c r="AO953" s="37"/>
      <c r="AP953" s="36"/>
      <c r="AQ953" s="131"/>
      <c r="AR953" s="132"/>
      <c r="AS953" s="133"/>
      <c r="AT953" s="42"/>
      <c r="AU953" s="135"/>
      <c r="AV953" s="131"/>
      <c r="AW953" s="136"/>
      <c r="AX953" s="137"/>
      <c r="AY953" s="138"/>
      <c r="AZ953" s="42"/>
      <c r="BA953" s="135"/>
      <c r="BB953" s="139"/>
      <c r="BE953" s="37"/>
      <c r="BF953" s="36"/>
      <c r="BG953" s="36" t="s">
        <v>7581</v>
      </c>
    </row>
    <row r="954" spans="1:59" ht="15" customHeight="1">
      <c r="A954" s="41" t="s">
        <v>7489</v>
      </c>
      <c r="B954" s="36" t="s">
        <v>7582</v>
      </c>
      <c r="C954" s="36" t="s">
        <v>7491</v>
      </c>
      <c r="D954" s="37">
        <v>325</v>
      </c>
      <c r="E954" s="36">
        <v>1</v>
      </c>
      <c r="F954" s="36" t="s">
        <v>7538</v>
      </c>
      <c r="G954" s="36" t="s">
        <v>7583</v>
      </c>
      <c r="J954" s="36" t="s">
        <v>31</v>
      </c>
      <c r="K954" s="36" t="s">
        <v>6280</v>
      </c>
      <c r="N954" s="36"/>
      <c r="O954" s="131"/>
      <c r="P954" s="132"/>
      <c r="Q954" s="133"/>
      <c r="R954" s="42"/>
      <c r="S954" s="134"/>
      <c r="T954" s="135"/>
      <c r="U954" s="131"/>
      <c r="V954" s="136"/>
      <c r="W954" s="137"/>
      <c r="X954" s="138">
        <v>3</v>
      </c>
      <c r="Y954" s="42" t="s">
        <v>5551</v>
      </c>
      <c r="Z954" s="135"/>
      <c r="AA954" s="139"/>
      <c r="AB954" s="140"/>
      <c r="AD954" s="36" t="s">
        <v>7584</v>
      </c>
      <c r="AE954" s="36"/>
      <c r="AI954" s="36" t="s">
        <v>7585</v>
      </c>
      <c r="AL954" s="36" t="s">
        <v>4472</v>
      </c>
      <c r="AO954" s="37"/>
      <c r="AP954" s="36"/>
      <c r="AQ954" s="131"/>
      <c r="AR954" s="132"/>
      <c r="AS954" s="133"/>
      <c r="AT954" s="42"/>
      <c r="AU954" s="135"/>
      <c r="AV954" s="131"/>
      <c r="AW954" s="136"/>
      <c r="AX954" s="137"/>
      <c r="AY954" s="138"/>
      <c r="AZ954" s="42"/>
      <c r="BA954" s="135"/>
      <c r="BB954" s="139"/>
      <c r="BE954" s="37"/>
      <c r="BF954" s="36"/>
      <c r="BG954" s="36" t="s">
        <v>7586</v>
      </c>
    </row>
    <row r="955" spans="1:59" ht="15" customHeight="1">
      <c r="A955" s="41" t="s">
        <v>7489</v>
      </c>
      <c r="B955" s="36" t="s">
        <v>7588</v>
      </c>
      <c r="C955" s="36" t="s">
        <v>7491</v>
      </c>
      <c r="D955" s="37">
        <v>326</v>
      </c>
      <c r="E955" s="36">
        <v>1</v>
      </c>
      <c r="F955" s="36" t="s">
        <v>7538</v>
      </c>
      <c r="G955" s="36" t="s">
        <v>7589</v>
      </c>
      <c r="J955" s="36" t="s">
        <v>31</v>
      </c>
      <c r="K955" s="36" t="s">
        <v>6280</v>
      </c>
      <c r="N955" s="164"/>
      <c r="O955" s="131"/>
      <c r="P955" s="132"/>
      <c r="Q955" s="133"/>
      <c r="R955" s="42"/>
      <c r="S955" s="42"/>
      <c r="T955" s="135"/>
      <c r="U955" s="131"/>
      <c r="V955" s="136"/>
      <c r="W955" s="137"/>
      <c r="X955" s="138">
        <v>4</v>
      </c>
      <c r="Y955" s="42" t="s">
        <v>4925</v>
      </c>
      <c r="Z955" s="135"/>
      <c r="AA955" s="139"/>
      <c r="AB955" s="165"/>
      <c r="AD955" s="36" t="s">
        <v>7584</v>
      </c>
      <c r="AF955" s="36" t="s">
        <v>7590</v>
      </c>
      <c r="AI955" s="36" t="s">
        <v>7591</v>
      </c>
      <c r="AL955" s="36" t="s">
        <v>4472</v>
      </c>
      <c r="AP955" s="37"/>
      <c r="AQ955" s="131"/>
      <c r="AR955" s="132"/>
      <c r="AS955" s="133"/>
      <c r="AT955" s="42"/>
      <c r="AU955" s="135"/>
      <c r="AV955" s="131"/>
      <c r="AW955" s="136"/>
      <c r="AX955" s="137"/>
      <c r="AY955" s="138"/>
      <c r="AZ955" s="42"/>
      <c r="BA955" s="135"/>
      <c r="BB955" s="139"/>
      <c r="BG955" s="36" t="s">
        <v>7592</v>
      </c>
    </row>
    <row r="956" spans="1:59" ht="15" customHeight="1">
      <c r="A956" s="41" t="s">
        <v>7489</v>
      </c>
      <c r="B956" s="36" t="s">
        <v>7593</v>
      </c>
      <c r="C956" s="36" t="s">
        <v>7491</v>
      </c>
      <c r="D956" s="37">
        <v>326</v>
      </c>
      <c r="E956" s="36">
        <v>1</v>
      </c>
      <c r="F956" s="36" t="s">
        <v>7538</v>
      </c>
      <c r="G956" s="36" t="s">
        <v>7589</v>
      </c>
      <c r="J956" s="36" t="s">
        <v>31</v>
      </c>
      <c r="K956" s="36" t="s">
        <v>6280</v>
      </c>
      <c r="N956" s="164"/>
      <c r="O956" s="131"/>
      <c r="P956" s="132"/>
      <c r="Q956" s="133"/>
      <c r="R956" s="42"/>
      <c r="S956" s="42"/>
      <c r="T956" s="135"/>
      <c r="U956" s="131"/>
      <c r="V956" s="136"/>
      <c r="W956" s="137"/>
      <c r="X956" s="138">
        <v>4</v>
      </c>
      <c r="Y956" s="42" t="s">
        <v>4925</v>
      </c>
      <c r="Z956" s="135"/>
      <c r="AA956" s="139"/>
      <c r="AB956" s="165"/>
      <c r="AD956" s="36" t="s">
        <v>7584</v>
      </c>
      <c r="AF956" s="36" t="s">
        <v>7590</v>
      </c>
      <c r="AI956" s="36" t="s">
        <v>7594</v>
      </c>
      <c r="AL956" s="36" t="s">
        <v>4472</v>
      </c>
      <c r="AP956" s="37"/>
      <c r="AQ956" s="131"/>
      <c r="AR956" s="132"/>
      <c r="AS956" s="133"/>
      <c r="AT956" s="42"/>
      <c r="AU956" s="135"/>
      <c r="AV956" s="131"/>
      <c r="AW956" s="136"/>
      <c r="AX956" s="137"/>
      <c r="AY956" s="138"/>
      <c r="AZ956" s="42"/>
      <c r="BA956" s="135"/>
      <c r="BB956" s="139"/>
      <c r="BG956" s="36" t="s">
        <v>7595</v>
      </c>
    </row>
    <row r="957" spans="1:59" ht="15" customHeight="1">
      <c r="A957" s="41" t="s">
        <v>7489</v>
      </c>
      <c r="B957" s="36" t="s">
        <v>7596</v>
      </c>
      <c r="C957" s="36" t="s">
        <v>7491</v>
      </c>
      <c r="D957" s="37">
        <v>327</v>
      </c>
      <c r="E957" s="36">
        <v>1</v>
      </c>
      <c r="F957" s="36" t="s">
        <v>7538</v>
      </c>
      <c r="G957" s="36" t="s">
        <v>7597</v>
      </c>
      <c r="J957" s="36" t="s">
        <v>31</v>
      </c>
      <c r="K957" s="36" t="s">
        <v>6280</v>
      </c>
      <c r="N957" s="164"/>
      <c r="O957" s="131"/>
      <c r="P957" s="132"/>
      <c r="Q957" s="133"/>
      <c r="R957" s="42"/>
      <c r="S957" s="42"/>
      <c r="T957" s="135"/>
      <c r="U957" s="131"/>
      <c r="V957" s="136"/>
      <c r="W957" s="137"/>
      <c r="X957" s="138">
        <v>2</v>
      </c>
      <c r="Y957" s="42" t="s">
        <v>4925</v>
      </c>
      <c r="Z957" s="135"/>
      <c r="AA957" s="139"/>
      <c r="AB957" s="165"/>
      <c r="AD957" s="36" t="s">
        <v>7584</v>
      </c>
      <c r="AF957" s="36" t="s">
        <v>7598</v>
      </c>
      <c r="AI957" s="36" t="s">
        <v>7599</v>
      </c>
      <c r="AL957" s="36" t="s">
        <v>4472</v>
      </c>
      <c r="AP957" s="37"/>
      <c r="AQ957" s="131"/>
      <c r="AR957" s="132"/>
      <c r="AS957" s="133"/>
      <c r="AT957" s="42"/>
      <c r="AU957" s="135"/>
      <c r="AV957" s="131"/>
      <c r="AW957" s="136"/>
      <c r="AX957" s="137"/>
      <c r="AY957" s="138"/>
      <c r="AZ957" s="42"/>
      <c r="BA957" s="135"/>
      <c r="BB957" s="139"/>
      <c r="BG957" s="36" t="s">
        <v>7600</v>
      </c>
    </row>
    <row r="958" spans="1:59" ht="15" customHeight="1">
      <c r="A958" s="41" t="s">
        <v>7489</v>
      </c>
      <c r="B958" s="36" t="s">
        <v>7601</v>
      </c>
      <c r="C958" s="36" t="s">
        <v>7491</v>
      </c>
      <c r="D958" s="37">
        <v>327</v>
      </c>
      <c r="E958" s="36">
        <v>1</v>
      </c>
      <c r="F958" s="36" t="s">
        <v>7538</v>
      </c>
      <c r="G958" s="36" t="s">
        <v>7597</v>
      </c>
      <c r="J958" s="36" t="s">
        <v>31</v>
      </c>
      <c r="K958" s="36" t="s">
        <v>6280</v>
      </c>
      <c r="N958" s="164"/>
      <c r="O958" s="131"/>
      <c r="P958" s="132"/>
      <c r="Q958" s="133"/>
      <c r="R958" s="42"/>
      <c r="S958" s="42"/>
      <c r="T958" s="135"/>
      <c r="U958" s="131"/>
      <c r="V958" s="136"/>
      <c r="W958" s="137"/>
      <c r="X958" s="138">
        <v>2</v>
      </c>
      <c r="Y958" s="42" t="s">
        <v>4925</v>
      </c>
      <c r="Z958" s="135"/>
      <c r="AA958" s="139"/>
      <c r="AB958" s="165"/>
      <c r="AD958" s="36" t="s">
        <v>7584</v>
      </c>
      <c r="AF958" s="36" t="s">
        <v>7598</v>
      </c>
      <c r="AI958" s="36" t="s">
        <v>7602</v>
      </c>
      <c r="AL958" s="36" t="s">
        <v>4472</v>
      </c>
      <c r="AP958" s="37"/>
      <c r="AQ958" s="131"/>
      <c r="AR958" s="132"/>
      <c r="AS958" s="133"/>
      <c r="AT958" s="42"/>
      <c r="AU958" s="135"/>
      <c r="AV958" s="131"/>
      <c r="AW958" s="136"/>
      <c r="AX958" s="137"/>
      <c r="AY958" s="138"/>
      <c r="AZ958" s="42"/>
      <c r="BA958" s="135"/>
      <c r="BB958" s="139"/>
      <c r="BG958" s="36" t="s">
        <v>7603</v>
      </c>
    </row>
    <row r="959" spans="1:59" ht="15" customHeight="1">
      <c r="A959" s="41" t="s">
        <v>7489</v>
      </c>
      <c r="B959" s="36" t="s">
        <v>7604</v>
      </c>
      <c r="C959" s="36" t="s">
        <v>7491</v>
      </c>
      <c r="D959" s="37">
        <v>327</v>
      </c>
      <c r="E959" s="36">
        <v>1</v>
      </c>
      <c r="F959" s="36" t="s">
        <v>7538</v>
      </c>
      <c r="G959" s="36" t="s">
        <v>7597</v>
      </c>
      <c r="J959" s="36" t="s">
        <v>31</v>
      </c>
      <c r="K959" s="36" t="s">
        <v>6280</v>
      </c>
      <c r="N959" s="164"/>
      <c r="O959" s="131"/>
      <c r="P959" s="132"/>
      <c r="Q959" s="133"/>
      <c r="R959" s="42"/>
      <c r="S959" s="42"/>
      <c r="T959" s="135"/>
      <c r="U959" s="131"/>
      <c r="V959" s="136"/>
      <c r="W959" s="137"/>
      <c r="X959" s="138">
        <v>2</v>
      </c>
      <c r="Y959" s="42" t="s">
        <v>4925</v>
      </c>
      <c r="Z959" s="135"/>
      <c r="AA959" s="139"/>
      <c r="AB959" s="165"/>
      <c r="AD959" s="36" t="s">
        <v>7584</v>
      </c>
      <c r="AF959" s="36" t="s">
        <v>7598</v>
      </c>
      <c r="AI959" s="36" t="s">
        <v>7605</v>
      </c>
      <c r="AL959" s="36" t="s">
        <v>4472</v>
      </c>
      <c r="AP959" s="37"/>
      <c r="AQ959" s="131"/>
      <c r="AR959" s="132"/>
      <c r="AS959" s="133"/>
      <c r="AT959" s="42"/>
      <c r="AU959" s="135"/>
      <c r="AV959" s="131"/>
      <c r="AW959" s="136"/>
      <c r="AX959" s="137"/>
      <c r="AY959" s="138"/>
      <c r="AZ959" s="42"/>
      <c r="BA959" s="135"/>
      <c r="BB959" s="139"/>
      <c r="BG959" s="36" t="s">
        <v>7606</v>
      </c>
    </row>
    <row r="960" spans="1:59" ht="15" customHeight="1">
      <c r="A960" s="41" t="s">
        <v>7489</v>
      </c>
      <c r="B960" s="36" t="s">
        <v>7607</v>
      </c>
      <c r="C960" s="36" t="s">
        <v>7491</v>
      </c>
      <c r="D960" s="37">
        <v>328</v>
      </c>
      <c r="E960" s="36">
        <v>1</v>
      </c>
      <c r="F960" s="36" t="s">
        <v>7538</v>
      </c>
      <c r="G960" s="36" t="s">
        <v>7608</v>
      </c>
      <c r="J960" s="36" t="s">
        <v>31</v>
      </c>
      <c r="K960" s="36" t="s">
        <v>6280</v>
      </c>
      <c r="N960" s="164"/>
      <c r="O960" s="131"/>
      <c r="P960" s="132"/>
      <c r="Q960" s="133"/>
      <c r="R960" s="42"/>
      <c r="S960" s="42"/>
      <c r="T960" s="135"/>
      <c r="U960" s="131"/>
      <c r="V960" s="136"/>
      <c r="W960" s="137"/>
      <c r="X960" s="138">
        <v>2</v>
      </c>
      <c r="Y960" s="42" t="s">
        <v>4925</v>
      </c>
      <c r="Z960" s="135"/>
      <c r="AA960" s="139"/>
      <c r="AB960" s="165"/>
      <c r="AD960" s="36" t="s">
        <v>7584</v>
      </c>
      <c r="AF960" s="36" t="s">
        <v>7609</v>
      </c>
      <c r="AI960" s="36" t="s">
        <v>7610</v>
      </c>
      <c r="AL960" s="36" t="s">
        <v>4472</v>
      </c>
      <c r="AP960" s="37"/>
      <c r="AQ960" s="131"/>
      <c r="AR960" s="132"/>
      <c r="AS960" s="133"/>
      <c r="AT960" s="42"/>
      <c r="AU960" s="135"/>
      <c r="AV960" s="131"/>
      <c r="AW960" s="136"/>
      <c r="AX960" s="137"/>
      <c r="AY960" s="138"/>
      <c r="AZ960" s="42"/>
      <c r="BA960" s="135"/>
      <c r="BB960" s="139"/>
      <c r="BG960" s="36" t="s">
        <v>7611</v>
      </c>
    </row>
    <row r="961" spans="1:59" ht="15" customHeight="1">
      <c r="A961" s="41" t="s">
        <v>7489</v>
      </c>
      <c r="B961" s="36" t="s">
        <v>7612</v>
      </c>
      <c r="C961" s="36" t="s">
        <v>7491</v>
      </c>
      <c r="D961" s="37">
        <v>328</v>
      </c>
      <c r="E961" s="36">
        <v>1</v>
      </c>
      <c r="F961" s="36" t="s">
        <v>7538</v>
      </c>
      <c r="G961" s="36" t="s">
        <v>7608</v>
      </c>
      <c r="J961" s="36" t="s">
        <v>31</v>
      </c>
      <c r="K961" s="36" t="s">
        <v>6280</v>
      </c>
      <c r="N961" s="164"/>
      <c r="O961" s="131"/>
      <c r="P961" s="132"/>
      <c r="Q961" s="133"/>
      <c r="R961" s="42"/>
      <c r="S961" s="42"/>
      <c r="T961" s="135"/>
      <c r="U961" s="131"/>
      <c r="V961" s="136"/>
      <c r="W961" s="137"/>
      <c r="X961" s="138">
        <v>2</v>
      </c>
      <c r="Y961" s="42" t="s">
        <v>4925</v>
      </c>
      <c r="Z961" s="135"/>
      <c r="AA961" s="139"/>
      <c r="AB961" s="165"/>
      <c r="AD961" s="36" t="s">
        <v>7584</v>
      </c>
      <c r="AF961" s="36" t="s">
        <v>7609</v>
      </c>
      <c r="AI961" s="36" t="s">
        <v>7613</v>
      </c>
      <c r="AL961" s="36" t="s">
        <v>4472</v>
      </c>
      <c r="AP961" s="37"/>
      <c r="AQ961" s="131"/>
      <c r="AR961" s="132"/>
      <c r="AS961" s="133"/>
      <c r="AT961" s="42"/>
      <c r="AU961" s="135"/>
      <c r="AV961" s="131"/>
      <c r="AW961" s="136"/>
      <c r="AX961" s="137"/>
      <c r="AY961" s="138"/>
      <c r="AZ961" s="42"/>
      <c r="BA961" s="135"/>
      <c r="BB961" s="139"/>
      <c r="BG961" s="36" t="s">
        <v>7614</v>
      </c>
    </row>
    <row r="962" spans="1:59" ht="15" customHeight="1">
      <c r="A962" s="41" t="s">
        <v>7489</v>
      </c>
      <c r="B962" s="36" t="s">
        <v>7615</v>
      </c>
      <c r="C962" s="36" t="s">
        <v>7491</v>
      </c>
      <c r="D962" s="37">
        <v>328</v>
      </c>
      <c r="E962" s="36">
        <v>1</v>
      </c>
      <c r="F962" s="36" t="s">
        <v>7538</v>
      </c>
      <c r="G962" s="36" t="s">
        <v>7608</v>
      </c>
      <c r="J962" s="36" t="s">
        <v>31</v>
      </c>
      <c r="K962" s="36" t="s">
        <v>6280</v>
      </c>
      <c r="N962" s="164"/>
      <c r="O962" s="131"/>
      <c r="P962" s="132"/>
      <c r="Q962" s="133"/>
      <c r="R962" s="42"/>
      <c r="S962" s="42"/>
      <c r="T962" s="135"/>
      <c r="U962" s="131"/>
      <c r="V962" s="136"/>
      <c r="W962" s="137"/>
      <c r="X962" s="138">
        <v>2</v>
      </c>
      <c r="Y962" s="42" t="s">
        <v>4925</v>
      </c>
      <c r="Z962" s="135"/>
      <c r="AA962" s="139"/>
      <c r="AB962" s="165"/>
      <c r="AD962" s="36" t="s">
        <v>7584</v>
      </c>
      <c r="AF962" s="36" t="s">
        <v>7609</v>
      </c>
      <c r="AI962" s="36" t="s">
        <v>7616</v>
      </c>
      <c r="AL962" s="36" t="s">
        <v>4472</v>
      </c>
      <c r="AP962" s="37"/>
      <c r="AQ962" s="131"/>
      <c r="AR962" s="132"/>
      <c r="AS962" s="133"/>
      <c r="AT962" s="42"/>
      <c r="AU962" s="135"/>
      <c r="AV962" s="131"/>
      <c r="AW962" s="136"/>
      <c r="AX962" s="137"/>
      <c r="AY962" s="138"/>
      <c r="AZ962" s="42"/>
      <c r="BA962" s="135"/>
      <c r="BB962" s="139"/>
      <c r="BG962" s="36" t="s">
        <v>7617</v>
      </c>
    </row>
    <row r="963" spans="1:59" ht="15" customHeight="1">
      <c r="A963" s="41" t="s">
        <v>7489</v>
      </c>
      <c r="B963" s="36" t="s">
        <v>7618</v>
      </c>
      <c r="C963" s="36" t="s">
        <v>7491</v>
      </c>
      <c r="D963" s="37">
        <v>329</v>
      </c>
      <c r="E963" s="36">
        <v>1</v>
      </c>
      <c r="F963" s="36" t="s">
        <v>7538</v>
      </c>
      <c r="G963" s="36" t="s">
        <v>7619</v>
      </c>
      <c r="J963" s="36" t="s">
        <v>31</v>
      </c>
      <c r="K963" s="36" t="s">
        <v>6280</v>
      </c>
      <c r="N963" s="164"/>
      <c r="O963" s="131"/>
      <c r="P963" s="132"/>
      <c r="Q963" s="133"/>
      <c r="R963" s="42"/>
      <c r="S963" s="42"/>
      <c r="T963" s="135"/>
      <c r="U963" s="131"/>
      <c r="V963" s="136"/>
      <c r="W963" s="137"/>
      <c r="X963" s="138">
        <v>4</v>
      </c>
      <c r="Y963" s="42" t="s">
        <v>4925</v>
      </c>
      <c r="Z963" s="135"/>
      <c r="AA963" s="139"/>
      <c r="AB963" s="165"/>
      <c r="AD963" s="36" t="s">
        <v>7584</v>
      </c>
      <c r="AF963" s="36" t="s">
        <v>7620</v>
      </c>
      <c r="AI963" s="36" t="s">
        <v>7621</v>
      </c>
      <c r="AL963" s="36" t="s">
        <v>4472</v>
      </c>
      <c r="AP963" s="37"/>
      <c r="AQ963" s="131"/>
      <c r="AR963" s="132"/>
      <c r="AS963" s="133"/>
      <c r="AT963" s="42"/>
      <c r="AU963" s="135"/>
      <c r="AV963" s="131"/>
      <c r="AW963" s="136"/>
      <c r="AX963" s="137"/>
      <c r="AY963" s="138"/>
      <c r="AZ963" s="42"/>
      <c r="BA963" s="135"/>
      <c r="BB963" s="139"/>
      <c r="BG963" s="36" t="s">
        <v>7622</v>
      </c>
    </row>
    <row r="964" spans="1:59" ht="15" customHeight="1">
      <c r="A964" s="41" t="s">
        <v>7489</v>
      </c>
      <c r="B964" s="36" t="s">
        <v>7623</v>
      </c>
      <c r="C964" s="36" t="s">
        <v>7491</v>
      </c>
      <c r="D964" s="37">
        <v>329</v>
      </c>
      <c r="E964" s="36">
        <v>1</v>
      </c>
      <c r="F964" s="36" t="s">
        <v>7538</v>
      </c>
      <c r="G964" s="36" t="s">
        <v>7619</v>
      </c>
      <c r="J964" s="36" t="s">
        <v>31</v>
      </c>
      <c r="K964" s="36" t="s">
        <v>6280</v>
      </c>
      <c r="N964" s="164"/>
      <c r="O964" s="131"/>
      <c r="P964" s="132"/>
      <c r="Q964" s="133"/>
      <c r="R964" s="42"/>
      <c r="S964" s="42"/>
      <c r="T964" s="135"/>
      <c r="U964" s="131"/>
      <c r="V964" s="136"/>
      <c r="W964" s="137"/>
      <c r="X964" s="138">
        <v>4</v>
      </c>
      <c r="Y964" s="42" t="s">
        <v>4925</v>
      </c>
      <c r="Z964" s="135"/>
      <c r="AA964" s="139"/>
      <c r="AB964" s="165"/>
      <c r="AD964" s="36" t="s">
        <v>7584</v>
      </c>
      <c r="AF964" s="36" t="s">
        <v>7620</v>
      </c>
      <c r="AI964" s="36" t="s">
        <v>7624</v>
      </c>
      <c r="AL964" s="36" t="s">
        <v>4472</v>
      </c>
      <c r="AP964" s="37"/>
      <c r="AQ964" s="131"/>
      <c r="AR964" s="132"/>
      <c r="AS964" s="133"/>
      <c r="AT964" s="42"/>
      <c r="AU964" s="135"/>
      <c r="AV964" s="131"/>
      <c r="AW964" s="136"/>
      <c r="AX964" s="137"/>
      <c r="AY964" s="138"/>
      <c r="AZ964" s="42"/>
      <c r="BA964" s="135"/>
      <c r="BB964" s="139"/>
      <c r="BG964" s="36" t="s">
        <v>7586</v>
      </c>
    </row>
    <row r="965" spans="1:59" ht="15" customHeight="1">
      <c r="A965" s="41" t="s">
        <v>7489</v>
      </c>
      <c r="B965" s="36" t="s">
        <v>7625</v>
      </c>
      <c r="C965" s="36" t="s">
        <v>7491</v>
      </c>
      <c r="D965" s="37">
        <v>330</v>
      </c>
      <c r="E965" s="36">
        <v>1</v>
      </c>
      <c r="F965" s="36" t="s">
        <v>7538</v>
      </c>
      <c r="G965" s="36" t="s">
        <v>7626</v>
      </c>
      <c r="J965" s="36" t="s">
        <v>31</v>
      </c>
      <c r="K965" s="36" t="s">
        <v>6280</v>
      </c>
      <c r="N965" s="164"/>
      <c r="O965" s="131"/>
      <c r="P965" s="132"/>
      <c r="Q965" s="133"/>
      <c r="R965" s="42"/>
      <c r="S965" s="42"/>
      <c r="T965" s="135"/>
      <c r="U965" s="131"/>
      <c r="V965" s="136"/>
      <c r="W965" s="137"/>
      <c r="X965" s="138">
        <v>3</v>
      </c>
      <c r="Y965" s="42" t="s">
        <v>5551</v>
      </c>
      <c r="Z965" s="135"/>
      <c r="AA965" s="139"/>
      <c r="AB965" s="165"/>
      <c r="AD965" s="36" t="s">
        <v>7584</v>
      </c>
      <c r="AI965" s="36" t="s">
        <v>7627</v>
      </c>
      <c r="AL965" s="36" t="s">
        <v>4472</v>
      </c>
      <c r="AP965" s="37"/>
      <c r="AQ965" s="131"/>
      <c r="AR965" s="132"/>
      <c r="AS965" s="133"/>
      <c r="AT965" s="42"/>
      <c r="AU965" s="135"/>
      <c r="AV965" s="131"/>
      <c r="AW965" s="136"/>
      <c r="AX965" s="137"/>
      <c r="AY965" s="138"/>
      <c r="AZ965" s="42"/>
      <c r="BA965" s="135"/>
      <c r="BB965" s="139"/>
      <c r="BG965" s="36" t="s">
        <v>7628</v>
      </c>
    </row>
    <row r="966" spans="1:59" ht="15" customHeight="1">
      <c r="A966" s="41" t="s">
        <v>7489</v>
      </c>
      <c r="B966" s="36" t="s">
        <v>7629</v>
      </c>
      <c r="C966" s="36" t="s">
        <v>7491</v>
      </c>
      <c r="D966" s="37">
        <v>331</v>
      </c>
      <c r="E966" s="36">
        <v>1</v>
      </c>
      <c r="F966" s="36" t="s">
        <v>7538</v>
      </c>
      <c r="G966" s="36" t="s">
        <v>7630</v>
      </c>
      <c r="J966" s="36" t="s">
        <v>31</v>
      </c>
      <c r="K966" s="36" t="s">
        <v>6280</v>
      </c>
      <c r="N966" s="164"/>
      <c r="O966" s="131"/>
      <c r="P966" s="132"/>
      <c r="Q966" s="133"/>
      <c r="R966" s="42"/>
      <c r="S966" s="42"/>
      <c r="T966" s="135"/>
      <c r="U966" s="131"/>
      <c r="V966" s="136"/>
      <c r="W966" s="137"/>
      <c r="X966" s="138">
        <v>2</v>
      </c>
      <c r="Y966" s="42" t="s">
        <v>5550</v>
      </c>
      <c r="Z966" s="135"/>
      <c r="AA966" s="139"/>
      <c r="AB966" s="165"/>
      <c r="AD966" s="36" t="s">
        <v>7584</v>
      </c>
      <c r="AF966" s="36" t="s">
        <v>7631</v>
      </c>
      <c r="AI966" s="36" t="s">
        <v>7632</v>
      </c>
      <c r="AL966" s="36" t="s">
        <v>4472</v>
      </c>
      <c r="AP966" s="37"/>
      <c r="AQ966" s="131"/>
      <c r="AR966" s="132"/>
      <c r="AS966" s="133"/>
      <c r="AT966" s="42"/>
      <c r="AU966" s="135"/>
      <c r="AV966" s="131"/>
      <c r="AW966" s="136"/>
      <c r="AX966" s="137"/>
      <c r="AY966" s="138"/>
      <c r="AZ966" s="42"/>
      <c r="BA966" s="135"/>
      <c r="BB966" s="139"/>
      <c r="BG966" s="36" t="s">
        <v>7633</v>
      </c>
    </row>
    <row r="967" spans="1:59" ht="15" customHeight="1">
      <c r="A967" s="41" t="s">
        <v>7489</v>
      </c>
      <c r="B967" s="36" t="s">
        <v>7634</v>
      </c>
      <c r="C967" s="36" t="s">
        <v>7491</v>
      </c>
      <c r="D967" s="37">
        <v>332</v>
      </c>
      <c r="E967" s="36">
        <v>1</v>
      </c>
      <c r="F967" s="36" t="s">
        <v>7538</v>
      </c>
      <c r="G967" s="36" t="s">
        <v>7635</v>
      </c>
      <c r="H967" s="36" t="s">
        <v>6409</v>
      </c>
      <c r="I967" s="36" t="s">
        <v>4077</v>
      </c>
      <c r="J967" s="36" t="s">
        <v>29</v>
      </c>
      <c r="K967" s="36" t="s">
        <v>6280</v>
      </c>
      <c r="N967" s="164"/>
      <c r="O967" s="131"/>
      <c r="P967" s="132"/>
      <c r="Q967" s="133">
        <v>4</v>
      </c>
      <c r="R967" s="42">
        <v>2</v>
      </c>
      <c r="S967" s="42"/>
      <c r="T967" s="135" t="s">
        <v>7636</v>
      </c>
      <c r="U967" s="131"/>
      <c r="V967" s="136"/>
      <c r="W967" s="137">
        <v>2</v>
      </c>
      <c r="X967" s="138"/>
      <c r="Y967" s="42"/>
      <c r="Z967" s="135"/>
      <c r="AA967" s="139"/>
      <c r="AB967" s="165"/>
      <c r="AD967" s="36" t="s">
        <v>4676</v>
      </c>
      <c r="AF967" s="36" t="s">
        <v>7637</v>
      </c>
      <c r="AP967" s="37"/>
      <c r="AQ967" s="131"/>
      <c r="AR967" s="132"/>
      <c r="AS967" s="133"/>
      <c r="AT967" s="42"/>
      <c r="AU967" s="135"/>
      <c r="AV967" s="131"/>
      <c r="AW967" s="136"/>
      <c r="AX967" s="137"/>
      <c r="AY967" s="138"/>
      <c r="AZ967" s="42"/>
      <c r="BA967" s="135"/>
      <c r="BB967" s="139"/>
    </row>
    <row r="968" spans="1:59" ht="15" customHeight="1">
      <c r="A968" s="41" t="s">
        <v>7489</v>
      </c>
      <c r="B968" s="36" t="s">
        <v>7638</v>
      </c>
      <c r="C968" s="36" t="s">
        <v>7491</v>
      </c>
      <c r="D968" s="37">
        <v>333</v>
      </c>
      <c r="E968" s="36">
        <v>1</v>
      </c>
      <c r="F968" s="36" t="s">
        <v>7538</v>
      </c>
      <c r="G968" s="36" t="s">
        <v>7635</v>
      </c>
      <c r="H968" s="36" t="s">
        <v>7639</v>
      </c>
      <c r="I968" s="36" t="s">
        <v>4077</v>
      </c>
      <c r="J968" s="36" t="s">
        <v>29</v>
      </c>
      <c r="K968" s="36" t="s">
        <v>6280</v>
      </c>
      <c r="N968" s="164"/>
      <c r="O968" s="131"/>
      <c r="P968" s="132"/>
      <c r="Q968" s="133">
        <v>3</v>
      </c>
      <c r="R968" s="42">
        <v>3</v>
      </c>
      <c r="S968" s="42"/>
      <c r="T968" s="135" t="s">
        <v>7640</v>
      </c>
      <c r="U968" s="131"/>
      <c r="V968" s="136"/>
      <c r="W968" s="137">
        <v>2</v>
      </c>
      <c r="X968" s="138"/>
      <c r="Y968" s="42"/>
      <c r="Z968" s="135"/>
      <c r="AA968" s="139"/>
      <c r="AB968" s="165"/>
      <c r="AD968" s="36" t="s">
        <v>4676</v>
      </c>
      <c r="AE968" s="37" t="s">
        <v>7641</v>
      </c>
      <c r="AF968" s="36" t="s">
        <v>7642</v>
      </c>
      <c r="AP968" s="37"/>
      <c r="AQ968" s="131"/>
      <c r="AR968" s="132"/>
      <c r="AS968" s="133"/>
      <c r="AT968" s="42"/>
      <c r="AU968" s="135"/>
      <c r="AV968" s="131"/>
      <c r="AW968" s="136"/>
      <c r="AX968" s="137"/>
      <c r="AY968" s="138"/>
      <c r="AZ968" s="42"/>
      <c r="BA968" s="135"/>
      <c r="BB968" s="139"/>
    </row>
    <row r="969" spans="1:59" ht="15" customHeight="1">
      <c r="A969" s="41" t="s">
        <v>7489</v>
      </c>
      <c r="B969" s="36" t="s">
        <v>7643</v>
      </c>
      <c r="C969" s="36" t="s">
        <v>7491</v>
      </c>
      <c r="D969" s="37">
        <v>334</v>
      </c>
      <c r="E969" s="36">
        <v>1</v>
      </c>
      <c r="F969" s="36" t="s">
        <v>7538</v>
      </c>
      <c r="G969" s="36" t="s">
        <v>7635</v>
      </c>
      <c r="H969" s="36" t="s">
        <v>7644</v>
      </c>
      <c r="I969" s="36" t="s">
        <v>4077</v>
      </c>
      <c r="J969" s="36" t="s">
        <v>29</v>
      </c>
      <c r="K969" s="36" t="s">
        <v>6280</v>
      </c>
      <c r="N969" s="164"/>
      <c r="O969" s="131"/>
      <c r="P969" s="132"/>
      <c r="Q969" s="133">
        <v>3</v>
      </c>
      <c r="R969" s="42">
        <v>2</v>
      </c>
      <c r="S969" s="42"/>
      <c r="T969" s="135" t="s">
        <v>7645</v>
      </c>
      <c r="U969" s="131"/>
      <c r="V969" s="136"/>
      <c r="W969" s="137">
        <v>4</v>
      </c>
      <c r="X969" s="138"/>
      <c r="Y969" s="42"/>
      <c r="Z969" s="135"/>
      <c r="AA969" s="139"/>
      <c r="AB969" s="165"/>
      <c r="AD969" s="36" t="s">
        <v>4676</v>
      </c>
      <c r="AE969" s="37" t="s">
        <v>7646</v>
      </c>
      <c r="AF969" s="36" t="s">
        <v>7642</v>
      </c>
      <c r="AP969" s="37"/>
      <c r="AQ969" s="131"/>
      <c r="AR969" s="132"/>
      <c r="AS969" s="133"/>
      <c r="AT969" s="42"/>
      <c r="AU969" s="135"/>
      <c r="AV969" s="131"/>
      <c r="AW969" s="136"/>
      <c r="AX969" s="137"/>
      <c r="AY969" s="138"/>
      <c r="AZ969" s="42"/>
      <c r="BA969" s="135"/>
      <c r="BB969" s="139"/>
    </row>
    <row r="970" spans="1:59" ht="15" customHeight="1">
      <c r="A970" s="41" t="s">
        <v>7489</v>
      </c>
      <c r="B970" s="36" t="s">
        <v>7647</v>
      </c>
      <c r="C970" s="36" t="s">
        <v>7491</v>
      </c>
      <c r="D970" s="37">
        <v>335</v>
      </c>
      <c r="E970" s="36">
        <v>1</v>
      </c>
      <c r="F970" s="36" t="s">
        <v>7538</v>
      </c>
      <c r="G970" s="36" t="s">
        <v>7648</v>
      </c>
      <c r="J970" s="36" t="s">
        <v>29</v>
      </c>
      <c r="K970" s="36" t="s">
        <v>6280</v>
      </c>
      <c r="N970" s="164"/>
      <c r="O970" s="131"/>
      <c r="P970" s="132"/>
      <c r="Q970" s="133">
        <v>5</v>
      </c>
      <c r="R970" s="42">
        <v>2</v>
      </c>
      <c r="S970" s="42"/>
      <c r="T970" s="135">
        <v>4</v>
      </c>
      <c r="U970" s="131"/>
      <c r="V970" s="136">
        <v>1</v>
      </c>
      <c r="W970" s="137">
        <v>1</v>
      </c>
      <c r="X970" s="138"/>
      <c r="Y970" s="42"/>
      <c r="Z970" s="135"/>
      <c r="AA970" s="139"/>
      <c r="AB970" s="165"/>
      <c r="AD970" s="36" t="s">
        <v>6638</v>
      </c>
      <c r="AE970" s="36" t="s">
        <v>7649</v>
      </c>
      <c r="AF970" s="36" t="s">
        <v>7650</v>
      </c>
      <c r="AP970" s="37"/>
      <c r="AQ970" s="131"/>
      <c r="AR970" s="132"/>
      <c r="AS970" s="133"/>
      <c r="AT970" s="42"/>
      <c r="AU970" s="135"/>
      <c r="AV970" s="131"/>
      <c r="AW970" s="136"/>
      <c r="AX970" s="137"/>
      <c r="AY970" s="138"/>
      <c r="AZ970" s="42"/>
      <c r="BA970" s="135"/>
      <c r="BB970" s="139"/>
    </row>
    <row r="971" spans="1:59" ht="15" customHeight="1">
      <c r="A971" s="41" t="s">
        <v>7489</v>
      </c>
      <c r="B971" s="36" t="s">
        <v>7651</v>
      </c>
      <c r="C971" s="36" t="s">
        <v>7491</v>
      </c>
      <c r="D971" s="37">
        <v>336</v>
      </c>
      <c r="E971" s="36">
        <v>1</v>
      </c>
      <c r="F971" s="36" t="s">
        <v>7538</v>
      </c>
      <c r="G971" s="36" t="s">
        <v>7652</v>
      </c>
      <c r="J971" s="36" t="s">
        <v>29</v>
      </c>
      <c r="K971" s="36" t="s">
        <v>6280</v>
      </c>
      <c r="N971" s="164"/>
      <c r="O971" s="131"/>
      <c r="P971" s="132"/>
      <c r="Q971" s="133">
        <v>3</v>
      </c>
      <c r="R971" s="42">
        <v>4</v>
      </c>
      <c r="S971" s="42"/>
      <c r="T971" s="135">
        <v>3</v>
      </c>
      <c r="U971" s="131"/>
      <c r="V971" s="136">
        <v>3</v>
      </c>
      <c r="W971" s="137">
        <v>1</v>
      </c>
      <c r="X971" s="138"/>
      <c r="Y971" s="42"/>
      <c r="Z971" s="135"/>
      <c r="AA971" s="139"/>
      <c r="AB971" s="165"/>
      <c r="AD971" s="36" t="s">
        <v>4690</v>
      </c>
      <c r="AE971" s="37" t="s">
        <v>7653</v>
      </c>
      <c r="AF971" s="36" t="s">
        <v>7654</v>
      </c>
      <c r="AP971" s="37"/>
      <c r="AQ971" s="131"/>
      <c r="AR971" s="132"/>
      <c r="AS971" s="133"/>
      <c r="AT971" s="42"/>
      <c r="AU971" s="135"/>
      <c r="AV971" s="131"/>
      <c r="AW971" s="136"/>
      <c r="AX971" s="137"/>
      <c r="AY971" s="138"/>
      <c r="AZ971" s="42"/>
      <c r="BA971" s="135"/>
      <c r="BB971" s="139"/>
    </row>
    <row r="972" spans="1:59" ht="15" customHeight="1">
      <c r="A972" s="41" t="s">
        <v>7489</v>
      </c>
      <c r="B972" s="36" t="s">
        <v>7655</v>
      </c>
      <c r="C972" s="36" t="s">
        <v>7491</v>
      </c>
      <c r="D972" s="37">
        <v>337</v>
      </c>
      <c r="E972" s="36">
        <v>3</v>
      </c>
      <c r="F972" s="36" t="s">
        <v>7538</v>
      </c>
      <c r="G972" s="36" t="s">
        <v>7656</v>
      </c>
      <c r="J972" s="36" t="s">
        <v>28</v>
      </c>
      <c r="K972" s="36" t="s">
        <v>6280</v>
      </c>
      <c r="N972" s="164"/>
      <c r="O972" s="131"/>
      <c r="P972" s="132"/>
      <c r="Q972" s="133"/>
      <c r="R972" s="42"/>
      <c r="S972" s="42"/>
      <c r="T972" s="135"/>
      <c r="U972" s="131"/>
      <c r="V972" s="136"/>
      <c r="W972" s="137"/>
      <c r="X972" s="138"/>
      <c r="Y972" s="42"/>
      <c r="Z972" s="135"/>
      <c r="AA972" s="139"/>
      <c r="AB972" s="165"/>
      <c r="AD972" s="36" t="s">
        <v>7657</v>
      </c>
      <c r="AF972" s="36" t="s">
        <v>7658</v>
      </c>
      <c r="AP972" s="37"/>
      <c r="AQ972" s="131"/>
      <c r="AR972" s="132"/>
      <c r="AS972" s="133"/>
      <c r="AT972" s="42"/>
      <c r="AU972" s="135"/>
      <c r="AV972" s="131"/>
      <c r="AW972" s="136"/>
      <c r="AX972" s="137"/>
      <c r="AY972" s="138"/>
      <c r="AZ972" s="42"/>
      <c r="BA972" s="135"/>
      <c r="BB972" s="139"/>
    </row>
    <row r="973" spans="1:59" ht="15" customHeight="1">
      <c r="A973" s="41" t="s">
        <v>7489</v>
      </c>
      <c r="B973" s="36" t="s">
        <v>7659</v>
      </c>
      <c r="C973" s="36" t="s">
        <v>7491</v>
      </c>
      <c r="D973" s="37">
        <v>338</v>
      </c>
      <c r="E973" s="36">
        <v>2</v>
      </c>
      <c r="F973" s="36" t="s">
        <v>7538</v>
      </c>
      <c r="G973" s="36" t="s">
        <v>7660</v>
      </c>
      <c r="J973" s="36" t="s">
        <v>28</v>
      </c>
      <c r="K973" s="36" t="s">
        <v>6280</v>
      </c>
      <c r="N973" s="164"/>
      <c r="O973" s="131"/>
      <c r="P973" s="132"/>
      <c r="Q973" s="133"/>
      <c r="R973" s="42"/>
      <c r="S973" s="42"/>
      <c r="T973" s="135"/>
      <c r="U973" s="131"/>
      <c r="V973" s="136"/>
      <c r="W973" s="137"/>
      <c r="X973" s="138"/>
      <c r="Y973" s="42"/>
      <c r="Z973" s="135"/>
      <c r="AA973" s="139"/>
      <c r="AB973" s="165"/>
      <c r="AD973" s="36" t="s">
        <v>4335</v>
      </c>
      <c r="AF973" s="36" t="s">
        <v>7661</v>
      </c>
      <c r="AP973" s="37"/>
      <c r="AQ973" s="131"/>
      <c r="AR973" s="132"/>
      <c r="AS973" s="133"/>
      <c r="AT973" s="42"/>
      <c r="AU973" s="135"/>
      <c r="AV973" s="131"/>
      <c r="AW973" s="136"/>
      <c r="AX973" s="137"/>
      <c r="AY973" s="138"/>
      <c r="AZ973" s="42"/>
      <c r="BA973" s="135"/>
      <c r="BB973" s="139"/>
    </row>
    <row r="974" spans="1:59" ht="15" customHeight="1">
      <c r="A974" s="41" t="s">
        <v>7489</v>
      </c>
      <c r="B974" s="36" t="s">
        <v>7662</v>
      </c>
      <c r="C974" s="36" t="s">
        <v>7491</v>
      </c>
      <c r="D974" s="37">
        <v>339</v>
      </c>
      <c r="E974" s="36">
        <v>1</v>
      </c>
      <c r="F974" s="36" t="s">
        <v>7538</v>
      </c>
      <c r="G974" s="36" t="s">
        <v>7663</v>
      </c>
      <c r="J974" s="36" t="s">
        <v>28</v>
      </c>
      <c r="K974" s="36" t="s">
        <v>6280</v>
      </c>
      <c r="N974" s="164"/>
      <c r="O974" s="131"/>
      <c r="P974" s="132"/>
      <c r="Q974" s="133"/>
      <c r="R974" s="42"/>
      <c r="S974" s="42"/>
      <c r="T974" s="135"/>
      <c r="U974" s="131"/>
      <c r="V974" s="136"/>
      <c r="W974" s="137"/>
      <c r="X974" s="138"/>
      <c r="Y974" s="42"/>
      <c r="Z974" s="135"/>
      <c r="AA974" s="139"/>
      <c r="AB974" s="165"/>
      <c r="AD974" s="36" t="s">
        <v>4335</v>
      </c>
      <c r="AE974" s="37" t="s">
        <v>34</v>
      </c>
      <c r="AF974" s="36" t="s">
        <v>7664</v>
      </c>
      <c r="AP974" s="37"/>
      <c r="AQ974" s="131"/>
      <c r="AR974" s="132"/>
      <c r="AS974" s="133"/>
      <c r="AT974" s="42"/>
      <c r="AU974" s="135"/>
      <c r="AV974" s="131"/>
      <c r="AW974" s="136"/>
      <c r="AX974" s="137"/>
      <c r="AY974" s="138"/>
      <c r="AZ974" s="42"/>
      <c r="BA974" s="135"/>
      <c r="BB974" s="139"/>
    </row>
    <row r="975" spans="1:59" ht="15" customHeight="1">
      <c r="A975" s="41" t="s">
        <v>7489</v>
      </c>
      <c r="B975" s="36" t="s">
        <v>7665</v>
      </c>
      <c r="C975" s="36" t="s">
        <v>7491</v>
      </c>
      <c r="D975" s="37">
        <v>340</v>
      </c>
      <c r="E975" s="36">
        <v>1</v>
      </c>
      <c r="F975" s="36" t="s">
        <v>7538</v>
      </c>
      <c r="G975" s="36" t="s">
        <v>7666</v>
      </c>
      <c r="J975" s="36" t="s">
        <v>28</v>
      </c>
      <c r="K975" s="36" t="s">
        <v>6280</v>
      </c>
      <c r="N975" s="164"/>
      <c r="O975" s="131"/>
      <c r="P975" s="132"/>
      <c r="Q975" s="133"/>
      <c r="R975" s="42"/>
      <c r="S975" s="42"/>
      <c r="T975" s="135"/>
      <c r="U975" s="131"/>
      <c r="V975" s="136"/>
      <c r="W975" s="137"/>
      <c r="X975" s="138"/>
      <c r="Y975" s="42"/>
      <c r="Z975" s="135"/>
      <c r="AA975" s="139"/>
      <c r="AB975" s="165"/>
      <c r="AD975" s="36" t="s">
        <v>5536</v>
      </c>
      <c r="AE975" s="37" t="s">
        <v>7667</v>
      </c>
      <c r="AF975" s="36" t="s">
        <v>7668</v>
      </c>
      <c r="AP975" s="37"/>
      <c r="AQ975" s="131"/>
      <c r="AR975" s="132"/>
      <c r="AS975" s="133"/>
      <c r="AT975" s="42"/>
      <c r="AU975" s="135"/>
      <c r="AV975" s="131"/>
      <c r="AW975" s="136"/>
      <c r="AX975" s="137"/>
      <c r="AY975" s="138"/>
      <c r="AZ975" s="42"/>
      <c r="BA975" s="135"/>
      <c r="BB975" s="139"/>
    </row>
    <row r="976" spans="1:59" ht="15" customHeight="1">
      <c r="A976" s="41" t="s">
        <v>7489</v>
      </c>
      <c r="B976" s="36" t="s">
        <v>7669</v>
      </c>
      <c r="C976" s="36" t="s">
        <v>7491</v>
      </c>
      <c r="D976" s="37">
        <v>341</v>
      </c>
      <c r="E976" s="36">
        <v>1</v>
      </c>
      <c r="F976" s="36" t="s">
        <v>7538</v>
      </c>
      <c r="G976" s="36" t="s">
        <v>7670</v>
      </c>
      <c r="J976" s="36" t="s">
        <v>28</v>
      </c>
      <c r="K976" s="36" t="s">
        <v>6280</v>
      </c>
      <c r="N976" s="164"/>
      <c r="O976" s="131"/>
      <c r="P976" s="132"/>
      <c r="Q976" s="133"/>
      <c r="R976" s="42"/>
      <c r="S976" s="42"/>
      <c r="T976" s="135"/>
      <c r="U976" s="131"/>
      <c r="V976" s="136"/>
      <c r="W976" s="137"/>
      <c r="X976" s="138"/>
      <c r="Y976" s="42"/>
      <c r="Z976" s="135"/>
      <c r="AA976" s="139"/>
      <c r="AB976" s="165"/>
      <c r="AD976" s="36" t="s">
        <v>5536</v>
      </c>
      <c r="AE976" s="37" t="s">
        <v>7667</v>
      </c>
      <c r="AF976" s="36" t="s">
        <v>7671</v>
      </c>
      <c r="AP976" s="37"/>
      <c r="AQ976" s="131"/>
      <c r="AR976" s="132"/>
      <c r="AS976" s="133"/>
      <c r="AT976" s="42"/>
      <c r="AU976" s="135"/>
      <c r="AV976" s="131"/>
      <c r="AW976" s="136"/>
      <c r="AX976" s="137"/>
      <c r="AY976" s="138"/>
      <c r="AZ976" s="42"/>
      <c r="BA976" s="135"/>
      <c r="BB976" s="139"/>
    </row>
    <row r="977" spans="1:54" ht="15" customHeight="1">
      <c r="A977" s="41" t="s">
        <v>7489</v>
      </c>
      <c r="B977" s="36" t="s">
        <v>7672</v>
      </c>
      <c r="C977" s="36" t="s">
        <v>7491</v>
      </c>
      <c r="D977" s="37">
        <v>342</v>
      </c>
      <c r="E977" s="36">
        <v>1</v>
      </c>
      <c r="F977" s="36" t="s">
        <v>7538</v>
      </c>
      <c r="G977" s="36" t="s">
        <v>7673</v>
      </c>
      <c r="J977" s="36" t="s">
        <v>28</v>
      </c>
      <c r="K977" s="36" t="s">
        <v>6280</v>
      </c>
      <c r="N977" s="164"/>
      <c r="O977" s="131"/>
      <c r="P977" s="132"/>
      <c r="Q977" s="133"/>
      <c r="R977" s="42"/>
      <c r="S977" s="42"/>
      <c r="T977" s="135"/>
      <c r="U977" s="131"/>
      <c r="V977" s="136"/>
      <c r="W977" s="137"/>
      <c r="X977" s="138"/>
      <c r="Y977" s="42"/>
      <c r="Z977" s="135"/>
      <c r="AA977" s="139"/>
      <c r="AB977" s="165"/>
      <c r="AD977" s="36" t="s">
        <v>5536</v>
      </c>
      <c r="AE977" s="37" t="s">
        <v>7667</v>
      </c>
      <c r="AF977" s="36" t="s">
        <v>7674</v>
      </c>
      <c r="AP977" s="37"/>
      <c r="AQ977" s="131"/>
      <c r="AR977" s="132"/>
      <c r="AS977" s="133"/>
      <c r="AT977" s="42"/>
      <c r="AU977" s="135"/>
      <c r="AV977" s="131"/>
      <c r="AW977" s="136"/>
      <c r="AX977" s="137"/>
      <c r="AY977" s="138"/>
      <c r="AZ977" s="42"/>
      <c r="BA977" s="135"/>
      <c r="BB977" s="139"/>
    </row>
    <row r="978" spans="1:54" ht="15" customHeight="1">
      <c r="AP978" s="86"/>
      <c r="AQ978" s="88"/>
      <c r="AR978" s="89"/>
      <c r="AS978" s="90"/>
      <c r="AV978" s="88"/>
      <c r="AW978" s="96"/>
      <c r="AX978" s="97"/>
      <c r="AY978" s="93"/>
      <c r="BB978" s="94"/>
    </row>
    <row r="979" spans="1:54" ht="15" customHeight="1">
      <c r="AP979" s="86"/>
      <c r="AQ979" s="88"/>
      <c r="AR979" s="89"/>
      <c r="AS979" s="90"/>
      <c r="AV979" s="88"/>
      <c r="AW979" s="96"/>
      <c r="AX979" s="97"/>
      <c r="AY979" s="93"/>
      <c r="BB979" s="94"/>
    </row>
    <row r="980" spans="1:54" ht="15" customHeight="1">
      <c r="AP980" s="86"/>
      <c r="AQ980" s="88"/>
      <c r="AR980" s="89"/>
      <c r="AS980" s="90"/>
      <c r="AV980" s="88"/>
      <c r="AW980" s="96"/>
      <c r="AX980" s="97"/>
      <c r="AY980" s="93"/>
      <c r="BB980" s="94"/>
    </row>
    <row r="981" spans="1:54" ht="15" customHeight="1">
      <c r="AP981" s="86"/>
      <c r="AQ981" s="88"/>
      <c r="AR981" s="89"/>
      <c r="AS981" s="90"/>
      <c r="AV981" s="88"/>
      <c r="AW981" s="96"/>
      <c r="AX981" s="97"/>
      <c r="AY981" s="93"/>
      <c r="BB981" s="94"/>
    </row>
    <row r="982" spans="1:54" ht="15" customHeight="1">
      <c r="AP982" s="86"/>
      <c r="AQ982" s="88"/>
      <c r="AR982" s="89"/>
      <c r="AS982" s="90"/>
      <c r="AV982" s="88"/>
      <c r="AW982" s="96"/>
      <c r="AX982" s="97"/>
      <c r="AY982" s="93"/>
      <c r="BB982" s="94"/>
    </row>
    <row r="983" spans="1:54" ht="15" customHeight="1">
      <c r="AP983" s="86"/>
      <c r="AQ983" s="88"/>
      <c r="AR983" s="89"/>
      <c r="AS983" s="90"/>
      <c r="AV983" s="88"/>
      <c r="AW983" s="96"/>
      <c r="AX983" s="97"/>
      <c r="AY983" s="93"/>
      <c r="BB983" s="94"/>
    </row>
    <row r="984" spans="1:54" ht="15" customHeight="1">
      <c r="AP984" s="86"/>
      <c r="AQ984" s="88"/>
      <c r="AR984" s="89"/>
      <c r="AS984" s="90"/>
      <c r="AV984" s="88"/>
      <c r="AW984" s="96"/>
      <c r="AX984" s="97"/>
      <c r="AY984" s="93"/>
      <c r="BB984" s="94"/>
    </row>
    <row r="985" spans="1:54" ht="15" customHeight="1">
      <c r="AP985" s="86"/>
      <c r="AQ985" s="88"/>
      <c r="AR985" s="89"/>
      <c r="AS985" s="90"/>
      <c r="AV985" s="88"/>
      <c r="AW985" s="96"/>
      <c r="AX985" s="97"/>
      <c r="AY985" s="93"/>
      <c r="BB985" s="94"/>
    </row>
    <row r="986" spans="1:54" ht="15" customHeight="1">
      <c r="AP986" s="86"/>
      <c r="AQ986" s="88"/>
      <c r="AR986" s="89"/>
      <c r="AS986" s="90"/>
      <c r="AV986" s="88"/>
      <c r="AW986" s="96"/>
      <c r="AX986" s="97"/>
      <c r="AY986" s="93"/>
      <c r="BB986" s="94"/>
    </row>
    <row r="987" spans="1:54" ht="15" customHeight="1">
      <c r="AP987" s="86"/>
      <c r="AQ987" s="88"/>
      <c r="AR987" s="89"/>
      <c r="AS987" s="90"/>
      <c r="AV987" s="88"/>
      <c r="AW987" s="96"/>
      <c r="AX987" s="97"/>
      <c r="AY987" s="93"/>
      <c r="BB987" s="94"/>
    </row>
    <row r="988" spans="1:54" ht="15" customHeight="1">
      <c r="AP988" s="86"/>
      <c r="AQ988" s="88"/>
      <c r="AR988" s="89"/>
      <c r="AS988" s="90"/>
      <c r="AV988" s="88"/>
      <c r="AW988" s="96"/>
      <c r="AX988" s="97"/>
      <c r="AY988" s="93"/>
      <c r="BB988" s="94"/>
    </row>
    <row r="989" spans="1:54" ht="15" customHeight="1">
      <c r="AP989" s="86"/>
      <c r="AQ989" s="88"/>
      <c r="AR989" s="89"/>
      <c r="AS989" s="90"/>
      <c r="AV989" s="88"/>
      <c r="AW989" s="96"/>
      <c r="AX989" s="97"/>
      <c r="AY989" s="93"/>
      <c r="BB989" s="94"/>
    </row>
    <row r="990" spans="1:54" ht="15" customHeight="1">
      <c r="AP990" s="86"/>
      <c r="AQ990" s="88"/>
      <c r="AR990" s="89"/>
      <c r="AS990" s="90"/>
      <c r="AV990" s="88"/>
      <c r="AW990" s="96"/>
      <c r="AX990" s="97"/>
      <c r="AY990" s="93"/>
      <c r="BB990" s="94"/>
    </row>
    <row r="991" spans="1:54" ht="15" customHeight="1">
      <c r="AP991" s="86"/>
      <c r="AQ991" s="88"/>
      <c r="AR991" s="89"/>
      <c r="AS991" s="90"/>
      <c r="AV991" s="88"/>
      <c r="AW991" s="96"/>
      <c r="AX991" s="97"/>
      <c r="AY991" s="93"/>
      <c r="BB991" s="94"/>
    </row>
    <row r="992" spans="1:54" ht="15" customHeight="1">
      <c r="AP992" s="86"/>
      <c r="AQ992" s="88"/>
      <c r="AR992" s="89"/>
      <c r="AS992" s="90"/>
      <c r="AV992" s="88"/>
      <c r="AW992" s="96"/>
      <c r="AX992" s="97"/>
      <c r="AY992" s="93"/>
      <c r="BB992" s="94"/>
    </row>
    <row r="993" spans="42:54" ht="15" customHeight="1">
      <c r="AP993" s="86"/>
      <c r="AQ993" s="88"/>
      <c r="AR993" s="89"/>
      <c r="AS993" s="90"/>
      <c r="AV993" s="88"/>
      <c r="AW993" s="96"/>
      <c r="AX993" s="97"/>
      <c r="AY993" s="93"/>
      <c r="BB993" s="94"/>
    </row>
    <row r="994" spans="42:54" ht="15" customHeight="1">
      <c r="AP994" s="86"/>
      <c r="AQ994" s="88"/>
      <c r="AR994" s="89"/>
      <c r="AS994" s="90"/>
      <c r="AV994" s="88"/>
      <c r="AW994" s="96"/>
      <c r="AX994" s="97"/>
      <c r="AY994" s="93"/>
      <c r="BB994" s="94"/>
    </row>
    <row r="995" spans="42:54" ht="15" customHeight="1">
      <c r="AP995" s="86"/>
      <c r="AQ995" s="88"/>
      <c r="AR995" s="89"/>
      <c r="AS995" s="90"/>
      <c r="AV995" s="88"/>
      <c r="AW995" s="96"/>
      <c r="AX995" s="97"/>
      <c r="AY995" s="93"/>
      <c r="BB995" s="94"/>
    </row>
    <row r="996" spans="42:54" ht="15" customHeight="1">
      <c r="AP996" s="86"/>
      <c r="AQ996" s="88"/>
      <c r="AR996" s="89"/>
      <c r="AS996" s="90"/>
      <c r="AV996" s="88"/>
      <c r="AW996" s="96"/>
      <c r="AX996" s="97"/>
      <c r="AY996" s="93"/>
      <c r="BB996" s="94"/>
    </row>
    <row r="997" spans="42:54" ht="15" customHeight="1">
      <c r="AP997" s="86"/>
      <c r="AQ997" s="88"/>
      <c r="AR997" s="89"/>
      <c r="AS997" s="90"/>
      <c r="AV997" s="88"/>
      <c r="AW997" s="96"/>
      <c r="AX997" s="97"/>
      <c r="AY997" s="93"/>
      <c r="BB997" s="94"/>
    </row>
    <row r="998" spans="42:54" ht="15" customHeight="1">
      <c r="AP998" s="86"/>
      <c r="AQ998" s="88"/>
      <c r="AR998" s="89"/>
      <c r="AS998" s="90"/>
      <c r="AV998" s="88"/>
      <c r="AW998" s="96"/>
      <c r="AX998" s="97"/>
      <c r="AY998" s="93"/>
      <c r="BB998" s="94"/>
    </row>
    <row r="999" spans="42:54" ht="15" customHeight="1">
      <c r="AP999" s="86"/>
      <c r="AQ999" s="88"/>
      <c r="AR999" s="89"/>
      <c r="AS999" s="90"/>
      <c r="AV999" s="88"/>
      <c r="AW999" s="96"/>
      <c r="AX999" s="97"/>
      <c r="AY999" s="93"/>
      <c r="BB999" s="94"/>
    </row>
    <row r="1000" spans="42:54" ht="15" customHeight="1">
      <c r="AP1000" s="86"/>
      <c r="AQ1000" s="88"/>
      <c r="AR1000" s="89"/>
      <c r="AS1000" s="90"/>
      <c r="AV1000" s="88"/>
      <c r="AW1000" s="96"/>
      <c r="AX1000" s="97"/>
      <c r="AY1000" s="93"/>
      <c r="BB1000" s="94"/>
    </row>
    <row r="1001" spans="42:54" ht="15" customHeight="1">
      <c r="AP1001" s="86"/>
      <c r="AQ1001" s="88"/>
      <c r="AR1001" s="89"/>
      <c r="AS1001" s="90"/>
      <c r="AV1001" s="88"/>
      <c r="AW1001" s="96"/>
      <c r="AX1001" s="97"/>
      <c r="AY1001" s="93"/>
      <c r="BB1001" s="94"/>
    </row>
    <row r="1002" spans="42:54" ht="15" customHeight="1">
      <c r="AP1002" s="86"/>
      <c r="AQ1002" s="88"/>
      <c r="AR1002" s="89"/>
      <c r="AS1002" s="90"/>
      <c r="AV1002" s="88"/>
      <c r="AW1002" s="96"/>
      <c r="AX1002" s="97"/>
      <c r="AY1002" s="93"/>
      <c r="BB1002" s="94"/>
    </row>
    <row r="1003" spans="42:54" ht="15" customHeight="1">
      <c r="AP1003" s="86"/>
      <c r="AQ1003" s="88"/>
      <c r="AR1003" s="89"/>
      <c r="AS1003" s="90"/>
      <c r="AV1003" s="88"/>
      <c r="AW1003" s="96"/>
      <c r="AX1003" s="97"/>
      <c r="AY1003" s="93"/>
      <c r="BB1003" s="94"/>
    </row>
    <row r="1004" spans="42:54" ht="15" customHeight="1">
      <c r="AP1004" s="86"/>
      <c r="AQ1004" s="88"/>
      <c r="AR1004" s="89"/>
      <c r="AS1004" s="90"/>
      <c r="AV1004" s="88"/>
      <c r="AW1004" s="96"/>
      <c r="AX1004" s="97"/>
      <c r="AY1004" s="93"/>
      <c r="BB1004" s="94"/>
    </row>
    <row r="1005" spans="42:54" ht="15" customHeight="1">
      <c r="AP1005" s="86"/>
      <c r="AQ1005" s="88"/>
      <c r="AR1005" s="89"/>
      <c r="AS1005" s="90"/>
      <c r="AV1005" s="88"/>
      <c r="AW1005" s="96"/>
      <c r="AX1005" s="97"/>
      <c r="AY1005" s="93"/>
      <c r="BB1005" s="94"/>
    </row>
    <row r="1006" spans="42:54" ht="15" customHeight="1">
      <c r="AP1006" s="86"/>
      <c r="AQ1006" s="88"/>
      <c r="AR1006" s="89"/>
      <c r="AS1006" s="90"/>
      <c r="AV1006" s="88"/>
      <c r="AW1006" s="96"/>
      <c r="AX1006" s="97"/>
      <c r="AY1006" s="93"/>
      <c r="BB1006" s="94"/>
    </row>
    <row r="1007" spans="42:54" ht="15" customHeight="1">
      <c r="AP1007" s="86"/>
      <c r="AQ1007" s="88"/>
      <c r="AR1007" s="89"/>
      <c r="AS1007" s="90"/>
      <c r="AV1007" s="88"/>
      <c r="AW1007" s="96"/>
      <c r="AX1007" s="97"/>
      <c r="AY1007" s="93"/>
      <c r="BB1007" s="94"/>
    </row>
    <row r="1008" spans="42:54" ht="15" customHeight="1">
      <c r="AP1008" s="86"/>
      <c r="AQ1008" s="88"/>
      <c r="AR1008" s="89"/>
      <c r="AS1008" s="90"/>
      <c r="AV1008" s="88"/>
      <c r="AW1008" s="96"/>
      <c r="AX1008" s="97"/>
      <c r="AY1008" s="93"/>
      <c r="BB1008" s="94"/>
    </row>
    <row r="1009" spans="42:54" ht="15" customHeight="1">
      <c r="AP1009" s="86"/>
      <c r="AQ1009" s="88"/>
      <c r="AR1009" s="89"/>
      <c r="AS1009" s="90"/>
      <c r="AV1009" s="88"/>
      <c r="AW1009" s="96"/>
      <c r="AX1009" s="97"/>
      <c r="AY1009" s="93"/>
      <c r="BB1009" s="94"/>
    </row>
    <row r="1010" spans="42:54" ht="15" customHeight="1">
      <c r="AP1010" s="86"/>
      <c r="AQ1010" s="88"/>
      <c r="AR1010" s="89"/>
      <c r="AS1010" s="90"/>
      <c r="AV1010" s="88"/>
      <c r="AW1010" s="96"/>
      <c r="AX1010" s="97"/>
      <c r="AY1010" s="93"/>
      <c r="BB1010" s="94"/>
    </row>
    <row r="1011" spans="42:54" ht="15" customHeight="1">
      <c r="AP1011" s="86"/>
      <c r="AQ1011" s="88"/>
      <c r="AR1011" s="89"/>
      <c r="AS1011" s="90"/>
      <c r="AV1011" s="88"/>
      <c r="AW1011" s="96"/>
      <c r="AX1011" s="97"/>
      <c r="AY1011" s="93"/>
      <c r="BB1011" s="94"/>
    </row>
    <row r="1012" spans="42:54" ht="15" customHeight="1">
      <c r="AP1012" s="86"/>
      <c r="AQ1012" s="88"/>
      <c r="AR1012" s="89"/>
      <c r="AS1012" s="90"/>
      <c r="AV1012" s="88"/>
      <c r="AW1012" s="96"/>
      <c r="AX1012" s="97"/>
      <c r="AY1012" s="93"/>
      <c r="BB1012" s="94"/>
    </row>
    <row r="1013" spans="42:54" ht="15" customHeight="1">
      <c r="AP1013" s="86"/>
      <c r="AQ1013" s="88"/>
      <c r="AR1013" s="89"/>
      <c r="AS1013" s="90"/>
      <c r="AV1013" s="88"/>
      <c r="AW1013" s="96"/>
      <c r="AX1013" s="97"/>
      <c r="AY1013" s="93"/>
      <c r="BB1013" s="94"/>
    </row>
    <row r="1014" spans="42:54" ht="15" customHeight="1">
      <c r="AP1014" s="86"/>
      <c r="AQ1014" s="88"/>
      <c r="AR1014" s="89"/>
      <c r="AS1014" s="90"/>
      <c r="AV1014" s="88"/>
      <c r="AW1014" s="96"/>
      <c r="AX1014" s="97"/>
      <c r="AY1014" s="93"/>
      <c r="BB1014" s="94"/>
    </row>
    <row r="1015" spans="42:54" ht="15" customHeight="1">
      <c r="AP1015" s="86"/>
      <c r="AQ1015" s="88"/>
      <c r="AR1015" s="89"/>
      <c r="AS1015" s="90"/>
      <c r="AV1015" s="88"/>
      <c r="AW1015" s="96"/>
      <c r="AX1015" s="97"/>
      <c r="AY1015" s="93"/>
      <c r="BB1015" s="94"/>
    </row>
    <row r="1016" spans="42:54" ht="15" customHeight="1">
      <c r="AP1016" s="86"/>
      <c r="AQ1016" s="88"/>
      <c r="AR1016" s="89"/>
      <c r="AS1016" s="90"/>
      <c r="AV1016" s="88"/>
      <c r="AW1016" s="96"/>
      <c r="AX1016" s="97"/>
      <c r="AY1016" s="93"/>
      <c r="BB1016" s="94"/>
    </row>
    <row r="1017" spans="42:54" ht="15" customHeight="1">
      <c r="AP1017" s="86"/>
      <c r="AQ1017" s="88"/>
      <c r="AR1017" s="89"/>
      <c r="AS1017" s="90"/>
      <c r="AV1017" s="88"/>
      <c r="AW1017" s="96"/>
      <c r="AX1017" s="97"/>
      <c r="AY1017" s="93"/>
      <c r="BB1017" s="94"/>
    </row>
    <row r="1018" spans="42:54" ht="15" customHeight="1">
      <c r="AP1018" s="86"/>
      <c r="AQ1018" s="88"/>
      <c r="AR1018" s="89"/>
      <c r="AS1018" s="90"/>
      <c r="AV1018" s="88"/>
      <c r="AW1018" s="96"/>
      <c r="AX1018" s="97"/>
      <c r="AY1018" s="93"/>
      <c r="BB1018" s="94"/>
    </row>
    <row r="1019" spans="42:54" ht="15" customHeight="1">
      <c r="AP1019" s="86"/>
      <c r="AQ1019" s="88"/>
      <c r="AR1019" s="89"/>
      <c r="AS1019" s="90"/>
      <c r="AV1019" s="88"/>
      <c r="AW1019" s="96"/>
      <c r="AX1019" s="97"/>
      <c r="AY1019" s="93"/>
      <c r="BB1019" s="94"/>
    </row>
    <row r="1020" spans="42:54" ht="15" customHeight="1">
      <c r="AP1020" s="86"/>
      <c r="AQ1020" s="88"/>
      <c r="AR1020" s="89"/>
      <c r="AS1020" s="90"/>
      <c r="AV1020" s="88"/>
      <c r="AW1020" s="96"/>
      <c r="AX1020" s="97"/>
      <c r="AY1020" s="93"/>
      <c r="BB1020" s="94"/>
    </row>
    <row r="1021" spans="42:54" ht="15" customHeight="1">
      <c r="AP1021" s="86"/>
      <c r="AQ1021" s="88"/>
      <c r="AR1021" s="89"/>
      <c r="AS1021" s="90"/>
      <c r="AV1021" s="88"/>
      <c r="AW1021" s="96"/>
      <c r="AX1021" s="97"/>
      <c r="AY1021" s="93"/>
      <c r="BB1021" s="94"/>
    </row>
    <row r="1022" spans="42:54" ht="15" customHeight="1">
      <c r="AP1022" s="86"/>
      <c r="AQ1022" s="88"/>
      <c r="AR1022" s="89"/>
      <c r="AS1022" s="90"/>
      <c r="AV1022" s="88"/>
      <c r="AW1022" s="96"/>
      <c r="AX1022" s="97"/>
      <c r="AY1022" s="93"/>
      <c r="BB1022" s="94"/>
    </row>
    <row r="1023" spans="42:54" ht="15" customHeight="1">
      <c r="AP1023" s="86"/>
      <c r="AQ1023" s="88"/>
      <c r="AR1023" s="89"/>
      <c r="AS1023" s="90"/>
      <c r="AV1023" s="88"/>
      <c r="AW1023" s="96"/>
      <c r="AX1023" s="97"/>
      <c r="AY1023" s="93"/>
      <c r="BB1023" s="94"/>
    </row>
    <row r="1024" spans="42:54" ht="15" customHeight="1">
      <c r="AP1024" s="86"/>
      <c r="AQ1024" s="88"/>
      <c r="AR1024" s="89"/>
      <c r="AS1024" s="90"/>
      <c r="AV1024" s="88"/>
      <c r="AW1024" s="96"/>
      <c r="AX1024" s="97"/>
      <c r="AY1024" s="93"/>
      <c r="BB1024" s="94"/>
    </row>
    <row r="1025" spans="42:54" ht="15" customHeight="1">
      <c r="AP1025" s="86"/>
      <c r="AQ1025" s="88"/>
      <c r="AR1025" s="89"/>
      <c r="AS1025" s="90"/>
      <c r="AV1025" s="88"/>
      <c r="AW1025" s="96"/>
      <c r="AX1025" s="97"/>
      <c r="AY1025" s="93"/>
      <c r="BB1025" s="94"/>
    </row>
    <row r="1026" spans="42:54" ht="15" customHeight="1">
      <c r="AP1026" s="86"/>
      <c r="AQ1026" s="88"/>
      <c r="AR1026" s="89"/>
      <c r="AS1026" s="90"/>
      <c r="AV1026" s="88"/>
      <c r="AW1026" s="96"/>
      <c r="AX1026" s="97"/>
      <c r="AY1026" s="93"/>
      <c r="BB1026" s="94"/>
    </row>
    <row r="1027" spans="42:54" ht="15" customHeight="1">
      <c r="AP1027" s="86"/>
      <c r="AQ1027" s="88"/>
      <c r="AR1027" s="89"/>
      <c r="AS1027" s="90"/>
      <c r="AV1027" s="88"/>
      <c r="AW1027" s="96"/>
      <c r="AX1027" s="97"/>
      <c r="AY1027" s="93"/>
      <c r="BB1027" s="94"/>
    </row>
    <row r="1028" spans="42:54" ht="15" customHeight="1">
      <c r="AP1028" s="86"/>
      <c r="AQ1028" s="88"/>
      <c r="AR1028" s="89"/>
      <c r="AS1028" s="90"/>
      <c r="AV1028" s="88"/>
      <c r="AW1028" s="96"/>
      <c r="AX1028" s="97"/>
      <c r="AY1028" s="93"/>
      <c r="BB1028" s="94"/>
    </row>
    <row r="1029" spans="42:54" ht="15" customHeight="1">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978:K1048576 AM978:AM1048576">
    <cfRule type="cellIs" dxfId="594" priority="529" operator="equal">
      <formula>"Seeker"</formula>
    </cfRule>
    <cfRule type="cellIs" dxfId="593" priority="530" operator="equal">
      <formula>"Neutral"</formula>
    </cfRule>
    <cfRule type="cellIs" dxfId="592" priority="531" operator="equal">
      <formula>"Rogue"</formula>
    </cfRule>
    <cfRule type="cellIs" dxfId="591" priority="532" operator="equal">
      <formula>"Guardian"</formula>
    </cfRule>
    <cfRule type="cellIs" dxfId="590" priority="533" operator="equal">
      <formula>"Survivor"</formula>
    </cfRule>
    <cfRule type="cellIs" dxfId="589" priority="534" operator="equal">
      <formula>"Mystic"</formula>
    </cfRule>
  </conditionalFormatting>
  <conditionalFormatting sqref="K2:K99 K101:K104 K234:K347">
    <cfRule type="cellIs" dxfId="588" priority="523" operator="equal">
      <formula>"seeker"</formula>
    </cfRule>
    <cfRule type="cellIs" dxfId="587" priority="524" operator="equal">
      <formula>"neutral"</formula>
    </cfRule>
    <cfRule type="cellIs" dxfId="586" priority="525" operator="equal">
      <formula>"rogue"</formula>
    </cfRule>
    <cfRule type="cellIs" dxfId="585" priority="526" operator="equal">
      <formula>"Guardian"</formula>
    </cfRule>
    <cfRule type="cellIs" dxfId="584" priority="527" operator="equal">
      <formula>"Survivor"</formula>
    </cfRule>
    <cfRule type="cellIs" dxfId="583" priority="528" operator="equal">
      <formula>"Mystic"</formula>
    </cfRule>
  </conditionalFormatting>
  <conditionalFormatting sqref="K134:K152 K158:K169 K171:K193 K105:K122 K195:K232 K124:K132">
    <cfRule type="cellIs" dxfId="582" priority="517" operator="equal">
      <formula>"seeker"</formula>
    </cfRule>
    <cfRule type="cellIs" dxfId="581" priority="518" operator="equal">
      <formula>"neutral"</formula>
    </cfRule>
    <cfRule type="cellIs" dxfId="580" priority="519" operator="equal">
      <formula>"rogue"</formula>
    </cfRule>
    <cfRule type="cellIs" dxfId="579" priority="520" operator="equal">
      <formula>"Guardian"</formula>
    </cfRule>
    <cfRule type="cellIs" dxfId="578" priority="521" operator="equal">
      <formula>"Survivor"</formula>
    </cfRule>
    <cfRule type="cellIs" dxfId="577" priority="522" operator="equal">
      <formula>"Mystic"</formula>
    </cfRule>
  </conditionalFormatting>
  <conditionalFormatting sqref="K100">
    <cfRule type="cellIs" dxfId="576" priority="511" operator="equal">
      <formula>"seeker"</formula>
    </cfRule>
    <cfRule type="cellIs" dxfId="575" priority="512" operator="equal">
      <formula>"neutral"</formula>
    </cfRule>
    <cfRule type="cellIs" dxfId="574" priority="513" operator="equal">
      <formula>"rogue"</formula>
    </cfRule>
    <cfRule type="cellIs" dxfId="573" priority="514" operator="equal">
      <formula>"Guardian"</formula>
    </cfRule>
    <cfRule type="cellIs" dxfId="572" priority="515" operator="equal">
      <formula>"Survivor"</formula>
    </cfRule>
    <cfRule type="cellIs" dxfId="571" priority="516" operator="equal">
      <formula>"Mystic"</formula>
    </cfRule>
  </conditionalFormatting>
  <conditionalFormatting sqref="AM112:AM116">
    <cfRule type="cellIs" dxfId="570" priority="505" operator="equal">
      <formula>"seeker"</formula>
    </cfRule>
    <cfRule type="cellIs" dxfId="569" priority="506" operator="equal">
      <formula>"neutral"</formula>
    </cfRule>
    <cfRule type="cellIs" dxfId="568" priority="507" operator="equal">
      <formula>"rogue"</formula>
    </cfRule>
    <cfRule type="cellIs" dxfId="567" priority="508" operator="equal">
      <formula>"Guardian"</formula>
    </cfRule>
    <cfRule type="cellIs" dxfId="566" priority="509" operator="equal">
      <formula>"Survivor"</formula>
    </cfRule>
    <cfRule type="cellIs" dxfId="565" priority="510" operator="equal">
      <formula>"Mystic"</formula>
    </cfRule>
  </conditionalFormatting>
  <conditionalFormatting sqref="AM130:AM131">
    <cfRule type="cellIs" dxfId="564" priority="499" operator="equal">
      <formula>"seeker"</formula>
    </cfRule>
    <cfRule type="cellIs" dxfId="563" priority="500" operator="equal">
      <formula>"neutral"</formula>
    </cfRule>
    <cfRule type="cellIs" dxfId="562" priority="501" operator="equal">
      <formula>"rogue"</formula>
    </cfRule>
    <cfRule type="cellIs" dxfId="561" priority="502" operator="equal">
      <formula>"Guardian"</formula>
    </cfRule>
    <cfRule type="cellIs" dxfId="560" priority="503" operator="equal">
      <formula>"Survivor"</formula>
    </cfRule>
    <cfRule type="cellIs" dxfId="559" priority="504" operator="equal">
      <formula>"Mystic"</formula>
    </cfRule>
  </conditionalFormatting>
  <conditionalFormatting sqref="AL133">
    <cfRule type="cellIs" dxfId="558" priority="493" operator="equal">
      <formula>"Seeker"</formula>
    </cfRule>
    <cfRule type="cellIs" dxfId="557" priority="494" operator="equal">
      <formula>"Neutral"</formula>
    </cfRule>
    <cfRule type="cellIs" dxfId="556" priority="495" operator="equal">
      <formula>"Rogue"</formula>
    </cfRule>
    <cfRule type="cellIs" dxfId="555" priority="496" operator="equal">
      <formula>"Guardian"</formula>
    </cfRule>
    <cfRule type="cellIs" dxfId="554" priority="497" operator="equal">
      <formula>"Survivor"</formula>
    </cfRule>
    <cfRule type="cellIs" dxfId="553" priority="498" operator="equal">
      <formula>"Mystic"</formula>
    </cfRule>
  </conditionalFormatting>
  <conditionalFormatting sqref="K133">
    <cfRule type="cellIs" dxfId="552" priority="487" operator="equal">
      <formula>"seeker"</formula>
    </cfRule>
    <cfRule type="cellIs" dxfId="551" priority="488" operator="equal">
      <formula>"neutral"</formula>
    </cfRule>
    <cfRule type="cellIs" dxfId="550" priority="489" operator="equal">
      <formula>"rogue"</formula>
    </cfRule>
    <cfRule type="cellIs" dxfId="549" priority="490" operator="equal">
      <formula>"Guardian"</formula>
    </cfRule>
    <cfRule type="cellIs" dxfId="548" priority="491" operator="equal">
      <formula>"Survivor"</formula>
    </cfRule>
    <cfRule type="cellIs" dxfId="547" priority="492" operator="equal">
      <formula>"Mystic"</formula>
    </cfRule>
  </conditionalFormatting>
  <conditionalFormatting sqref="AM151:AM152 AM158:AM159">
    <cfRule type="cellIs" dxfId="546" priority="481" operator="equal">
      <formula>"seeker"</formula>
    </cfRule>
    <cfRule type="cellIs" dxfId="545" priority="482" operator="equal">
      <formula>"neutral"</formula>
    </cfRule>
    <cfRule type="cellIs" dxfId="544" priority="483" operator="equal">
      <formula>"rogue"</formula>
    </cfRule>
    <cfRule type="cellIs" dxfId="543" priority="484" operator="equal">
      <formula>"Guardian"</formula>
    </cfRule>
    <cfRule type="cellIs" dxfId="542" priority="485" operator="equal">
      <formula>"Survivor"</formula>
    </cfRule>
    <cfRule type="cellIs" dxfId="541" priority="486" operator="equal">
      <formula>"Mystic"</formula>
    </cfRule>
  </conditionalFormatting>
  <conditionalFormatting sqref="K153">
    <cfRule type="cellIs" dxfId="540" priority="475" operator="equal">
      <formula>"seeker"</formula>
    </cfRule>
    <cfRule type="cellIs" dxfId="539" priority="476" operator="equal">
      <formula>"neutral"</formula>
    </cfRule>
    <cfRule type="cellIs" dxfId="538" priority="477" operator="equal">
      <formula>"rogue"</formula>
    </cfRule>
    <cfRule type="cellIs" dxfId="537" priority="478" operator="equal">
      <formula>"Guardian"</formula>
    </cfRule>
    <cfRule type="cellIs" dxfId="536" priority="479" operator="equal">
      <formula>"Survivor"</formula>
    </cfRule>
    <cfRule type="cellIs" dxfId="535" priority="480" operator="equal">
      <formula>"Mystic"</formula>
    </cfRule>
  </conditionalFormatting>
  <conditionalFormatting sqref="AM153">
    <cfRule type="cellIs" dxfId="534" priority="469" operator="equal">
      <formula>"seeker"</formula>
    </cfRule>
    <cfRule type="cellIs" dxfId="533" priority="470" operator="equal">
      <formula>"neutral"</formula>
    </cfRule>
    <cfRule type="cellIs" dxfId="532" priority="471" operator="equal">
      <formula>"rogue"</formula>
    </cfRule>
    <cfRule type="cellIs" dxfId="531" priority="472" operator="equal">
      <formula>"Guardian"</formula>
    </cfRule>
    <cfRule type="cellIs" dxfId="530" priority="473" operator="equal">
      <formula>"Survivor"</formula>
    </cfRule>
    <cfRule type="cellIs" dxfId="529" priority="474" operator="equal">
      <formula>"Mystic"</formula>
    </cfRule>
  </conditionalFormatting>
  <conditionalFormatting sqref="K154">
    <cfRule type="cellIs" dxfId="528" priority="463" operator="equal">
      <formula>"seeker"</formula>
    </cfRule>
    <cfRule type="cellIs" dxfId="527" priority="464" operator="equal">
      <formula>"neutral"</formula>
    </cfRule>
    <cfRule type="cellIs" dxfId="526" priority="465" operator="equal">
      <formula>"rogue"</formula>
    </cfRule>
    <cfRule type="cellIs" dxfId="525" priority="466" operator="equal">
      <formula>"Guardian"</formula>
    </cfRule>
    <cfRule type="cellIs" dxfId="524" priority="467" operator="equal">
      <formula>"Survivor"</formula>
    </cfRule>
    <cfRule type="cellIs" dxfId="523" priority="468" operator="equal">
      <formula>"Mystic"</formula>
    </cfRule>
  </conditionalFormatting>
  <conditionalFormatting sqref="AM154">
    <cfRule type="cellIs" dxfId="522" priority="457" operator="equal">
      <formula>"seeker"</formula>
    </cfRule>
    <cfRule type="cellIs" dxfId="521" priority="458" operator="equal">
      <formula>"neutral"</formula>
    </cfRule>
    <cfRule type="cellIs" dxfId="520" priority="459" operator="equal">
      <formula>"rogue"</formula>
    </cfRule>
    <cfRule type="cellIs" dxfId="519" priority="460" operator="equal">
      <formula>"Guardian"</formula>
    </cfRule>
    <cfRule type="cellIs" dxfId="518" priority="461" operator="equal">
      <formula>"Survivor"</formula>
    </cfRule>
    <cfRule type="cellIs" dxfId="517" priority="462" operator="equal">
      <formula>"Mystic"</formula>
    </cfRule>
  </conditionalFormatting>
  <conditionalFormatting sqref="K155">
    <cfRule type="cellIs" dxfId="516" priority="451" operator="equal">
      <formula>"seeker"</formula>
    </cfRule>
    <cfRule type="cellIs" dxfId="515" priority="452" operator="equal">
      <formula>"neutral"</formula>
    </cfRule>
    <cfRule type="cellIs" dxfId="514" priority="453" operator="equal">
      <formula>"rogue"</formula>
    </cfRule>
    <cfRule type="cellIs" dxfId="513" priority="454" operator="equal">
      <formula>"Guardian"</formula>
    </cfRule>
    <cfRule type="cellIs" dxfId="512" priority="455" operator="equal">
      <formula>"Survivor"</formula>
    </cfRule>
    <cfRule type="cellIs" dxfId="511" priority="456" operator="equal">
      <formula>"Mystic"</formula>
    </cfRule>
  </conditionalFormatting>
  <conditionalFormatting sqref="AM155">
    <cfRule type="cellIs" dxfId="510" priority="445" operator="equal">
      <formula>"seeker"</formula>
    </cfRule>
    <cfRule type="cellIs" dxfId="509" priority="446" operator="equal">
      <formula>"neutral"</formula>
    </cfRule>
    <cfRule type="cellIs" dxfId="508" priority="447" operator="equal">
      <formula>"rogue"</formula>
    </cfRule>
    <cfRule type="cellIs" dxfId="507" priority="448" operator="equal">
      <formula>"Guardian"</formula>
    </cfRule>
    <cfRule type="cellIs" dxfId="506" priority="449" operator="equal">
      <formula>"Survivor"</formula>
    </cfRule>
    <cfRule type="cellIs" dxfId="505" priority="450" operator="equal">
      <formula>"Mystic"</formula>
    </cfRule>
  </conditionalFormatting>
  <conditionalFormatting sqref="K156">
    <cfRule type="cellIs" dxfId="504" priority="439" operator="equal">
      <formula>"seeker"</formula>
    </cfRule>
    <cfRule type="cellIs" dxfId="503" priority="440" operator="equal">
      <formula>"neutral"</formula>
    </cfRule>
    <cfRule type="cellIs" dxfId="502" priority="441" operator="equal">
      <formula>"rogue"</formula>
    </cfRule>
    <cfRule type="cellIs" dxfId="501" priority="442" operator="equal">
      <formula>"Guardian"</formula>
    </cfRule>
    <cfRule type="cellIs" dxfId="500" priority="443" operator="equal">
      <formula>"Survivor"</formula>
    </cfRule>
    <cfRule type="cellIs" dxfId="499" priority="444" operator="equal">
      <formula>"Mystic"</formula>
    </cfRule>
  </conditionalFormatting>
  <conditionalFormatting sqref="AM156">
    <cfRule type="cellIs" dxfId="498" priority="433" operator="equal">
      <formula>"seeker"</formula>
    </cfRule>
    <cfRule type="cellIs" dxfId="497" priority="434" operator="equal">
      <formula>"neutral"</formula>
    </cfRule>
    <cfRule type="cellIs" dxfId="496" priority="435" operator="equal">
      <formula>"rogue"</formula>
    </cfRule>
    <cfRule type="cellIs" dxfId="495" priority="436" operator="equal">
      <formula>"Guardian"</formula>
    </cfRule>
    <cfRule type="cellIs" dxfId="494" priority="437" operator="equal">
      <formula>"Survivor"</formula>
    </cfRule>
    <cfRule type="cellIs" dxfId="493" priority="438" operator="equal">
      <formula>"Mystic"</formula>
    </cfRule>
  </conditionalFormatting>
  <conditionalFormatting sqref="K157">
    <cfRule type="cellIs" dxfId="492" priority="427" operator="equal">
      <formula>"seeker"</formula>
    </cfRule>
    <cfRule type="cellIs" dxfId="491" priority="428" operator="equal">
      <formula>"neutral"</formula>
    </cfRule>
    <cfRule type="cellIs" dxfId="490" priority="429" operator="equal">
      <formula>"rogue"</formula>
    </cfRule>
    <cfRule type="cellIs" dxfId="489" priority="430" operator="equal">
      <formula>"Guardian"</formula>
    </cfRule>
    <cfRule type="cellIs" dxfId="488" priority="431" operator="equal">
      <formula>"Survivor"</formula>
    </cfRule>
    <cfRule type="cellIs" dxfId="487" priority="432" operator="equal">
      <formula>"Mystic"</formula>
    </cfRule>
  </conditionalFormatting>
  <conditionalFormatting sqref="AM157">
    <cfRule type="cellIs" dxfId="486" priority="421" operator="equal">
      <formula>"seeker"</formula>
    </cfRule>
    <cfRule type="cellIs" dxfId="485" priority="422" operator="equal">
      <formula>"neutral"</formula>
    </cfRule>
    <cfRule type="cellIs" dxfId="484" priority="423" operator="equal">
      <formula>"rogue"</formula>
    </cfRule>
    <cfRule type="cellIs" dxfId="483" priority="424" operator="equal">
      <formula>"Guardian"</formula>
    </cfRule>
    <cfRule type="cellIs" dxfId="482" priority="425" operator="equal">
      <formula>"Survivor"</formula>
    </cfRule>
    <cfRule type="cellIs" dxfId="481" priority="426" operator="equal">
      <formula>"Mystic"</formula>
    </cfRule>
  </conditionalFormatting>
  <conditionalFormatting sqref="K170">
    <cfRule type="cellIs" dxfId="480" priority="415" operator="equal">
      <formula>"seeker"</formula>
    </cfRule>
    <cfRule type="cellIs" dxfId="479" priority="416" operator="equal">
      <formula>"neutral"</formula>
    </cfRule>
    <cfRule type="cellIs" dxfId="478" priority="417" operator="equal">
      <formula>"rogue"</formula>
    </cfRule>
    <cfRule type="cellIs" dxfId="477" priority="418" operator="equal">
      <formula>"Guardian"</formula>
    </cfRule>
    <cfRule type="cellIs" dxfId="476" priority="419" operator="equal">
      <formula>"Survivor"</formula>
    </cfRule>
    <cfRule type="cellIs" dxfId="475" priority="420" operator="equal">
      <formula>"Mystic"</formula>
    </cfRule>
  </conditionalFormatting>
  <conditionalFormatting sqref="AL190">
    <cfRule type="cellIs" dxfId="474" priority="403" operator="equal">
      <formula>"Seeker"</formula>
    </cfRule>
    <cfRule type="cellIs" dxfId="473" priority="404" operator="equal">
      <formula>"Neutral"</formula>
    </cfRule>
    <cfRule type="cellIs" dxfId="472" priority="405" operator="equal">
      <formula>"Rogue"</formula>
    </cfRule>
    <cfRule type="cellIs" dxfId="471" priority="406" operator="equal">
      <formula>"Guardian"</formula>
    </cfRule>
    <cfRule type="cellIs" dxfId="470" priority="407" operator="equal">
      <formula>"Survivor"</formula>
    </cfRule>
    <cfRule type="cellIs" dxfId="469" priority="408" operator="equal">
      <formula>"Mystic"</formula>
    </cfRule>
  </conditionalFormatting>
  <conditionalFormatting sqref="AM191">
    <cfRule type="cellIs" dxfId="468" priority="397" operator="equal">
      <formula>"seeker"</formula>
    </cfRule>
    <cfRule type="cellIs" dxfId="467" priority="398" operator="equal">
      <formula>"neutral"</formula>
    </cfRule>
    <cfRule type="cellIs" dxfId="466" priority="399" operator="equal">
      <formula>"rogue"</formula>
    </cfRule>
    <cfRule type="cellIs" dxfId="465" priority="400" operator="equal">
      <formula>"Guardian"</formula>
    </cfRule>
    <cfRule type="cellIs" dxfId="464" priority="401" operator="equal">
      <formula>"Survivor"</formula>
    </cfRule>
    <cfRule type="cellIs" dxfId="463" priority="402" operator="equal">
      <formula>"Mystic"</formula>
    </cfRule>
  </conditionalFormatting>
  <conditionalFormatting sqref="AM193">
    <cfRule type="cellIs" dxfId="462" priority="391" operator="equal">
      <formula>"seeker"</formula>
    </cfRule>
    <cfRule type="cellIs" dxfId="461" priority="392" operator="equal">
      <formula>"neutral"</formula>
    </cfRule>
    <cfRule type="cellIs" dxfId="460" priority="393" operator="equal">
      <formula>"rogue"</formula>
    </cfRule>
    <cfRule type="cellIs" dxfId="459" priority="394" operator="equal">
      <formula>"Guardian"</formula>
    </cfRule>
    <cfRule type="cellIs" dxfId="458" priority="395" operator="equal">
      <formula>"Survivor"</formula>
    </cfRule>
    <cfRule type="cellIs" dxfId="457" priority="396" operator="equal">
      <formula>"Mystic"</formula>
    </cfRule>
  </conditionalFormatting>
  <conditionalFormatting sqref="K194">
    <cfRule type="cellIs" dxfId="456" priority="385" operator="equal">
      <formula>"seeker"</formula>
    </cfRule>
    <cfRule type="cellIs" dxfId="455" priority="386" operator="equal">
      <formula>"neutral"</formula>
    </cfRule>
    <cfRule type="cellIs" dxfId="454" priority="387" operator="equal">
      <formula>"rogue"</formula>
    </cfRule>
    <cfRule type="cellIs" dxfId="453" priority="388" operator="equal">
      <formula>"Guardian"</formula>
    </cfRule>
    <cfRule type="cellIs" dxfId="452" priority="389" operator="equal">
      <formula>"Survivor"</formula>
    </cfRule>
    <cfRule type="cellIs" dxfId="451" priority="390" operator="equal">
      <formula>"Mystic"</formula>
    </cfRule>
  </conditionalFormatting>
  <conditionalFormatting sqref="AM195">
    <cfRule type="cellIs" dxfId="450" priority="379" operator="equal">
      <formula>"seeker"</formula>
    </cfRule>
    <cfRule type="cellIs" dxfId="449" priority="380" operator="equal">
      <formula>"neutral"</formula>
    </cfRule>
    <cfRule type="cellIs" dxfId="448" priority="381" operator="equal">
      <formula>"rogue"</formula>
    </cfRule>
    <cfRule type="cellIs" dxfId="447" priority="382" operator="equal">
      <formula>"Guardian"</formula>
    </cfRule>
    <cfRule type="cellIs" dxfId="446" priority="383" operator="equal">
      <formula>"Survivor"</formula>
    </cfRule>
    <cfRule type="cellIs" dxfId="445" priority="384" operator="equal">
      <formula>"Mystic"</formula>
    </cfRule>
  </conditionalFormatting>
  <conditionalFormatting sqref="AM194">
    <cfRule type="cellIs" dxfId="444" priority="373" operator="equal">
      <formula>"seeker"</formula>
    </cfRule>
    <cfRule type="cellIs" dxfId="443" priority="374" operator="equal">
      <formula>"neutral"</formula>
    </cfRule>
    <cfRule type="cellIs" dxfId="442" priority="375" operator="equal">
      <formula>"rogue"</formula>
    </cfRule>
    <cfRule type="cellIs" dxfId="441" priority="376" operator="equal">
      <formula>"Guardian"</formula>
    </cfRule>
    <cfRule type="cellIs" dxfId="440" priority="377" operator="equal">
      <formula>"Survivor"</formula>
    </cfRule>
    <cfRule type="cellIs" dxfId="439" priority="378" operator="equal">
      <formula>"Mystic"</formula>
    </cfRule>
  </conditionalFormatting>
  <conditionalFormatting sqref="AL3">
    <cfRule type="cellIs" dxfId="438" priority="367" operator="equal">
      <formula>"Seeker"</formula>
    </cfRule>
    <cfRule type="cellIs" dxfId="437" priority="368" operator="equal">
      <formula>"Neutral"</formula>
    </cfRule>
    <cfRule type="cellIs" dxfId="436" priority="369" operator="equal">
      <formula>"Rogue"</formula>
    </cfRule>
    <cfRule type="cellIs" dxfId="435" priority="370" operator="equal">
      <formula>"Guardian"</formula>
    </cfRule>
    <cfRule type="cellIs" dxfId="434" priority="371" operator="equal">
      <formula>"Survivor"</formula>
    </cfRule>
    <cfRule type="cellIs" dxfId="433" priority="372" operator="equal">
      <formula>"Mystic"</formula>
    </cfRule>
  </conditionalFormatting>
  <conditionalFormatting sqref="AL4">
    <cfRule type="cellIs" dxfId="432" priority="361" operator="equal">
      <formula>"Seeker"</formula>
    </cfRule>
    <cfRule type="cellIs" dxfId="431" priority="362" operator="equal">
      <formula>"Neutral"</formula>
    </cfRule>
    <cfRule type="cellIs" dxfId="430" priority="363" operator="equal">
      <formula>"Rogue"</formula>
    </cfRule>
    <cfRule type="cellIs" dxfId="429" priority="364" operator="equal">
      <formula>"Guardian"</formula>
    </cfRule>
    <cfRule type="cellIs" dxfId="428" priority="365" operator="equal">
      <formula>"Survivor"</formula>
    </cfRule>
    <cfRule type="cellIs" dxfId="427" priority="366" operator="equal">
      <formula>"Mystic"</formula>
    </cfRule>
  </conditionalFormatting>
  <conditionalFormatting sqref="AL5">
    <cfRule type="cellIs" dxfId="426" priority="355" operator="equal">
      <formula>"Seeker"</formula>
    </cfRule>
    <cfRule type="cellIs" dxfId="425" priority="356" operator="equal">
      <formula>"Neutral"</formula>
    </cfRule>
    <cfRule type="cellIs" dxfId="424" priority="357" operator="equal">
      <formula>"Rogue"</formula>
    </cfRule>
    <cfRule type="cellIs" dxfId="423" priority="358" operator="equal">
      <formula>"Guardian"</formula>
    </cfRule>
    <cfRule type="cellIs" dxfId="422" priority="359" operator="equal">
      <formula>"Survivor"</formula>
    </cfRule>
    <cfRule type="cellIs" dxfId="421" priority="360" operator="equal">
      <formula>"Mystic"</formula>
    </cfRule>
  </conditionalFormatting>
  <conditionalFormatting sqref="AL6">
    <cfRule type="cellIs" dxfId="420" priority="349" operator="equal">
      <formula>"Seeker"</formula>
    </cfRule>
    <cfRule type="cellIs" dxfId="419" priority="350" operator="equal">
      <formula>"Neutral"</formula>
    </cfRule>
    <cfRule type="cellIs" dxfId="418" priority="351" operator="equal">
      <formula>"Rogue"</formula>
    </cfRule>
    <cfRule type="cellIs" dxfId="417" priority="352" operator="equal">
      <formula>"Guardian"</formula>
    </cfRule>
    <cfRule type="cellIs" dxfId="416" priority="353" operator="equal">
      <formula>"Survivor"</formula>
    </cfRule>
    <cfRule type="cellIs" dxfId="415" priority="354" operator="equal">
      <formula>"Mystic"</formula>
    </cfRule>
  </conditionalFormatting>
  <conditionalFormatting sqref="AL122">
    <cfRule type="cellIs" dxfId="414" priority="343" operator="equal">
      <formula>"Seeker"</formula>
    </cfRule>
    <cfRule type="cellIs" dxfId="413" priority="344" operator="equal">
      <formula>"Neutral"</formula>
    </cfRule>
    <cfRule type="cellIs" dxfId="412" priority="345" operator="equal">
      <formula>"Rogue"</formula>
    </cfRule>
    <cfRule type="cellIs" dxfId="411" priority="346" operator="equal">
      <formula>"Guardian"</formula>
    </cfRule>
    <cfRule type="cellIs" dxfId="410" priority="347" operator="equal">
      <formula>"Survivor"</formula>
    </cfRule>
    <cfRule type="cellIs" dxfId="409" priority="348" operator="equal">
      <formula>"Mystic"</formula>
    </cfRule>
  </conditionalFormatting>
  <conditionalFormatting sqref="AL123">
    <cfRule type="cellIs" dxfId="408" priority="337" operator="equal">
      <formula>"Seeker"</formula>
    </cfRule>
    <cfRule type="cellIs" dxfId="407" priority="338" operator="equal">
      <formula>"Neutral"</formula>
    </cfRule>
    <cfRule type="cellIs" dxfId="406" priority="339" operator="equal">
      <formula>"Rogue"</formula>
    </cfRule>
    <cfRule type="cellIs" dxfId="405" priority="340" operator="equal">
      <formula>"Guardian"</formula>
    </cfRule>
    <cfRule type="cellIs" dxfId="404" priority="341" operator="equal">
      <formula>"Survivor"</formula>
    </cfRule>
    <cfRule type="cellIs" dxfId="403" priority="342" operator="equal">
      <formula>"Mystic"</formula>
    </cfRule>
  </conditionalFormatting>
  <conditionalFormatting sqref="J123">
    <cfRule type="cellIs" dxfId="402" priority="331" operator="equal">
      <formula>"Seeker"</formula>
    </cfRule>
    <cfRule type="cellIs" dxfId="401" priority="332" operator="equal">
      <formula>"Neutral"</formula>
    </cfRule>
    <cfRule type="cellIs" dxfId="400" priority="333" operator="equal">
      <formula>"Rogue"</formula>
    </cfRule>
    <cfRule type="cellIs" dxfId="399" priority="334" operator="equal">
      <formula>"Guardian"</formula>
    </cfRule>
    <cfRule type="cellIs" dxfId="398" priority="335" operator="equal">
      <formula>"Survivor"</formula>
    </cfRule>
    <cfRule type="cellIs" dxfId="397" priority="336" operator="equal">
      <formula>"Mystic"</formula>
    </cfRule>
  </conditionalFormatting>
  <conditionalFormatting sqref="AM253">
    <cfRule type="cellIs" dxfId="396" priority="325" operator="equal">
      <formula>"seeker"</formula>
    </cfRule>
    <cfRule type="cellIs" dxfId="395" priority="326" operator="equal">
      <formula>"neutral"</formula>
    </cfRule>
    <cfRule type="cellIs" dxfId="394" priority="327" operator="equal">
      <formula>"rogue"</formula>
    </cfRule>
    <cfRule type="cellIs" dxfId="393" priority="328" operator="equal">
      <formula>"Guardian"</formula>
    </cfRule>
    <cfRule type="cellIs" dxfId="392" priority="329" operator="equal">
      <formula>"Survivor"</formula>
    </cfRule>
    <cfRule type="cellIs" dxfId="391" priority="330" operator="equal">
      <formula>"Mystic"</formula>
    </cfRule>
  </conditionalFormatting>
  <conditionalFormatting sqref="AM254">
    <cfRule type="cellIs" dxfId="390" priority="319" operator="equal">
      <formula>"seeker"</formula>
    </cfRule>
    <cfRule type="cellIs" dxfId="389" priority="320" operator="equal">
      <formula>"neutral"</formula>
    </cfRule>
    <cfRule type="cellIs" dxfId="388" priority="321" operator="equal">
      <formula>"rogue"</formula>
    </cfRule>
    <cfRule type="cellIs" dxfId="387" priority="322" operator="equal">
      <formula>"Guardian"</formula>
    </cfRule>
    <cfRule type="cellIs" dxfId="386" priority="323" operator="equal">
      <formula>"Survivor"</formula>
    </cfRule>
    <cfRule type="cellIs" dxfId="385" priority="324" operator="equal">
      <formula>"Mystic"</formula>
    </cfRule>
  </conditionalFormatting>
  <conditionalFormatting sqref="AM255">
    <cfRule type="cellIs" dxfId="384" priority="313" operator="equal">
      <formula>"seeker"</formula>
    </cfRule>
    <cfRule type="cellIs" dxfId="383" priority="314" operator="equal">
      <formula>"neutral"</formula>
    </cfRule>
    <cfRule type="cellIs" dxfId="382" priority="315" operator="equal">
      <formula>"rogue"</formula>
    </cfRule>
    <cfRule type="cellIs" dxfId="381" priority="316" operator="equal">
      <formula>"Guardian"</formula>
    </cfRule>
    <cfRule type="cellIs" dxfId="380" priority="317" operator="equal">
      <formula>"Survivor"</formula>
    </cfRule>
    <cfRule type="cellIs" dxfId="379" priority="318" operator="equal">
      <formula>"Mystic"</formula>
    </cfRule>
  </conditionalFormatting>
  <conditionalFormatting sqref="AM256">
    <cfRule type="cellIs" dxfId="378" priority="307" operator="equal">
      <formula>"seeker"</formula>
    </cfRule>
    <cfRule type="cellIs" dxfId="377" priority="308" operator="equal">
      <formula>"neutral"</formula>
    </cfRule>
    <cfRule type="cellIs" dxfId="376" priority="309" operator="equal">
      <formula>"rogue"</formula>
    </cfRule>
    <cfRule type="cellIs" dxfId="375" priority="310" operator="equal">
      <formula>"Guardian"</formula>
    </cfRule>
    <cfRule type="cellIs" dxfId="374" priority="311" operator="equal">
      <formula>"Survivor"</formula>
    </cfRule>
    <cfRule type="cellIs" dxfId="373" priority="312" operator="equal">
      <formula>"Mystic"</formula>
    </cfRule>
  </conditionalFormatting>
  <conditionalFormatting sqref="AM252">
    <cfRule type="cellIs" dxfId="372" priority="301" operator="equal">
      <formula>"seeker"</formula>
    </cfRule>
    <cfRule type="cellIs" dxfId="371" priority="302" operator="equal">
      <formula>"neutral"</formula>
    </cfRule>
    <cfRule type="cellIs" dxfId="370" priority="303" operator="equal">
      <formula>"rogue"</formula>
    </cfRule>
    <cfRule type="cellIs" dxfId="369" priority="304" operator="equal">
      <formula>"Guardian"</formula>
    </cfRule>
    <cfRule type="cellIs" dxfId="368" priority="305" operator="equal">
      <formula>"Survivor"</formula>
    </cfRule>
    <cfRule type="cellIs" dxfId="367" priority="306" operator="equal">
      <formula>"Mystic"</formula>
    </cfRule>
  </conditionalFormatting>
  <conditionalFormatting sqref="AM383:AM387">
    <cfRule type="cellIs" dxfId="366" priority="295" operator="equal">
      <formula>"Seeker"</formula>
    </cfRule>
    <cfRule type="cellIs" dxfId="365" priority="296" operator="equal">
      <formula>"Neutral"</formula>
    </cfRule>
    <cfRule type="cellIs" dxfId="364" priority="297" operator="equal">
      <formula>"Rogue"</formula>
    </cfRule>
    <cfRule type="cellIs" dxfId="363" priority="298" operator="equal">
      <formula>"Guardian"</formula>
    </cfRule>
    <cfRule type="cellIs" dxfId="362" priority="299" operator="equal">
      <formula>"Survivor"</formula>
    </cfRule>
    <cfRule type="cellIs" dxfId="361" priority="300" operator="equal">
      <formula>"Mystic"</formula>
    </cfRule>
  </conditionalFormatting>
  <conditionalFormatting sqref="K383:K387">
    <cfRule type="cellIs" dxfId="360" priority="289" operator="equal">
      <formula>"seeker"</formula>
    </cfRule>
    <cfRule type="cellIs" dxfId="359" priority="290" operator="equal">
      <formula>"neutral"</formula>
    </cfRule>
    <cfRule type="cellIs" dxfId="358" priority="291" operator="equal">
      <formula>"rogue"</formula>
    </cfRule>
    <cfRule type="cellIs" dxfId="357" priority="292" operator="equal">
      <formula>"Guardian"</formula>
    </cfRule>
    <cfRule type="cellIs" dxfId="356" priority="293" operator="equal">
      <formula>"Survivor"</formula>
    </cfRule>
    <cfRule type="cellIs" dxfId="355" priority="294" operator="equal">
      <formula>"Mystic"</formula>
    </cfRule>
  </conditionalFormatting>
  <conditionalFormatting sqref="AM233">
    <cfRule type="cellIs" dxfId="354" priority="283" operator="equal">
      <formula>"Seeker"</formula>
    </cfRule>
    <cfRule type="cellIs" dxfId="353" priority="284" operator="equal">
      <formula>"Neutral"</formula>
    </cfRule>
    <cfRule type="cellIs" dxfId="352" priority="285" operator="equal">
      <formula>"Rogue"</formula>
    </cfRule>
    <cfRule type="cellIs" dxfId="351" priority="286" operator="equal">
      <formula>"Guardian"</formula>
    </cfRule>
    <cfRule type="cellIs" dxfId="350" priority="287" operator="equal">
      <formula>"Survivor"</formula>
    </cfRule>
    <cfRule type="cellIs" dxfId="349" priority="288" operator="equal">
      <formula>"Mystic"</formula>
    </cfRule>
  </conditionalFormatting>
  <conditionalFormatting sqref="K233">
    <cfRule type="cellIs" dxfId="348" priority="277" operator="equal">
      <formula>"seeker"</formula>
    </cfRule>
    <cfRule type="cellIs" dxfId="347" priority="278" operator="equal">
      <formula>"neutral"</formula>
    </cfRule>
    <cfRule type="cellIs" dxfId="346" priority="279" operator="equal">
      <formula>"rogue"</formula>
    </cfRule>
    <cfRule type="cellIs" dxfId="345" priority="280" operator="equal">
      <formula>"Guardian"</formula>
    </cfRule>
    <cfRule type="cellIs" dxfId="344" priority="281" operator="equal">
      <formula>"Survivor"</formula>
    </cfRule>
    <cfRule type="cellIs" dxfId="343" priority="282" operator="equal">
      <formula>"Mystic"</formula>
    </cfRule>
  </conditionalFormatting>
  <conditionalFormatting sqref="K388:K429 AM388:AM429">
    <cfRule type="cellIs" dxfId="342" priority="271" operator="equal">
      <formula>"seeker"</formula>
    </cfRule>
    <cfRule type="cellIs" dxfId="341" priority="272" operator="equal">
      <formula>"neutral"</formula>
    </cfRule>
    <cfRule type="cellIs" dxfId="340" priority="273" operator="equal">
      <formula>"rogue"</formula>
    </cfRule>
    <cfRule type="cellIs" dxfId="339" priority="274" operator="equal">
      <formula>"Guardian"</formula>
    </cfRule>
    <cfRule type="cellIs" dxfId="338" priority="275" operator="equal">
      <formula>"Survivor"</formula>
    </cfRule>
    <cfRule type="cellIs" dxfId="337" priority="276" operator="equal">
      <formula>"Mystic"</formula>
    </cfRule>
  </conditionalFormatting>
  <conditionalFormatting sqref="K430:K466 AM430:AM442 AM450:AM466">
    <cfRule type="cellIs" dxfId="336" priority="265" operator="equal">
      <formula>"seeker"</formula>
    </cfRule>
    <cfRule type="cellIs" dxfId="335" priority="266" operator="equal">
      <formula>"neutral"</formula>
    </cfRule>
    <cfRule type="cellIs" dxfId="334" priority="267" operator="equal">
      <formula>"rogue"</formula>
    </cfRule>
    <cfRule type="cellIs" dxfId="333" priority="268" operator="equal">
      <formula>"Guardian"</formula>
    </cfRule>
    <cfRule type="cellIs" dxfId="332" priority="269" operator="equal">
      <formula>"Survivor"</formula>
    </cfRule>
    <cfRule type="cellIs" dxfId="331" priority="270" operator="equal">
      <formula>"Mystic"</formula>
    </cfRule>
  </conditionalFormatting>
  <conditionalFormatting sqref="AM443:AM449">
    <cfRule type="cellIs" dxfId="330" priority="259" operator="equal">
      <formula>"seeker"</formula>
    </cfRule>
    <cfRule type="cellIs" dxfId="329" priority="260" operator="equal">
      <formula>"neutral"</formula>
    </cfRule>
    <cfRule type="cellIs" dxfId="328" priority="261" operator="equal">
      <formula>"rogue"</formula>
    </cfRule>
    <cfRule type="cellIs" dxfId="327" priority="262" operator="equal">
      <formula>"Guardian"</formula>
    </cfRule>
    <cfRule type="cellIs" dxfId="326" priority="263" operator="equal">
      <formula>"Survivor"</formula>
    </cfRule>
    <cfRule type="cellIs" dxfId="325" priority="264" operator="equal">
      <formula>"Mystic"</formula>
    </cfRule>
  </conditionalFormatting>
  <conditionalFormatting sqref="AL737">
    <cfRule type="cellIs" dxfId="324" priority="223" operator="equal">
      <formula>"Seeker"</formula>
    </cfRule>
    <cfRule type="cellIs" dxfId="323" priority="224" operator="equal">
      <formula>"Neutral"</formula>
    </cfRule>
    <cfRule type="cellIs" dxfId="322" priority="225" operator="equal">
      <formula>"Rogue"</formula>
    </cfRule>
    <cfRule type="cellIs" dxfId="321" priority="226" operator="equal">
      <formula>"Guardian"</formula>
    </cfRule>
    <cfRule type="cellIs" dxfId="320" priority="227" operator="equal">
      <formula>"Survivor"</formula>
    </cfRule>
    <cfRule type="cellIs" dxfId="319" priority="228" operator="equal">
      <formula>"Mystic"</formula>
    </cfRule>
  </conditionalFormatting>
  <conditionalFormatting sqref="AL733 AL738:AL746 AL767:AL773">
    <cfRule type="cellIs" dxfId="318" priority="253" operator="equal">
      <formula>"Seeker"</formula>
    </cfRule>
    <cfRule type="cellIs" dxfId="317" priority="254" operator="equal">
      <formula>"Neutral"</formula>
    </cfRule>
    <cfRule type="cellIs" dxfId="316" priority="255" operator="equal">
      <formula>"Rogue"</formula>
    </cfRule>
    <cfRule type="cellIs" dxfId="315" priority="256" operator="equal">
      <formula>"Guardian"</formula>
    </cfRule>
    <cfRule type="cellIs" dxfId="314" priority="257" operator="equal">
      <formula>"Survivor"</formula>
    </cfRule>
    <cfRule type="cellIs" dxfId="313" priority="258" operator="equal">
      <formula>"Mystic"</formula>
    </cfRule>
  </conditionalFormatting>
  <conditionalFormatting sqref="K733:K773">
    <cfRule type="cellIs" dxfId="312" priority="247" operator="equal">
      <formula>"seeker"</formula>
    </cfRule>
    <cfRule type="cellIs" dxfId="311" priority="248" operator="equal">
      <formula>"neutral"</formula>
    </cfRule>
    <cfRule type="cellIs" dxfId="310" priority="249" operator="equal">
      <formula>"rogue"</formula>
    </cfRule>
    <cfRule type="cellIs" dxfId="309" priority="250" operator="equal">
      <formula>"Guardian"</formula>
    </cfRule>
    <cfRule type="cellIs" dxfId="308" priority="251" operator="equal">
      <formula>"Survivor"</formula>
    </cfRule>
    <cfRule type="cellIs" dxfId="307" priority="252" operator="equal">
      <formula>"Mystic"</formula>
    </cfRule>
  </conditionalFormatting>
  <conditionalFormatting sqref="AL734">
    <cfRule type="cellIs" dxfId="306" priority="241" operator="equal">
      <formula>"Seeker"</formula>
    </cfRule>
    <cfRule type="cellIs" dxfId="305" priority="242" operator="equal">
      <formula>"Neutral"</formula>
    </cfRule>
    <cfRule type="cellIs" dxfId="304" priority="243" operator="equal">
      <formula>"Rogue"</formula>
    </cfRule>
    <cfRule type="cellIs" dxfId="303" priority="244" operator="equal">
      <formula>"Guardian"</formula>
    </cfRule>
    <cfRule type="cellIs" dxfId="302" priority="245" operator="equal">
      <formula>"Survivor"</formula>
    </cfRule>
    <cfRule type="cellIs" dxfId="301" priority="246" operator="equal">
      <formula>"Mystic"</formula>
    </cfRule>
  </conditionalFormatting>
  <conditionalFormatting sqref="AL735">
    <cfRule type="cellIs" dxfId="300" priority="235" operator="equal">
      <formula>"Seeker"</formula>
    </cfRule>
    <cfRule type="cellIs" dxfId="299" priority="236" operator="equal">
      <formula>"Neutral"</formula>
    </cfRule>
    <cfRule type="cellIs" dxfId="298" priority="237" operator="equal">
      <formula>"Rogue"</formula>
    </cfRule>
    <cfRule type="cellIs" dxfId="297" priority="238" operator="equal">
      <formula>"Guardian"</formula>
    </cfRule>
    <cfRule type="cellIs" dxfId="296" priority="239" operator="equal">
      <formula>"Survivor"</formula>
    </cfRule>
    <cfRule type="cellIs" dxfId="295" priority="240" operator="equal">
      <formula>"Mystic"</formula>
    </cfRule>
  </conditionalFormatting>
  <conditionalFormatting sqref="AL736">
    <cfRule type="cellIs" dxfId="294" priority="229" operator="equal">
      <formula>"Seeker"</formula>
    </cfRule>
    <cfRule type="cellIs" dxfId="293" priority="230" operator="equal">
      <formula>"Neutral"</formula>
    </cfRule>
    <cfRule type="cellIs" dxfId="292" priority="231" operator="equal">
      <formula>"Rogue"</formula>
    </cfRule>
    <cfRule type="cellIs" dxfId="291" priority="232" operator="equal">
      <formula>"Guardian"</formula>
    </cfRule>
    <cfRule type="cellIs" dxfId="290" priority="233" operator="equal">
      <formula>"Survivor"</formula>
    </cfRule>
    <cfRule type="cellIs" dxfId="289" priority="234" operator="equal">
      <formula>"Mystic"</formula>
    </cfRule>
  </conditionalFormatting>
  <conditionalFormatting sqref="AM727:AM731">
    <cfRule type="cellIs" dxfId="288" priority="217" operator="equal">
      <formula>"Seeker"</formula>
    </cfRule>
    <cfRule type="cellIs" dxfId="287" priority="218" operator="equal">
      <formula>"Neutral"</formula>
    </cfRule>
    <cfRule type="cellIs" dxfId="286" priority="219" operator="equal">
      <formula>"Rogue"</formula>
    </cfRule>
    <cfRule type="cellIs" dxfId="285" priority="220" operator="equal">
      <formula>"Guardian"</formula>
    </cfRule>
    <cfRule type="cellIs" dxfId="284" priority="221" operator="equal">
      <formula>"Survivor"</formula>
    </cfRule>
    <cfRule type="cellIs" dxfId="283" priority="222" operator="equal">
      <formula>"Mystic"</formula>
    </cfRule>
  </conditionalFormatting>
  <conditionalFormatting sqref="K727:K731">
    <cfRule type="cellIs" dxfId="282" priority="211" operator="equal">
      <formula>"seeker"</formula>
    </cfRule>
    <cfRule type="cellIs" dxfId="281" priority="212" operator="equal">
      <formula>"neutral"</formula>
    </cfRule>
    <cfRule type="cellIs" dxfId="280" priority="213" operator="equal">
      <formula>"rogue"</formula>
    </cfRule>
    <cfRule type="cellIs" dxfId="279" priority="214" operator="equal">
      <formula>"Guardian"</formula>
    </cfRule>
    <cfRule type="cellIs" dxfId="278" priority="215" operator="equal">
      <formula>"Survivor"</formula>
    </cfRule>
    <cfRule type="cellIs" dxfId="277" priority="216" operator="equal">
      <formula>"Mystic"</formula>
    </cfRule>
  </conditionalFormatting>
  <conditionalFormatting sqref="AM732">
    <cfRule type="cellIs" dxfId="276" priority="205" operator="equal">
      <formula>"Seeker"</formula>
    </cfRule>
    <cfRule type="cellIs" dxfId="275" priority="206" operator="equal">
      <formula>"Neutral"</formula>
    </cfRule>
    <cfRule type="cellIs" dxfId="274" priority="207" operator="equal">
      <formula>"Rogue"</formula>
    </cfRule>
    <cfRule type="cellIs" dxfId="273" priority="208" operator="equal">
      <formula>"Guardian"</formula>
    </cfRule>
    <cfRule type="cellIs" dxfId="272" priority="209" operator="equal">
      <formula>"Survivor"</formula>
    </cfRule>
    <cfRule type="cellIs" dxfId="271" priority="210" operator="equal">
      <formula>"Mystic"</formula>
    </cfRule>
  </conditionalFormatting>
  <conditionalFormatting sqref="K732">
    <cfRule type="cellIs" dxfId="270" priority="199" operator="equal">
      <formula>"seeker"</formula>
    </cfRule>
    <cfRule type="cellIs" dxfId="269" priority="200" operator="equal">
      <formula>"neutral"</formula>
    </cfRule>
    <cfRule type="cellIs" dxfId="268" priority="201" operator="equal">
      <formula>"rogue"</formula>
    </cfRule>
    <cfRule type="cellIs" dxfId="267" priority="202" operator="equal">
      <formula>"Guardian"</formula>
    </cfRule>
    <cfRule type="cellIs" dxfId="266" priority="203" operator="equal">
      <formula>"Survivor"</formula>
    </cfRule>
    <cfRule type="cellIs" dxfId="265" priority="204" operator="equal">
      <formula>"Mystic"</formula>
    </cfRule>
  </conditionalFormatting>
  <conditionalFormatting sqref="AL863 AL865:AL881 AL855:AL860">
    <cfRule type="cellIs" dxfId="264" priority="193" operator="equal">
      <formula>"Seeker"</formula>
    </cfRule>
    <cfRule type="cellIs" dxfId="263" priority="194" operator="equal">
      <formula>"Neutral"</formula>
    </cfRule>
    <cfRule type="cellIs" dxfId="262" priority="195" operator="equal">
      <formula>"Rogue"</formula>
    </cfRule>
    <cfRule type="cellIs" dxfId="261" priority="196" operator="equal">
      <formula>"Guardian"</formula>
    </cfRule>
    <cfRule type="cellIs" dxfId="260" priority="197" operator="equal">
      <formula>"Survivor"</formula>
    </cfRule>
    <cfRule type="cellIs" dxfId="259" priority="198" operator="equal">
      <formula>"Mystic"</formula>
    </cfRule>
  </conditionalFormatting>
  <conditionalFormatting sqref="K865:K883 K889 K855:K863">
    <cfRule type="cellIs" dxfId="258" priority="187" operator="equal">
      <formula>"seeker"</formula>
    </cfRule>
    <cfRule type="cellIs" dxfId="257" priority="188" operator="equal">
      <formula>"neutral"</formula>
    </cfRule>
    <cfRule type="cellIs" dxfId="256" priority="189" operator="equal">
      <formula>"rogue"</formula>
    </cfRule>
    <cfRule type="cellIs" dxfId="255" priority="190" operator="equal">
      <formula>"Guardian"</formula>
    </cfRule>
    <cfRule type="cellIs" dxfId="254" priority="191" operator="equal">
      <formula>"Survivor"</formula>
    </cfRule>
    <cfRule type="cellIs" dxfId="253" priority="192" operator="equal">
      <formula>"Mystic"</formula>
    </cfRule>
  </conditionalFormatting>
  <conditionalFormatting sqref="AM861:AM862">
    <cfRule type="cellIs" dxfId="252" priority="181" operator="equal">
      <formula>"seeker"</formula>
    </cfRule>
    <cfRule type="cellIs" dxfId="251" priority="182" operator="equal">
      <formula>"neutral"</formula>
    </cfRule>
    <cfRule type="cellIs" dxfId="250" priority="183" operator="equal">
      <formula>"rogue"</formula>
    </cfRule>
    <cfRule type="cellIs" dxfId="249" priority="184" operator="equal">
      <formula>"Guardian"</formula>
    </cfRule>
    <cfRule type="cellIs" dxfId="248" priority="185" operator="equal">
      <formula>"Survivor"</formula>
    </cfRule>
    <cfRule type="cellIs" dxfId="247" priority="186" operator="equal">
      <formula>"Mystic"</formula>
    </cfRule>
  </conditionalFormatting>
  <conditionalFormatting sqref="AL864">
    <cfRule type="cellIs" dxfId="246" priority="175" operator="equal">
      <formula>"Seeker"</formula>
    </cfRule>
    <cfRule type="cellIs" dxfId="245" priority="176" operator="equal">
      <formula>"Neutral"</formula>
    </cfRule>
    <cfRule type="cellIs" dxfId="244" priority="177" operator="equal">
      <formula>"Rogue"</formula>
    </cfRule>
    <cfRule type="cellIs" dxfId="243" priority="178" operator="equal">
      <formula>"Guardian"</formula>
    </cfRule>
    <cfRule type="cellIs" dxfId="242" priority="179" operator="equal">
      <formula>"Survivor"</formula>
    </cfRule>
    <cfRule type="cellIs" dxfId="241" priority="180" operator="equal">
      <formula>"Mystic"</formula>
    </cfRule>
  </conditionalFormatting>
  <conditionalFormatting sqref="K864">
    <cfRule type="cellIs" dxfId="240" priority="169" operator="equal">
      <formula>"seeker"</formula>
    </cfRule>
    <cfRule type="cellIs" dxfId="239" priority="170" operator="equal">
      <formula>"neutral"</formula>
    </cfRule>
    <cfRule type="cellIs" dxfId="238" priority="171" operator="equal">
      <formula>"rogue"</formula>
    </cfRule>
    <cfRule type="cellIs" dxfId="237" priority="172" operator="equal">
      <formula>"Guardian"</formula>
    </cfRule>
    <cfRule type="cellIs" dxfId="236" priority="173" operator="equal">
      <formula>"Survivor"</formula>
    </cfRule>
    <cfRule type="cellIs" dxfId="235" priority="174" operator="equal">
      <formula>"Mystic"</formula>
    </cfRule>
  </conditionalFormatting>
  <conditionalFormatting sqref="AM882:AM883 AM889">
    <cfRule type="cellIs" dxfId="234" priority="163" operator="equal">
      <formula>"seeker"</formula>
    </cfRule>
    <cfRule type="cellIs" dxfId="233" priority="164" operator="equal">
      <formula>"neutral"</formula>
    </cfRule>
    <cfRule type="cellIs" dxfId="232" priority="165" operator="equal">
      <formula>"rogue"</formula>
    </cfRule>
    <cfRule type="cellIs" dxfId="231" priority="166" operator="equal">
      <formula>"Guardian"</formula>
    </cfRule>
    <cfRule type="cellIs" dxfId="230" priority="167" operator="equal">
      <formula>"Survivor"</formula>
    </cfRule>
    <cfRule type="cellIs" dxfId="229" priority="168" operator="equal">
      <formula>"Mystic"</formula>
    </cfRule>
  </conditionalFormatting>
  <conditionalFormatting sqref="K884">
    <cfRule type="cellIs" dxfId="228" priority="157" operator="equal">
      <formula>"seeker"</formula>
    </cfRule>
    <cfRule type="cellIs" dxfId="227" priority="158" operator="equal">
      <formula>"neutral"</formula>
    </cfRule>
    <cfRule type="cellIs" dxfId="226" priority="159" operator="equal">
      <formula>"rogue"</formula>
    </cfRule>
    <cfRule type="cellIs" dxfId="225" priority="160" operator="equal">
      <formula>"Guardian"</formula>
    </cfRule>
    <cfRule type="cellIs" dxfId="224" priority="161" operator="equal">
      <formula>"Survivor"</formula>
    </cfRule>
    <cfRule type="cellIs" dxfId="223" priority="162" operator="equal">
      <formula>"Mystic"</formula>
    </cfRule>
  </conditionalFormatting>
  <conditionalFormatting sqref="AM884">
    <cfRule type="cellIs" dxfId="222" priority="151" operator="equal">
      <formula>"seeker"</formula>
    </cfRule>
    <cfRule type="cellIs" dxfId="221" priority="152" operator="equal">
      <formula>"neutral"</formula>
    </cfRule>
    <cfRule type="cellIs" dxfId="220" priority="153" operator="equal">
      <formula>"rogue"</formula>
    </cfRule>
    <cfRule type="cellIs" dxfId="219" priority="154" operator="equal">
      <formula>"Guardian"</formula>
    </cfRule>
    <cfRule type="cellIs" dxfId="218" priority="155" operator="equal">
      <formula>"Survivor"</formula>
    </cfRule>
    <cfRule type="cellIs" dxfId="217" priority="156" operator="equal">
      <formula>"Mystic"</formula>
    </cfRule>
  </conditionalFormatting>
  <conditionalFormatting sqref="K885">
    <cfRule type="cellIs" dxfId="216" priority="145" operator="equal">
      <formula>"seeker"</formula>
    </cfRule>
    <cfRule type="cellIs" dxfId="215" priority="146" operator="equal">
      <formula>"neutral"</formula>
    </cfRule>
    <cfRule type="cellIs" dxfId="214" priority="147" operator="equal">
      <formula>"rogue"</formula>
    </cfRule>
    <cfRule type="cellIs" dxfId="213" priority="148" operator="equal">
      <formula>"Guardian"</formula>
    </cfRule>
    <cfRule type="cellIs" dxfId="212" priority="149" operator="equal">
      <formula>"Survivor"</formula>
    </cfRule>
    <cfRule type="cellIs" dxfId="211" priority="150" operator="equal">
      <formula>"Mystic"</formula>
    </cfRule>
  </conditionalFormatting>
  <conditionalFormatting sqref="AM885">
    <cfRule type="cellIs" dxfId="210" priority="139" operator="equal">
      <formula>"seeker"</formula>
    </cfRule>
    <cfRule type="cellIs" dxfId="209" priority="140" operator="equal">
      <formula>"neutral"</formula>
    </cfRule>
    <cfRule type="cellIs" dxfId="208" priority="141" operator="equal">
      <formula>"rogue"</formula>
    </cfRule>
    <cfRule type="cellIs" dxfId="207" priority="142" operator="equal">
      <formula>"Guardian"</formula>
    </cfRule>
    <cfRule type="cellIs" dxfId="206" priority="143" operator="equal">
      <formula>"Survivor"</formula>
    </cfRule>
    <cfRule type="cellIs" dxfId="205" priority="144" operator="equal">
      <formula>"Mystic"</formula>
    </cfRule>
  </conditionalFormatting>
  <conditionalFormatting sqref="K886">
    <cfRule type="cellIs" dxfId="204" priority="133" operator="equal">
      <formula>"seeker"</formula>
    </cfRule>
    <cfRule type="cellIs" dxfId="203" priority="134" operator="equal">
      <formula>"neutral"</formula>
    </cfRule>
    <cfRule type="cellIs" dxfId="202" priority="135" operator="equal">
      <formula>"rogue"</formula>
    </cfRule>
    <cfRule type="cellIs" dxfId="201" priority="136" operator="equal">
      <formula>"Guardian"</formula>
    </cfRule>
    <cfRule type="cellIs" dxfId="200" priority="137" operator="equal">
      <formula>"Survivor"</formula>
    </cfRule>
    <cfRule type="cellIs" dxfId="199" priority="138" operator="equal">
      <formula>"Mystic"</formula>
    </cfRule>
  </conditionalFormatting>
  <conditionalFormatting sqref="AM886">
    <cfRule type="cellIs" dxfId="198" priority="127" operator="equal">
      <formula>"seeker"</formula>
    </cfRule>
    <cfRule type="cellIs" dxfId="197" priority="128" operator="equal">
      <formula>"neutral"</formula>
    </cfRule>
    <cfRule type="cellIs" dxfId="196" priority="129" operator="equal">
      <formula>"rogue"</formula>
    </cfRule>
    <cfRule type="cellIs" dxfId="195" priority="130" operator="equal">
      <formula>"Guardian"</formula>
    </cfRule>
    <cfRule type="cellIs" dxfId="194" priority="131" operator="equal">
      <formula>"Survivor"</formula>
    </cfRule>
    <cfRule type="cellIs" dxfId="193" priority="132" operator="equal">
      <formula>"Mystic"</formula>
    </cfRule>
  </conditionalFormatting>
  <conditionalFormatting sqref="K887">
    <cfRule type="cellIs" dxfId="192" priority="121" operator="equal">
      <formula>"seeker"</formula>
    </cfRule>
    <cfRule type="cellIs" dxfId="191" priority="122" operator="equal">
      <formula>"neutral"</formula>
    </cfRule>
    <cfRule type="cellIs" dxfId="190" priority="123" operator="equal">
      <formula>"rogue"</formula>
    </cfRule>
    <cfRule type="cellIs" dxfId="189" priority="124" operator="equal">
      <formula>"Guardian"</formula>
    </cfRule>
    <cfRule type="cellIs" dxfId="188" priority="125" operator="equal">
      <formula>"Survivor"</formula>
    </cfRule>
    <cfRule type="cellIs" dxfId="187" priority="126" operator="equal">
      <formula>"Mystic"</formula>
    </cfRule>
  </conditionalFormatting>
  <conditionalFormatting sqref="AM887">
    <cfRule type="cellIs" dxfId="186" priority="115" operator="equal">
      <formula>"seeker"</formula>
    </cfRule>
    <cfRule type="cellIs" dxfId="185" priority="116" operator="equal">
      <formula>"neutral"</formula>
    </cfRule>
    <cfRule type="cellIs" dxfId="184" priority="117" operator="equal">
      <formula>"rogue"</formula>
    </cfRule>
    <cfRule type="cellIs" dxfId="183" priority="118" operator="equal">
      <formula>"Guardian"</formula>
    </cfRule>
    <cfRule type="cellIs" dxfId="182" priority="119" operator="equal">
      <formula>"Survivor"</formula>
    </cfRule>
    <cfRule type="cellIs" dxfId="181" priority="120" operator="equal">
      <formula>"Mystic"</formula>
    </cfRule>
  </conditionalFormatting>
  <conditionalFormatting sqref="K888">
    <cfRule type="cellIs" dxfId="180" priority="109" operator="equal">
      <formula>"seeker"</formula>
    </cfRule>
    <cfRule type="cellIs" dxfId="179" priority="110" operator="equal">
      <formula>"neutral"</formula>
    </cfRule>
    <cfRule type="cellIs" dxfId="178" priority="111" operator="equal">
      <formula>"rogue"</formula>
    </cfRule>
    <cfRule type="cellIs" dxfId="177" priority="112" operator="equal">
      <formula>"Guardian"</formula>
    </cfRule>
    <cfRule type="cellIs" dxfId="176" priority="113" operator="equal">
      <formula>"Survivor"</formula>
    </cfRule>
    <cfRule type="cellIs" dxfId="175" priority="114" operator="equal">
      <formula>"Mystic"</formula>
    </cfRule>
  </conditionalFormatting>
  <conditionalFormatting sqref="AM888">
    <cfRule type="cellIs" dxfId="174" priority="103" operator="equal">
      <formula>"seeker"</formula>
    </cfRule>
    <cfRule type="cellIs" dxfId="173" priority="104" operator="equal">
      <formula>"neutral"</formula>
    </cfRule>
    <cfRule type="cellIs" dxfId="172" priority="105" operator="equal">
      <formula>"rogue"</formula>
    </cfRule>
    <cfRule type="cellIs" dxfId="171" priority="106" operator="equal">
      <formula>"Guardian"</formula>
    </cfRule>
    <cfRule type="cellIs" dxfId="170" priority="107" operator="equal">
      <formula>"Survivor"</formula>
    </cfRule>
    <cfRule type="cellIs" dxfId="169" priority="108" operator="equal">
      <formula>"Mystic"</formula>
    </cfRule>
  </conditionalFormatting>
  <conditionalFormatting sqref="AM955:AM960 K933:K957 K960 K963 AM963 AM965:AM977 K965:K977">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AL937">
    <cfRule type="cellIs" dxfId="119" priority="31" operator="equal">
      <formula>"Seeker"</formula>
    </cfRule>
    <cfRule type="cellIs" dxfId="118" priority="32" operator="equal">
      <formula>"Neutral"</formula>
    </cfRule>
    <cfRule type="cellIs" dxfId="117" priority="33" operator="equal">
      <formula>"Rogue"</formula>
    </cfRule>
    <cfRule type="cellIs" dxfId="116" priority="34" operator="equal">
      <formula>"Guardian"</formula>
    </cfRule>
    <cfRule type="cellIs" dxfId="115" priority="35" operator="equal">
      <formula>"Survivor"</formula>
    </cfRule>
    <cfRule type="cellIs" dxfId="114" priority="36" operator="equal">
      <formula>"Mystic"</formula>
    </cfRule>
  </conditionalFormatting>
  <conditionalFormatting sqref="AL933 AL938:AL944">
    <cfRule type="cellIs" dxfId="107" priority="55" operator="equal">
      <formula>"Seeker"</formula>
    </cfRule>
    <cfRule type="cellIs" dxfId="106" priority="56" operator="equal">
      <formula>"Neutral"</formula>
    </cfRule>
    <cfRule type="cellIs" dxfId="105" priority="57" operator="equal">
      <formula>"Rogue"</formula>
    </cfRule>
    <cfRule type="cellIs" dxfId="104" priority="58" operator="equal">
      <formula>"Guardian"</formula>
    </cfRule>
    <cfRule type="cellIs" dxfId="103" priority="59" operator="equal">
      <formula>"Survivor"</formula>
    </cfRule>
    <cfRule type="cellIs" dxfId="102" priority="60" operator="equal">
      <formula>"Mystic"</formula>
    </cfRule>
  </conditionalFormatting>
  <conditionalFormatting sqref="AL934">
    <cfRule type="cellIs" dxfId="95" priority="49" operator="equal">
      <formula>"Seeker"</formula>
    </cfRule>
    <cfRule type="cellIs" dxfId="94" priority="50" operator="equal">
      <formula>"Neutral"</formula>
    </cfRule>
    <cfRule type="cellIs" dxfId="93" priority="51" operator="equal">
      <formula>"Rogue"</formula>
    </cfRule>
    <cfRule type="cellIs" dxfId="92" priority="52" operator="equal">
      <formula>"Guardian"</formula>
    </cfRule>
    <cfRule type="cellIs" dxfId="91" priority="53" operator="equal">
      <formula>"Survivor"</formula>
    </cfRule>
    <cfRule type="cellIs" dxfId="90" priority="54" operator="equal">
      <formula>"Mystic"</formula>
    </cfRule>
  </conditionalFormatting>
  <conditionalFormatting sqref="AL935">
    <cfRule type="cellIs" dxfId="83" priority="43" operator="equal">
      <formula>"Seeker"</formula>
    </cfRule>
    <cfRule type="cellIs" dxfId="82" priority="44" operator="equal">
      <formula>"Neutral"</formula>
    </cfRule>
    <cfRule type="cellIs" dxfId="81" priority="45" operator="equal">
      <formula>"Rogue"</formula>
    </cfRule>
    <cfRule type="cellIs" dxfId="80" priority="46" operator="equal">
      <formula>"Guardian"</formula>
    </cfRule>
    <cfRule type="cellIs" dxfId="79" priority="47" operator="equal">
      <formula>"Survivor"</formula>
    </cfRule>
    <cfRule type="cellIs" dxfId="78" priority="48" operator="equal">
      <formula>"Mystic"</formula>
    </cfRule>
  </conditionalFormatting>
  <conditionalFormatting sqref="AL936">
    <cfRule type="cellIs" dxfId="71" priority="37" operator="equal">
      <formula>"Seeker"</formula>
    </cfRule>
    <cfRule type="cellIs" dxfId="70" priority="38" operator="equal">
      <formula>"Neutral"</formula>
    </cfRule>
    <cfRule type="cellIs" dxfId="69" priority="39" operator="equal">
      <formula>"Rogue"</formula>
    </cfRule>
    <cfRule type="cellIs" dxfId="68" priority="40" operator="equal">
      <formula>"Guardian"</formula>
    </cfRule>
    <cfRule type="cellIs" dxfId="67" priority="41" operator="equal">
      <formula>"Survivor"</formula>
    </cfRule>
    <cfRule type="cellIs" dxfId="66" priority="42" operator="equal">
      <formula>"Mystic"</formula>
    </cfRule>
  </conditionalFormatting>
  <conditionalFormatting sqref="K958">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959">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AM961 K961">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AM962 K962">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K964 AM964">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13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2018-06-16T02:52:19Z</dcterms:modified>
</cp:coreProperties>
</file>