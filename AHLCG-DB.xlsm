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1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21" i="2" l="1"/>
  <c r="H21" i="2"/>
  <c r="J21" i="2"/>
  <c r="I21" i="2" s="1"/>
  <c r="K21" i="2"/>
  <c r="L21" i="2"/>
  <c r="N21" i="2"/>
  <c r="O21" i="2"/>
  <c r="P21" i="2"/>
  <c r="Q21" i="2"/>
  <c r="R21" i="2"/>
  <c r="S21" i="2"/>
  <c r="T21" i="2"/>
  <c r="V21" i="2"/>
  <c r="W21" i="2"/>
  <c r="X21" i="2"/>
  <c r="Y21" i="2"/>
  <c r="Z21" i="2"/>
  <c r="AA21" i="2"/>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<sst xmlns="http://schemas.openxmlformats.org/spreadsheetml/2006/main" count="15816" uniqueCount="8079">
  <si>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</si>
  <si>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</si>
  <si>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</si>
  <si>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</si>
  <si>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</si>
  <si>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</si>
  <si>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</si>
  <si>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</si>
  <si>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</si>
  <si>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</si>
  <si>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</si>
  <si>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</si>
  <si>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</si>
  <si>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</si>
  <si>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</si>
  <si>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</si>
  <si>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</si>
  <si>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</si>
  <si>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</si>
  <si>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</si>
  <si>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</si>
  <si>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</si>
  <si>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</si>
  <si>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</si>
  <si>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</si>
  <si>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</si>
  <si>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</si>
  <si>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</si>
  <si>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</si>
  <si>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</si>
  <si>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</si>
  <si>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</si>
  <si>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</si>
  <si>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</si>
  <si>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</si>
  <si>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</si>
  <si>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</si>
  <si>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</si>
  <si>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</si>
  <si>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</si>
  <si>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</si>
  <si>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</si>
  <si>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</si>
  <si>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</si>
  <si>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</si>
  <si>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</si>
  <si>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</si>
  <si>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</si>
  <si>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</si>
  <si>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</si>
  <si>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</si>
  <si>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</si>
  <si>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</si>
  <si>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</si>
  <si>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</si>
  <si>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</si>
  <si>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</si>
  <si>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</si>
  <si>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</si>
  <si>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</si>
  <si>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</si>
  <si>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</si>
  <si>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</si>
  <si>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</si>
  <si>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</si>
  <si>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</si>
  <si>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</si>
  <si>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</si>
  <si>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</si>
  <si>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</si>
  <si>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</si>
  <si>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</si>
  <si>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</si>
  <si>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</si>
  <si>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</si>
  <si>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</si>
  <si>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</si>
  <si>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</si>
  <si>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</si>
  <si>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</si>
  <si>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</si>
  <si>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</si>
  <si>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</si>
  <si>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</si>
  <si>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</si>
  <si>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</si>
  <si>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</si>
  <si>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</si>
  <si>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</si>
  <si>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</si>
  <si>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</si>
  <si>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</si>
  <si>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</si>
  <si>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</si>
  <si>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</si>
  <si>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</si>
  <si>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</si>
  <si>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</si>
  <si>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</si>
  <si>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</si>
  <si>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</si>
  <si>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</si>
  <si>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</si>
  <si>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</si>
  <si>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</si>
  <si>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</si>
  <si>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</si>
  <si>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</si>
  <si>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</si>
  <si>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</si>
  <si>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</si>
  <si>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</si>
  <si>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</si>
  <si>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</si>
  <si>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</si>
  <si>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</si>
  <si>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</si>
  <si>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</si>
  <si>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</si>
  <si>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</si>
  <si>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</si>
  <si>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</si>
  <si>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</si>
  <si>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</si>
  <si>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</si>
  <si>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</si>
  <si>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</si>
  <si>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</si>
  <si>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</si>
  <si>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</si>
  <si>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</si>
  <si>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</si>
  <si>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</si>
  <si>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</si>
  <si>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</si>
  <si>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</si>
  <si>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</si>
  <si>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</si>
  <si>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</si>
  <si>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</si>
  <si>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</si>
  <si>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</si>
  <si>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</si>
  <si>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</si>
  <si>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</si>
  <si>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</si>
  <si>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</si>
  <si>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</si>
  <si>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</si>
  <si>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</si>
  <si>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</si>
  <si>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</si>
  <si>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</si>
  <si>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</si>
  <si>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</si>
  <si>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</si>
  <si>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</si>
  <si>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</si>
  <si>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</si>
  <si>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</si>
  <si>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</si>
  <si>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</si>
  <si>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</si>
  <si>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</si>
  <si>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</si>
  <si>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</si>
  <si>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</si>
  <si>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</si>
  <si>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</si>
  <si>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</si>
  <si>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</si>
  <si>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</si>
  <si>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</si>
  <si>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</si>
  <si>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</si>
  <si>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</si>
  <si>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</si>
  <si>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</si>
  <si>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</si>
  <si>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</si>
  <si>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</si>
  <si>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</si>
  <si>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</si>
  <si>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</si>
  <si>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</si>
  <si>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</si>
  <si>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</si>
  <si>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</si>
  <si>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</si>
  <si>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</si>
  <si>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</si>
  <si>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</si>
  <si>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</si>
  <si>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</si>
  <si>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</si>
  <si>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</si>
  <si>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</si>
  <si>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</si>
  <si>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</si>
  <si>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</si>
  <si>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</si>
  <si>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</si>
  <si>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</si>
  <si>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</si>
  <si>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</si>
  <si>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</si>
  <si>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</si>
  <si>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</si>
  <si>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</si>
  <si>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</si>
  <si>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</si>
  <si>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</si>
  <si>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</si>
  <si>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</si>
  <si>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</si>
  <si>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</si>
  <si>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</si>
  <si>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</si>
  <si>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</si>
  <si>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</si>
  <si>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</si>
  <si>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</si>
  <si>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</si>
  <si>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</si>
  <si>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</si>
  <si>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</si>
  <si>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</si>
  <si>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</si>
  <si>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</si>
  <si>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</si>
  <si>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</si>
  <si>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</si>
  <si>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</si>
  <si>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</si>
  <si>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</si>
  <si>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</si>
  <si>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</si>
  <si>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</si>
  <si>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</si>
  <si>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</si>
  <si>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</si>
  <si>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</si>
  <si>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</si>
  <si>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</si>
  <si>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</si>
  <si>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</si>
  <si>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</si>
  <si>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</si>
  <si>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</si>
  <si>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</si>
  <si>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</si>
  <si>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</si>
  <si>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</si>
  <si>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</si>
  <si>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</si>
  <si>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</si>
  <si>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</si>
  <si>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</si>
  <si>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</si>
  <si>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</si>
  <si>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</si>
  <si>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</si>
  <si>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</si>
  <si>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</si>
  <si>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</si>
  <si>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</si>
  <si>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</si>
  <si>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</si>
  <si>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</si>
  <si>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</si>
  <si>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</si>
  <si>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</si>
  <si>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</si>
  <si>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</si>
  <si>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</si>
  <si>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</si>
  <si>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</si>
  <si>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</si>
  <si>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</si>
  <si>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</si>
  <si>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</si>
  <si>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</si>
  <si>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</si>
  <si>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</si>
  <si>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</si>
  <si>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</si>
  <si>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</si>
  <si>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</si>
  <si>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</si>
  <si>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</si>
  <si>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</si>
  <si>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</si>
  <si>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</si>
  <si>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</si>
  <si>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</si>
  <si>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</si>
  <si>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</si>
  <si>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</si>
  <si>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</si>
  <si>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</si>
  <si>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</si>
  <si>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</si>
  <si>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</si>
  <si>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</si>
  <si>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</si>
  <si>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</si>
  <si>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</si>
  <si>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</si>
  <si>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</si>
  <si>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</si>
  <si>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</si>
  <si>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</si>
  <si>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</si>
  <si>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</si>
  <si>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</si>
  <si>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</si>
  <si>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</si>
  <si>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</si>
  <si>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</si>
  <si>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</si>
  <si>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</si>
  <si>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</si>
  <si>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</si>
  <si>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</si>
  <si>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</si>
  <si>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</si>
  <si>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</si>
  <si>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</si>
  <si>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</si>
  <si>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</si>
  <si>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</si>
  <si>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</si>
  <si>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</si>
  <si>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</si>
  <si>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</si>
  <si>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</si>
  <si>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</si>
  <si>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</si>
  <si>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</si>
  <si>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</si>
  <si>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</si>
  <si>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</si>
  <si>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</si>
  <si>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</si>
  <si>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</si>
  <si>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</si>
  <si>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</si>
  <si>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</si>
  <si>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</si>
  <si>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</si>
  <si>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</si>
  <si>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</si>
  <si>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</si>
  <si>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</si>
  <si>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</si>
  <si>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</si>
  <si>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</si>
  <si>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</si>
  <si>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</si>
  <si>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</si>
  <si>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</si>
  <si>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</si>
  <si>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</si>
  <si>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</si>
  <si>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</si>
  <si>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</si>
  <si>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</si>
  <si>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</si>
  <si>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</si>
  <si>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</si>
  <si>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</si>
  <si>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</si>
  <si>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</si>
  <si>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</si>
  <si>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</si>
  <si>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</si>
  <si>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</si>
  <si>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</si>
  <si>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</si>
  <si>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</si>
  <si>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</si>
  <si>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</si>
  <si>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</si>
  <si>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</si>
  <si>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</si>
  <si>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</si>
  <si>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</si>
  <si>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</si>
  <si>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</si>
  <si>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</si>
  <si>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</si>
  <si>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</si>
  <si>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</si>
  <si>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</si>
  <si>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</si>
  <si>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</si>
  <si>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</si>
  <si>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</si>
  <si>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</si>
  <si>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</si>
  <si>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</si>
  <si>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</si>
  <si>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</si>
  <si>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</si>
  <si>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</si>
  <si>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</si>
  <si>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</si>
  <si>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</si>
  <si>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</si>
  <si>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</si>
  <si>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</si>
  <si>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</si>
  <si>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</si>
  <si>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</si>
  <si>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</si>
  <si>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</si>
  <si>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</si>
  <si>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</si>
  <si>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</si>
  <si>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</si>
  <si>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</si>
  <si>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</si>
  <si>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</si>
  <si>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</si>
  <si>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</si>
  <si>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</si>
  <si>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</si>
  <si>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</si>
  <si>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</si>
  <si>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</si>
  <si>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</si>
  <si>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</si>
  <si>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</si>
  <si>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</si>
  <si>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</si>
  <si>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</si>
  <si>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</si>
  <si>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</si>
  <si>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</si>
  <si>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</si>
  <si>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</si>
  <si>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</si>
  <si>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</si>
  <si>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</si>
  <si>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</si>
  <si>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</si>
  <si>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</si>
  <si>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</si>
  <si>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</si>
  <si>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</si>
  <si>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</si>
  <si>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</si>
  <si>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</si>
  <si>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</si>
  <si>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</si>
  <si>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</si>
  <si>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</si>
  <si>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</si>
  <si>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</si>
  <si>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</si>
  <si>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</si>
  <si>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</si>
  <si>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</si>
  <si>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</si>
  <si>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</si>
  <si>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</si>
  <si>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</si>
  <si>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</si>
  <si>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</si>
  <si>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</si>
  <si>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</si>
  <si>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</si>
  <si>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</si>
  <si>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</si>
  <si>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</si>
  <si>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</si>
  <si>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</si>
  <si>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</si>
  <si>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</si>
  <si>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</si>
  <si>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</si>
  <si>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</si>
  <si>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</si>
  <si>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</si>
  <si>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</si>
  <si>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</si>
  <si>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</si>
  <si>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</si>
  <si>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</si>
  <si>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</si>
  <si>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</si>
  <si>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</si>
  <si>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</si>
  <si>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</si>
  <si>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</si>
  <si>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</si>
  <si>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</si>
  <si>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</si>
  <si>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</si>
  <si>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</si>
  <si>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</si>
  <si>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</si>
  <si>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</si>
  <si>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</si>
  <si>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</si>
  <si>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</si>
  <si>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</si>
  <si>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</si>
  <si>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</si>
  <si>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</si>
  <si>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</si>
  <si>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</si>
  <si>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</si>
  <si>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</si>
  <si>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</si>
  <si>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</si>
  <si>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</si>
  <si>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</si>
  <si>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</si>
  <si>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</si>
  <si>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</si>
  <si>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</si>
  <si>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</si>
  <si>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</si>
  <si>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</si>
  <si>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</si>
  <si>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</si>
  <si>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</si>
  <si>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</si>
  <si>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</si>
  <si>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</si>
  <si>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</si>
  <si>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</si>
  <si>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</si>
  <si>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</si>
  <si>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</si>
  <si>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</si>
  <si>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</si>
  <si>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</si>
  <si>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</si>
  <si>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</si>
  <si>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</si>
  <si>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</si>
  <si>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</si>
  <si>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</si>
  <si>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</si>
  <si>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</si>
  <si>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</si>
  <si>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</si>
  <si>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</si>
  <si>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</si>
  <si>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</si>
  <si>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</si>
  <si>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</si>
  <si>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</si>
  <si>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</si>
  <si>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</si>
  <si>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</si>
  <si>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</si>
  <si>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</si>
  <si>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</si>
  <si>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</si>
  <si>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</si>
  <si>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</si>
  <si>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</si>
  <si>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</si>
  <si>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</si>
  <si>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</si>
  <si>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</si>
  <si>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</si>
  <si>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</si>
  <si>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</si>
  <si>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</si>
  <si>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</si>
  <si>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</si>
  <si>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</si>
  <si>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</si>
  <si>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</si>
  <si>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</si>
  <si>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</si>
  <si>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</si>
  <si>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</si>
  <si>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</si>
  <si>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</si>
  <si>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</si>
  <si>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</si>
  <si>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</si>
  <si>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</si>
  <si>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</si>
  <si>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</si>
  <si>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</si>
  <si>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</si>
  <si>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</si>
  <si>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</si>
  <si>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</si>
  <si>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</si>
  <si>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</si>
  <si>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</si>
  <si>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</si>
  <si>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</si>
  <si>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</si>
  <si>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</si>
  <si>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</si>
  <si>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</si>
  <si>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</si>
  <si>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</si>
  <si>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</si>
  <si>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</si>
  <si>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</si>
  <si>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</si>
  <si>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</si>
  <si>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</si>
  <si>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</si>
  <si>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</si>
  <si>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</si>
  <si>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</si>
  <si>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</si>
  <si>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</si>
  <si>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</si>
  <si>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</si>
  <si>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</si>
  <si>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</si>
  <si>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</si>
  <si>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</si>
  <si>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</si>
  <si>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</si>
  <si>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</si>
  <si>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</si>
  <si>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</si>
  <si>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</si>
  <si>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</si>
  <si>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</si>
  <si>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</si>
  <si>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</si>
  <si>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</si>
  <si>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</si>
  <si>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</si>
  <si>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</si>
  <si>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</si>
  <si>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</si>
  <si>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</si>
  <si>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</si>
  <si>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</si>
  <si>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</si>
  <si>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</si>
  <si>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</si>
  <si>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</si>
  <si>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</si>
  <si>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</si>
  <si>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</si>
  <si>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</si>
  <si>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</si>
  <si>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</si>
  <si>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</si>
  <si>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</si>
  <si>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</si>
  <si>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</si>
  <si>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</si>
  <si>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</si>
  <si>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</si>
  <si>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</si>
  <si>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</si>
  <si>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</si>
  <si>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</si>
  <si>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</si>
  <si>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</si>
  <si>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</si>
  <si>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</si>
  <si>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</si>
  <si>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</si>
  <si>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</si>
  <si>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</si>
  <si>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</si>
  <si>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</si>
  <si>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</si>
  <si>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</si>
  <si>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</si>
  <si>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</si>
  <si>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</si>
  <si>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</si>
  <si>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</si>
  <si>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</si>
  <si>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</si>
  <si>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</si>
  <si>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</si>
  <si>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</si>
  <si>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</si>
  <si>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</si>
  <si>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</si>
  <si>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</si>
  <si>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</si>
  <si>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</si>
  <si>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</si>
  <si>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</si>
  <si>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</si>
  <si>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</si>
  <si>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</si>
  <si>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</si>
  <si>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</si>
  <si>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</si>
  <si>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</si>
  <si>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</si>
  <si>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</si>
  <si>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</si>
  <si>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</si>
  <si>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</si>
  <si>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</si>
  <si>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</si>
  <si>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</si>
  <si>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</si>
  <si>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</si>
  <si>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</si>
  <si>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</si>
  <si>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</si>
  <si>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</si>
  <si>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</si>
  <si>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</si>
  <si>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</si>
  <si>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</si>
  <si>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</si>
  <si>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</si>
  <si>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</si>
  <si>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</si>
  <si>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</si>
  <si>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</si>
  <si>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</si>
  <si>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</si>
  <si>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</si>
  <si>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</si>
  <si>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</si>
  <si>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</si>
  <si>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</si>
  <si>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</si>
  <si>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</si>
  <si>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</si>
  <si>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</si>
  <si>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</si>
  <si>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</si>
  <si>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</si>
  <si>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</si>
  <si>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</si>
  <si>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</si>
  <si>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</si>
  <si>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</si>
  <si>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</si>
  <si>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</si>
  <si>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</si>
  <si>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</si>
  <si>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</si>
  <si>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</si>
  <si>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</si>
  <si>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</si>
  <si>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</si>
  <si>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</si>
  <si>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</si>
  <si>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</si>
  <si>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</si>
  <si>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</si>
  <si>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</si>
  <si>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</si>
  <si>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</si>
  <si>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</si>
  <si>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</si>
  <si>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</si>
  <si>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</si>
  <si>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</si>
  <si>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</si>
  <si>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</si>
  <si>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</si>
  <si>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</si>
  <si>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</si>
  <si>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</si>
  <si>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</si>
  <si>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</si>
  <si>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</si>
  <si>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</si>
  <si>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</si>
  <si>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</si>
  <si>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</si>
  <si>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</si>
  <si>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</si>
  <si>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</si>
  <si>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</si>
  <si>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</si>
  <si>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</si>
  <si>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</si>
  <si>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</si>
  <si>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</si>
  <si>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</si>
  <si>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</si>
  <si>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</si>
  <si>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</si>
  <si>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</si>
  <si>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</si>
  <si>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</si>
  <si>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</si>
  <si>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</si>
  <si>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</si>
  <si>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</si>
  <si>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</si>
  <si>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</si>
  <si>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</si>
  <si>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</si>
  <si>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</si>
  <si>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</si>
  <si>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</si>
  <si>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</si>
  <si>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</si>
  <si>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</si>
  <si>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</si>
  <si>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</si>
  <si>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</si>
  <si>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</si>
  <si>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</si>
  <si>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</si>
  <si>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</si>
  <si>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</si>
  <si>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</si>
  <si>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</si>
  <si>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</si>
  <si>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</si>
  <si>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</si>
  <si>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</si>
  <si>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</si>
  <si>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</si>
  <si>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</si>
  <si>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</si>
  <si>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</si>
  <si>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</si>
  <si>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</si>
  <si>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</si>
  <si>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</si>
  <si>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</si>
  <si>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</si>
  <si>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</si>
  <si>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</si>
  <si>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</si>
  <si>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</si>
  <si>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</si>
  <si>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</si>
  <si>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</si>
  <si>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</si>
  <si>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</si>
  <si>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</si>
  <si>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</si>
  <si>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</si>
  <si>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</si>
  <si>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</si>
  <si>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</si>
  <si>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</si>
  <si>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</si>
  <si>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</si>
  <si>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</si>
  <si>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</si>
  <si>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</si>
  <si>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</si>
  <si>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</si>
  <si>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</si>
  <si>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</si>
  <si>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</si>
  <si>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</si>
  <si>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</si>
  <si>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</si>
  <si>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</si>
  <si>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</si>
  <si>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</si>
  <si>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</si>
  <si>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</si>
  <si>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</si>
  <si>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</si>
  <si>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</si>
  <si>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</si>
  <si>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</si>
  <si>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</si>
  <si>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</si>
  <si>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</si>
  <si>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</si>
  <si>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</si>
  <si>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</si>
  <si>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</si>
  <si>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</si>
  <si>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</si>
  <si>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</si>
  <si>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</si>
  <si>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</si>
  <si>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</si>
  <si>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</si>
  <si>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</si>
  <si>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</si>
  <si>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</si>
  <si>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</si>
  <si>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</si>
  <si>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</si>
  <si>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</si>
  <si>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</si>
  <si>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</si>
  <si>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</si>
  <si>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</si>
  <si>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</si>
  <si>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</si>
  <si>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</si>
  <si>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</si>
  <si>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</si>
  <si>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</si>
  <si>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</si>
  <si>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</si>
  <si>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</si>
  <si>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</si>
  <si>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</si>
  <si>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</si>
  <si>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</si>
  <si>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</si>
  <si>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</si>
  <si>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</si>
  <si>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</si>
  <si>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</si>
  <si>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</si>
  <si>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</si>
  <si>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</si>
  <si>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</si>
  <si>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</si>
  <si>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</si>
  <si>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</si>
  <si>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</si>
  <si>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</si>
  <si>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</si>
  <si>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</si>
  <si>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</si>
  <si>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</si>
  <si>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</si>
  <si>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</si>
  <si>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</si>
  <si>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</si>
  <si>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</si>
  <si>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</si>
  <si>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</si>
  <si>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</si>
  <si>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</si>
  <si>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</si>
  <si>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</si>
  <si>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</si>
  <si>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</si>
  <si>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</si>
  <si>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</si>
  <si>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</si>
  <si>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</si>
  <si>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</si>
  <si>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</si>
  <si>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</si>
  <si>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</si>
  <si>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</si>
  <si>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</si>
  <si>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</si>
  <si>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</si>
  <si>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</si>
  <si>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</si>
  <si>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</si>
  <si>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</si>
  <si>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</si>
  <si>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</si>
  <si>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</si>
  <si>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</si>
  <si>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</si>
  <si>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</si>
  <si>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</si>
  <si>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</si>
  <si>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</si>
  <si>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</si>
  <si>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</si>
  <si>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</si>
  <si>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</si>
  <si>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</si>
  <si>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</si>
  <si>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</si>
  <si>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</si>
  <si>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</si>
  <si>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</si>
  <si>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</si>
  <si>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</si>
  <si>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</si>
  <si>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</si>
  <si>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</si>
  <si>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</si>
  <si>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</si>
  <si>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</si>
  <si>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</si>
  <si>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</si>
  <si>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</si>
  <si>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</si>
  <si>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</si>
  <si>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</si>
  <si>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</si>
  <si>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</si>
  <si>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</si>
  <si>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</si>
  <si>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</si>
  <si>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</si>
  <si>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</si>
  <si>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</si>
  <si>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</si>
  <si>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</si>
  <si>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</si>
  <si>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</si>
  <si>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</si>
  <si>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</si>
  <si>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</si>
  <si>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</si>
  <si>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</si>
  <si>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</si>
  <si>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</si>
  <si>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</si>
  <si>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</si>
  <si>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</si>
  <si>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</si>
  <si>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</si>
  <si>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</si>
  <si>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</si>
  <si>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</si>
  <si>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</si>
  <si>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</si>
  <si>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</si>
  <si>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</si>
  <si>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</si>
  <si>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</si>
  <si>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</si>
  <si>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</si>
  <si>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</si>
  <si>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</si>
  <si>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</si>
  <si>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</si>
  <si>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</si>
  <si>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</si>
  <si>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</si>
  <si>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</si>
  <si>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</si>
  <si>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</si>
  <si>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</si>
  <si>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</si>
  <si>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</si>
  <si>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</si>
  <si>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</si>
  <si>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</si>
  <si>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</si>
  <si>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</si>
  <si>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</si>
  <si>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</si>
  <si>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</si>
  <si>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</si>
  <si>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</si>
  <si>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</si>
  <si>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</si>
  <si>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</si>
  <si>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</si>
  <si>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</si>
  <si>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</si>
  <si>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</si>
  <si>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</si>
  <si>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</si>
  <si>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</si>
  <si>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</si>
  <si>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</si>
  <si>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</si>
  <si>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</si>
  <si>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</si>
  <si>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</si>
  <si>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</si>
  <si>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</si>
  <si>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</si>
  <si>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</si>
  <si>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</si>
  <si>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</si>
  <si>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</si>
  <si>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</si>
  <si>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</si>
  <si>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</si>
  <si>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</si>
  <si>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</si>
  <si>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</si>
  <si>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</si>
  <si>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</si>
  <si>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</si>
  <si>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</si>
  <si>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</si>
  <si>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</si>
  <si>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</si>
  <si>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</si>
  <si>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</si>
  <si>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</si>
  <si>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</si>
  <si>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</si>
  <si>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</si>
  <si>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</si>
  <si>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</si>
  <si>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</si>
  <si>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</si>
  <si>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</si>
  <si>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</si>
  <si>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</si>
  <si>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</si>
  <si>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</si>
  <si>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</si>
  <si>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</si>
  <si>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</si>
  <si>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</si>
  <si>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</si>
  <si>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</si>
  <si>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</si>
  <si>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</si>
  <si>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</si>
  <si>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</si>
  <si>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</si>
  <si>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</si>
  <si>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</si>
  <si>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</si>
  <si>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</si>
  <si>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</si>
  <si>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</si>
  <si>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</si>
  <si>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</si>
  <si>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</si>
  <si>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</si>
  <si>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</si>
  <si>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</si>
  <si>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</si>
  <si>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</si>
  <si>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</si>
  <si>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</si>
  <si>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</si>
  <si>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</si>
  <si>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</si>
  <si>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</si>
  <si>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</si>
  <si>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</si>
  <si>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</si>
  <si>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</si>
  <si>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</si>
  <si>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</si>
  <si>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</si>
  <si>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</si>
  <si>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</si>
  <si>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</si>
  <si>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</si>
  <si>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</si>
  <si>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</si>
  <si>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</si>
  <si>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</si>
  <si>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</si>
  <si>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</si>
  <si>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</si>
  <si>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</si>
  <si>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</si>
  <si>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</si>
  <si>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</si>
  <si>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</si>
  <si>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</si>
  <si>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</si>
  <si>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</si>
  <si>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</si>
  <si>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</si>
  <si>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</si>
  <si>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</si>
  <si>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</si>
  <si>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</si>
  <si>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</si>
  <si>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</si>
  <si>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</si>
  <si>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</si>
  <si>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</si>
  <si>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</si>
  <si>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</si>
  <si>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</si>
  <si>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</si>
  <si>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</si>
  <si>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</si>
  <si>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</si>
  <si>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</si>
  <si>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</si>
  <si>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</si>
  <si>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</si>
  <si>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</si>
  <si>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</si>
  <si>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</si>
  <si>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</si>
  <si>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</si>
  <si>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</si>
  <si>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</si>
  <si>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</si>
  <si>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</si>
  <si>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</si>
  <si>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</si>
  <si>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</si>
  <si>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</si>
  <si>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</si>
  <si>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</si>
  <si>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</si>
  <si>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</si>
  <si>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</si>
  <si>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</si>
  <si>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</si>
  <si>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</si>
  <si>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</si>
  <si>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</si>
  <si>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</si>
  <si>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</si>
  <si>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</si>
  <si>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</si>
  <si>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</si>
  <si>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</si>
  <si>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</si>
  <si>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</si>
  <si>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</si>
  <si>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</si>
  <si>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</si>
  <si>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</si>
  <si>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</si>
  <si>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</si>
  <si>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</si>
  <si>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</si>
  <si>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</si>
  <si>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</si>
  <si>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</si>
  <si>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</si>
  <si>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</si>
  <si>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</si>
  <si>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</si>
  <si>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</si>
  <si>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</si>
  <si>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</si>
  <si>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</si>
  <si>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</si>
  <si>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</si>
  <si>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</si>
  <si>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</si>
  <si>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</si>
  <si>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</si>
  <si>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</si>
  <si>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</si>
  <si>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</si>
  <si>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</si>
  <si>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</si>
  <si>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</si>
  <si>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</si>
  <si>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</si>
  <si>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</si>
  <si>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</si>
  <si>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</si>
  <si>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</si>
  <si>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</si>
  <si>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</si>
  <si>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</si>
  <si>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</si>
  <si>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</si>
  <si>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</si>
  <si>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</si>
  <si>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</si>
  <si>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</si>
  <si>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</si>
  <si>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</si>
  <si>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</si>
  <si>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</si>
  <si>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</si>
  <si>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</si>
  <si>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</si>
  <si>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</si>
  <si>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</si>
  <si>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</si>
  <si>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</si>
  <si>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</si>
  <si>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</si>
  <si>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</si>
  <si>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</si>
  <si>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</si>
  <si>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</si>
  <si>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</si>
  <si>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</si>
  <si>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</si>
  <si>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</si>
  <si>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</si>
  <si>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</si>
  <si>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</si>
  <si>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</si>
  <si>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</si>
  <si>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</si>
  <si>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</si>
  <si>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</si>
  <si>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</si>
  <si>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</si>
  <si>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</si>
  <si>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</si>
  <si>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</si>
  <si>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</si>
  <si>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</si>
  <si>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</si>
  <si>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</si>
  <si>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</si>
  <si>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</si>
  <si>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</si>
  <si>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</si>
  <si>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</si>
  <si>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</si>
  <si>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</si>
  <si>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</si>
  <si>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</si>
  <si>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</si>
  <si>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</si>
  <si>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</si>
  <si>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</si>
  <si>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</si>
  <si>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</si>
  <si>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</si>
  <si>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</si>
  <si>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</si>
  <si>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</si>
  <si>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</si>
  <si>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</si>
  <si>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</si>
  <si>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</si>
  <si>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</si>
  <si>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</si>
  <si>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</si>
  <si>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</si>
  <si>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</si>
  <si>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</si>
  <si>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</si>
  <si>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</si>
  <si>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</si>
  <si>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</si>
  <si>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</si>
  <si>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</si>
  <si>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</si>
  <si>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</si>
  <si>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</si>
  <si>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</si>
  <si>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</si>
  <si>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</si>
  <si>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</si>
  <si>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</si>
  <si>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</si>
  <si>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</si>
  <si>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</si>
  <si>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</si>
  <si>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</si>
  <si>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</si>
  <si>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</si>
  <si>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</si>
  <si>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</si>
  <si>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</si>
  <si>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</si>
  <si>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</si>
  <si>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</si>
  <si>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</si>
  <si>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</si>
  <si>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</si>
  <si>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</si>
  <si>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</si>
  <si>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</si>
  <si>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</si>
  <si>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</si>
  <si>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</si>
  <si>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</si>
  <si>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</si>
  <si>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</si>
  <si>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</si>
  <si>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</si>
  <si>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</si>
  <si>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</si>
  <si>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</si>
  <si>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</si>
  <si>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</si>
  <si>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</si>
  <si>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</si>
  <si>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</si>
  <si>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</si>
  <si>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</si>
  <si>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</si>
  <si>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</si>
  <si>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</si>
  <si>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</si>
  <si>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</si>
  <si>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</si>
  <si>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</si>
  <si>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</si>
  <si>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</si>
  <si>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</si>
  <si>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</si>
  <si>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</si>
  <si>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</si>
  <si>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</si>
  <si>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</si>
  <si>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</si>
  <si>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</si>
  <si>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</si>
  <si>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</si>
  <si>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</si>
  <si>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</si>
  <si>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</si>
  <si>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</si>
  <si>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</si>
  <si>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</si>
  <si>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</si>
  <si>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</si>
  <si>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</si>
  <si>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</si>
  <si>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</si>
  <si>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</si>
  <si>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</si>
  <si>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</si>
  <si>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</si>
  <si>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</si>
  <si>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</si>
  <si>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</si>
  <si>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</si>
  <si>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</si>
  <si>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</si>
  <si>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</si>
  <si>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</si>
  <si>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</si>
  <si>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</si>
  <si>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</si>
  <si>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</si>
  <si>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</si>
  <si>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</si>
  <si>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</si>
  <si>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</si>
  <si>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</si>
  <si>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</si>
  <si>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</si>
  <si>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</si>
  <si>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</si>
  <si>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</si>
  <si>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</si>
  <si>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</si>
  <si>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</si>
  <si>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</si>
  <si>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</si>
  <si>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</si>
  <si>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</si>
  <si>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</si>
  <si>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</si>
  <si>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</si>
  <si>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</si>
  <si>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</si>
  <si>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</si>
  <si>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</si>
  <si>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</si>
  <si>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</si>
  <si>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</si>
  <si>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</si>
  <si>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</si>
  <si>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</si>
  <si>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</si>
  <si>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</si>
  <si>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</si>
  <si>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</si>
  <si>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</si>
  <si>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</si>
  <si>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</si>
  <si>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</si>
  <si>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</si>
  <si>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</si>
  <si>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</si>
  <si>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</si>
  <si>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</si>
  <si>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</si>
  <si>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</si>
  <si>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</si>
  <si>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</si>
  <si>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</si>
  <si>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</si>
  <si>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</si>
  <si>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</si>
  <si>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</si>
  <si>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</si>
  <si>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</si>
  <si>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</si>
  <si>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</si>
  <si>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</si>
  <si>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</si>
  <si>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</si>
  <si>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</si>
  <si>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</si>
  <si>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</si>
  <si>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</si>
  <si>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</si>
  <si>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</si>
  <si>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</si>
  <si>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</si>
  <si>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</si>
  <si>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</si>
  <si>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</si>
  <si>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</si>
  <si>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</si>
  <si>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</si>
  <si>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</si>
  <si>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</si>
  <si>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</si>
  <si>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</si>
  <si>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</si>
  <si>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</si>
  <si>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</si>
  <si>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</si>
  <si>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</si>
  <si>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</si>
  <si>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</si>
  <si>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</si>
  <si>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</si>
  <si>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</si>
  <si>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</si>
  <si>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</si>
  <si>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</si>
  <si>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</si>
  <si>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</si>
  <si>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</si>
  <si>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</si>
  <si>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</si>
  <si>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</si>
  <si>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</si>
  <si>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</si>
  <si>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</si>
  <si>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</si>
  <si>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</si>
  <si>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</si>
  <si>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</si>
  <si>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</si>
  <si>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</si>
  <si>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</si>
  <si>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</si>
  <si>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</si>
  <si>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</si>
  <si>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</si>
  <si>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</si>
  <si>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</si>
  <si>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</si>
  <si>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</si>
  <si>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</si>
  <si>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</si>
  <si>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</si>
  <si>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</si>
  <si>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</si>
  <si>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</si>
  <si>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</si>
  <si>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</si>
  <si>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</si>
  <si>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</si>
  <si>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</si>
  <si>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</si>
  <si>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</si>
  <si>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</si>
  <si>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</si>
  <si>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</si>
  <si>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</si>
  <si>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</si>
  <si>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</si>
  <si>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</si>
  <si>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</si>
  <si>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</si>
  <si>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</si>
  <si>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</si>
  <si>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</si>
  <si>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</si>
  <si>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</si>
  <si>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</si>
  <si>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</si>
  <si>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</si>
  <si>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</si>
  <si>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</si>
  <si>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</si>
  <si>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</si>
  <si>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</si>
  <si>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</si>
  <si>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</si>
  <si>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</si>
  <si>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</si>
  <si>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</si>
  <si>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</si>
  <si>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</si>
  <si>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</si>
  <si>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</si>
  <si>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</si>
  <si>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</si>
  <si>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</si>
  <si>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</si>
  <si>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</si>
  <si>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</si>
  <si>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</si>
  <si>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</si>
  <si>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</si>
  <si>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</si>
  <si>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</si>
  <si>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</si>
  <si>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</si>
  <si>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</si>
  <si>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</si>
  <si>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</si>
  <si>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</si>
  <si>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</si>
  <si>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</si>
  <si>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</si>
  <si>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</si>
  <si>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</si>
  <si>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</si>
  <si>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</si>
  <si>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</si>
  <si>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</si>
  <si>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</si>
  <si>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</si>
  <si>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</si>
  <si>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</si>
  <si>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</si>
  <si>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</si>
  <si>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</si>
  <si>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</si>
  <si>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</si>
  <si>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</si>
  <si>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</si>
  <si>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</si>
  <si>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</si>
  <si>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</si>
  <si>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</si>
  <si>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</si>
  <si>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</si>
  <si>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</si>
  <si>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</si>
  <si>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</si>
  <si>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</si>
  <si>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</si>
  <si>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</si>
  <si>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</si>
  <si>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</si>
  <si>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</si>
  <si>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</si>
  <si>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</si>
  <si>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</si>
  <si>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</si>
  <si>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</si>
  <si>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</si>
  <si>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</si>
  <si>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</si>
  <si>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</si>
  <si>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</si>
  <si>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</si>
  <si>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</si>
  <si>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</si>
  <si>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</si>
  <si>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</si>
  <si>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</si>
  <si>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</si>
  <si>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</si>
  <si>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</si>
  <si>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</si>
  <si>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</si>
  <si>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</si>
  <si>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</si>
  <si>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</si>
  <si>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</si>
  <si>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</si>
  <si>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</si>
  <si>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</si>
  <si>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</si>
  <si>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</si>
  <si>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</si>
  <si>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</si>
  <si>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</si>
  <si>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</si>
  <si>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</si>
  <si>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</si>
  <si>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</si>
  <si>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</si>
  <si>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</si>
  <si>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</si>
  <si>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</si>
  <si>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</si>
  <si>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</si>
  <si>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</si>
  <si>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</si>
  <si>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</si>
  <si>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</si>
  <si>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</si>
  <si>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</si>
  <si>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</si>
  <si>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</si>
  <si>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</si>
  <si>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</si>
  <si>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</si>
  <si>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</si>
  <si>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</si>
  <si>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</si>
  <si>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</si>
  <si>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</si>
  <si>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</si>
  <si>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</si>
  <si>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</si>
  <si>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</si>
  <si>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</si>
  <si>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</si>
  <si>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</si>
  <si>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</si>
  <si>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</si>
  <si>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</si>
  <si>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</si>
  <si>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</si>
  <si>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</si>
  <si>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</si>
  <si>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</si>
  <si>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</si>
  <si>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</si>
  <si>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</si>
  <si>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</si>
  <si>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</si>
  <si>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</si>
  <si>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</si>
  <si>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</si>
  <si>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</si>
  <si>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</si>
  <si>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</si>
  <si>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</si>
  <si>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</si>
  <si>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</si>
  <si>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</si>
  <si>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</si>
  <si>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</si>
  <si>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</si>
  <si>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</si>
  <si>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</si>
  <si>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</si>
  <si>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</si>
  <si>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</si>
  <si>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</si>
  <si>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</si>
  <si>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</si>
  <si>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</si>
  <si>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</si>
  <si>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</si>
  <si>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</si>
  <si>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</si>
  <si>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</si>
  <si>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</si>
  <si>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</si>
  <si>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</si>
  <si>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</si>
  <si>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</si>
  <si>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</si>
  <si>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</si>
  <si>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</si>
  <si>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</si>
  <si>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</si>
  <si>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</si>
  <si>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</si>
  <si>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</si>
  <si>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</si>
  <si>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</si>
  <si>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</si>
  <si>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</si>
  <si>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</si>
  <si>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</si>
  <si>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</si>
  <si>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</si>
  <si>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</si>
  <si>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</si>
  <si>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</si>
  <si>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</si>
  <si>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</si>
  <si>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</si>
  <si>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</si>
  <si>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</si>
  <si>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</si>
  <si>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</si>
  <si>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</si>
  <si>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</si>
  <si>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</si>
  <si>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</si>
  <si>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</si>
  <si>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</si>
  <si>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</si>
  <si>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</si>
  <si>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</si>
  <si>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</si>
  <si>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</si>
  <si>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</si>
  <si>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</si>
  <si>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</si>
  <si>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</si>
  <si>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</si>
  <si>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</si>
  <si>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</si>
  <si>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</si>
  <si>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</si>
  <si>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</si>
  <si>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</si>
  <si>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</si>
  <si>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</si>
  <si>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</si>
  <si>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</si>
  <si>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</si>
  <si>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</si>
  <si>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</si>
  <si>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</si>
  <si>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</si>
  <si>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</si>
  <si>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</si>
  <si>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</si>
  <si>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</si>
  <si>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</si>
  <si>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</si>
  <si>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</si>
  <si>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</si>
  <si>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</si>
  <si>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</si>
  <si>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</si>
  <si>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</si>
  <si>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</si>
  <si>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</si>
  <si>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</si>
  <si>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</si>
  <si>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</si>
  <si>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</si>
  <si>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</si>
  <si>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</si>
  <si>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</si>
  <si>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</si>
  <si>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</si>
  <si>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</si>
  <si>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</si>
  <si>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</si>
  <si>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</si>
  <si>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</si>
  <si>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</si>
  <si>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</si>
  <si>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</si>
  <si>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</si>
  <si>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</si>
  <si>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</si>
  <si>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</si>
  <si>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</si>
  <si>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</si>
  <si>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</si>
  <si>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</si>
  <si>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</si>
  <si>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</si>
  <si>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</si>
  <si>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</si>
  <si>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</si>
  <si>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</si>
  <si>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</si>
  <si>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</si>
  <si>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</si>
  <si>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</si>
  <si>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</si>
  <si>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</si>
  <si>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</si>
  <si>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</si>
  <si>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</si>
  <si>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</si>
  <si>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</si>
  <si>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</si>
  <si>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</si>
  <si>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</si>
  <si>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</si>
  <si>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</si>
  <si>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</si>
  <si>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</si>
  <si>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</si>
  <si>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</si>
  <si>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</si>
  <si>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</si>
  <si>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</si>
  <si>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</si>
  <si>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</si>
  <si>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</si>
  <si>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</si>
  <si>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</si>
  <si>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</si>
  <si>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</si>
  <si>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</si>
  <si>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</si>
  <si>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</si>
  <si>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</si>
  <si>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</si>
  <si>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</si>
  <si>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</si>
  <si>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</si>
  <si>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</si>
  <si>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</si>
  <si>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</si>
  <si>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</si>
  <si>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</si>
  <si>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</si>
  <si>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</si>
  <si>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</si>
  <si>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</si>
  <si>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</si>
  <si>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</si>
  <si>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</si>
  <si>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</si>
  <si>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</si>
  <si>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</si>
  <si>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</si>
  <si>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</si>
  <si>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</si>
  <si>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</si>
  <si>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</si>
  <si>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</si>
  <si>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</si>
  <si>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</si>
  <si>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</si>
  <si>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</si>
  <si>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</si>
  <si>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</si>
  <si>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</si>
  <si>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</si>
  <si>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</si>
  <si>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</si>
  <si>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</si>
  <si>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</si>
  <si>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</si>
  <si>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</si>
  <si>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</si>
  <si>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</si>
  <si>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</si>
  <si>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</si>
  <si>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</si>
  <si>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</si>
  <si>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</si>
  <si>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</si>
  <si>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</si>
  <si>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</si>
  <si>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</si>
  <si>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</si>
  <si>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</si>
  <si>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</si>
  <si>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</si>
  <si>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</si>
  <si>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</si>
  <si>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</si>
  <si>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</si>
  <si>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</si>
  <si>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</si>
  <si>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</si>
  <si>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</si>
  <si>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</si>
  <si>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</si>
  <si>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</si>
  <si>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</si>
  <si>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</si>
  <si>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</si>
  <si>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</si>
  <si>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</si>
  <si>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</si>
  <si>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</si>
  <si>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</si>
  <si>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</si>
  <si>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</si>
  <si>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</si>
  <si>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</si>
  <si>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</si>
  <si>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</si>
  <si>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</si>
  <si>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</si>
  <si>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</si>
  <si>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</si>
  <si>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</si>
  <si>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</si>
  <si>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</si>
  <si>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</si>
  <si>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</si>
  <si>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</si>
  <si>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</si>
  <si>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</si>
  <si>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</si>
  <si>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</si>
  <si>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</si>
  <si>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</si>
  <si>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</si>
  <si>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</si>
  <si>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</si>
  <si>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</si>
  <si>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</si>
  <si>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</si>
  <si>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</si>
  <si>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</si>
  <si>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</si>
  <si>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</si>
  <si>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</si>
  <si>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</si>
  <si>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</si>
  <si>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</si>
  <si>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</si>
  <si>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</si>
  <si>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</si>
  <si>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</si>
  <si>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</si>
  <si>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</si>
  <si>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</si>
  <si>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</si>
  <si>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</si>
  <si>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</si>
  <si>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</si>
  <si>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</si>
  <si>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</si>
  <si>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</si>
  <si>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</si>
  <si>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</si>
  <si>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</si>
  <si>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</si>
  <si>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</si>
  <si>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</si>
  <si>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</si>
  <si>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</si>
  <si>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</si>
  <si>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</si>
  <si>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</si>
  <si>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</si>
  <si>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</si>
  <si>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</si>
  <si>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</si>
  <si>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</si>
  <si>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</si>
  <si>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</si>
  <si>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</si>
  <si>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</si>
  <si>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</si>
  <si>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</si>
  <si>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</si>
  <si>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</si>
  <si>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</si>
  <si>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</si>
  <si>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</si>
  <si>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</si>
  <si>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</si>
  <si>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</si>
  <si>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</si>
  <si>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</si>
  <si>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</si>
  <si>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</si>
  <si>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</si>
  <si>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</si>
  <si>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</si>
  <si>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</si>
  <si>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</si>
  <si>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</si>
  <si>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</si>
  <si>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</si>
  <si>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</si>
  <si>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</si>
  <si>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</si>
  <si>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</si>
  <si>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</si>
  <si>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</si>
  <si>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</si>
  <si>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</si>
  <si>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</si>
  <si>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</si>
  <si>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</si>
  <si>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</si>
  <si>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</si>
  <si>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</si>
  <si>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</si>
  <si>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</si>
  <si>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</si>
  <si>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</si>
  <si>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</si>
  <si>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</si>
  <si>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</si>
  <si>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</si>
  <si>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</si>
  <si>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</si>
  <si>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</si>
  <si>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</si>
  <si>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</si>
  <si>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</si>
  <si>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</si>
  <si>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</si>
  <si>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</si>
  <si>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</si>
  <si>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</si>
  <si>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</si>
  <si>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</si>
  <si>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</si>
  <si>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</si>
  <si>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</si>
  <si>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</si>
  <si>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</si>
  <si>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</si>
  <si>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</si>
  <si>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</si>
  <si>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</si>
  <si>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</si>
  <si>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</si>
  <si>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</si>
  <si>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</si>
  <si>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</si>
  <si>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</si>
  <si>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</si>
  <si>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</si>
  <si>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</si>
  <si>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</si>
  <si>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</si>
  <si>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</si>
  <si>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</si>
  <si>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</si>
  <si>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</si>
  <si>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</si>
  <si>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</si>
  <si>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</si>
  <si>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</si>
  <si>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</si>
  <si>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</si>
  <si>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</si>
  <si>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</si>
  <si>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</si>
  <si>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</si>
  <si>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</si>
  <si>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</si>
  <si>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</si>
  <si>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</si>
  <si>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</si>
  <si>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</si>
  <si>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</si>
  <si>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</si>
  <si>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</si>
  <si>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</si>
  <si>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</si>
  <si>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</si>
  <si>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</si>
  <si>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</si>
  <si>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</si>
  <si>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</si>
  <si>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</si>
  <si>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</si>
  <si>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</si>
  <si>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</si>
  <si>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</si>
  <si>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</si>
  <si>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</si>
  <si>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</si>
  <si>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</si>
  <si>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</si>
  <si>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</si>
  <si>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</si>
  <si>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</si>
  <si>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</si>
  <si>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</si>
  <si>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</si>
  <si>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</si>
  <si>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</si>
  <si>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</si>
  <si>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</si>
  <si>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</si>
  <si>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</si>
  <si>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</si>
  <si>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</si>
  <si>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</si>
  <si>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</si>
  <si>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</si>
  <si>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</si>
  <si>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</si>
  <si>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</si>
  <si>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</si>
  <si>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</si>
  <si>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</si>
  <si>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</si>
  <si>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</si>
  <si>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</si>
  <si>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</si>
  <si>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</si>
  <si>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</si>
  <si>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</si>
  <si>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</si>
  <si>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</si>
  <si>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</si>
  <si>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</si>
  <si>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</si>
  <si>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</si>
  <si>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</si>
  <si>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</si>
  <si>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</si>
  <si>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</si>
  <si>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</si>
  <si>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</si>
  <si>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</si>
  <si>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</si>
  <si>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</si>
  <si>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</si>
  <si>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</si>
  <si>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</si>
  <si>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</si>
  <si>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</si>
  <si>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</si>
  <si>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</si>
  <si>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</si>
  <si>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</si>
  <si>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</si>
  <si>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</si>
  <si>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</si>
  <si>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</si>
  <si>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</si>
  <si>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</si>
  <si>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</si>
  <si>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</si>
  <si>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</si>
  <si>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</si>
  <si>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</si>
  <si>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</si>
  <si>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</si>
  <si>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</si>
  <si>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</si>
  <si>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</si>
  <si>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</si>
  <si>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</si>
  <si>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</si>
  <si>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</si>
  <si>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</si>
  <si>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</si>
  <si>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</si>
  <si>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</si>
  <si>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</si>
  <si>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</si>
  <si>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</si>
  <si>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</si>
  <si>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</si>
  <si>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</si>
  <si>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</si>
  <si>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</si>
  <si>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</si>
  <si>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</si>
  <si>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</si>
  <si>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</si>
  <si>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</si>
  <si>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</si>
  <si>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</si>
  <si>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</si>
  <si>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</si>
  <si>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</si>
  <si>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</si>
  <si>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</si>
  <si>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</si>
  <si>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</si>
  <si>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</si>
  <si>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</si>
  <si>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</si>
  <si>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</si>
  <si>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</si>
  <si>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</si>
  <si>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</si>
  <si>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</si>
  <si>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</si>
  <si>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</si>
  <si>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</si>
  <si>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</si>
  <si>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</si>
  <si>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</si>
  <si>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</si>
  <si>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</si>
  <si>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</si>
  <si>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</si>
  <si>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</si>
  <si>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</si>
  <si>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</si>
  <si>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</si>
  <si>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</si>
  <si>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</si>
  <si>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</si>
  <si>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</si>
  <si>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</si>
  <si>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</si>
  <si>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</si>
  <si>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</si>
  <si>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</si>
  <si>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</si>
  <si>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</si>
  <si>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</si>
  <si>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</si>
  <si>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</si>
  <si>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</si>
  <si>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</si>
  <si>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</si>
  <si>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</si>
  <si>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</si>
  <si>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</si>
  <si>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</si>
  <si>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</si>
  <si>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</si>
  <si>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</si>
  <si>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</si>
  <si>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</si>
  <si>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</si>
  <si>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</si>
  <si>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</si>
  <si>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</si>
  <si>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</si>
  <si>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</si>
  <si>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</si>
  <si>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</si>
  <si>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</si>
  <si>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</si>
  <si>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</si>
  <si>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</si>
  <si>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</si>
  <si>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</si>
  <si>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</si>
  <si>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</si>
  <si>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</si>
  <si>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</si>
  <si>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</si>
  <si>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</si>
  <si>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</si>
  <si>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</si>
  <si>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</si>
  <si>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</si>
  <si>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</si>
  <si>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</si>
  <si>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</si>
  <si>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</si>
  <si>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</si>
  <si>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</si>
  <si>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</si>
  <si>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</si>
  <si>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</si>
  <si>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</si>
  <si>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</si>
  <si>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</si>
  <si>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</si>
  <si>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</si>
  <si>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</si>
  <si>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</si>
  <si>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</si>
  <si>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</si>
  <si>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</si>
  <si>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</si>
  <si>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</si>
  <si>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</si>
  <si>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</si>
  <si>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</si>
  <si>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</si>
  <si>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</si>
  <si>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</si>
  <si>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</si>
  <si>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</si>
  <si>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</si>
  <si>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</si>
  <si>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</si>
  <si>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</si>
  <si>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</si>
  <si>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</si>
  <si>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</si>
  <si>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</si>
  <si>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</si>
  <si>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</si>
  <si>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</si>
  <si>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</si>
  <si>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</si>
  <si>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</si>
  <si>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</si>
  <si>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</si>
  <si>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</si>
  <si>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</si>
  <si>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</si>
  <si>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</si>
  <si>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</si>
  <si>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</si>
  <si>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</si>
  <si>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</si>
  <si>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</si>
  <si>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</si>
  <si>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</si>
  <si>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</si>
  <si>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</si>
  <si>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</si>
  <si>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</si>
  <si>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</si>
  <si>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</si>
  <si>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</si>
  <si>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</si>
  <si>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</si>
  <si>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</si>
  <si>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</si>
  <si>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</si>
  <si>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</si>
  <si>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</si>
  <si>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</si>
  <si>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</si>
  <si>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</si>
  <si>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</si>
  <si>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</si>
  <si>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</si>
  <si>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</si>
  <si>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</si>
  <si>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</si>
  <si>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</si>
  <si>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</si>
  <si>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</si>
  <si>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</si>
  <si>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</si>
  <si>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</si>
  <si>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</si>
  <si>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</si>
  <si>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</si>
  <si>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</si>
  <si>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</si>
  <si>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</si>
  <si>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</si>
  <si>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</si>
  <si>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</si>
  <si>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</si>
  <si>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</si>
  <si>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</si>
  <si>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</si>
  <si>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</si>
  <si>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</si>
  <si>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</si>
  <si>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</si>
  <si>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</si>
  <si>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</si>
  <si>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</si>
  <si>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</si>
  <si>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</si>
  <si>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</si>
  <si>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</si>
  <si>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</si>
  <si>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</si>
  <si>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</si>
  <si>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</si>
  <si>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</si>
  <si>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</si>
  <si>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</si>
  <si>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</si>
  <si>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</si>
  <si>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</si>
  <si>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</si>
  <si>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</si>
  <si>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</si>
  <si>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</si>
  <si>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</si>
  <si>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</si>
  <si>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</si>
  <si>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</si>
  <si>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</si>
  <si>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</si>
  <si>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</si>
  <si>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</si>
  <si>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</si>
  <si>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</si>
  <si>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</si>
  <si>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</si>
  <si>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</si>
  <si>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</si>
  <si>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</si>
  <si>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</si>
  <si>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</si>
  <si>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</si>
  <si>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</si>
  <si>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</si>
  <si>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</si>
  <si>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</si>
  <si>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</si>
  <si>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</si>
  <si>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</si>
  <si>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</si>
  <si>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</si>
  <si>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</si>
  <si>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</si>
  <si>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</si>
  <si>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</si>
  <si>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</si>
  <si>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</si>
  <si>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</si>
  <si>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</si>
  <si>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</si>
  <si>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</si>
  <si>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</si>
  <si>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</si>
  <si>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</si>
  <si>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</si>
  <si>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</si>
  <si>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</si>
  <si>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</si>
  <si>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</si>
  <si>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</si>
  <si>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</si>
  <si>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</si>
  <si>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</si>
  <si>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</si>
  <si>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</si>
  <si>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</si>
  <si>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</si>
  <si>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</si>
  <si>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</si>
  <si>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</si>
  <si>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</si>
  <si>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</si>
  <si>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</si>
  <si>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</si>
  <si>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</si>
  <si>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</si>
  <si>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</si>
  <si>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</si>
  <si>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</si>
  <si>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</si>
  <si>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</si>
  <si>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</si>
  <si>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</si>
  <si>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</si>
  <si>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</si>
  <si>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</si>
  <si>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</si>
  <si>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</si>
  <si>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</si>
  <si>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</si>
  <si>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</si>
  <si>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</si>
  <si>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</si>
  <si>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</si>
  <si>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</si>
  <si>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</si>
  <si>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</si>
  <si>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</si>
  <si>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</si>
  <si>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</si>
  <si>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</si>
  <si>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</si>
  <si>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</si>
  <si>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</si>
  <si>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</si>
  <si>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</si>
  <si>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</si>
  <si>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</si>
  <si>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</si>
  <si>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</si>
  <si>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</si>
  <si>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</si>
  <si>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</si>
  <si>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</si>
  <si>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</si>
  <si>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</si>
  <si>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</si>
  <si>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</si>
  <si>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</si>
  <si>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</si>
  <si>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</si>
  <si>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</si>
  <si>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</si>
  <si>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</si>
  <si>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</si>
  <si>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</si>
  <si>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</si>
  <si>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</si>
  <si>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</si>
  <si>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</si>
  <si>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</si>
  <si>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</si>
  <si>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</si>
  <si>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</si>
  <si>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</si>
  <si>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</si>
  <si>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</si>
  <si>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</si>
  <si>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</si>
  <si>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</si>
  <si>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</si>
  <si>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</si>
  <si>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</si>
  <si>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</si>
  <si>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</si>
  <si>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</si>
  <si>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</si>
  <si>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</si>
  <si>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</si>
  <si>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</si>
  <si>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</si>
  <si>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</si>
  <si>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</si>
  <si>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</si>
  <si>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</si>
  <si>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</si>
  <si>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</si>
  <si>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</si>
  <si>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</si>
  <si>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</si>
  <si>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</si>
  <si>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</si>
  <si>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</si>
  <si>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</si>
  <si>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</si>
  <si>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</si>
  <si>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</si>
  <si>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</si>
  <si>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</si>
  <si>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</si>
  <si>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</si>
  <si>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</si>
  <si>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</si>
  <si>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</si>
  <si>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</si>
  <si>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</si>
  <si>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</si>
  <si>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</si>
  <si>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</si>
  <si>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</si>
  <si>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</si>
  <si>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</si>
  <si>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</si>
  <si>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</si>
  <si>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</si>
  <si>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</si>
  <si>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</si>
  <si>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</si>
  <si>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</si>
  <si>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</si>
  <si>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</si>
  <si>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</si>
  <si>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</si>
  <si>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</si>
  <si>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</si>
  <si>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</si>
  <si>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</si>
  <si>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</si>
  <si>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</si>
  <si>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</si>
  <si>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</si>
  <si>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</si>
  <si>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</si>
  <si>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</si>
  <si>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</si>
  <si>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</si>
  <si>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</si>
  <si>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</si>
  <si>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</si>
  <si>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</si>
  <si>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</si>
  <si>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</si>
  <si>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</si>
  <si>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</si>
  <si>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</si>
  <si>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</si>
  <si>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</si>
  <si>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</si>
  <si>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</si>
  <si>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</si>
  <si>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</si>
  <si>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</si>
  <si>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</si>
  <si>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</si>
  <si>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</si>
  <si>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</si>
  <si>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</si>
  <si>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</si>
  <si>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</si>
  <si>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</si>
  <si>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</si>
  <si>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</si>
  <si>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</si>
  <si>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</si>
  <si>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</si>
  <si>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</si>
  <si>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</si>
  <si>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</si>
  <si>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</si>
  <si>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</si>
  <si>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</si>
  <si>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</si>
  <si>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</si>
  <si>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</si>
  <si>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</si>
  <si>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</si>
  <si>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</si>
  <si>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</si>
  <si>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</si>
  <si>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</si>
  <si>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</si>
  <si>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</si>
  <si>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</si>
  <si>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</si>
  <si>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</si>
  <si>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</si>
  <si>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</si>
  <si>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</si>
  <si>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</si>
  <si>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</si>
  <si>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</si>
  <si>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</si>
  <si>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</si>
  <si>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</si>
  <si>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</si>
  <si>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</si>
  <si>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</si>
  <si>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</si>
  <si>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</si>
  <si>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</si>
  <si>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</si>
  <si>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</si>
  <si>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</si>
  <si>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</si>
  <si>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</si>
  <si>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</si>
  <si>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</si>
  <si>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</si>
  <si>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</si>
  <si>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</si>
  <si>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</si>
  <si>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</si>
  <si>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</si>
  <si>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</si>
  <si>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</si>
  <si>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</si>
  <si>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</si>
  <si>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</si>
  <si>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</si>
  <si>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</si>
  <si>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</si>
  <si>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</si>
  <si>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</si>
  <si>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</si>
  <si>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</si>
  <si>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</si>
  <si>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</si>
  <si>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</si>
  <si>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</si>
  <si>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</si>
  <si>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</si>
  <si>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</si>
  <si>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</si>
  <si>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</si>
  <si>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</si>
  <si>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</si>
  <si>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</si>
  <si>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</si>
  <si>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</si>
  <si>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</si>
  <si>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</si>
  <si>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</si>
  <si>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</si>
  <si>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</si>
  <si>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</si>
  <si>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</si>
  <si>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</si>
  <si>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</si>
  <si>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</si>
  <si>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</si>
  <si>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</si>
  <si>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</si>
  <si>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</si>
  <si>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</si>
  <si>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</si>
  <si>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</si>
  <si>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</si>
  <si>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</si>
  <si>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</si>
  <si>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</si>
  <si>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</si>
  <si>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</si>
  <si>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</si>
  <si>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</si>
  <si>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</si>
  <si>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</si>
  <si>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</si>
  <si>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</si>
  <si>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</si>
  <si>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</si>
  <si>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</si>
  <si>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</si>
  <si>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</si>
  <si>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</si>
  <si>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</si>
  <si>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</si>
  <si>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</si>
  <si>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</si>
  <si>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</si>
  <si>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</si>
  <si>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</si>
  <si>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</si>
  <si>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</si>
  <si>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</si>
  <si>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</si>
  <si>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</si>
  <si>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</si>
  <si>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</si>
  <si>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</si>
  <si>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</si>
  <si>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</si>
  <si>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</si>
  <si>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</si>
  <si>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</si>
  <si>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</si>
  <si>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</si>
  <si>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</si>
  <si>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</si>
  <si>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</si>
  <si>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</si>
  <si>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</si>
  <si>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</si>
  <si>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</si>
  <si>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</si>
  <si>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</si>
  <si>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</si>
  <si>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</si>
  <si>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</si>
  <si>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</si>
  <si>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</si>
  <si>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</si>
  <si>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</si>
  <si>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</si>
  <si>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</si>
  <si>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</si>
  <si>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</si>
  <si>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</si>
  <si>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</si>
  <si>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</si>
  <si>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</si>
  <si>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</si>
  <si>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</si>
  <si>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</si>
  <si>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</si>
  <si>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</si>
  <si>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</si>
  <si>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</si>
  <si>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</si>
  <si>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</si>
  <si>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</si>
  <si>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</si>
  <si>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</si>
  <si>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</si>
  <si>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</si>
  <si>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</si>
  <si>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</si>
  <si>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</si>
  <si>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</si>
  <si>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</si>
  <si>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</si>
  <si>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</si>
  <si>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</si>
  <si>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</si>
  <si>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</si>
  <si>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</si>
  <si>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</si>
  <si>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</si>
  <si>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</si>
  <si>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</si>
  <si>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</si>
  <si>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</si>
  <si>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</si>
  <si>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</si>
  <si>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</si>
  <si>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</si>
  <si>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</si>
  <si>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</si>
  <si>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</si>
  <si>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</si>
  <si>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</si>
  <si>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</si>
  <si>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</si>
  <si>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</si>
  <si>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</si>
  <si>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</si>
  <si>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</si>
  <si>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</si>
  <si>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</si>
  <si>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</si>
  <si>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</si>
  <si>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</si>
  <si>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</si>
  <si>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</si>
  <si>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</si>
  <si>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</si>
  <si>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</si>
  <si>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</si>
  <si>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</si>
  <si>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</si>
  <si>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</si>
  <si>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</si>
  <si>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</si>
  <si>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</si>
  <si>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</si>
  <si>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</si>
  <si>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</si>
  <si>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</si>
  <si>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</si>
  <si>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</si>
  <si>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</si>
  <si>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</si>
  <si>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</si>
  <si>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</si>
  <si>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</si>
  <si>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</si>
  <si>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</si>
  <si>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</si>
  <si>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</si>
  <si>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</si>
  <si>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</si>
  <si>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</si>
  <si>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</si>
  <si>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</si>
  <si>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</si>
  <si>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</si>
  <si>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</si>
  <si>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</si>
  <si>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</si>
  <si>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</si>
  <si>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</si>
  <si>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</si>
  <si>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</si>
  <si>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</si>
  <si>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</si>
  <si>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</si>
  <si>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</si>
  <si>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</si>
  <si>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</si>
  <si>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</si>
  <si>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</si>
  <si>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</si>
  <si>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</si>
  <si>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</si>
  <si>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</si>
  <si>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</si>
  <si>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</si>
  <si>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</si>
  <si>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</si>
  <si>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</si>
  <si>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</si>
  <si>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</si>
  <si>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</si>
  <si>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</si>
  <si>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</si>
  <si>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</si>
  <si>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</si>
  <si>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</si>
  <si>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</si>
  <si>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</si>
  <si>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</si>
  <si>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</si>
  <si>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</si>
  <si>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</si>
  <si>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</si>
  <si>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</si>
  <si>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</si>
  <si>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</si>
  <si>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</si>
  <si>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</si>
  <si>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</si>
  <si>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</si>
  <si>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</si>
  <si>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</si>
  <si>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</si>
  <si>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</si>
  <si>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</si>
  <si>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</si>
  <si>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</si>
  <si>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</si>
  <si>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</si>
  <si>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</si>
  <si>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</si>
  <si>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</si>
  <si>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</si>
  <si>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</si>
  <si>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</si>
  <si>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</si>
  <si>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</si>
  <si>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</si>
  <si>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</si>
  <si>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</si>
  <si>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</si>
  <si>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</si>
  <si>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</si>
  <si>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</si>
  <si>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</si>
  <si>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</si>
  <si>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</si>
  <si>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</si>
  <si>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</si>
  <si>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</si>
  <si>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</si>
  <si>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</si>
  <si>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</si>
  <si>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</si>
  <si>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</si>
  <si>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</si>
  <si>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</si>
  <si>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</si>
  <si>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</si>
  <si>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</si>
  <si>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</si>
  <si>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</si>
  <si>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</si>
  <si>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</si>
  <si>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</si>
  <si>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</si>
  <si>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</si>
  <si>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</si>
  <si>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</si>
  <si>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</si>
  <si>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</si>
  <si>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</si>
  <si>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</si>
  <si>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</si>
  <si>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</si>
  <si>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</si>
  <si>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</si>
  <si>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</si>
  <si>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</si>
  <si>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</si>
  <si>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</si>
  <si>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</si>
  <si>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</si>
  <si>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</si>
  <si>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</si>
  <si>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</si>
  <si>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</si>
  <si>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</si>
  <si>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</si>
  <si>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</si>
  <si>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</si>
  <si>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</si>
  <si>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</si>
  <si>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</si>
  <si>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</si>
  <si>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</si>
  <si>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</si>
  <si>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</si>
  <si>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</si>
  <si>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</si>
  <si>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</si>
  <si>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</si>
  <si>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</si>
  <si>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</si>
  <si>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</si>
  <si>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</si>
  <si>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</si>
  <si>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</si>
  <si>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</si>
  <si>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</si>
  <si>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</si>
  <si>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</si>
  <si>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</si>
  <si>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</si>
  <si>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</si>
  <si>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</si>
  <si>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</si>
  <si>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</si>
  <si>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</si>
  <si>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</si>
  <si>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</si>
  <si>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</si>
  <si>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</si>
  <si>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</si>
  <si>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</si>
  <si>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</si>
  <si>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</si>
  <si>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</si>
  <si>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</si>
  <si>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</si>
  <si>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</si>
  <si>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</si>
  <si>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</si>
  <si>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</si>
  <si>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</si>
  <si>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</si>
  <si>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</si>
  <si>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</si>
  <si>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</si>
  <si>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</si>
  <si>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</si>
  <si>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</si>
  <si>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</si>
  <si>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</si>
  <si>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</si>
  <si>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</si>
  <si>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</si>
  <si>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</si>
  <si>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</si>
  <si>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</si>
  <si>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</si>
  <si>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</si>
  <si>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</si>
  <si>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</si>
  <si>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</si>
  <si>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</si>
  <si>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</si>
  <si>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</si>
  <si>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</si>
  <si>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</si>
  <si>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</si>
  <si>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</si>
  <si>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</si>
  <si>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</si>
  <si>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</si>
  <si>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</si>
  <si>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</si>
  <si>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</si>
  <si>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</si>
  <si>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</si>
  <si>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</si>
  <si>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</si>
  <si>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</si>
  <si>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</si>
  <si>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</si>
  <si>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</si>
  <si>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</si>
  <si>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</si>
  <si>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</si>
  <si>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</si>
  <si>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</si>
  <si>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</si>
  <si>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</si>
  <si>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</si>
  <si>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</si>
  <si>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</si>
  <si>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</si>
  <si>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</si>
  <si>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</si>
  <si>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</si>
  <si>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</si>
  <si>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</si>
  <si>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</si>
  <si>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</si>
  <si>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</si>
  <si>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</si>
  <si>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</si>
  <si>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</si>
  <si>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</si>
  <si>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</si>
  <si>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</si>
  <si>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</si>
  <si>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</si>
  <si>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</si>
  <si>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</si>
  <si>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</si>
  <si>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</si>
  <si>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</si>
  <si>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</si>
  <si>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</si>
  <si>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</si>
  <si>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</si>
  <si>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</si>
  <si>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</si>
  <si>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</si>
  <si>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</si>
  <si>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</si>
  <si>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</si>
  <si>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</si>
  <si>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</si>
  <si>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</si>
  <si>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</si>
  <si>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</si>
  <si>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</si>
  <si>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</si>
  <si>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</si>
  <si>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</si>
  <si>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</si>
  <si>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</si>
  <si>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</si>
  <si>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</si>
  <si>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</si>
  <si>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</si>
  <si>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</si>
  <si>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</si>
  <si>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</si>
  <si>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</si>
  <si>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</si>
  <si>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</si>
  <si>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</si>
  <si>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</si>
  <si>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</si>
  <si>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</si>
  <si>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</si>
  <si>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</si>
  <si>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</si>
  <si>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</si>
  <si>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</si>
  <si>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</si>
  <si>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</si>
  <si>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</si>
  <si>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</si>
  <si>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</si>
  <si>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</si>
  <si>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</si>
  <si>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</si>
  <si>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</si>
  <si>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</si>
  <si>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</si>
  <si>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</si>
  <si>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</si>
  <si>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</si>
  <si>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</si>
  <si>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</si>
  <si>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</si>
  <si>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</si>
  <si>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</si>
  <si>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</si>
  <si>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</si>
  <si>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</si>
  <si>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</si>
  <si>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</si>
  <si>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</si>
  <si>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</si>
  <si>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</si>
  <si>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</si>
  <si>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</si>
  <si>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</si>
  <si>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</si>
  <si>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</si>
  <si>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</si>
  <si>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</si>
  <si>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</si>
  <si>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</si>
  <si>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</si>
  <si>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</si>
  <si>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</si>
  <si>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</si>
  <si>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</si>
  <si>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</si>
  <si>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</si>
  <si>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</si>
  <si>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</si>
  <si>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</si>
  <si>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</si>
  <si>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</si>
  <si>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</si>
  <si>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</si>
  <si>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</si>
  <si>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</si>
  <si>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</si>
  <si>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</si>
  <si>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</si>
  <si>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</si>
  <si>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</si>
  <si>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</si>
  <si>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</si>
  <si>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</si>
  <si>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</si>
  <si>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</si>
  <si>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</si>
  <si>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</si>
  <si>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</si>
  <si>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</si>
  <si>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</si>
  <si>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</si>
  <si>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</si>
  <si>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</si>
  <si>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</si>
  <si>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</si>
  <si>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</si>
  <si>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</si>
  <si>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</si>
  <si>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</si>
  <si>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</si>
  <si>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</si>
  <si>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</si>
  <si>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</si>
  <si>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</si>
  <si>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</si>
  <si>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</si>
  <si>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</si>
  <si>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</si>
  <si>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</si>
  <si>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</si>
  <si>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</si>
  <si>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</si>
  <si>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</si>
  <si>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</si>
  <si>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</si>
  <si>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</si>
  <si>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</si>
  <si>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</si>
  <si>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</si>
  <si>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</si>
  <si>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</si>
  <si>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</si>
  <si>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</si>
  <si>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</si>
  <si>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</si>
  <si>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</si>
  <si>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</si>
  <si>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</si>
  <si>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</si>
  <si>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</si>
  <si>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</si>
  <si>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</si>
  <si>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</si>
  <si>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</si>
  <si>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</si>
  <si>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</si>
  <si>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</si>
  <si>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</si>
  <si>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</si>
  <si>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</si>
  <si>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</si>
  <si>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</si>
  <si>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</si>
  <si>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</si>
  <si>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</si>
  <si>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</si>
  <si>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</si>
  <si>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</si>
  <si>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</si>
  <si>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</si>
  <si>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</si>
  <si>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</si>
  <si>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</si>
  <si>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</si>
  <si>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</si>
  <si>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</si>
  <si>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</si>
  <si>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</si>
  <si>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</si>
  <si>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</si>
  <si>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</si>
  <si>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</si>
  <si>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</si>
  <si>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</si>
  <si>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</si>
  <si>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</si>
  <si>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</si>
  <si>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</si>
  <si>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</si>
  <si>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</si>
  <si>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</si>
  <si>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</si>
  <si>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</si>
  <si>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</si>
  <si>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</si>
  <si>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</si>
  <si>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</si>
  <si>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</si>
  <si>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</si>
  <si>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</si>
  <si>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</si>
  <si>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</si>
  <si>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</si>
  <si>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</si>
  <si>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</si>
  <si>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</si>
  <si>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</si>
  <si>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</si>
  <si>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</si>
  <si>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</si>
  <si>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</si>
  <si>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</si>
  <si>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</si>
  <si>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</si>
  <si>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</si>
  <si>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</si>
  <si>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</si>
  <si>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</si>
  <si>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</si>
  <si>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</si>
  <si>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</si>
  <si>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</si>
  <si>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</si>
  <si>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</si>
  <si>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</si>
  <si>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</si>
  <si>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</si>
  <si>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</si>
  <si>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</si>
  <si>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</si>
  <si>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</si>
  <si>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</si>
  <si>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</si>
  <si>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</si>
  <si>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</si>
  <si>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</si>
  <si>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</si>
  <si>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</si>
  <si>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</si>
  <si>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</si>
  <si>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</si>
  <si>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</si>
  <si>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</si>
  <si>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</si>
  <si>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</si>
  <si>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</si>
  <si>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</si>
  <si>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</si>
  <si>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</si>
  <si>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</si>
  <si>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</si>
  <si>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</si>
  <si>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</si>
  <si>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</si>
  <si>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</si>
  <si>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</si>
  <si>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</si>
  <si>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</si>
  <si>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</si>
  <si>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</si>
  <si>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</si>
  <si>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</si>
  <si>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</si>
  <si>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</si>
  <si>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</si>
  <si>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</si>
  <si>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</si>
  <si>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</si>
  <si>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</si>
  <si>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</si>
  <si>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</si>
  <si>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</si>
  <si>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</si>
  <si>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</si>
  <si>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</si>
  <si>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</si>
  <si>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</si>
  <si>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</si>
  <si>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</si>
  <si>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</si>
  <si>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</si>
  <si>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</si>
  <si>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</si>
  <si>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</si>
  <si>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</si>
  <si>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</si>
  <si>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</si>
  <si>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</si>
  <si>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</si>
  <si>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</si>
  <si>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</si>
  <si>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</si>
  <si>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</si>
  <si>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</si>
  <si>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</si>
  <si>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</si>
  <si>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</si>
  <si>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</si>
  <si>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</si>
  <si>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</si>
  <si>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</si>
  <si>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</si>
  <si>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</si>
  <si>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</si>
  <si>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</si>
  <si>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</si>
  <si>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</si>
  <si>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</si>
  <si>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</si>
  <si>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</si>
  <si>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</si>
  <si>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</si>
  <si>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</si>
  <si>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</si>
  <si>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</si>
  <si>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</si>
  <si>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</si>
  <si>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</si>
  <si>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</si>
  <si>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</si>
  <si>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</si>
  <si>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</si>
  <si>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</si>
  <si>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</si>
  <si>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</si>
  <si>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</si>
  <si>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</si>
  <si>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</si>
  <si>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</si>
  <si>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</si>
  <si>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</si>
  <si>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</si>
  <si>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</si>
  <si>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</si>
  <si>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</si>
  <si>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</si>
  <si>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</si>
  <si>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</si>
  <si>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</si>
  <si>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</si>
  <si>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</si>
  <si>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</si>
  <si>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</si>
  <si>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</si>
  <si>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</si>
  <si>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</si>
  <si>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</si>
  <si>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</si>
  <si>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</si>
  <si>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</si>
  <si>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</si>
  <si>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</si>
  <si>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</si>
  <si>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</si>
  <si>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</si>
  <si>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</si>
  <si>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</si>
  <si>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</si>
  <si>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</si>
  <si>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</si>
  <si>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</si>
  <si>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</si>
  <si>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</si>
  <si>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</si>
  <si>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</si>
  <si>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</si>
  <si>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</si>
  <si>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</si>
  <si>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</si>
  <si>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</si>
  <si>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</si>
  <si>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</si>
  <si>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</si>
  <si>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</si>
  <si>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</si>
  <si>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</si>
  <si>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</si>
  <si>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</si>
  <si>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</si>
  <si>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</si>
  <si>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</si>
  <si>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</si>
  <si>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</si>
  <si>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</si>
  <si>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</si>
  <si>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</si>
  <si>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</si>
  <si>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</si>
  <si>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</si>
  <si>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</si>
  <si>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</si>
  <si>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</si>
  <si>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</si>
  <si>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</si>
  <si>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</si>
  <si>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</si>
  <si>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</si>
  <si>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</si>
  <si>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</si>
  <si>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</si>
  <si>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</si>
  <si>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</si>
  <si>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</si>
  <si>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</si>
  <si>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</si>
  <si>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</si>
  <si>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</si>
  <si>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</si>
  <si>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</si>
  <si>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</si>
  <si>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</si>
  <si>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</si>
  <si>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</si>
  <si>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</si>
  <si>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</si>
  <si>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</si>
  <si>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</si>
  <si>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</si>
  <si>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</si>
  <si>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</si>
  <si>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</si>
  <si>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</si>
  <si>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</si>
  <si>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</si>
  <si>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</si>
  <si>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</si>
  <si>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</si>
  <si>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</si>
  <si>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</si>
  <si>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</si>
  <si>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</si>
  <si>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</si>
  <si>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</si>
  <si>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</si>
  <si>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</si>
  <si>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</si>
  <si>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</si>
  <si>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</si>
  <si>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</si>
  <si>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</si>
  <si>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</si>
  <si>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</si>
  <si>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</si>
  <si>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</si>
  <si>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</si>
  <si>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</si>
  <si>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</si>
  <si>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</si>
  <si>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</si>
  <si>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</si>
  <si>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</si>
  <si>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</si>
  <si>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</si>
  <si>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</si>
  <si>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</si>
  <si>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</si>
  <si>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</si>
  <si>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</si>
  <si>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</si>
  <si>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</si>
  <si>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</si>
  <si>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</si>
  <si>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</si>
  <si>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</si>
  <si>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</si>
  <si>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</si>
  <si>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</si>
  <si>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</si>
  <si>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</si>
  <si>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</si>
  <si>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</si>
  <si>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</si>
  <si>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</si>
  <si>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</si>
  <si>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</si>
  <si>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</si>
  <si>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</si>
  <si>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</si>
  <si>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</si>
  <si>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</si>
  <si>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</si>
  <si>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</si>
  <si>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</si>
  <si>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</si>
  <si>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</si>
  <si>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</si>
  <si>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</si>
  <si>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</si>
  <si>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</si>
  <si>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</si>
  <si>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</si>
  <si>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</si>
  <si>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</si>
  <si>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</si>
  <si>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</si>
  <si>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</si>
  <si>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</si>
  <si>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</si>
  <si>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</si>
  <si>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</si>
  <si>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</si>
  <si>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</si>
  <si>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</si>
  <si>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</si>
  <si>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</si>
  <si>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</si>
  <si>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</si>
  <si>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</si>
  <si>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</si>
  <si>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</si>
  <si>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</si>
  <si>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</si>
  <si>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</si>
  <si>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</si>
  <si>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</si>
  <si>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</si>
  <si>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</si>
  <si>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</si>
  <si>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</si>
  <si>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</si>
  <si>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</si>
  <si>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</si>
  <si>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</si>
  <si>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</si>
  <si>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</si>
  <si>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</si>
  <si>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</si>
  <si>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</si>
  <si>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</si>
  <si>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</si>
  <si>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</si>
  <si>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</si>
  <si>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</si>
  <si>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</si>
  <si>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</si>
  <si>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</si>
  <si>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</si>
  <si>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</si>
  <si>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</si>
  <si>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</si>
  <si>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</si>
  <si>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</si>
  <si>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</si>
  <si>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</si>
  <si>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</si>
  <si>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</si>
  <si>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</si>
  <si>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</si>
  <si>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</si>
  <si>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</si>
  <si>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</si>
  <si>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</si>
  <si>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</si>
  <si>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</si>
  <si>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</si>
  <si>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</si>
  <si>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</si>
  <si>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</si>
  <si>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</si>
  <si>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</si>
  <si>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</si>
  <si>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</si>
  <si>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</si>
  <si>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</si>
  <si>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</si>
  <si>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</si>
  <si>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</si>
  <si>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</si>
  <si>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</si>
  <si>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</si>
  <si>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</si>
  <si>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</si>
  <si>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</si>
  <si>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</si>
  <si>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</si>
  <si>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</si>
  <si>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</si>
  <si>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</si>
  <si>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</si>
  <si>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</si>
  <si>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</si>
  <si>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</si>
  <si>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</si>
  <si>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</si>
  <si>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</si>
  <si>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</si>
  <si>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</si>
  <si>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</si>
  <si>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</si>
  <si>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</si>
  <si>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</si>
  <si>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</si>
  <si>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</si>
  <si>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</si>
  <si>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</si>
  <si>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</si>
  <si>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</si>
  <si>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</si>
  <si>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</si>
  <si>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</si>
  <si>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</si>
  <si>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</si>
  <si>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</si>
  <si>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</si>
  <si>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</si>
  <si>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</si>
  <si>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</si>
  <si>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</si>
  <si>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</si>
  <si>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</si>
  <si>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</si>
  <si>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</si>
  <si>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</si>
  <si>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</si>
  <si>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</si>
  <si>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</si>
  <si>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</si>
  <si>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</si>
  <si>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</si>
  <si>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</si>
  <si>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</si>
  <si>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</si>
  <si>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</si>
  <si>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</si>
  <si>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</si>
  <si>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</si>
  <si>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</si>
  <si>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</si>
  <si>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</si>
  <si>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</si>
  <si>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</si>
  <si>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</si>
  <si>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</si>
  <si>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</si>
  <si>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</si>
  <si>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</si>
  <si>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</si>
  <si>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</si>
  <si>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</si>
  <si>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</si>
  <si>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</si>
  <si>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</si>
  <si>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</si>
  <si>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</si>
  <si>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</si>
  <si>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</si>
  <si>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</si>
  <si>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</si>
  <si>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</si>
  <si>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</si>
  <si>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</si>
  <si>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</si>
  <si>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</si>
  <si>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</si>
  <si>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</si>
  <si>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</si>
  <si>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</si>
  <si>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</si>
  <si>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</si>
  <si>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</si>
  <si>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</si>
  <si>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</si>
  <si>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</si>
  <si>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</si>
  <si>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</si>
  <si>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</si>
  <si>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</si>
  <si>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</si>
  <si>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</si>
  <si>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</si>
  <si>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</si>
  <si>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</si>
  <si>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</si>
  <si>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</si>
  <si>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</si>
  <si>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</si>
  <si>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</si>
  <si>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</si>
  <si>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</si>
  <si>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</si>
  <si>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</si>
  <si>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</si>
  <si>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</si>
  <si>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</si>
  <si>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</si>
  <si>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</si>
  <si>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</si>
  <si>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</si>
  <si>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</si>
  <si>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</si>
  <si>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</si>
  <si>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</si>
  <si>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</si>
  <si>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</si>
  <si>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</si>
  <si>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</si>
  <si>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</si>
  <si>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</si>
  <si>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</si>
  <si>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</si>
  <si>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</si>
  <si>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</si>
  <si>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</si>
  <si>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</si>
  <si>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</si>
  <si>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</si>
  <si>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</si>
  <si>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</si>
  <si>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</si>
  <si>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</si>
  <si>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</si>
  <si>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</si>
  <si>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</si>
  <si>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</si>
  <si>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</si>
  <si>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</si>
  <si>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</si>
  <si>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</si>
  <si>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</si>
  <si>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</si>
  <si>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</si>
  <si>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</si>
  <si>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</si>
  <si>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</si>
  <si>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</si>
  <si>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</si>
  <si>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</si>
  <si>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</si>
  <si>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</si>
  <si>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</si>
  <si>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</si>
  <si>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</si>
  <si>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</si>
  <si>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</si>
  <si>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</si>
  <si>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</si>
  <si>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</si>
  <si>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</si>
  <si>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</si>
  <si>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</si>
  <si>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</si>
  <si>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</si>
  <si>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</si>
  <si>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</si>
  <si>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</si>
  <si>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</si>
  <si>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</si>
  <si>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</si>
  <si>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</si>
  <si>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</si>
  <si>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</si>
  <si>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</si>
  <si>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</si>
  <si>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</si>
  <si>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</si>
  <si>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</si>
  <si>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</si>
  <si>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</si>
  <si>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</si>
  <si>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</si>
  <si>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</si>
  <si>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</si>
  <si>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</si>
  <si>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</si>
  <si>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</si>
  <si>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</si>
  <si>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</si>
  <si>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</si>
  <si>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</si>
  <si>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</si>
  <si>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</si>
  <si>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</si>
  <si>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</si>
  <si>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</si>
  <si>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</si>
  <si>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</si>
  <si>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</si>
  <si>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</si>
  <si>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</si>
  <si>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</si>
  <si>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</si>
  <si>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</si>
  <si>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</si>
  <si>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</si>
  <si>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</si>
  <si>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</si>
  <si>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</si>
  <si>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</si>
  <si>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</si>
  <si>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</si>
  <si>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</si>
  <si>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</si>
  <si>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</si>
  <si>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</si>
  <si>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</si>
  <si>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</si>
  <si>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</si>
  <si>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</si>
  <si>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</si>
  <si>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</si>
  <si>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</si>
  <si>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</si>
  <si>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</si>
  <si>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</si>
  <si>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</si>
  <si>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</si>
  <si>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</si>
  <si>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</si>
  <si>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</si>
  <si>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</si>
  <si>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</si>
  <si>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</si>
  <si>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</si>
  <si>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</si>
  <si>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</si>
  <si>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</si>
  <si>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</si>
  <si>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</si>
  <si>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</si>
  <si>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</si>
  <si>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</si>
  <si>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</si>
  <si>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</si>
  <si>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</si>
  <si>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</si>
  <si>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</si>
  <si>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</si>
  <si>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</si>
  <si>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</si>
  <si>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</si>
  <si>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</si>
  <si>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</si>
  <si>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</si>
  <si>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</si>
  <si>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</si>
  <si>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</si>
  <si>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</si>
  <si>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</si>
  <si>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</si>
  <si>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</si>
  <si>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</si>
  <si>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</si>
  <si>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</si>
  <si>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</si>
  <si>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</si>
  <si>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</si>
  <si>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</si>
  <si>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</si>
  <si>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</si>
  <si>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</si>
  <si>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</si>
  <si>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</si>
  <si>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</si>
  <si>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</si>
  <si>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</si>
  <si>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</si>
  <si>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</si>
  <si>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</si>
  <si>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</si>
  <si>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</si>
  <si>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</si>
  <si>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</si>
  <si>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</si>
  <si>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</si>
  <si>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</si>
  <si>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</si>
  <si>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</si>
  <si>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</si>
  <si>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</si>
  <si>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</si>
  <si>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</si>
  <si>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</si>
  <si>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</si>
  <si>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</si>
  <si>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</si>
  <si>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</si>
  <si>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</si>
  <si>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</si>
  <si>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</si>
  <si>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</si>
  <si>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</si>
  <si>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</si>
  <si>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</si>
  <si>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</si>
  <si>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</si>
  <si>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</si>
  <si>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</si>
  <si>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</si>
  <si>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</si>
  <si>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</si>
  <si>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</si>
  <si>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</si>
  <si>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</si>
  <si>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</si>
  <si>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</si>
  <si>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</si>
  <si>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</si>
  <si>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</si>
  <si>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</si>
  <si>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</si>
  <si>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</si>
  <si>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</si>
  <si>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</si>
  <si>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</si>
  <si>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</si>
  <si>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</si>
  <si>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</si>
  <si>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</si>
  <si>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</si>
  <si>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</si>
  <si>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</si>
  <si>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</si>
  <si>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</si>
  <si>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</si>
  <si>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</si>
  <si>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</si>
  <si>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</si>
  <si>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</si>
  <si>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</si>
  <si>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</si>
  <si>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</si>
  <si>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</si>
  <si>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</si>
  <si>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</si>
  <si>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</si>
  <si>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</si>
  <si>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</si>
  <si>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</si>
  <si>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</si>
  <si>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</si>
  <si>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</si>
  <si>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</si>
  <si>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</si>
  <si>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</si>
  <si>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</si>
  <si>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</si>
  <si>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</si>
  <si>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</si>
  <si>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</si>
  <si>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</si>
  <si>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</si>
  <si>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</si>
  <si>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</si>
  <si>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</si>
  <si>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</si>
  <si>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</si>
  <si>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</si>
  <si>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</si>
  <si>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</si>
  <si>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</si>
  <si>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</si>
  <si>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</si>
  <si>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</si>
  <si>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</si>
  <si>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</si>
  <si>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</si>
  <si>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</si>
  <si>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</si>
  <si>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</si>
  <si>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</si>
  <si>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</si>
  <si>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</si>
  <si>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</si>
  <si>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</si>
  <si>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</si>
  <si>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</si>
  <si>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</si>
  <si>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</si>
  <si>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</si>
  <si>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</si>
  <si>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</si>
  <si>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</si>
  <si>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</si>
  <si>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</si>
  <si>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</si>
  <si>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</si>
  <si>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</si>
  <si>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</si>
  <si>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</si>
  <si>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</si>
  <si>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</si>
  <si>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</si>
  <si>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</si>
  <si>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</si>
  <si>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</si>
  <si>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</si>
  <si>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</si>
  <si>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</si>
  <si>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</si>
  <si>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</si>
  <si>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</si>
  <si>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</si>
  <si>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</si>
  <si>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</si>
  <si>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</si>
  <si>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</si>
  <si>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</si>
  <si>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</si>
  <si>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</si>
  <si>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</si>
  <si>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</si>
  <si>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</si>
  <si>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</si>
  <si>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</si>
  <si>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</si>
  <si>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</si>
  <si>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</si>
  <si>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</si>
  <si>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</si>
  <si>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</si>
  <si>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</si>
  <si>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</si>
  <si>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</si>
  <si>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</si>
  <si>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</si>
  <si>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</si>
  <si>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</si>
  <si>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</si>
  <si>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</si>
  <si>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</si>
  <si>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</si>
  <si>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</si>
  <si>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</si>
  <si>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</si>
  <si>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</si>
  <si>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</si>
  <si>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</si>
  <si>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</si>
  <si>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</si>
  <si>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</si>
  <si>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</si>
  <si>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</si>
  <si>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</si>
  <si>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</si>
  <si>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</si>
  <si>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</si>
  <si>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</si>
  <si>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</si>
  <si>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</si>
  <si>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</si>
  <si>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</si>
  <si>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</si>
  <si>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</si>
  <si>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</si>
  <si>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</si>
  <si>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</si>
  <si>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</si>
  <si>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</si>
  <si>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</si>
  <si>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</si>
  <si>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</si>
  <si>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</si>
  <si>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</si>
  <si>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</si>
  <si>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</si>
  <si>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</si>
  <si>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</si>
  <si>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</si>
  <si>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</si>
  <si>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</si>
  <si>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</si>
  <si>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</si>
  <si>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</si>
  <si>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</si>
  <si>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</si>
  <si>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</si>
  <si>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</si>
  <si>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</si>
  <si>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</si>
  <si>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</si>
  <si>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</si>
  <si>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</si>
  <si>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</si>
  <si>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</si>
  <si>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</si>
  <si>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</si>
  <si>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</si>
  <si>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</si>
  <si>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</si>
  <si>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</si>
  <si>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</si>
  <si>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</si>
  <si>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</si>
  <si>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</si>
  <si>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</si>
  <si>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</si>
  <si>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</si>
  <si>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</si>
  <si>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</si>
  <si>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</si>
  <si>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</si>
  <si>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</si>
  <si>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</si>
  <si>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</si>
  <si>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</si>
  <si>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</si>
  <si>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</si>
  <si>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</si>
  <si>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</si>
  <si>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</si>
  <si>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</si>
  <si>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</si>
  <si>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</si>
  <si>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</si>
  <si>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</si>
  <si>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</si>
  <si>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</si>
  <si>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</si>
  <si>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</si>
  <si>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</si>
  <si>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</si>
  <si>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</si>
  <si>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</si>
  <si>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</si>
  <si>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</si>
  <si>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</si>
  <si>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</si>
  <si>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</si>
  <si>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</si>
  <si>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</si>
  <si>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</si>
  <si>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</si>
  <si>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</si>
  <si>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</si>
  <si>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</si>
  <si>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</si>
  <si>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</si>
  <si>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</si>
  <si>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</si>
  <si>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</si>
  <si>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</si>
  <si>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</si>
  <si>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</si>
  <si>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</si>
  <si>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</si>
  <si>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</si>
  <si>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</si>
  <si>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</si>
  <si>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</si>
  <si>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</si>
  <si>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</si>
  <si>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</si>
  <si>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</si>
  <si>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</si>
  <si>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</si>
  <si>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</si>
  <si>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</si>
  <si>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</si>
  <si>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</si>
  <si>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</si>
  <si>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</si>
  <si>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</si>
  <si>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</si>
  <si>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</si>
  <si>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</si>
  <si>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</si>
  <si>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</si>
  <si>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</si>
  <si>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</si>
  <si>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</si>
  <si>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</si>
  <si>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</si>
  <si>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</si>
  <si>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</si>
  <si>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</si>
  <si>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</si>
  <si>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</si>
  <si>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</si>
  <si>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</si>
  <si>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</si>
  <si>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</si>
  <si>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</si>
  <si>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</si>
  <si>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</si>
  <si>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</si>
  <si>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</si>
  <si>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</si>
  <si>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</si>
  <si>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</si>
  <si>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</si>
  <si>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</si>
  <si>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</si>
  <si>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</si>
  <si>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</si>
  <si>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</si>
  <si>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</si>
  <si>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</si>
  <si>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</si>
  <si>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</si>
  <si>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</si>
  <si>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</si>
  <si>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</si>
  <si>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</si>
  <si>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</si>
  <si>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</si>
  <si>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</si>
  <si>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</si>
  <si>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</si>
  <si>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</si>
  <si>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</si>
  <si>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</si>
  <si>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</si>
  <si>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</si>
  <si>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</si>
  <si>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</si>
  <si>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</si>
  <si>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</si>
  <si>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</si>
  <si>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</si>
  <si>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</si>
  <si>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</si>
  <si>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</si>
  <si>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</si>
  <si>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</si>
  <si>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</si>
  <si>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</si>
  <si>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</si>
  <si>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</si>
  <si>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</si>
  <si>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</si>
  <si>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</si>
  <si>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</si>
  <si>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</si>
  <si>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</si>
  <si>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</si>
  <si>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</si>
  <si>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</si>
  <si>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</si>
  <si>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</si>
  <si>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</si>
  <si>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</si>
  <si>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</si>
  <si>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</si>
  <si>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</si>
  <si>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</si>
  <si>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</si>
  <si>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</si>
  <si>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</si>
  <si>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</si>
  <si>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</si>
  <si>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</si>
  <si>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</si>
  <si>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</si>
  <si>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</si>
  <si>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</si>
  <si>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</si>
  <si>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</si>
  <si>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</si>
  <si>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</si>
  <si>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</si>
  <si>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</si>
  <si>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</si>
  <si>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</si>
  <si>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</si>
  <si>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</si>
  <si>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</si>
  <si>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</si>
  <si>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</si>
  <si>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</si>
  <si>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</si>
  <si>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</si>
  <si>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</si>
  <si>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</si>
  <si>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</si>
  <si>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</si>
  <si>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</si>
  <si>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</si>
  <si>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</si>
  <si>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</si>
  <si>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</si>
  <si>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</si>
  <si>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</si>
  <si>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</si>
  <si>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</si>
  <si>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</si>
  <si>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</si>
  <si>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</si>
  <si>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</si>
  <si>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</si>
  <si>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</si>
  <si>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</si>
  <si>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</si>
  <si>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</si>
  <si>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</si>
  <si>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</si>
  <si>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</si>
  <si>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</si>
  <si>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</si>
  <si>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</si>
  <si>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</si>
  <si>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</si>
  <si>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</si>
  <si>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</si>
  <si>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</si>
  <si>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</si>
  <si>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</si>
  <si>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</si>
  <si>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</si>
  <si>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</si>
  <si>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</si>
  <si>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</si>
  <si>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</si>
  <si>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</si>
  <si>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</si>
  <si>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</si>
  <si>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</si>
  <si>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</si>
  <si>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</si>
  <si>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</si>
  <si>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</si>
  <si>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</si>
  <si>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</si>
  <si>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</si>
  <si>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</si>
  <si>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</si>
  <si>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</si>
  <si>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</si>
  <si>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</si>
  <si>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</si>
  <si>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</si>
  <si>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</si>
  <si>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</si>
  <si>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</si>
  <si>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</si>
  <si>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</si>
  <si>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</si>
  <si>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</si>
  <si>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</si>
  <si>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</si>
  <si>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</si>
  <si>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</si>
  <si>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</si>
  <si>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</si>
  <si>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</si>
  <si>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</si>
  <si>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</si>
  <si>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</si>
  <si>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</si>
  <si>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</si>
  <si>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</si>
  <si>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</si>
  <si>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</si>
  <si>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</si>
  <si>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</si>
  <si>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</si>
  <si>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</si>
  <si>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</si>
  <si>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</si>
  <si>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</si>
  <si>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</si>
  <si>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</si>
  <si>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</si>
  <si>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</si>
  <si>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</si>
  <si>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</si>
  <si>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</si>
  <si>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</si>
  <si>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</si>
  <si>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</si>
  <si>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</si>
  <si>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</si>
  <si>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</si>
  <si>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</si>
  <si>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</si>
  <si>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</si>
  <si>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</si>
  <si>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</si>
  <si>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</si>
  <si>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</si>
  <si>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</si>
  <si>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</si>
  <si>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</si>
  <si>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</si>
  <si>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</si>
  <si>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</si>
  <si>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</si>
  <si>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</si>
  <si>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</si>
  <si>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</si>
  <si>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</si>
  <si>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</si>
  <si>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</si>
  <si>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</si>
  <si>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</si>
  <si>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</si>
  <si>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</si>
  <si>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</si>
  <si>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</si>
  <si>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</si>
  <si>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</si>
  <si>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</si>
  <si>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</si>
  <si>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</si>
  <si>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</si>
  <si>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</si>
  <si>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</si>
  <si>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</si>
  <si>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</si>
  <si>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</si>
  <si>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</si>
  <si>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</si>
  <si>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</si>
  <si>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</si>
  <si>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</si>
  <si>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</si>
  <si>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</si>
  <si>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</si>
  <si>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</si>
  <si>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</si>
  <si>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</si>
  <si>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</si>
  <si>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</si>
  <si>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</si>
  <si>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</si>
  <si>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</si>
  <si>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</si>
  <si>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</si>
  <si>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</si>
  <si>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</si>
  <si>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</si>
  <si>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</si>
  <si>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</si>
  <si>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</si>
  <si>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</si>
  <si>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</si>
  <si>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</si>
  <si>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</si>
  <si>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</si>
  <si>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</si>
  <si>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</si>
  <si>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</si>
  <si>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</si>
  <si>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</si>
  <si>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</si>
  <si>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</si>
  <si>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</si>
  <si>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</si>
  <si>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</si>
  <si>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</si>
  <si>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</si>
  <si>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</si>
  <si>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</si>
  <si>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</si>
  <si>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</si>
  <si>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</si>
  <si>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</si>
  <si>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</si>
  <si>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</si>
  <si>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</si>
  <si>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</si>
  <si>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</si>
  <si>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</si>
  <si>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</si>
  <si>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</si>
  <si>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</si>
  <si>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</si>
  <si>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</si>
  <si>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</si>
  <si>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</si>
  <si>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</si>
  <si>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</si>
  <si>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</si>
  <si>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</si>
  <si>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</si>
  <si>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</si>
  <si>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</si>
  <si>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</si>
  <si>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</si>
  <si>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</si>
  <si>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</si>
  <si>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</si>
  <si>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</si>
  <si>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</si>
  <si>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</si>
  <si>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</si>
  <si>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</si>
  <si>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</si>
  <si>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</si>
  <si>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</si>
  <si>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</si>
  <si>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</si>
  <si>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</si>
  <si>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</si>
  <si>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</si>
  <si>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</si>
  <si>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</si>
  <si>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</si>
  <si>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</si>
  <si>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</si>
  <si>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</si>
  <si>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</si>
  <si>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</si>
  <si>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</si>
  <si>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</si>
  <si>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</si>
  <si>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</si>
  <si>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</si>
  <si>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</si>
  <si>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</si>
  <si>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</si>
  <si>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</si>
  <si>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</si>
  <si>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</si>
  <si>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</si>
  <si>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</si>
  <si>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</si>
  <si>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</si>
  <si>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</si>
  <si>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</si>
  <si>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</si>
  <si>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</si>
  <si>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</si>
  <si>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</si>
  <si>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</si>
  <si>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</si>
  <si>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</si>
  <si>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</si>
  <si>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</si>
  <si>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</si>
  <si>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</si>
  <si>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</si>
  <si>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</si>
  <si>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</si>
  <si>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</si>
  <si>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</si>
  <si>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</si>
  <si>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</si>
  <si>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</si>
  <si>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</si>
  <si>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</si>
  <si>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</si>
  <si>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</si>
  <si>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</si>
  <si>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</si>
  <si>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</si>
  <si>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</si>
  <si>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</si>
  <si>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</si>
  <si>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</si>
  <si>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</si>
  <si>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</si>
  <si>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</si>
  <si>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</si>
  <si>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</si>
  <si>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</si>
  <si>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</si>
  <si>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</si>
  <si>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</si>
  <si>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</si>
  <si>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</si>
  <si>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</si>
  <si>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</si>
  <si>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</si>
  <si>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</si>
  <si>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</si>
  <si>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</si>
  <si>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</si>
  <si>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</si>
  <si>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</si>
  <si>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</si>
  <si>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</si>
  <si>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</si>
  <si>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</si>
  <si>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</si>
  <si>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</si>
  <si>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</si>
  <si>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</si>
  <si>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</si>
  <si>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</si>
  <si>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</si>
  <si>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</si>
  <si>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</si>
  <si>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</si>
  <si>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</si>
  <si>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</si>
  <si>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</si>
  <si>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</si>
  <si>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</si>
  <si>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</si>
  <si>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</si>
  <si>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</si>
  <si>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</si>
  <si>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</si>
  <si>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</si>
  <si>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</si>
  <si>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</si>
  <si>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</si>
  <si>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</si>
  <si>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</si>
  <si>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</si>
  <si>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</si>
  <si>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</si>
  <si>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</si>
  <si>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</si>
  <si>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</si>
  <si>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</si>
  <si>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</si>
  <si>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</si>
  <si>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</si>
  <si>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</si>
  <si>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</si>
  <si>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</si>
  <si>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</si>
  <si>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</si>
  <si>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</si>
  <si>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</si>
  <si>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</si>
  <si>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</si>
  <si>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</si>
  <si>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</si>
  <si>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</si>
  <si>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</si>
  <si>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</si>
  <si>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</si>
  <si>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</si>
  <si>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</si>
  <si>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</si>
  <si>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</si>
  <si>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</si>
  <si>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</si>
  <si>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</si>
  <si>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</si>
  <si>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</si>
  <si>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</si>
  <si>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</si>
  <si>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</si>
  <si>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</si>
  <si>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</si>
  <si>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</si>
  <si>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</si>
  <si>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</si>
  <si>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</si>
  <si>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</si>
  <si>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</si>
  <si>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</si>
  <si>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</si>
  <si>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</si>
  <si>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</si>
  <si>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</si>
  <si>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</si>
  <si>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</si>
  <si>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</si>
  <si>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</si>
  <si>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</si>
  <si>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</si>
  <si>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</si>
  <si>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</si>
  <si>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</si>
  <si>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</si>
  <si>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</si>
  <si>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</si>
  <si>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</si>
  <si>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</si>
  <si>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</si>
  <si>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</si>
  <si>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</si>
  <si>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</si>
  <si>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</si>
  <si>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</si>
  <si>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</si>
  <si>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</si>
  <si>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</si>
  <si>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</si>
  <si>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</si>
  <si>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</si>
  <si>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</si>
  <si>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</si>
  <si>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</si>
  <si>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</si>
  <si>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</si>
  <si>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</si>
  <si>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</si>
  <si>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</si>
  <si>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</si>
  <si>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</si>
  <si>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</si>
  <si>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</si>
  <si>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</si>
  <si>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</si>
  <si>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</si>
  <si>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</si>
  <si>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</si>
  <si>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</si>
  <si>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</si>
  <si>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</si>
  <si>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</si>
  <si>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</si>
  <si>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</si>
  <si>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</si>
  <si>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</si>
  <si>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</si>
  <si>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</si>
  <si>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</si>
  <si>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</si>
  <si>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</si>
  <si>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</si>
  <si>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</si>
  <si>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</si>
  <si>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</si>
  <si>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</si>
  <si>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</si>
  <si>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</si>
  <si>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</si>
  <si>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</si>
  <si>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</si>
  <si>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</si>
  <si>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</si>
  <si>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</si>
  <si>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</si>
  <si>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</si>
  <si>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</si>
  <si>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</si>
  <si>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</si>
  <si>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</si>
  <si>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</si>
  <si>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</si>
  <si>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</si>
  <si>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</si>
  <si>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</si>
  <si>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</si>
  <si>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</si>
  <si>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</si>
  <si>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</si>
  <si>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</si>
  <si>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</si>
  <si>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</si>
  <si>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</si>
  <si>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</si>
  <si>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</si>
  <si>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</si>
  <si>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</si>
  <si>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</si>
  <si>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</si>
  <si>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</si>
  <si>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</si>
  <si>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</si>
  <si>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</si>
  <si>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</si>
  <si>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</si>
  <si>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</si>
  <si>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</si>
  <si>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</si>
  <si>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</si>
  <si>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</si>
  <si>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</si>
  <si>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</si>
  <si>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</si>
  <si>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</si>
  <si>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</si>
  <si>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</si>
  <si>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</si>
  <si>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</si>
  <si>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</si>
  <si>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</si>
  <si>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</si>
  <si>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</si>
  <si>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</si>
  <si>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</si>
  <si>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</si>
  <si>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</si>
  <si>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</si>
  <si>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</si>
  <si>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</si>
  <si>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</si>
  <si>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</si>
  <si>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</si>
  <si>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</si>
  <si>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</si>
  <si>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</si>
  <si>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</si>
  <si>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</si>
  <si>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</si>
  <si>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</si>
  <si>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</si>
  <si>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</si>
  <si>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</si>
  <si>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</si>
  <si>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</si>
  <si>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</si>
  <si>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</si>
  <si>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</si>
  <si>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</si>
  <si>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</si>
  <si>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</si>
  <si>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</si>
  <si>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</si>
  <si>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</si>
  <si>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</si>
  <si>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</si>
  <si>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</si>
  <si>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</si>
  <si>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</si>
  <si>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</si>
  <si>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</si>
  <si>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</si>
  <si>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</si>
  <si>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</si>
  <si>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</si>
  <si>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</si>
  <si>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</si>
  <si>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</si>
  <si>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</si>
  <si>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</si>
  <si>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</si>
  <si>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</si>
  <si>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</si>
  <si>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</si>
  <si>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</si>
  <si>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</si>
  <si>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</si>
  <si>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</si>
  <si>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</si>
  <si>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</si>
  <si>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</si>
  <si>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</si>
  <si>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</si>
  <si>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</si>
  <si>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</si>
  <si>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</si>
  <si>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</si>
  <si>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</si>
  <si>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</si>
  <si>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</si>
  <si>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</si>
  <si>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</si>
  <si>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</si>
  <si>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</si>
  <si>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</si>
  <si>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</si>
  <si>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</si>
  <si>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</si>
  <si>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</si>
  <si>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</si>
  <si>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</si>
  <si>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</si>
  <si>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</si>
  <si>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</si>
  <si>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</si>
  <si>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</si>
  <si>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</si>
  <si>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</si>
  <si>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</si>
  <si>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</si>
  <si>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</si>
  <si>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</si>
  <si>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</si>
  <si>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</si>
  <si>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</si>
  <si>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</si>
  <si>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</si>
  <si>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</si>
  <si>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</si>
  <si>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</si>
  <si>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</si>
  <si>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</si>
  <si>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</si>
  <si>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</si>
  <si>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</si>
  <si>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</si>
  <si>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</si>
  <si>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</si>
  <si>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</si>
  <si>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</si>
  <si>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</si>
  <si>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</si>
  <si>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</si>
  <si>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</si>
  <si>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</si>
  <si>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</si>
  <si>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</si>
  <si>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</si>
  <si>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</si>
  <si>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</si>
  <si>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</si>
  <si>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</si>
  <si>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</si>
  <si>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</si>
  <si>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</si>
  <si>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</si>
  <si>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</si>
  <si>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</si>
  <si>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</si>
  <si>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</si>
  <si>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</si>
  <si>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</si>
  <si>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</si>
  <si>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</si>
  <si>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</si>
  <si>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</si>
  <si>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</si>
  <si>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</si>
  <si>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</si>
  <si>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</si>
  <si>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</si>
  <si>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</si>
  <si>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</si>
  <si>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</si>
  <si>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</si>
  <si>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</si>
  <si>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</si>
  <si>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</si>
  <si>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</si>
  <si>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</si>
  <si>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</si>
  <si>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</si>
  <si>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</si>
  <si>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</si>
  <si>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</si>
  <si>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</si>
  <si>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</si>
  <si>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</si>
  <si>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</si>
  <si>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</si>
  <si>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</si>
  <si>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</si>
  <si>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</si>
  <si>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</si>
  <si>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</si>
  <si>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</si>
  <si>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</si>
  <si>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</si>
  <si>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</si>
  <si>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</si>
  <si>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</si>
  <si>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</si>
  <si>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</si>
  <si>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</si>
  <si>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</si>
  <si>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</si>
  <si>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</si>
  <si>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</si>
  <si>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</si>
  <si>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</si>
  <si>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</si>
  <si>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</si>
  <si>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</si>
  <si>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</si>
  <si>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</si>
  <si>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</si>
  <si>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</si>
  <si>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</si>
  <si>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</si>
  <si>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</si>
  <si>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</si>
  <si>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</si>
  <si>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</si>
  <si>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</si>
  <si>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</si>
  <si>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</si>
  <si>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</si>
  <si>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</si>
  <si>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</si>
  <si>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</si>
  <si>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</si>
  <si>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</si>
  <si>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</si>
  <si>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</si>
  <si>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</si>
  <si>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</si>
  <si>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</si>
  <si>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</si>
  <si>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</si>
  <si>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</si>
  <si>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</si>
  <si>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</si>
  <si>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</si>
  <si>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</si>
  <si>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</si>
  <si>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</si>
  <si>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</si>
  <si>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</si>
  <si>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</si>
  <si>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</si>
  <si>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</si>
  <si>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</si>
  <si>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</si>
  <si>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</si>
  <si>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</si>
  <si>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</si>
  <si>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</si>
  <si>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</si>
  <si>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</si>
  <si>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</si>
  <si>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</si>
  <si>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</si>
  <si>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</si>
  <si>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</si>
  <si>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</si>
  <si>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</si>
  <si>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</si>
  <si>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</si>
  <si>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</si>
  <si>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</si>
  <si>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</si>
  <si>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</si>
  <si>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</si>
  <si>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</si>
  <si>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</si>
  <si>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</si>
  <si>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</si>
  <si>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</si>
  <si>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</si>
  <si>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</si>
  <si>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</si>
  <si>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</si>
  <si>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</si>
  <si>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</si>
  <si>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</si>
  <si>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</si>
  <si>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</si>
  <si>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</si>
  <si>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</si>
  <si>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</si>
  <si>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</si>
  <si>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</si>
  <si>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</si>
  <si>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</si>
  <si>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</si>
  <si>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</si>
  <si>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</si>
  <si>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</si>
  <si>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</si>
  <si>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</si>
  <si>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</si>
  <si>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</si>
  <si>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</si>
  <si>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</si>
  <si>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</si>
  <si>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</si>
  <si>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</si>
  <si>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</si>
  <si>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</si>
  <si>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</si>
  <si>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</si>
  <si>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</si>
  <si>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</si>
  <si>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</si>
  <si>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</si>
  <si>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</si>
  <si>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</si>
  <si>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</si>
  <si>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</si>
  <si>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</si>
  <si>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</si>
  <si>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</si>
  <si>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</si>
  <si>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</si>
  <si>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</si>
  <si>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</si>
  <si>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</si>
  <si>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</si>
  <si>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</si>
  <si>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</si>
  <si>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</si>
  <si>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</si>
  <si>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</si>
  <si>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</si>
  <si>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</si>
  <si>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</si>
  <si>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</si>
  <si>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</si>
  <si>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</si>
  <si>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</si>
  <si>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</si>
  <si>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</si>
  <si>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</si>
  <si>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</si>
  <si>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</si>
  <si>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</si>
  <si>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</si>
  <si>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</si>
  <si>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</si>
  <si>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</si>
  <si>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</si>
  <si>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</si>
  <si>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</si>
  <si>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</si>
  <si>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</si>
  <si>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</si>
  <si>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</si>
  <si>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</si>
  <si>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</si>
  <si>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</si>
  <si>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</si>
  <si>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</si>
  <si>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</si>
  <si>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</si>
  <si>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</si>
  <si>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</si>
  <si>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</si>
  <si>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</si>
  <si>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</si>
  <si>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</si>
  <si>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</si>
  <si>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</si>
  <si>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</si>
  <si>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</si>
  <si>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</si>
  <si>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</si>
  <si>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</si>
  <si>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</si>
  <si>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</si>
  <si>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</si>
  <si>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</si>
  <si>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</si>
  <si>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</si>
  <si>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</si>
  <si>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</si>
  <si>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</si>
  <si>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</si>
  <si>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</si>
  <si>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</si>
  <si>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</si>
  <si>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</si>
  <si>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</si>
  <si>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</si>
  <si>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</si>
  <si>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</si>
  <si>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</si>
  <si>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</si>
  <si>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</si>
  <si>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</si>
  <si>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</si>
  <si>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</si>
  <si>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</si>
  <si>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</si>
  <si>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</si>
  <si>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</si>
  <si>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</si>
  <si>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</si>
  <si>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</si>
  <si>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</si>
  <si>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</si>
  <si>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</si>
  <si>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</si>
  <si>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</si>
  <si>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</si>
  <si>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</si>
  <si>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</si>
  <si>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</si>
  <si>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</si>
  <si>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</si>
  <si>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</si>
  <si>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</si>
  <si>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</si>
  <si>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</si>
  <si>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</si>
  <si>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</si>
  <si>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</si>
  <si>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</si>
  <si>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</si>
  <si>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</si>
  <si>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</si>
  <si>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</si>
  <si>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</si>
  <si>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</si>
  <si>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</si>
  <si>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</si>
  <si>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</si>
  <si>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</si>
  <si>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</si>
  <si>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</si>
  <si>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</si>
  <si>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</si>
  <si>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</si>
  <si>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</si>
  <si>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</si>
  <si>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</si>
  <si>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</si>
  <si>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</si>
  <si>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</si>
  <si>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</si>
  <si>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</si>
  <si>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</si>
  <si>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</si>
  <si>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</si>
  <si>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</si>
  <si>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</si>
  <si>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</si>
  <si>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</si>
  <si>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</si>
  <si>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</si>
  <si>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</si>
  <si>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</si>
  <si>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</si>
  <si>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</si>
  <si>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</si>
  <si>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</si>
  <si>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</si>
  <si>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</si>
  <si>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</si>
  <si>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</si>
  <si>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</si>
  <si>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</si>
  <si>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</si>
  <si>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</si>
  <si>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</si>
  <si>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</si>
  <si>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</si>
  <si>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</si>
  <si>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</si>
  <si>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</si>
  <si>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</si>
  <si>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</si>
  <si>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</si>
  <si>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</si>
  <si>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</si>
  <si>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</si>
  <si>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</si>
  <si>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</si>
  <si>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</si>
  <si>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</si>
  <si>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</si>
  <si>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</si>
  <si>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</si>
  <si>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</si>
  <si>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</si>
  <si>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</si>
  <si>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</si>
  <si>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</si>
  <si>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</si>
  <si>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</si>
  <si>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</si>
  <si>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</si>
  <si>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</si>
  <si>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</si>
  <si>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</si>
  <si>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</si>
  <si>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</si>
  <si>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</si>
  <si>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</si>
  <si>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</si>
  <si>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</si>
  <si>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</si>
  <si>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</si>
  <si>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</si>
  <si>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</si>
  <si>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</si>
  <si>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</si>
  <si>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</si>
  <si>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</si>
  <si>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</si>
  <si>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</si>
  <si>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</si>
  <si>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</si>
  <si>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</si>
  <si>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</si>
  <si>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</si>
  <si>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</si>
  <si>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</si>
  <si>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</si>
  <si>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</si>
  <si>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</si>
  <si>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</si>
  <si>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</si>
  <si>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</si>
  <si>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</si>
  <si>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</si>
  <si>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</si>
  <si>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</si>
  <si>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</si>
  <si>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</si>
  <si>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</si>
  <si>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</si>
  <si>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</si>
  <si>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</si>
  <si>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</si>
  <si>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</si>
  <si>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</si>
  <si>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</si>
  <si>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</si>
  <si>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</si>
  <si>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</si>
  <si>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</si>
  <si>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</si>
  <si>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</si>
  <si>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</si>
  <si>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</si>
  <si>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</si>
  <si>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</si>
  <si>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</si>
  <si>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</si>
  <si>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</si>
  <si>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</si>
  <si>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</si>
  <si>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</si>
  <si>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</si>
  <si>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</si>
  <si>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</si>
  <si>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</si>
  <si>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</si>
  <si>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</si>
  <si>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</si>
  <si>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</si>
  <si>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</si>
  <si>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</si>
  <si>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</si>
  <si>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</si>
  <si>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</si>
  <si>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</si>
  <si>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</si>
  <si>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</si>
  <si>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</si>
  <si>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</si>
  <si>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</si>
  <si>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</si>
  <si>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</si>
  <si>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</si>
  <si>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</si>
  <si>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</si>
  <si>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</si>
  <si>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</si>
  <si>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</si>
  <si>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</si>
  <si>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</si>
  <si>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</si>
  <si>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</si>
  <si>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</si>
  <si>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</si>
  <si>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</si>
  <si>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</si>
  <si>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</si>
  <si>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</si>
  <si>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</si>
  <si>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</si>
  <si>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</si>
  <si>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</si>
  <si>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</si>
  <si>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</si>
  <si>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</si>
  <si>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</si>
  <si>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</si>
  <si>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</si>
  <si>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</si>
  <si>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</si>
  <si>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</si>
  <si>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</si>
  <si>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</si>
  <si>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</si>
  <si>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</si>
  <si>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</si>
  <si>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</si>
  <si>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</si>
  <si>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</si>
  <si>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</si>
  <si>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</si>
  <si>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</si>
  <si>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</si>
  <si>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</si>
  <si>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</si>
  <si>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</si>
  <si>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</si>
  <si>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</si>
  <si>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</si>
  <si>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</si>
  <si>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</si>
  <si>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</si>
  <si>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</si>
  <si>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</si>
  <si>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</si>
  <si>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</si>
  <si>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</si>
  <si>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</si>
  <si>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</si>
  <si>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</si>
  <si>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</si>
  <si>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</si>
  <si>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</si>
  <si>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</si>
  <si>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</si>
  <si>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</si>
  <si>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</si>
  <si>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</si>
  <si>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</si>
  <si>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</si>
  <si>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</si>
  <si>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</si>
  <si>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</si>
  <si>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</si>
  <si>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</si>
  <si>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</si>
  <si>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</si>
  <si>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</si>
  <si>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</si>
  <si>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</si>
  <si>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</si>
  <si>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</si>
  <si>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</si>
  <si>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</si>
  <si>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</si>
  <si>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</si>
  <si>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</si>
  <si>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</si>
  <si>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</si>
  <si>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</si>
  <si>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</si>
  <si>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</si>
  <si>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</si>
  <si>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</si>
  <si>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</si>
  <si>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</si>
  <si>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</si>
  <si>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</si>
  <si>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</si>
  <si>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</si>
  <si>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</si>
  <si>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</si>
  <si>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</si>
  <si>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</si>
  <si>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</si>
  <si>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</si>
  <si>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</si>
  <si>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</si>
  <si>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</si>
  <si>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</si>
  <si>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</si>
  <si>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</si>
  <si>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</si>
  <si>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</si>
  <si>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</si>
  <si>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</si>
  <si>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</si>
  <si>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</si>
  <si>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</si>
  <si>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</si>
  <si>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</si>
  <si>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</si>
  <si>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</si>
  <si>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</si>
  <si>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</si>
  <si>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</si>
  <si>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</si>
  <si>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</si>
  <si>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</si>
  <si>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</si>
  <si>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</si>
  <si>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</si>
  <si>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</si>
  <si>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</si>
  <si>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</si>
  <si>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</si>
  <si>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</si>
  <si>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</si>
  <si>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</si>
  <si>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</si>
  <si>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</si>
  <si>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</si>
  <si>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</si>
  <si>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</si>
  <si>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</si>
  <si>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</si>
  <si>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</si>
  <si>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</si>
  <si>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</si>
  <si>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</si>
  <si>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</si>
  <si>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</si>
  <si>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</si>
  <si>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</si>
  <si>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</si>
  <si>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</si>
  <si>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</si>
  <si>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</si>
  <si>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</si>
  <si>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</si>
  <si>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</si>
  <si>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</si>
  <si>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</si>
  <si>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</si>
  <si>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</si>
  <si>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</si>
  <si>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</si>
  <si>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</si>
  <si>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</si>
  <si>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</si>
  <si>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</si>
  <si>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</si>
  <si>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</si>
  <si>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</si>
  <si>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</si>
  <si>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</si>
  <si>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</si>
  <si>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</si>
  <si>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</si>
  <si>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</si>
  <si>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</si>
  <si>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</si>
  <si>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</si>
  <si>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</si>
  <si>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</si>
  <si>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</si>
  <si>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</si>
  <si>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</si>
  <si>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</si>
  <si>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</si>
  <si>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</si>
  <si>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</si>
  <si>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</si>
  <si>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</si>
  <si>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</si>
  <si>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</si>
  <si>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</si>
  <si>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</si>
  <si>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</si>
  <si>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</si>
  <si>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</si>
  <si>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</si>
  <si>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</si>
  <si>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</si>
  <si>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</si>
  <si>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</si>
  <si>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</si>
  <si>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</si>
  <si>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</si>
  <si>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</si>
  <si>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</si>
  <si>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</si>
  <si>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</si>
  <si>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</si>
  <si>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</si>
  <si>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</si>
  <si>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</si>
  <si>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</si>
  <si>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</si>
  <si>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</si>
  <si>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</si>
  <si>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</si>
  <si>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</si>
  <si>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</si>
  <si>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</si>
  <si>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</si>
  <si>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</si>
  <si>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</si>
  <si>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</si>
  <si>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</si>
  <si>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</si>
  <si>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</si>
  <si>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</si>
  <si>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</si>
  <si>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</si>
  <si>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</si>
  <si>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</si>
  <si>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</si>
  <si>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</si>
  <si>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</si>
  <si>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</si>
  <si>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</si>
  <si>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</si>
  <si>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</si>
  <si>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</si>
  <si>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</si>
  <si>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</si>
  <si>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</si>
  <si>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</si>
  <si>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</si>
  <si>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</si>
  <si>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</si>
  <si>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</si>
  <si>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</si>
  <si>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</si>
  <si>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</si>
  <si>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</si>
  <si>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</si>
  <si>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</si>
  <si>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</si>
  <si>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</si>
  <si>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</si>
  <si>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</si>
  <si>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</si>
  <si>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</si>
  <si>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</si>
  <si>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</si>
  <si>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</si>
  <si>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</si>
  <si>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</si>
  <si>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</si>
  <si>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</si>
  <si>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</si>
  <si>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</si>
  <si>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</si>
  <si>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</si>
  <si>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</si>
  <si>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</si>
  <si>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</si>
  <si>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</si>
  <si>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</si>
  <si>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</si>
  <si>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</si>
  <si>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</si>
  <si>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</si>
  <si>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</si>
  <si>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</si>
  <si>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</si>
  <si>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</si>
  <si>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</si>
  <si>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</si>
  <si>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</si>
  <si>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</si>
  <si>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</si>
  <si>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</si>
  <si>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</si>
  <si>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</si>
  <si>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</si>
  <si>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</si>
  <si>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</si>
  <si>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</si>
  <si>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</si>
  <si>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</si>
  <si>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</si>
  <si>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</si>
  <si>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</si>
  <si>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</si>
  <si>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</si>
  <si>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</si>
  <si>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</si>
  <si>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</si>
  <si>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</si>
  <si>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</si>
  <si>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</si>
  <si>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</si>
  <si>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</si>
  <si>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</si>
  <si>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</si>
  <si>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</si>
  <si>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</si>
  <si>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</si>
  <si>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</si>
  <si>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</si>
  <si>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</si>
  <si>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</si>
  <si>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</si>
  <si>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</si>
  <si>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</si>
  <si>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</si>
  <si>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</si>
  <si>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</si>
  <si>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</si>
  <si>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</si>
  <si>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</si>
  <si>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</si>
  <si>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</si>
  <si>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</si>
  <si>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</si>
  <si>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</si>
  <si>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</si>
  <si>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</si>
  <si>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</si>
  <si>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</si>
  <si>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</si>
  <si>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</si>
  <si>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</si>
  <si>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</si>
  <si>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</si>
  <si>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</si>
  <si>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</si>
  <si>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</si>
  <si>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</si>
  <si>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</si>
  <si>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</si>
  <si>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</si>
  <si>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</si>
  <si>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</si>
  <si>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</si>
  <si>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</si>
  <si>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</si>
  <si>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</si>
  <si>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</si>
  <si>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</si>
  <si>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</si>
  <si>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</si>
  <si>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</si>
  <si>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</si>
  <si>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</si>
  <si>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</si>
  <si>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</si>
  <si>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</si>
  <si>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</si>
  <si>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</si>
  <si>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</si>
  <si>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</si>
  <si>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</si>
  <si>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</si>
  <si>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</si>
  <si>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</si>
  <si>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</si>
  <si>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</si>
  <si>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</si>
  <si>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</si>
  <si>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</si>
  <si>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</si>
  <si>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</si>
  <si>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</si>
  <si>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</si>
  <si>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</si>
  <si>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</si>
  <si>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</si>
  <si>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</si>
  <si>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</si>
  <si>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</si>
  <si>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</si>
  <si>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</si>
  <si>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</si>
  <si>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</si>
  <si>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</si>
  <si>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</si>
  <si>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</si>
  <si>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</si>
  <si>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</si>
  <si>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</si>
  <si>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</si>
  <si>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</si>
  <si>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</si>
  <si>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</si>
  <si>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</si>
  <si>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</si>
  <si>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</si>
  <si>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</si>
  <si>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</si>
  <si>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</si>
  <si>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</si>
  <si>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</si>
  <si>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</si>
  <si>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</si>
  <si>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</si>
  <si>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</si>
  <si>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</si>
  <si>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</si>
  <si>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</si>
  <si>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</si>
  <si>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</si>
  <si>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</si>
  <si>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</si>
  <si>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</si>
  <si>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</si>
  <si>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</si>
  <si>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</si>
  <si>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</si>
  <si>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</si>
  <si>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</si>
  <si>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</si>
  <si>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</si>
  <si>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</si>
  <si>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</si>
  <si>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</si>
  <si>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</si>
  <si>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</si>
  <si>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</si>
  <si>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</si>
  <si>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</si>
  <si>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</si>
  <si>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</si>
  <si>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</si>
  <si>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</si>
  <si>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</si>
  <si>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</si>
  <si>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</si>
  <si>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</si>
  <si>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</si>
  <si>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</si>
  <si>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</si>
  <si>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</si>
  <si>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</si>
  <si>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</si>
  <si>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</si>
  <si>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</si>
  <si>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</si>
  <si>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</si>
  <si>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</si>
  <si>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</si>
  <si>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</si>
  <si>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</si>
  <si>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</si>
  <si>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</si>
  <si>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</si>
  <si>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</si>
  <si>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</si>
  <si>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</si>
  <si>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</si>
  <si>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</si>
  <si>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</si>
  <si>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</si>
  <si>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</si>
  <si>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</si>
  <si>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</si>
  <si>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</si>
  <si>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</si>
  <si>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</si>
  <si>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</si>
  <si>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</si>
  <si>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</si>
  <si>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</si>
  <si>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</si>
  <si>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</si>
  <si>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</si>
  <si>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</si>
  <si>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</si>
  <si>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</si>
  <si>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</si>
  <si>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</si>
  <si>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</si>
  <si>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</si>
  <si>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</si>
  <si>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</si>
  <si>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</si>
  <si>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</si>
  <si>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</si>
  <si>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</si>
  <si>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</si>
  <si>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</si>
  <si>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</si>
  <si>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</si>
  <si>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</si>
  <si>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</si>
  <si>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</si>
  <si>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</si>
  <si>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</si>
  <si>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</si>
  <si>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</si>
  <si>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</si>
  <si>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</si>
  <si>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</si>
  <si>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</si>
  <si>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</si>
  <si>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</si>
  <si>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</si>
  <si>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</si>
  <si>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</si>
  <si>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</si>
  <si>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</si>
  <si>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</si>
  <si>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</si>
  <si>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</si>
  <si>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</si>
  <si>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</si>
  <si>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</si>
  <si>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</si>
  <si>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</si>
  <si>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</si>
  <si>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</si>
  <si>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</si>
  <si>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</si>
  <si>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</si>
  <si>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</si>
  <si>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</si>
  <si>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</si>
  <si>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</si>
  <si>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</si>
  <si>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</si>
  <si>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</si>
  <si>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</si>
  <si>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</si>
  <si>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</si>
  <si>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</si>
  <si>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</si>
  <si>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</si>
  <si>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</si>
  <si>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</si>
  <si>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</si>
  <si>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</si>
  <si>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</si>
  <si>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</si>
  <si>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</si>
  <si>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</si>
  <si>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</si>
  <si>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</si>
  <si>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</si>
  <si>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</si>
  <si>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</si>
  <si>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</si>
  <si>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</si>
  <si>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</si>
  <si>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</si>
  <si>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</si>
  <si>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</si>
  <si>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</si>
  <si>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</si>
  <si>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</si>
  <si>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</si>
  <si>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</si>
  <si>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</si>
  <si>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</si>
  <si>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</si>
  <si>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</si>
  <si>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</si>
  <si>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</si>
  <si>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</si>
  <si>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</si>
  <si>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</si>
  <si>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</si>
  <si>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</si>
  <si>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</si>
  <si>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</si>
  <si>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</si>
  <si>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</si>
  <si>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</si>
  <si>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</si>
  <si>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</si>
  <si>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</si>
  <si>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</si>
  <si>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</si>
  <si>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</si>
  <si>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</si>
  <si>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</si>
  <si>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</si>
  <si>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</si>
  <si>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</si>
  <si>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</si>
  <si>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</si>
  <si>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</si>
  <si>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</si>
  <si>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</si>
  <si>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</si>
  <si>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</si>
  <si>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</si>
  <si>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</si>
  <si>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</si>
  <si>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</si>
  <si>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</si>
  <si>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</si>
  <si>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</si>
  <si>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</si>
  <si>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</si>
  <si>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</si>
  <si>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</si>
  <si>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</si>
  <si>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</si>
  <si>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</si>
  <si>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</si>
  <si>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</si>
  <si>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</si>
  <si>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</si>
  <si>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</si>
  <si>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</si>
  <si>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</si>
  <si>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</si>
  <si>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</si>
  <si>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</si>
  <si>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</si>
  <si>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</si>
  <si>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</si>
  <si>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</si>
  <si>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</si>
  <si>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</si>
  <si>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</si>
  <si>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</si>
  <si>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</si>
  <si>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</si>
  <si>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</si>
  <si>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</si>
  <si>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</si>
  <si>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</si>
  <si>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</si>
  <si>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</si>
  <si>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</si>
  <si>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</si>
  <si>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</si>
  <si>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</si>
  <si>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</si>
  <si>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</si>
  <si>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</si>
  <si>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</si>
  <si>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</si>
  <si>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</si>
  <si>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</si>
  <si>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</si>
  <si>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</si>
  <si>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</si>
  <si>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</si>
  <si>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</si>
  <si>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</si>
  <si>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</si>
  <si>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</si>
  <si>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</si>
  <si>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</si>
  <si>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</si>
  <si>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</si>
  <si>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</si>
  <si>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</si>
  <si>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</si>
  <si>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</si>
  <si>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</si>
  <si>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</si>
  <si>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</si>
  <si>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</si>
  <si>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</si>
  <si>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</si>
  <si>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</si>
  <si>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</si>
  <si>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</si>
  <si>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</si>
  <si>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</si>
  <si>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</si>
  <si>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</si>
  <si>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</si>
  <si>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</si>
  <si>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</si>
  <si>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</si>
  <si>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</si>
  <si>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</si>
  <si>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</si>
  <si>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</si>
  <si>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</si>
  <si>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</si>
  <si>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</si>
  <si>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</si>
  <si>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</si>
  <si>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</si>
  <si>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</si>
  <si>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</si>
  <si>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</si>
  <si>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</si>
  <si>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</si>
  <si>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</si>
  <si>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</si>
  <si>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</si>
  <si>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</si>
  <si>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</si>
  <si>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</si>
  <si>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</si>
  <si>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</si>
  <si>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</si>
  <si>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</si>
  <si>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</si>
  <si>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</si>
  <si>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</si>
  <si>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</si>
  <si>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</si>
  <si>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</si>
  <si>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</si>
  <si>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</si>
  <si>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</si>
  <si>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</si>
  <si>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</si>
  <si>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</si>
  <si>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</si>
  <si>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</si>
  <si>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</si>
  <si>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</si>
  <si>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</si>
  <si>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</si>
  <si>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</si>
  <si>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</si>
  <si>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</si>
  <si>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</si>
  <si>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</si>
  <si>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</si>
  <si>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</si>
  <si>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</si>
  <si>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</si>
  <si>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</si>
  <si>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</si>
  <si>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</si>
  <si>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</si>
  <si>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</si>
  <si>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</si>
  <si>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</si>
  <si>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</si>
  <si>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</si>
  <si>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</si>
  <si>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</si>
  <si>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</si>
  <si>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</si>
  <si>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</si>
  <si>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</si>
  <si>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</si>
  <si>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</si>
  <si>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</si>
  <si>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</si>
  <si>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</si>
  <si>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</si>
  <si>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</si>
  <si>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</si>
  <si>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</si>
  <si>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</si>
  <si>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</si>
  <si>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</si>
  <si>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</si>
  <si>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</si>
  <si>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</si>
  <si>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</si>
  <si>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</si>
  <si>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</si>
  <si>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</si>
  <si>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</si>
  <si>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</si>
  <si>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</si>
  <si>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</si>
  <si>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</si>
  <si>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</si>
  <si>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</si>
  <si>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</si>
  <si>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</si>
  <si>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</si>
  <si>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</si>
  <si>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</si>
  <si>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</si>
  <si>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</si>
  <si>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</si>
  <si>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</si>
  <si>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</si>
  <si>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</si>
  <si>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</si>
  <si>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</si>
  <si>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</si>
  <si>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</si>
  <si>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</si>
  <si>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</si>
  <si>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</si>
  <si>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</si>
  <si>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</si>
  <si>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</si>
  <si>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</si>
  <si>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</si>
  <si>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</si>
  <si>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</si>
  <si>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</si>
  <si>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</si>
  <si>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</si>
  <si>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</si>
  <si>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</si>
  <si>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</si>
  <si>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</si>
  <si>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</si>
  <si>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</si>
  <si>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</si>
  <si>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</si>
  <si>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</si>
  <si>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</si>
  <si>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</si>
  <si>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</si>
  <si>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</si>
  <si>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</si>
  <si>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</si>
  <si>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</si>
  <si>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</si>
  <si>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</si>
  <si>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</si>
  <si>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</si>
  <si>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</si>
  <si>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</si>
  <si>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</si>
  <si>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</si>
  <si>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</si>
  <si>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</si>
  <si>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</si>
  <si>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</si>
  <si>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</si>
  <si>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</si>
  <si>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</si>
  <si>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</si>
  <si>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</si>
  <si>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</si>
  <si>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</si>
  <si>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</si>
  <si>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</si>
  <si>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</si>
  <si>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</si>
  <si>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</si>
  <si>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</si>
  <si>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</si>
  <si>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</si>
  <si>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</si>
  <si>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</si>
  <si>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</si>
  <si>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</si>
  <si>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</si>
  <si>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</si>
  <si>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</si>
  <si>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</si>
  <si>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</si>
  <si>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</si>
  <si>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</si>
  <si>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</si>
  <si>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</si>
  <si>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</si>
  <si>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</si>
  <si>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</si>
  <si>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</si>
  <si>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</si>
  <si>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</si>
  <si>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</si>
  <si>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</si>
  <si>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</si>
  <si>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</si>
  <si>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</si>
  <si>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</si>
  <si>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</si>
  <si>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</si>
  <si>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</si>
  <si>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</si>
  <si>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</si>
  <si>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</si>
  <si>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</si>
  <si>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</si>
  <si>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</si>
  <si>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</si>
  <si>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</si>
  <si>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</si>
  <si>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</si>
  <si>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</si>
  <si>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</si>
  <si>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</si>
  <si>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</si>
  <si>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</si>
  <si>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</si>
  <si>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</si>
  <si>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</si>
  <si>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</si>
  <si>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</si>
  <si>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</si>
  <si>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</si>
  <si>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</si>
  <si>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</si>
  <si>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</si>
  <si>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</si>
  <si>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</si>
  <si>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</si>
  <si>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</si>
  <si>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</si>
  <si>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</si>
  <si>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</si>
  <si>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</si>
  <si>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</si>
  <si>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</si>
  <si>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</si>
  <si>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</si>
  <si>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</si>
  <si>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</si>
  <si>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</si>
  <si>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</si>
  <si>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</si>
  <si>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</si>
  <si>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</si>
  <si>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</si>
  <si>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</si>
  <si>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</si>
  <si>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</si>
  <si>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</si>
  <si>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</si>
  <si>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</si>
  <si>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</si>
  <si>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</si>
  <si>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</si>
  <si>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</si>
  <si>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</si>
  <si>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</si>
  <si>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</si>
  <si>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</si>
  <si>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</si>
  <si>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</si>
  <si>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</si>
  <si>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</si>
  <si>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</si>
  <si>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</si>
  <si>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</si>
  <si>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</si>
  <si>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</si>
  <si>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</si>
  <si>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</si>
  <si>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</si>
  <si>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</si>
  <si>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</si>
  <si>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</si>
  <si>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</si>
  <si>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</si>
  <si>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</si>
  <si>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</si>
  <si>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</si>
  <si>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</si>
  <si>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</si>
  <si>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</si>
  <si>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</si>
  <si>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</si>
  <si>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</si>
  <si>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</si>
  <si>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</si>
  <si>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</si>
  <si>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</si>
  <si>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</si>
  <si>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</si>
  <si>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</si>
  <si>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</si>
  <si>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</si>
  <si>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</si>
  <si>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</si>
  <si>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</si>
  <si>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</si>
  <si>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</si>
  <si>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</si>
  <si>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</si>
  <si>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</si>
  <si>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</si>
  <si>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</si>
  <si>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</si>
  <si>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</si>
  <si>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</si>
  <si>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</si>
  <si>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</si>
  <si>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</si>
  <si>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</si>
  <si>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</si>
  <si>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</si>
  <si>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</si>
  <si>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</si>
  <si>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</si>
  <si>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</si>
  <si>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</si>
  <si>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</si>
  <si>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</si>
  <si>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</si>
  <si>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</si>
  <si>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</si>
  <si>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</si>
  <si>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</si>
  <si>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</si>
  <si>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</si>
  <si>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</si>
  <si>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</si>
  <si>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</si>
  <si>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</si>
  <si>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</si>
  <si>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</si>
  <si>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</si>
  <si>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</si>
  <si>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</si>
  <si>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</si>
  <si>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</si>
  <si>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</si>
  <si>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</si>
  <si>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</si>
  <si>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</si>
  <si>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</si>
  <si>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</si>
  <si>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</si>
  <si>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</si>
  <si>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</si>
  <si>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</si>
  <si>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</si>
  <si>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</si>
  <si>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</si>
  <si>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</si>
  <si>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</si>
  <si>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</si>
  <si>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</si>
  <si>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</si>
  <si>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</si>
  <si>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</si>
  <si>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</si>
  <si>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</si>
  <si>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</si>
  <si>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</si>
  <si>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</si>
  <si>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</si>
  <si>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</si>
  <si>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</si>
  <si>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</si>
  <si>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</si>
  <si>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</si>
  <si>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</si>
  <si>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</si>
  <si>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</si>
  <si>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</si>
  <si>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</si>
  <si>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</si>
  <si>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</si>
  <si>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</si>
  <si>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</si>
  <si>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</si>
  <si>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</si>
  <si>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</si>
  <si>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</si>
  <si>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</si>
  <si>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</si>
  <si>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</si>
  <si>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</si>
  <si>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</si>
  <si>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</si>
  <si>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</si>
  <si>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</si>
  <si>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</si>
  <si>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</si>
  <si>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</si>
  <si>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</si>
  <si>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</si>
  <si>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</si>
  <si>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</si>
  <si>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</si>
  <si>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</si>
  <si>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</si>
  <si>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</si>
  <si>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</si>
  <si>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</si>
  <si>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</si>
  <si>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</si>
  <si>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</si>
  <si>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</si>
  <si>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</si>
  <si>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</si>
  <si>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</si>
  <si>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</si>
  <si>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</si>
  <si>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</si>
  <si>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</si>
  <si>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</si>
  <si>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</si>
  <si>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</si>
  <si>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</si>
  <si>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</si>
  <si>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</si>
  <si>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</si>
  <si>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</si>
  <si>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</si>
  <si>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</si>
  <si>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</si>
  <si>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</si>
  <si>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</si>
  <si>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</si>
  <si>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</si>
  <si>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</si>
  <si>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</si>
  <si>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</si>
  <si>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</si>
  <si>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</si>
  <si>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</si>
  <si>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</si>
  <si>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</si>
  <si>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</si>
  <si>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</si>
  <si>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</si>
  <si>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</si>
  <si>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</si>
  <si>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</si>
  <si>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</si>
  <si>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</si>
  <si>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</si>
  <si>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</si>
  <si>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</si>
  <si>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</si>
  <si>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</si>
  <si>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</si>
  <si>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</si>
  <si>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</si>
  <si>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</si>
  <si>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</si>
  <si>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</si>
  <si>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</si>
  <si>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</si>
  <si>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</si>
  <si>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</si>
  <si>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</si>
  <si>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</si>
  <si>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</si>
  <si>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</si>
  <si>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</si>
  <si>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</si>
  <si>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</si>
  <si>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</si>
  <si>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</si>
  <si>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</si>
  <si>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</si>
  <si>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</si>
  <si>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</si>
  <si>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</si>
  <si>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</si>
  <si>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</si>
  <si>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</si>
  <si>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</si>
  <si>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</si>
  <si>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</si>
  <si>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</si>
  <si>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</si>
  <si>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</si>
  <si>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</si>
  <si>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</si>
  <si>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</si>
  <si>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</si>
  <si>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</si>
  <si>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</si>
  <si>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</si>
  <si>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</si>
  <si>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</si>
  <si>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</si>
  <si>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</si>
  <si>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</si>
  <si>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</si>
  <si>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</si>
  <si>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</si>
  <si>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</si>
  <si>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</si>
  <si>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</si>
  <si>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</si>
  <si>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</si>
  <si>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</si>
  <si>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</si>
  <si>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</si>
  <si>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</si>
  <si>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</si>
  <si>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</si>
  <si>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</si>
  <si>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</si>
  <si>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</si>
  <si>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</si>
  <si>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</si>
  <si>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</si>
  <si>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</si>
  <si>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</si>
  <si>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</si>
  <si>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</si>
  <si>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</si>
  <si>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</si>
  <si>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</si>
  <si>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</si>
  <si>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</si>
  <si>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</si>
  <si>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</si>
  <si>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</si>
  <si>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</si>
  <si>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</si>
  <si>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</si>
  <si>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</si>
  <si>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</si>
  <si>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</si>
  <si>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</si>
  <si>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</si>
  <si>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</si>
  <si>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</si>
  <si>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</si>
  <si>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</si>
  <si>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</si>
  <si>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</si>
  <si>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</si>
  <si>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</si>
  <si>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</si>
  <si>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</si>
  <si>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</si>
  <si>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</si>
  <si>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</si>
  <si>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</si>
  <si>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</si>
  <si>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</si>
  <si>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</si>
  <si>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</si>
  <si>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</si>
  <si>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</si>
  <si>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</si>
  <si>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</si>
  <si>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</si>
  <si>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</si>
  <si>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</si>
  <si>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</si>
  <si>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</si>
  <si>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</si>
  <si>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</si>
  <si>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</si>
  <si>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</si>
  <si>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</si>
  <si>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</si>
  <si>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</si>
  <si>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</si>
  <si>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</si>
  <si>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</si>
  <si>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</si>
  <si>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</si>
  <si>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</si>
  <si>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</si>
  <si>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</si>
  <si>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</si>
  <si>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</si>
  <si>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</si>
  <si>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</si>
  <si>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</si>
  <si>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</si>
  <si>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</si>
  <si>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</si>
  <si>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</si>
  <si>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</si>
  <si>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</si>
  <si>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</si>
  <si>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</si>
  <si>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</si>
  <si>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</si>
  <si>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</si>
  <si>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</si>
  <si>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</si>
  <si>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</si>
  <si>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</si>
  <si>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</si>
  <si>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</si>
  <si>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</si>
  <si>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</si>
  <si>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</si>
  <si>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</si>
  <si>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</si>
  <si>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</si>
  <si>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</si>
  <si>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</si>
  <si>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</si>
  <si>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</si>
  <si>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</si>
  <si>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</si>
  <si>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</si>
  <si>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</si>
  <si>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</si>
  <si>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</si>
  <si>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</si>
  <si>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</si>
  <si>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</si>
  <si>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</si>
  <si>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</si>
  <si>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</si>
  <si>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</si>
  <si>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</si>
  <si>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</si>
  <si>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</si>
  <si>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</si>
  <si>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</si>
  <si>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</si>
  <si>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</si>
  <si>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</si>
  <si>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</si>
  <si>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</si>
  <si>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</si>
  <si>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</si>
  <si>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</si>
  <si>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</si>
  <si>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</si>
  <si>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</si>
  <si>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</si>
  <si>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</si>
  <si>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</si>
  <si>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</si>
  <si>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</si>
  <si>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</si>
  <si>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</si>
  <si>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</si>
  <si>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</si>
  <si>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</si>
  <si>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</si>
  <si>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</si>
  <si>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</si>
  <si>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</si>
  <si>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</si>
  <si>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</si>
  <si>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</si>
  <si>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</si>
  <si>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</si>
  <si>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</si>
  <si>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</si>
  <si>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</si>
  <si>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</si>
  <si>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</si>
  <si>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</si>
  <si>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</si>
  <si>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</si>
  <si>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</si>
  <si>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</si>
  <si>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</si>
  <si>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</si>
  <si>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</si>
  <si>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</si>
  <si>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</si>
  <si>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</si>
  <si>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</si>
  <si>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</si>
  <si>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</si>
  <si>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</si>
  <si>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</si>
  <si>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</si>
  <si>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</si>
  <si>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</si>
  <si>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</si>
  <si>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</si>
  <si>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</si>
  <si>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</si>
  <si>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</si>
  <si>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</si>
  <si>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</si>
  <si>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</si>
  <si>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</si>
  <si>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</si>
  <si>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</si>
  <si>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</si>
  <si>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</si>
  <si>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</si>
  <si>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</si>
  <si>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</si>
  <si>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</si>
  <si>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</si>
  <si>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</si>
  <si>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</si>
  <si>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</si>
  <si>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</si>
  <si>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</si>
  <si>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</si>
  <si>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</si>
  <si>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</si>
  <si>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</si>
  <si>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</si>
  <si>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</si>
  <si>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</si>
  <si>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</si>
  <si>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</si>
  <si>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</si>
  <si>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</si>
  <si>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</si>
  <si>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</si>
  <si>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</si>
  <si>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</si>
  <si>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</si>
  <si>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</si>
  <si>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</si>
  <si>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</si>
  <si>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</si>
  <si>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</si>
  <si>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</si>
  <si>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</si>
  <si>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</si>
  <si>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</si>
  <si>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</si>
  <si>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</si>
  <si>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</si>
  <si>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</si>
  <si>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</si>
  <si>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</si>
  <si>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</si>
  <si>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</si>
  <si>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</si>
  <si>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</si>
  <si>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</si>
  <si>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</si>
  <si>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</si>
  <si>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</si>
  <si>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</si>
  <si>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</si>
  <si>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</si>
  <si>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</si>
  <si>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</si>
  <si>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</si>
  <si>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</si>
  <si>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</si>
  <si>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</si>
  <si>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</si>
  <si>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</si>
  <si>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</si>
  <si>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</si>
  <si>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</si>
  <si>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</si>
  <si>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</si>
  <si>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</si>
  <si>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</si>
  <si>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</si>
  <si>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</si>
  <si>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</si>
  <si>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</si>
  <si>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</si>
  <si>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</si>
  <si>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</si>
  <si>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</si>
  <si>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</si>
  <si>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</si>
  <si>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</si>
  <si>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</si>
  <si>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</si>
  <si>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</si>
  <si>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</si>
  <si>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</si>
  <si>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</si>
  <si>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</si>
  <si>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</si>
  <si>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</si>
  <si>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</si>
  <si>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</si>
  <si>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</si>
  <si>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</si>
  <si>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</si>
  <si>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</si>
  <si>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</si>
  <si>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</si>
  <si>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</si>
  <si>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</si>
  <si>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</si>
  <si>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</si>
  <si>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</si>
  <si>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</si>
  <si>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</si>
  <si>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</si>
  <si>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</si>
  <si>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</si>
  <si>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</si>
  <si>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</si>
  <si>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</si>
  <si>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</si>
  <si>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</si>
  <si>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</si>
  <si>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</si>
  <si>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</si>
  <si>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</si>
  <si>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</si>
  <si>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</si>
  <si>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</si>
  <si>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</si>
  <si>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</si>
  <si>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</si>
  <si>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</si>
  <si>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</si>
  <si>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</si>
  <si>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</si>
  <si>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</si>
  <si>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</si>
  <si>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</si>
  <si>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</si>
  <si>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</si>
  <si>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</si>
  <si>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</si>
  <si>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</si>
  <si>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</si>
  <si>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</si>
  <si>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</si>
  <si>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</si>
  <si>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</si>
  <si>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</si>
  <si>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</si>
  <si>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</si>
  <si>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</si>
  <si>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</si>
  <si>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</si>
  <si>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</si>
  <si>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</si>
  <si>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</si>
  <si>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</si>
  <si>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</si>
  <si>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</si>
  <si>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</si>
  <si>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</si>
  <si>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</si>
  <si>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</si>
  <si>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</si>
  <si>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</si>
  <si>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</si>
  <si>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</si>
  <si>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</si>
  <si>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</si>
  <si>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</si>
  <si>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</si>
  <si>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</si>
  <si>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</si>
  <si>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</si>
  <si>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</si>
  <si>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</si>
  <si>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</si>
  <si>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</si>
  <si>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</si>
  <si>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</si>
  <si>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</si>
  <si>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</si>
  <si>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</si>
  <si>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</si>
  <si>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</si>
  <si>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</si>
  <si>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</si>
  <si>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</si>
  <si>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</si>
  <si>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</si>
  <si>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</si>
  <si>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</si>
  <si>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</si>
  <si>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</si>
  <si>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</si>
  <si>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</si>
  <si>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</si>
  <si>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</si>
  <si>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</si>
  <si>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</si>
  <si>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</si>
  <si>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</si>
  <si>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</si>
  <si>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</si>
  <si>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</si>
  <si>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</si>
  <si>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</si>
  <si>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</si>
  <si>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</si>
  <si>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</si>
  <si>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</si>
  <si>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</si>
  <si>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</si>
  <si>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</si>
  <si>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</si>
  <si>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</si>
  <si>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</si>
  <si>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</si>
  <si>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</si>
  <si>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</si>
  <si>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</si>
  <si>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</si>
  <si>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</si>
  <si>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</si>
  <si>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</si>
  <si>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</si>
  <si>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</si>
  <si>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</si>
  <si>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</si>
  <si>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</si>
  <si>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</si>
  <si>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</si>
  <si>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</si>
  <si>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</si>
  <si>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</si>
  <si>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</si>
  <si>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</si>
  <si>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</si>
  <si>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</si>
  <si>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</si>
  <si>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</si>
  <si>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</si>
  <si>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</si>
  <si>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</si>
  <si>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</si>
  <si>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</si>
  <si>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</si>
  <si>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</si>
  <si>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</si>
  <si>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</si>
  <si>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</si>
  <si>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</si>
  <si>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</si>
  <si>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</si>
  <si>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</si>
  <si>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</si>
  <si>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</si>
  <si>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</si>
  <si>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</si>
  <si>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</si>
  <si>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</si>
  <si>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</si>
  <si>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</si>
  <si>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</si>
  <si>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</si>
  <si>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</si>
  <si>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</si>
  <si>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</si>
  <si>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</si>
  <si>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</si>
  <si>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</si>
  <si>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</si>
  <si>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</si>
  <si>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</si>
  <si>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</si>
  <si>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</si>
  <si>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</si>
  <si>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</si>
  <si>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</si>
  <si>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</si>
  <si>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</si>
  <si>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</si>
  <si>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</si>
  <si>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</si>
  <si>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</si>
  <si>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</si>
  <si>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</si>
  <si>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</si>
  <si>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</si>
  <si>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</si>
  <si>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</si>
  <si>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</si>
  <si>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</si>
  <si>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</si>
  <si>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</si>
  <si>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</si>
  <si>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</si>
  <si>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</si>
  <si>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</si>
  <si>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</si>
  <si>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</si>
  <si>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</si>
  <si>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</si>
  <si>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</si>
  <si>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</si>
  <si>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</si>
  <si>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</si>
  <si>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</si>
  <si>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</si>
  <si>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</si>
  <si>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</si>
  <si>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</si>
  <si>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</si>
  <si>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</si>
  <si>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</si>
  <si>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</si>
  <si>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</si>
  <si>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</si>
  <si>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</si>
  <si>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</si>
  <si>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</si>
  <si>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</si>
  <si>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</si>
  <si>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</si>
  <si>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</si>
  <si>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</si>
  <si>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</si>
  <si>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</si>
  <si>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</si>
  <si>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</si>
  <si>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</si>
  <si>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</si>
  <si>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</si>
  <si>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</si>
  <si>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</si>
  <si>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</si>
  <si>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</si>
  <si>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</si>
  <si>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</si>
  <si>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</si>
  <si>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</si>
  <si>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</si>
  <si>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</si>
  <si>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</si>
  <si>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</si>
  <si>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</si>
  <si>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</si>
  <si>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</si>
  <si>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</si>
  <si>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</si>
  <si>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</si>
  <si>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</si>
  <si>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</si>
  <si>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</si>
  <si>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</si>
  <si>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</si>
  <si>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</si>
  <si>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</si>
  <si>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</si>
  <si>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</si>
  <si>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</si>
  <si>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</si>
  <si>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</si>
  <si>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</si>
  <si>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</si>
  <si>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</si>
  <si>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</si>
  <si>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</si>
  <si>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</si>
  <si>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</si>
  <si>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</si>
  <si>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</si>
  <si>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</si>
  <si>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</si>
  <si>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</si>
  <si>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</si>
  <si>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</si>
  <si>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</si>
  <si>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</si>
  <si>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</si>
  <si>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</si>
  <si>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</si>
  <si>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</si>
  <si>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</si>
  <si>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</si>
  <si>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</si>
  <si>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</si>
  <si>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</si>
  <si>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</si>
  <si>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</si>
  <si>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</si>
  <si>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</si>
  <si>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</si>
  <si>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</si>
  <si>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</si>
  <si>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</si>
  <si>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</si>
  <si>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</si>
  <si>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</si>
  <si>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</si>
  <si>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</si>
  <si>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</si>
  <si>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</si>
  <si>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</si>
  <si>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</si>
  <si>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</si>
  <si>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</si>
  <si>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</si>
  <si>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</si>
  <si>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</si>
  <si>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</si>
  <si>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</si>
  <si>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</si>
  <si>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</si>
  <si>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</si>
  <si>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</si>
  <si>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</si>
  <si>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</si>
  <si>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</si>
  <si>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</si>
  <si>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</si>
  <si>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</si>
  <si>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</si>
  <si>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</si>
  <si>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</si>
  <si>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</si>
  <si>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</si>
  <si>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</si>
  <si>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</si>
  <si>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</si>
  <si>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</si>
  <si>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</si>
  <si>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</si>
  <si>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</si>
  <si>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</si>
  <si>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</si>
  <si>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</si>
  <si>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</si>
  <si>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</si>
  <si>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</si>
  <si>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</si>
  <si>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</si>
  <si>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</si>
  <si>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</si>
  <si>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</si>
  <si>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</si>
  <si>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</si>
  <si>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</si>
  <si>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</si>
  <si>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</si>
  <si>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</si>
  <si>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</si>
  <si>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</si>
  <si>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</si>
  <si>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</si>
  <si>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</si>
  <si>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</si>
  <si>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</si>
  <si>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</si>
  <si>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</si>
  <si>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</si>
  <si>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</si>
  <si>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</si>
  <si>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</si>
  <si>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</si>
  <si>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</si>
  <si>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</si>
  <si>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</si>
  <si>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</si>
  <si>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</si>
  <si>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</si>
  <si>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</si>
  <si>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</si>
  <si>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</si>
  <si>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</si>
  <si>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</si>
  <si>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</si>
  <si>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</si>
  <si>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</si>
  <si>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</si>
  <si>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</si>
  <si>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</si>
  <si>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</si>
  <si>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</si>
  <si>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</si>
  <si>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</si>
  <si>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</si>
  <si>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</si>
  <si>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</si>
  <si>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</si>
  <si>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</si>
  <si>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</si>
  <si>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</si>
  <si>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</si>
  <si>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</si>
  <si>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</si>
  <si>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</si>
  <si>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</si>
  <si>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</si>
  <si>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</si>
  <si>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</si>
  <si>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</si>
  <si>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</si>
  <si>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</si>
  <si>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</si>
  <si>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</si>
  <si>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</si>
  <si>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</si>
  <si>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</si>
  <si>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</si>
  <si>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</si>
  <si>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</si>
  <si>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</si>
  <si>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</si>
  <si>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</si>
  <si>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</si>
  <si>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</si>
  <si>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</si>
  <si>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</si>
  <si>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</si>
  <si>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</si>
  <si>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</si>
  <si>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</si>
  <si>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</si>
  <si>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</si>
  <si>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</si>
  <si>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</si>
  <si>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</si>
  <si>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</si>
  <si>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</si>
  <si>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</si>
  <si>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</si>
  <si>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</si>
  <si>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</si>
  <si>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</si>
  <si>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</si>
  <si>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</si>
  <si>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</si>
  <si>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</si>
  <si>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</si>
  <si>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</si>
  <si>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</si>
  <si>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</si>
  <si>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</si>
  <si>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</si>
  <si>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</si>
  <si>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</si>
  <si>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</si>
  <si>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</si>
  <si>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</si>
  <si>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</si>
  <si>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</si>
  <si>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</si>
  <si>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</si>
  <si>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</si>
  <si>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</si>
  <si>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</si>
  <si>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</si>
  <si>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</si>
  <si>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</si>
  <si>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</si>
  <si>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</si>
  <si>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</si>
  <si>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</si>
  <si>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</si>
  <si>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</si>
  <si>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</si>
  <si>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</si>
  <si>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</si>
  <si>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</si>
  <si>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</si>
  <si>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</si>
  <si>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</si>
  <si>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</si>
  <si>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</si>
  <si>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</si>
  <si>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</si>
  <si>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</si>
  <si>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</si>
  <si>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</si>
  <si>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</si>
  <si>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</si>
  <si>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</si>
  <si>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</si>
  <si>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</si>
  <si>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</si>
  <si>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</si>
  <si>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</si>
  <si>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</si>
  <si>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</si>
  <si>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</si>
  <si>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</si>
  <si>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</si>
  <si>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</si>
  <si>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</si>
  <si>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</si>
  <si>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</si>
  <si>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</si>
  <si>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</si>
  <si>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</si>
  <si>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</si>
  <si>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</si>
  <si>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</si>
  <si>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</si>
  <si>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</si>
  <si>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</si>
  <si>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</si>
  <si>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</si>
  <si>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</si>
  <si>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</si>
  <si>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</si>
  <si>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</si>
  <si>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</si>
  <si>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</si>
  <si>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</si>
  <si>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</si>
  <si>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</si>
  <si>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</si>
  <si>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</si>
  <si>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</si>
  <si>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</si>
  <si>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</si>
  <si>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</si>
  <si>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</si>
  <si>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</si>
  <si>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</si>
  <si>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</si>
  <si>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</si>
  <si>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</si>
  <si>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</si>
  <si>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</si>
  <si>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</si>
  <si>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</si>
  <si>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</si>
  <si>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</si>
  <si>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</si>
  <si>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</si>
  <si>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</si>
  <si>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</si>
  <si>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</si>
  <si>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</si>
  <si>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</si>
  <si>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</si>
  <si>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</si>
  <si>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</si>
  <si>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</si>
  <si>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</si>
  <si>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</si>
  <si>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</si>
  <si>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</si>
  <si>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</si>
  <si>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</si>
  <si>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</si>
  <si>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</si>
  <si>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</si>
  <si>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</si>
  <si>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</si>
  <si>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</si>
  <si>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</si>
  <si>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</si>
  <si>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</si>
  <si>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</si>
  <si>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</si>
  <si>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</si>
  <si>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</si>
  <si>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</si>
  <si>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</si>
  <si>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</si>
  <si>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</si>
  <si>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</si>
  <si>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</si>
  <si>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</si>
  <si>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</si>
  <si>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</si>
  <si>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</si>
  <si>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</si>
  <si>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</si>
  <si>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</si>
  <si>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</si>
  <si>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</si>
  <si>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</si>
  <si>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</si>
  <si>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</si>
  <si>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</si>
  <si>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</si>
  <si>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</si>
  <si>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</si>
  <si>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</si>
  <si>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</si>
  <si>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</si>
  <si>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</si>
  <si>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</si>
  <si>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</si>
  <si>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</si>
  <si>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</si>
  <si>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</si>
  <si>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</si>
  <si>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</si>
  <si>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</si>
  <si>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</si>
  <si>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</si>
  <si>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</si>
  <si>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</si>
  <si>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</si>
  <si>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</si>
  <si>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</si>
  <si>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</si>
  <si>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</si>
  <si>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</si>
  <si>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</si>
  <si>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</si>
  <si>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</si>
  <si>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</si>
  <si>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</si>
  <si>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</si>
  <si>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</si>
  <si>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</si>
  <si>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</si>
  <si>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</si>
  <si>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</si>
  <si>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</si>
  <si>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</si>
  <si>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</si>
  <si>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</si>
  <si>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</si>
  <si>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</si>
  <si>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</si>
  <si>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</si>
  <si>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</si>
  <si>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</si>
  <si>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</si>
  <si>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</si>
  <si>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</si>
  <si>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</si>
  <si>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</si>
  <si>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</si>
  <si>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</si>
  <si>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</si>
  <si>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</si>
  <si>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</si>
  <si>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</si>
  <si>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</si>
  <si>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</si>
  <si>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</si>
  <si>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</si>
  <si>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</si>
  <si>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</si>
  <si>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</si>
  <si>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</si>
  <si>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</si>
  <si>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</si>
  <si>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</si>
  <si>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</si>
  <si>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</si>
  <si>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</si>
  <si>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</si>
  <si>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</si>
  <si>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</si>
  <si>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</si>
  <si>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</si>
  <si>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</si>
  <si>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</si>
  <si>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</si>
  <si>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</si>
  <si>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</si>
  <si>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</si>
  <si>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</si>
  <si>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</si>
  <si>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</si>
  <si>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</si>
  <si>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</si>
  <si>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</si>
  <si>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</si>
  <si>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</si>
  <si>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</si>
  <si>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</si>
  <si>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</si>
  <si>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</si>
  <si>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</si>
  <si>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</si>
  <si>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</si>
  <si>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</si>
  <si>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</si>
  <si>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</si>
  <si>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</si>
  <si>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</si>
  <si>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</si>
  <si>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</si>
  <si>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</si>
  <si>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</si>
  <si>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DCC</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</si>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</sst>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8">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cellXfs>
  <cellStyles count="1">
    <cellStyle name="Normal" xfId="0" builtinId="0"/>
  </cellStyles>
  <dxfs count="85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1"/>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1" sqref="A21"/>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2" t="s">
        <v>3303</v>
      </c>
      <c r="H1" s="163"/>
      <c r="I1" s="163"/>
      <c r="J1" s="164"/>
      <c r="K1" s="27"/>
      <c r="L1" s="35"/>
      <c r="M1" s="23"/>
      <c r="N1" s="165" t="s">
        <v>4</v>
      </c>
      <c r="O1" s="165"/>
      <c r="P1" s="165"/>
      <c r="Q1" s="165"/>
      <c r="R1" s="165"/>
      <c r="S1" s="165"/>
      <c r="T1" s="165"/>
      <c r="U1" s="21"/>
      <c r="V1" s="165" t="s">
        <v>4079</v>
      </c>
      <c r="W1" s="165"/>
      <c r="X1" s="165"/>
      <c r="Y1" s="165"/>
      <c r="Z1" s="165"/>
      <c r="AA1" s="165"/>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A20" s="159" t="s">
        <v>7489</v>
      </c>
      <c r="B20" s="14" t="s">
        <v>7538</v>
      </c>
      <c r="C20" s="16" t="s">
        <v>2107</v>
      </c>
      <c r="E20" s="14" t="s">
        <v>7587</v>
      </c>
      <c r="G20" s="24">
        <f>SUMIF('Card Data'!$A:$A,$A20,'Card Data'!$E:$E)</f>
        <v>60</v>
      </c>
      <c r="H20" s="24">
        <f>SUMIFS('Card Data'!$E:$E,'Card Data'!$A:$A,$A20,'Card Data'!$K:$K,"&lt;&gt;",'Card Data'!$J:$J,"&lt;&gt;Investigator")-SUMIFS('Card Data'!$E:$E,'Card Data'!$A:$A,$A20,'Card Data'!$K:$K,"&lt;&gt;",'Card Data'!$J:$J,"Mini")</f>
        <v>60</v>
      </c>
      <c r="I20" s="24">
        <f>SUMIFS('Card Data'!$E:$E,'Card Data'!$A:$A,$A20,'Card Data'!$K:$K,"",'Card Data'!$J:$J,"&lt;&gt;Campaign")+SUMIFS('Card Data'!$E:$E,'Card Data'!$A:$A,$A20,'Card Data'!$K:$K,"Mythos")-J20</f>
        <v>33</v>
      </c>
      <c r="J20" s="24">
        <f>SUMIFS('Card Data'!$E:$E,'Card Data'!$J:$J,J$2,'Card Data'!$A:$A,$A20,'Card Data'!$AD:$AD,"&lt;&gt;*Side Quest.*")</f>
        <v>3</v>
      </c>
      <c r="K20" s="24">
        <f>COUNTIFS('Card Data'!$J:$J,K$2,'Card Data'!$A:$A,$A20,'Card Data'!$AD:$AD,"&lt;&gt;*Side Quest.*")</f>
        <v>5</v>
      </c>
      <c r="L20" s="24">
        <f>COUNTIFS('Card Data'!$J:$J,L$2,'Card Data'!$A:$A,$A20,'Card Data'!$AD:$AD,"&lt;&gt;*Side Quest.*")</f>
        <v>1</v>
      </c>
      <c r="M20" s="26"/>
      <c r="N20" s="24">
        <f>COUNTIFS('Card Data'!$J:$J,N$2,'Card Data'!$A:$A,$A20)</f>
        <v>0</v>
      </c>
      <c r="O20" s="24">
        <f>COUNTIFS('Card Data'!$J:$J,O$2,'Card Data'!$A:$A,$A20)</f>
        <v>5</v>
      </c>
      <c r="P20" s="24">
        <f>COUNTIFS('Card Data'!$J:$J,P$2,'Card Data'!$A:$A,$A20)</f>
        <v>6</v>
      </c>
      <c r="Q20" s="24">
        <f>COUNTIFS('Card Data'!$J:$J,Q$2,'Card Data'!$A:$A,$A20)</f>
        <v>1</v>
      </c>
      <c r="R20" s="24">
        <f>COUNTIFS('Card Data'!$J:$J,R$2,'Card Data'!$A:$A,$A20)</f>
        <v>5</v>
      </c>
      <c r="S20" s="24">
        <f>COUNTIFS('Card Data'!$J:$J,S$2,'Card Data'!$A:$A,$A20)</f>
        <v>13</v>
      </c>
      <c r="T20" s="24">
        <f>COUNTIFS('Card Data'!$J:$J,T$2,'Card Data'!$A:$A,$A20)</f>
        <v>6</v>
      </c>
      <c r="U20" s="26"/>
      <c r="V20" s="24">
        <f>COUNTIFS('Card Data'!$K:$K,V$2,'Card Data'!$A:$A,$A20)</f>
        <v>2</v>
      </c>
      <c r="W20" s="24">
        <f>COUNTIFS('Card Data'!$K:$K,W$2,'Card Data'!$A:$A,$A20)</f>
        <v>2</v>
      </c>
      <c r="X20" s="24">
        <f>COUNTIFS('Card Data'!$K:$K,X$2,'Card Data'!$A:$A,$A20)</f>
        <v>3</v>
      </c>
      <c r="Y20" s="24">
        <f>COUNTIFS('Card Data'!$K:$K,Y$2,'Card Data'!$A:$A,$A20)</f>
        <v>2</v>
      </c>
      <c r="Z20" s="24">
        <f>COUNTIFS('Card Data'!$K:$K,Z$2,'Card Data'!$A:$A,$A20)</f>
        <v>2</v>
      </c>
      <c r="AA20" s="24">
        <f>COUNTIFS('Card Data'!$K:$K,AA$2,'Card Data'!$A:$A,$A20)</f>
        <v>1</v>
      </c>
    </row>
    <row r="21" spans="1:27">
      <c r="A21" s="167" t="s">
        <v>7675</v>
      </c>
      <c r="B21" s="52" t="s">
        <v>8077</v>
      </c>
      <c r="C21" s="151" t="s">
        <v>2107</v>
      </c>
      <c r="D21" s="52"/>
      <c r="E21" s="52" t="s">
        <v>8078</v>
      </c>
      <c r="G21" s="24">
        <f>SUMIF('Card Data'!$A:$A,$A21,'Card Data'!$E:$E)</f>
        <v>161</v>
      </c>
      <c r="H21" s="24">
        <f>SUMIFS('Card Data'!$E:$E,'Card Data'!$A:$A,$A21,'Card Data'!$K:$K,"&lt;&gt;",'Card Data'!$J:$J,"&lt;&gt;Investigator")-SUMIFS('Card Data'!$E:$E,'Card Data'!$A:$A,$A21,'Card Data'!$K:$K,"&lt;&gt;",'Card Data'!$J:$J,"Mini")</f>
        <v>151</v>
      </c>
      <c r="I21" s="24">
        <f>SUMIFS('Card Data'!$E:$E,'Card Data'!$A:$A,$A21,'Card Data'!$K:$K,"",'Card Data'!$J:$J,"&lt;&gt;Campaign")+SUMIFS('Card Data'!$E:$E,'Card Data'!$A:$A,$A21,'Card Data'!$K:$K,"Mythos")-J21</f>
        <v>83</v>
      </c>
      <c r="J21" s="24">
        <f>SUMIFS('Card Data'!$E:$E,'Card Data'!$J:$J,J$2,'Card Data'!$A:$A,$A21,'Card Data'!$AD:$AD,"&lt;&gt;*Side Quest.*")</f>
        <v>4</v>
      </c>
      <c r="K21" s="24">
        <f>COUNTIFS('Card Data'!$J:$J,K$2,'Card Data'!$A:$A,$A21,'Card Data'!$AD:$AD,"&lt;&gt;*Side Quest.*")</f>
        <v>7</v>
      </c>
      <c r="L21" s="24">
        <f>COUNTIFS('Card Data'!$J:$J,L$2,'Card Data'!$A:$A,$A21,'Card Data'!$AD:$AD,"&lt;&gt;*Side Quest.*")</f>
        <v>2</v>
      </c>
      <c r="M21" s="26"/>
      <c r="N21" s="24">
        <f>COUNTIFS('Card Data'!$J:$J,N$2,'Card Data'!$A:$A,$A21)</f>
        <v>5</v>
      </c>
      <c r="O21" s="24">
        <f>COUNTIFS('Card Data'!$J:$J,O$2,'Card Data'!$A:$A,$A21)</f>
        <v>19</v>
      </c>
      <c r="P21" s="24">
        <f>COUNTIFS('Card Data'!$J:$J,P$2,'Card Data'!$A:$A,$A21)</f>
        <v>10</v>
      </c>
      <c r="Q21" s="24">
        <f>COUNTIFS('Card Data'!$J:$J,Q$2,'Card Data'!$A:$A,$A21)</f>
        <v>1</v>
      </c>
      <c r="R21" s="24">
        <f>COUNTIFS('Card Data'!$J:$J,R$2,'Card Data'!$A:$A,$A21)</f>
        <v>10</v>
      </c>
      <c r="S21" s="24">
        <f>COUNTIFS('Card Data'!$J:$J,S$2,'Card Data'!$A:$A,$A21)</f>
        <v>16</v>
      </c>
      <c r="T21" s="24">
        <f>COUNTIFS('Card Data'!$J:$J,T$2,'Card Data'!$A:$A,$A21)</f>
        <v>28</v>
      </c>
      <c r="U21" s="26"/>
      <c r="V21" s="24">
        <f>COUNTIFS('Card Data'!$K:$K,V$2,'Card Data'!$A:$A,$A21)</f>
        <v>6</v>
      </c>
      <c r="W21" s="24">
        <f>COUNTIFS('Card Data'!$K:$K,W$2,'Card Data'!$A:$A,$A21)</f>
        <v>6</v>
      </c>
      <c r="X21" s="24">
        <f>COUNTIFS('Card Data'!$K:$K,X$2,'Card Data'!$A:$A,$A21)</f>
        <v>6</v>
      </c>
      <c r="Y21" s="24">
        <f>COUNTIFS('Card Data'!$K:$K,Y$2,'Card Data'!$A:$A,$A21)</f>
        <v>6</v>
      </c>
      <c r="Z21" s="24">
        <f>COUNTIFS('Card Data'!$K:$K,Z$2,'Card Data'!$A:$A,$A21)</f>
        <v>6</v>
      </c>
      <c r="AA21" s="24">
        <f>COUNTIFS('Card Data'!$K:$K,AA$2,'Card Data'!$A:$A,$A21)</f>
        <v>20</v>
      </c>
    </row>
  </sheetData>
  <mergeCells count="3">
    <mergeCell ref="G1:J1"/>
    <mergeCell ref="N1:T1"/>
    <mergeCell ref="V1:AA1"/>
  </mergeCells>
  <conditionalFormatting sqref="V2">
    <cfRule type="cellIs" dxfId="851" priority="29" operator="equal">
      <formula>"Fellowship"</formula>
    </cfRule>
    <cfRule type="cellIs" dxfId="850" priority="30" operator="equal">
      <formula>"Neutral"</formula>
    </cfRule>
    <cfRule type="cellIs" dxfId="849" priority="31" operator="equal">
      <formula>"Baggins"</formula>
    </cfRule>
    <cfRule type="cellIs" dxfId="848" priority="32" operator="equal">
      <formula>"Lore"</formula>
    </cfRule>
    <cfRule type="cellIs" dxfId="847" priority="33" operator="equal">
      <formula>"Spirit"</formula>
    </cfRule>
    <cfRule type="cellIs" dxfId="846" priority="34" operator="equal">
      <formula>"Tactics"</formula>
    </cfRule>
    <cfRule type="cellIs" dxfId="845" priority="35" operator="equal">
      <formula>"Leadership"</formula>
    </cfRule>
  </conditionalFormatting>
  <conditionalFormatting sqref="W2">
    <cfRule type="cellIs" dxfId="844" priority="22" operator="equal">
      <formula>"Fellowship"</formula>
    </cfRule>
    <cfRule type="cellIs" dxfId="843" priority="23" operator="equal">
      <formula>"Neutral"</formula>
    </cfRule>
    <cfRule type="cellIs" dxfId="842" priority="24" operator="equal">
      <formula>"Baggins"</formula>
    </cfRule>
    <cfRule type="cellIs" dxfId="841" priority="25" operator="equal">
      <formula>"Lore"</formula>
    </cfRule>
    <cfRule type="cellIs" dxfId="840" priority="26" operator="equal">
      <formula>"Spirit"</formula>
    </cfRule>
    <cfRule type="cellIs" dxfId="839" priority="27" operator="equal">
      <formula>"Tactics"</formula>
    </cfRule>
    <cfRule type="cellIs" dxfId="838" priority="28" operator="equal">
      <formula>"Leadership"</formula>
    </cfRule>
  </conditionalFormatting>
  <conditionalFormatting sqref="X2">
    <cfRule type="cellIs" dxfId="837" priority="15" operator="equal">
      <formula>"Fellowship"</formula>
    </cfRule>
    <cfRule type="cellIs" dxfId="836" priority="16" operator="equal">
      <formula>"Neutral"</formula>
    </cfRule>
    <cfRule type="cellIs" dxfId="835" priority="17" operator="equal">
      <formula>"Baggins"</formula>
    </cfRule>
    <cfRule type="cellIs" dxfId="834" priority="18" operator="equal">
      <formula>"Lore"</formula>
    </cfRule>
    <cfRule type="cellIs" dxfId="833" priority="19" operator="equal">
      <formula>"Spirit"</formula>
    </cfRule>
    <cfRule type="cellIs" dxfId="832" priority="20" operator="equal">
      <formula>"Tactics"</formula>
    </cfRule>
    <cfRule type="cellIs" dxfId="831" priority="21" operator="equal">
      <formula>"Leadership"</formula>
    </cfRule>
  </conditionalFormatting>
  <conditionalFormatting sqref="Y2:Z2">
    <cfRule type="cellIs" dxfId="830" priority="8" operator="equal">
      <formula>"Fellowship"</formula>
    </cfRule>
    <cfRule type="cellIs" dxfId="829" priority="9" operator="equal">
      <formula>"Neutral"</formula>
    </cfRule>
    <cfRule type="cellIs" dxfId="828" priority="10" operator="equal">
      <formula>"Baggins"</formula>
    </cfRule>
    <cfRule type="cellIs" dxfId="827" priority="11" operator="equal">
      <formula>"Lore"</formula>
    </cfRule>
    <cfRule type="cellIs" dxfId="826" priority="12" operator="equal">
      <formula>"Spirit"</formula>
    </cfRule>
    <cfRule type="cellIs" dxfId="825" priority="13" operator="equal">
      <formula>"Tactics"</formula>
    </cfRule>
    <cfRule type="cellIs" dxfId="824" priority="14" operator="equal">
      <formula>"Leadership"</formula>
    </cfRule>
  </conditionalFormatting>
  <conditionalFormatting sqref="AA2">
    <cfRule type="cellIs" dxfId="823" priority="1" operator="equal">
      <formula>"Fellowship"</formula>
    </cfRule>
    <cfRule type="cellIs" dxfId="822" priority="2" operator="equal">
      <formula>"Neutral"</formula>
    </cfRule>
    <cfRule type="cellIs" dxfId="821" priority="3" operator="equal">
      <formula>"Baggins"</formula>
    </cfRule>
    <cfRule type="cellIs" dxfId="820" priority="4" operator="equal">
      <formula>"Lore"</formula>
    </cfRule>
    <cfRule type="cellIs" dxfId="819" priority="5" operator="equal">
      <formula>"Spirit"</formula>
    </cfRule>
    <cfRule type="cellIs" dxfId="818" priority="6" operator="equal">
      <formula>"Tactics"</formula>
    </cfRule>
    <cfRule type="cellIs" dxfId="81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84"/>
  <sheetViews>
    <sheetView zoomScale="85" zoomScaleNormal="85" workbookViewId="0">
      <pane xSplit="7" ySplit="1" topLeftCell="H1074" activePane="bottomRight" state="frozen"/>
      <selection activeCell="E1" sqref="E1"/>
      <selection pane="topRight" activeCell="F1" sqref="F1"/>
      <selection pane="bottomLeft" activeCell="E2" sqref="E2"/>
      <selection pane="bottomRight" activeCell="A1020" sqref="A1020"/>
    </sheetView>
  </sheetViews>
  <sheetFormatPr defaultColWidth="9.140625" defaultRowHeight="15" customHeight="1"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1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15" customHeight="1">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15" customHeight="1">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15" customHeight="1">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15" customHeight="1">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15" customHeight="1">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15" customHeight="1">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15" customHeight="1">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15" customHeight="1">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15" customHeight="1">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15" customHeight="1">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15" customHeight="1">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 customHeight="1">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15" customHeight="1">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15" customHeight="1">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15" customHeight="1">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5" customHeight="1">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15" customHeight="1">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15" customHeight="1">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5" customHeight="1">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5" customHeight="1">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15" customHeight="1">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15" customHeight="1">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15" customHeight="1">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15" customHeight="1">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15" customHeight="1">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15" customHeight="1">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15" customHeight="1">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15" customHeight="1">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15" customHeight="1">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15" customHeight="1">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15" customHeight="1">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15" customHeight="1">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15" customHeight="1">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15" customHeight="1">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15" customHeight="1">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15" customHeight="1">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15" customHeight="1">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15" customHeight="1">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15" customHeight="1">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15" customHeight="1">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15" customHeight="1">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15" customHeight="1">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15" customHeight="1">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15" customHeight="1">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15" customHeight="1">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15" customHeight="1">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15" customHeight="1">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15" customHeight="1">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15" customHeight="1">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15" customHeight="1">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15" customHeight="1">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15" customHeight="1">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15" customHeight="1">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15" customHeight="1">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15" customHeight="1">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15" customHeight="1">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15" customHeight="1">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15" customHeight="1">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15" customHeight="1">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15" customHeight="1">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15" customHeight="1">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15" customHeight="1">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15" customHeight="1">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15" customHeight="1">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15" customHeight="1">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15" customHeight="1">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15" customHeight="1">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15" customHeight="1">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15" customHeight="1">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15" customHeight="1">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15" customHeight="1">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15" customHeight="1">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15" customHeight="1">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15" customHeight="1">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15" customHeight="1">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15" customHeight="1">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15" customHeight="1">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15" customHeight="1">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15" customHeight="1">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15" customHeight="1">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15" customHeight="1">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15" customHeight="1">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15" customHeight="1">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15" customHeight="1">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15" customHeight="1">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15" customHeight="1">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15" customHeight="1">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15" customHeight="1">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15" customHeight="1">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15" customHeight="1">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15" customHeight="1">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15" customHeight="1">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5" customHeight="1">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15" customHeight="1">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ustomHeight="1">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15" customHeight="1">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15" customHeight="1">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15" customHeight="1">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15" customHeight="1">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15" customHeight="1">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15" customHeight="1">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15" customHeight="1">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15" customHeight="1">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15" customHeight="1">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15" customHeight="1">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15" customHeight="1">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15" customHeight="1">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15" customHeight="1">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15" customHeight="1">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15" customHeight="1">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15" customHeight="1">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15" customHeight="1">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15" customHeight="1">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15" customHeight="1">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15" customHeight="1">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15" customHeight="1">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15" customHeight="1">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15" customHeight="1">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15" customHeight="1">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15" customHeight="1">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15" customHeight="1">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15" customHeight="1">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15" customHeight="1">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15" customHeight="1">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15" customHeight="1">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ht="15" customHeight="1">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5" customHeight="1">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5" customHeight="1">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15" customHeight="1">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15" customHeight="1">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ht="15" customHeight="1">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5" customHeight="1">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15" customHeight="1">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15" customHeight="1">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ht="15" customHeight="1">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15" customHeight="1">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15" customHeight="1">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15" customHeight="1">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15" customHeight="1">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15" customHeight="1">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15" customHeight="1">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15" customHeight="1">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15" customHeight="1">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15" customHeight="1">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15" customHeight="1">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15" customHeight="1">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15" customHeight="1">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15" customHeight="1">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15" customHeight="1">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15" customHeight="1">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15" customHeight="1">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15" customHeight="1">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15" customHeight="1">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15" customHeight="1">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8" ht="15" customHeight="1">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8" ht="15" customHeight="1">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8" ht="15" customHeight="1">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8" ht="15" customHeight="1">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8" ht="15" customHeight="1">
      <c r="A933" s="41" t="s">
        <v>7489</v>
      </c>
      <c r="B933" s="41" t="s">
        <v>7490</v>
      </c>
      <c r="C933" s="41" t="s">
        <v>7491</v>
      </c>
      <c r="D933" s="44">
        <v>304</v>
      </c>
      <c r="E933" s="41">
        <v>2</v>
      </c>
      <c r="F933" s="41"/>
      <c r="G933" s="41" t="s">
        <v>7492</v>
      </c>
      <c r="H933" s="41"/>
      <c r="J933" s="36" t="s">
        <v>27</v>
      </c>
      <c r="K933" s="36" t="s">
        <v>4052</v>
      </c>
      <c r="L933" s="36">
        <v>2</v>
      </c>
      <c r="N933" s="37">
        <v>0</v>
      </c>
      <c r="O933" s="131"/>
      <c r="P933" s="132"/>
      <c r="Q933" s="133">
        <v>1</v>
      </c>
      <c r="R933" s="42">
        <v>1</v>
      </c>
      <c r="S933" s="134"/>
      <c r="T933" s="135"/>
      <c r="U933" s="131"/>
      <c r="V933" s="136"/>
      <c r="W933" s="137"/>
      <c r="X933" s="138"/>
      <c r="Y933" s="42"/>
      <c r="Z933" s="135"/>
      <c r="AA933" s="139"/>
      <c r="AB933" s="28" t="s">
        <v>6035</v>
      </c>
      <c r="AD933" s="36" t="s">
        <v>4161</v>
      </c>
      <c r="AF933" s="36" t="s">
        <v>7493</v>
      </c>
      <c r="AI933" s="41"/>
      <c r="AJ933" s="41"/>
      <c r="AO933" s="37"/>
      <c r="AP933" s="37"/>
      <c r="AQ933" s="131"/>
      <c r="AR933" s="132"/>
      <c r="AS933" s="133"/>
      <c r="AT933" s="42"/>
      <c r="AU933" s="135"/>
      <c r="AV933" s="131"/>
      <c r="AW933" s="136"/>
      <c r="AX933" s="137"/>
      <c r="AY933" s="138"/>
      <c r="AZ933" s="42"/>
      <c r="BA933" s="135"/>
      <c r="BB933" s="139"/>
      <c r="BE933" s="37"/>
      <c r="BF933" s="36"/>
    </row>
    <row r="934" spans="1:58" ht="15" customHeight="1">
      <c r="A934" s="41" t="s">
        <v>7489</v>
      </c>
      <c r="B934" s="36" t="s">
        <v>7494</v>
      </c>
      <c r="C934" s="36" t="s">
        <v>7491</v>
      </c>
      <c r="D934" s="44">
        <v>305</v>
      </c>
      <c r="E934" s="36">
        <v>2</v>
      </c>
      <c r="G934" s="36" t="s">
        <v>7495</v>
      </c>
      <c r="J934" s="36" t="s">
        <v>4111</v>
      </c>
      <c r="K934" s="36" t="s">
        <v>4052</v>
      </c>
      <c r="L934" s="36">
        <v>5</v>
      </c>
      <c r="N934" s="37">
        <v>4</v>
      </c>
      <c r="O934" s="131">
        <v>2</v>
      </c>
      <c r="P934" s="132"/>
      <c r="Q934" s="133">
        <v>2</v>
      </c>
      <c r="R934" s="42"/>
      <c r="S934" s="134"/>
      <c r="T934" s="135">
        <v>4</v>
      </c>
      <c r="U934" s="131"/>
      <c r="V934" s="136"/>
      <c r="W934" s="137"/>
      <c r="X934" s="138"/>
      <c r="Y934" s="42"/>
      <c r="Z934" s="135"/>
      <c r="AA934" s="139"/>
      <c r="AB934" s="28" t="s">
        <v>7496</v>
      </c>
      <c r="AC934" s="36" t="s">
        <v>4247</v>
      </c>
      <c r="AD934" s="36" t="s">
        <v>7497</v>
      </c>
      <c r="AF934" s="36" t="s">
        <v>7498</v>
      </c>
      <c r="AO934" s="37"/>
      <c r="AP934" s="37"/>
      <c r="AQ934" s="131"/>
      <c r="AR934" s="132"/>
      <c r="AS934" s="133"/>
      <c r="AT934" s="42"/>
      <c r="AU934" s="135"/>
      <c r="AV934" s="131"/>
      <c r="AW934" s="136"/>
      <c r="AX934" s="137"/>
      <c r="AY934" s="138"/>
      <c r="AZ934" s="42"/>
      <c r="BA934" s="135"/>
      <c r="BB934" s="139"/>
      <c r="BE934" s="37"/>
      <c r="BF934" s="36"/>
    </row>
    <row r="935" spans="1:58" ht="15" customHeight="1">
      <c r="A935" s="41" t="s">
        <v>7489</v>
      </c>
      <c r="B935" s="36" t="s">
        <v>7499</v>
      </c>
      <c r="C935" s="36" t="s">
        <v>7491</v>
      </c>
      <c r="D935" s="44">
        <v>306</v>
      </c>
      <c r="E935" s="36">
        <v>2</v>
      </c>
      <c r="G935" s="36" t="s">
        <v>7500</v>
      </c>
      <c r="J935" s="36" t="s">
        <v>27</v>
      </c>
      <c r="K935" s="36" t="s">
        <v>4053</v>
      </c>
      <c r="L935" s="36">
        <v>3</v>
      </c>
      <c r="N935" s="37" t="s">
        <v>38</v>
      </c>
      <c r="O935" s="131"/>
      <c r="P935" s="132">
        <v>1</v>
      </c>
      <c r="Q935" s="133"/>
      <c r="R935" s="42">
        <v>1</v>
      </c>
      <c r="S935" s="134"/>
      <c r="T935" s="135"/>
      <c r="U935" s="131"/>
      <c r="V935" s="136"/>
      <c r="W935" s="137"/>
      <c r="X935" s="138"/>
      <c r="Y935" s="42"/>
      <c r="Z935" s="135"/>
      <c r="AA935" s="139"/>
      <c r="AB935" s="28" t="s">
        <v>6169</v>
      </c>
      <c r="AD935" s="36" t="s">
        <v>5659</v>
      </c>
      <c r="AF935" s="36" t="s">
        <v>7501</v>
      </c>
      <c r="AO935" s="37"/>
      <c r="AP935" s="37"/>
      <c r="AQ935" s="131"/>
      <c r="AR935" s="132"/>
      <c r="AS935" s="133"/>
      <c r="AT935" s="42"/>
      <c r="AU935" s="135"/>
      <c r="AV935" s="131"/>
      <c r="AW935" s="136"/>
      <c r="AX935" s="137"/>
      <c r="AY935" s="138"/>
      <c r="AZ935" s="42"/>
      <c r="BA935" s="135"/>
      <c r="BB935" s="139"/>
      <c r="BE935" s="37"/>
      <c r="BF935" s="36"/>
    </row>
    <row r="936" spans="1:58" ht="15" customHeight="1">
      <c r="A936" s="41" t="s">
        <v>7489</v>
      </c>
      <c r="B936" s="36" t="s">
        <v>7502</v>
      </c>
      <c r="C936" s="36" t="s">
        <v>7491</v>
      </c>
      <c r="D936" s="44">
        <v>307</v>
      </c>
      <c r="E936" s="36">
        <v>2</v>
      </c>
      <c r="G936" s="36" t="s">
        <v>6448</v>
      </c>
      <c r="J936" s="36" t="s">
        <v>27</v>
      </c>
      <c r="K936" s="36" t="s">
        <v>4053</v>
      </c>
      <c r="L936" s="36">
        <v>5</v>
      </c>
      <c r="N936" s="37">
        <v>2</v>
      </c>
      <c r="O936" s="131"/>
      <c r="P936" s="132">
        <v>1</v>
      </c>
      <c r="Q936" s="133"/>
      <c r="R936" s="42"/>
      <c r="S936" s="134">
        <v>1</v>
      </c>
      <c r="T936" s="135"/>
      <c r="U936" s="131"/>
      <c r="V936" s="136"/>
      <c r="W936" s="137"/>
      <c r="X936" s="138"/>
      <c r="Y936" s="42"/>
      <c r="Z936" s="135"/>
      <c r="AA936" s="139"/>
      <c r="AB936" s="28" t="s">
        <v>7503</v>
      </c>
      <c r="AD936" s="36" t="s">
        <v>4194</v>
      </c>
      <c r="AF936" s="36" t="s">
        <v>7504</v>
      </c>
      <c r="AO936" s="37"/>
      <c r="AP936" s="37"/>
      <c r="AQ936" s="131"/>
      <c r="AR936" s="132"/>
      <c r="AS936" s="133"/>
      <c r="AT936" s="42"/>
      <c r="AU936" s="135"/>
      <c r="AV936" s="131"/>
      <c r="AW936" s="136"/>
      <c r="AX936" s="137"/>
      <c r="AY936" s="138"/>
      <c r="AZ936" s="42"/>
      <c r="BA936" s="135"/>
      <c r="BB936" s="139"/>
      <c r="BE936" s="37"/>
      <c r="BF936" s="36"/>
    </row>
    <row r="937" spans="1:58" ht="15" customHeight="1">
      <c r="A937" s="41" t="s">
        <v>7489</v>
      </c>
      <c r="B937" s="36" t="s">
        <v>7505</v>
      </c>
      <c r="C937" s="36" t="s">
        <v>7491</v>
      </c>
      <c r="D937" s="44">
        <v>308</v>
      </c>
      <c r="E937" s="36">
        <v>2</v>
      </c>
      <c r="G937" s="36" t="s">
        <v>7506</v>
      </c>
      <c r="H937" s="36" t="s">
        <v>7507</v>
      </c>
      <c r="I937" s="36" t="s">
        <v>4077</v>
      </c>
      <c r="J937" s="36" t="s">
        <v>4111</v>
      </c>
      <c r="K937" s="36" t="s">
        <v>4055</v>
      </c>
      <c r="L937" s="36">
        <v>1</v>
      </c>
      <c r="N937" s="36" t="s">
        <v>38</v>
      </c>
      <c r="O937" s="131"/>
      <c r="P937" s="132"/>
      <c r="Q937" s="133"/>
      <c r="R937" s="42"/>
      <c r="S937" s="134"/>
      <c r="T937" s="135"/>
      <c r="U937" s="131"/>
      <c r="V937" s="136"/>
      <c r="W937" s="137"/>
      <c r="X937" s="138"/>
      <c r="Y937" s="42"/>
      <c r="Z937" s="135"/>
      <c r="AA937" s="139"/>
      <c r="AB937" s="28"/>
      <c r="AD937" s="36" t="s">
        <v>4130</v>
      </c>
      <c r="AE937" s="36" t="s">
        <v>7508</v>
      </c>
      <c r="AF937" s="36" t="s">
        <v>7509</v>
      </c>
      <c r="AO937" s="37"/>
      <c r="AP937" s="36"/>
      <c r="AQ937" s="131"/>
      <c r="AR937" s="132"/>
      <c r="AS937" s="133"/>
      <c r="AT937" s="42"/>
      <c r="AU937" s="135"/>
      <c r="AV937" s="131"/>
      <c r="AW937" s="136"/>
      <c r="AX937" s="137"/>
      <c r="AY937" s="138"/>
      <c r="AZ937" s="42"/>
      <c r="BA937" s="135"/>
      <c r="BB937" s="139"/>
      <c r="BE937" s="37"/>
      <c r="BF937" s="36"/>
    </row>
    <row r="938" spans="1:58" ht="15" customHeight="1">
      <c r="A938" s="41" t="s">
        <v>7489</v>
      </c>
      <c r="B938" s="36" t="s">
        <v>7510</v>
      </c>
      <c r="C938" s="36" t="s">
        <v>7491</v>
      </c>
      <c r="D938" s="44">
        <v>309</v>
      </c>
      <c r="E938" s="36">
        <v>2</v>
      </c>
      <c r="G938" s="36" t="s">
        <v>7511</v>
      </c>
      <c r="J938" s="36" t="s">
        <v>4111</v>
      </c>
      <c r="K938" s="36" t="s">
        <v>4055</v>
      </c>
      <c r="L938" s="36">
        <v>3</v>
      </c>
      <c r="N938" s="36">
        <v>3</v>
      </c>
      <c r="O938" s="131"/>
      <c r="P938" s="132"/>
      <c r="Q938" s="133">
        <v>1</v>
      </c>
      <c r="R938" s="42"/>
      <c r="S938" s="134"/>
      <c r="T938" s="135"/>
      <c r="U938" s="131"/>
      <c r="V938" s="136"/>
      <c r="W938" s="137"/>
      <c r="X938" s="138"/>
      <c r="Y938" s="42"/>
      <c r="Z938" s="135"/>
      <c r="AA938" s="139"/>
      <c r="AB938" s="140" t="s">
        <v>4060</v>
      </c>
      <c r="AC938" s="36" t="s">
        <v>4112</v>
      </c>
      <c r="AD938" s="36" t="s">
        <v>4777</v>
      </c>
      <c r="AE938" s="36" t="s">
        <v>7512</v>
      </c>
      <c r="AF938" s="36" t="s">
        <v>7513</v>
      </c>
      <c r="AO938" s="37"/>
      <c r="AP938" s="36"/>
      <c r="AQ938" s="131"/>
      <c r="AR938" s="132"/>
      <c r="AS938" s="133"/>
      <c r="AT938" s="42"/>
      <c r="AU938" s="135"/>
      <c r="AV938" s="131"/>
      <c r="AW938" s="136"/>
      <c r="AX938" s="137"/>
      <c r="AY938" s="138"/>
      <c r="AZ938" s="42"/>
      <c r="BA938" s="135"/>
      <c r="BB938" s="139"/>
      <c r="BE938" s="37"/>
      <c r="BF938" s="36"/>
    </row>
    <row r="939" spans="1:58" ht="15" customHeight="1">
      <c r="A939" s="41" t="s">
        <v>7489</v>
      </c>
      <c r="B939" s="36" t="s">
        <v>7514</v>
      </c>
      <c r="C939" s="36" t="s">
        <v>7491</v>
      </c>
      <c r="D939" s="44">
        <v>310</v>
      </c>
      <c r="E939" s="36">
        <v>2</v>
      </c>
      <c r="G939" s="36" t="s">
        <v>7515</v>
      </c>
      <c r="J939" s="36" t="s">
        <v>27</v>
      </c>
      <c r="K939" s="36" t="s">
        <v>4055</v>
      </c>
      <c r="L939" s="36">
        <v>5</v>
      </c>
      <c r="N939" s="36">
        <v>1</v>
      </c>
      <c r="O939" s="131"/>
      <c r="P939" s="132"/>
      <c r="Q939" s="133"/>
      <c r="R939" s="42"/>
      <c r="S939" s="134">
        <v>1</v>
      </c>
      <c r="T939" s="135"/>
      <c r="U939" s="131"/>
      <c r="V939" s="136"/>
      <c r="W939" s="137"/>
      <c r="X939" s="138"/>
      <c r="Y939" s="42"/>
      <c r="Z939" s="135"/>
      <c r="AA939" s="139"/>
      <c r="AB939" s="28" t="s">
        <v>4062</v>
      </c>
      <c r="AD939" s="36" t="s">
        <v>7516</v>
      </c>
      <c r="AE939" s="36"/>
      <c r="AF939" s="36" t="s">
        <v>7517</v>
      </c>
      <c r="AO939" s="37"/>
      <c r="AP939" s="36"/>
      <c r="AQ939" s="131"/>
      <c r="AR939" s="132"/>
      <c r="AS939" s="133"/>
      <c r="AT939" s="42"/>
      <c r="AU939" s="135"/>
      <c r="AV939" s="131"/>
      <c r="AW939" s="136"/>
      <c r="AX939" s="137"/>
      <c r="AY939" s="138"/>
      <c r="AZ939" s="42"/>
      <c r="BA939" s="135"/>
      <c r="BB939" s="139"/>
      <c r="BE939" s="37"/>
      <c r="BF939" s="36"/>
    </row>
    <row r="940" spans="1:58" ht="15" customHeight="1">
      <c r="A940" s="41" t="s">
        <v>7489</v>
      </c>
      <c r="B940" s="36" t="s">
        <v>7518</v>
      </c>
      <c r="C940" s="36" t="s">
        <v>7491</v>
      </c>
      <c r="D940" s="44">
        <v>311</v>
      </c>
      <c r="E940" s="36">
        <v>2</v>
      </c>
      <c r="G940" s="36" t="s">
        <v>7519</v>
      </c>
      <c r="J940" s="36" t="s">
        <v>27</v>
      </c>
      <c r="K940" s="36" t="s">
        <v>4054</v>
      </c>
      <c r="L940" s="36">
        <v>2</v>
      </c>
      <c r="N940" s="36">
        <v>1</v>
      </c>
      <c r="O940" s="131"/>
      <c r="P940" s="132"/>
      <c r="Q940" s="133"/>
      <c r="R940" s="42"/>
      <c r="S940" s="134"/>
      <c r="T940" s="135"/>
      <c r="U940" s="131"/>
      <c r="V940" s="136"/>
      <c r="W940" s="137"/>
      <c r="X940" s="138"/>
      <c r="Y940" s="42"/>
      <c r="Z940" s="135"/>
      <c r="AA940" s="139"/>
      <c r="AB940" s="140"/>
      <c r="AD940" s="36" t="s">
        <v>7520</v>
      </c>
      <c r="AE940" s="36"/>
      <c r="AF940" s="36" t="s">
        <v>7521</v>
      </c>
      <c r="AO940" s="37"/>
      <c r="AP940" s="36"/>
      <c r="AQ940" s="131"/>
      <c r="AR940" s="132"/>
      <c r="AS940" s="133"/>
      <c r="AT940" s="42"/>
      <c r="AU940" s="135"/>
      <c r="AV940" s="131"/>
      <c r="AW940" s="136"/>
      <c r="AX940" s="137"/>
      <c r="AY940" s="138"/>
      <c r="AZ940" s="42"/>
      <c r="BA940" s="135"/>
      <c r="BB940" s="139"/>
      <c r="BE940" s="37"/>
      <c r="BF940" s="36"/>
    </row>
    <row r="941" spans="1:58" ht="15" customHeight="1">
      <c r="A941" s="41" t="s">
        <v>7489</v>
      </c>
      <c r="B941" s="36" t="s">
        <v>7522</v>
      </c>
      <c r="C941" s="36" t="s">
        <v>7491</v>
      </c>
      <c r="D941" s="44">
        <v>312</v>
      </c>
      <c r="E941" s="36">
        <v>2</v>
      </c>
      <c r="G941" s="36" t="s">
        <v>7523</v>
      </c>
      <c r="J941" s="36" t="s">
        <v>4166</v>
      </c>
      <c r="K941" s="36" t="s">
        <v>4054</v>
      </c>
      <c r="L941" s="36">
        <v>5</v>
      </c>
      <c r="N941" s="141"/>
      <c r="O941" s="131"/>
      <c r="P941" s="132"/>
      <c r="Q941" s="133"/>
      <c r="R941" s="42"/>
      <c r="S941" s="134">
        <v>1</v>
      </c>
      <c r="T941" s="135"/>
      <c r="U941" s="131"/>
      <c r="V941" s="136"/>
      <c r="W941" s="137"/>
      <c r="X941" s="138"/>
      <c r="Y941" s="42"/>
      <c r="Z941" s="135"/>
      <c r="AA941" s="139"/>
      <c r="AB941" s="28" t="s">
        <v>4062</v>
      </c>
      <c r="AD941" s="36" t="s">
        <v>7524</v>
      </c>
      <c r="AE941" s="36"/>
      <c r="AF941" s="36" t="s">
        <v>7525</v>
      </c>
      <c r="AO941" s="37"/>
      <c r="AP941" s="36"/>
      <c r="AQ941" s="131"/>
      <c r="AR941" s="132"/>
      <c r="AS941" s="133"/>
      <c r="AT941" s="42"/>
      <c r="AU941" s="135"/>
      <c r="AV941" s="131"/>
      <c r="AW941" s="136"/>
      <c r="AX941" s="137"/>
      <c r="AY941" s="138"/>
      <c r="AZ941" s="42"/>
      <c r="BA941" s="135"/>
      <c r="BB941" s="139"/>
      <c r="BE941" s="37"/>
      <c r="BF941" s="36"/>
    </row>
    <row r="942" spans="1:58" ht="15" customHeight="1">
      <c r="A942" s="41" t="s">
        <v>7489</v>
      </c>
      <c r="B942" s="36" t="s">
        <v>7526</v>
      </c>
      <c r="C942" s="36" t="s">
        <v>7491</v>
      </c>
      <c r="D942" s="44">
        <v>313</v>
      </c>
      <c r="E942" s="36">
        <v>2</v>
      </c>
      <c r="G942" s="36" t="s">
        <v>5671</v>
      </c>
      <c r="J942" s="36" t="s">
        <v>4111</v>
      </c>
      <c r="K942" s="36" t="s">
        <v>4056</v>
      </c>
      <c r="L942" s="36">
        <v>2</v>
      </c>
      <c r="N942" s="36">
        <v>1</v>
      </c>
      <c r="O942" s="131"/>
      <c r="P942" s="132">
        <v>2</v>
      </c>
      <c r="Q942" s="133"/>
      <c r="R942" s="42"/>
      <c r="S942" s="134"/>
      <c r="T942" s="135"/>
      <c r="U942" s="131"/>
      <c r="V942" s="136"/>
      <c r="W942" s="137"/>
      <c r="X942" s="138"/>
      <c r="Y942" s="42"/>
      <c r="Z942" s="135"/>
      <c r="AA942" s="139"/>
      <c r="AB942" s="140" t="s">
        <v>4938</v>
      </c>
      <c r="AC942" s="36" t="s">
        <v>4112</v>
      </c>
      <c r="AD942" s="36" t="s">
        <v>4119</v>
      </c>
      <c r="AE942" s="36"/>
      <c r="AF942" s="36" t="s">
        <v>7527</v>
      </c>
      <c r="AO942" s="37"/>
      <c r="AP942" s="36"/>
      <c r="AQ942" s="131"/>
      <c r="AR942" s="132"/>
      <c r="AS942" s="133"/>
      <c r="AT942" s="42"/>
      <c r="AU942" s="135"/>
      <c r="AV942" s="131"/>
      <c r="AW942" s="136"/>
      <c r="AX942" s="137"/>
      <c r="AY942" s="138"/>
      <c r="AZ942" s="42"/>
      <c r="BA942" s="135"/>
      <c r="BB942" s="139"/>
      <c r="BE942" s="37"/>
      <c r="BF942" s="36"/>
    </row>
    <row r="943" spans="1:58" ht="15" customHeight="1">
      <c r="A943" s="41" t="s">
        <v>7489</v>
      </c>
      <c r="B943" s="36" t="s">
        <v>7528</v>
      </c>
      <c r="C943" s="36" t="s">
        <v>7491</v>
      </c>
      <c r="D943" s="44">
        <v>314</v>
      </c>
      <c r="E943" s="36">
        <v>2</v>
      </c>
      <c r="G943" s="36" t="s">
        <v>7529</v>
      </c>
      <c r="J943" s="36" t="s">
        <v>27</v>
      </c>
      <c r="K943" s="36" t="s">
        <v>4056</v>
      </c>
      <c r="L943" s="36">
        <v>3</v>
      </c>
      <c r="N943" s="36">
        <v>1</v>
      </c>
      <c r="O943" s="131"/>
      <c r="P943" s="132">
        <v>2</v>
      </c>
      <c r="Q943" s="133"/>
      <c r="R943" s="42">
        <v>2</v>
      </c>
      <c r="S943" s="134"/>
      <c r="T943" s="135"/>
      <c r="U943" s="131"/>
      <c r="V943" s="136"/>
      <c r="W943" s="137"/>
      <c r="X943" s="138"/>
      <c r="Y943" s="42"/>
      <c r="Z943" s="135"/>
      <c r="AA943" s="139"/>
      <c r="AB943" s="28" t="s">
        <v>7530</v>
      </c>
      <c r="AD943" s="36" t="s">
        <v>5266</v>
      </c>
      <c r="AE943" s="36"/>
      <c r="AF943" s="36" t="s">
        <v>7531</v>
      </c>
      <c r="AO943" s="37"/>
      <c r="AP943" s="36"/>
      <c r="AQ943" s="131"/>
      <c r="AR943" s="132"/>
      <c r="AS943" s="133"/>
      <c r="AT943" s="42"/>
      <c r="AU943" s="135"/>
      <c r="AV943" s="131"/>
      <c r="AW943" s="136"/>
      <c r="AX943" s="137"/>
      <c r="AY943" s="138"/>
      <c r="AZ943" s="42"/>
      <c r="BA943" s="135"/>
      <c r="BB943" s="139"/>
      <c r="BE943" s="37"/>
      <c r="BF943" s="36"/>
    </row>
    <row r="944" spans="1:58" ht="15" customHeight="1">
      <c r="A944" s="41" t="s">
        <v>7489</v>
      </c>
      <c r="B944" s="36" t="s">
        <v>7532</v>
      </c>
      <c r="C944" s="36" t="s">
        <v>7491</v>
      </c>
      <c r="D944" s="37">
        <v>315</v>
      </c>
      <c r="E944" s="36">
        <v>2</v>
      </c>
      <c r="G944" s="36" t="s">
        <v>7533</v>
      </c>
      <c r="H944" s="36" t="s">
        <v>7534</v>
      </c>
      <c r="I944" s="36" t="s">
        <v>4077</v>
      </c>
      <c r="J944" s="36" t="s">
        <v>4111</v>
      </c>
      <c r="K944" s="36" t="s">
        <v>26</v>
      </c>
      <c r="L944" s="36">
        <v>5</v>
      </c>
      <c r="N944" s="36">
        <v>3</v>
      </c>
      <c r="O944" s="131">
        <v>1</v>
      </c>
      <c r="P944" s="132"/>
      <c r="Q944" s="133"/>
      <c r="R944" s="42"/>
      <c r="S944" s="134">
        <v>1</v>
      </c>
      <c r="T944" s="135"/>
      <c r="U944" s="131">
        <v>4</v>
      </c>
      <c r="V944" s="136"/>
      <c r="W944" s="137"/>
      <c r="X944" s="138"/>
      <c r="Y944" s="42"/>
      <c r="Z944" s="135"/>
      <c r="AA944" s="139"/>
      <c r="AB944" s="140" t="s">
        <v>7535</v>
      </c>
      <c r="AC944" s="36" t="s">
        <v>4129</v>
      </c>
      <c r="AD944" s="36" t="s">
        <v>4130</v>
      </c>
      <c r="AE944" s="36"/>
      <c r="AF944" s="36" t="s">
        <v>7536</v>
      </c>
      <c r="AO944" s="37"/>
      <c r="AP944" s="36"/>
      <c r="AQ944" s="131"/>
      <c r="AR944" s="132"/>
      <c r="AS944" s="133"/>
      <c r="AT944" s="42"/>
      <c r="AU944" s="135"/>
      <c r="AV944" s="131"/>
      <c r="AW944" s="136"/>
      <c r="AX944" s="137"/>
      <c r="AY944" s="138"/>
      <c r="AZ944" s="42"/>
      <c r="BA944" s="135"/>
      <c r="BB944" s="139"/>
      <c r="BE944" s="37"/>
      <c r="BF944" s="36"/>
    </row>
    <row r="945" spans="1:59" ht="15" customHeight="1">
      <c r="A945" s="41" t="s">
        <v>7489</v>
      </c>
      <c r="B945" s="36" t="s">
        <v>7537</v>
      </c>
      <c r="C945" s="36" t="s">
        <v>7491</v>
      </c>
      <c r="D945" s="44">
        <v>316</v>
      </c>
      <c r="E945" s="36">
        <v>1</v>
      </c>
      <c r="F945" s="36" t="s">
        <v>7538</v>
      </c>
      <c r="G945" s="36" t="s">
        <v>7538</v>
      </c>
      <c r="J945" s="36" t="s">
        <v>4472</v>
      </c>
      <c r="K945" s="36" t="s">
        <v>6280</v>
      </c>
      <c r="N945" s="36"/>
      <c r="O945" s="131"/>
      <c r="P945" s="132"/>
      <c r="Q945" s="133"/>
      <c r="R945" s="42"/>
      <c r="S945" s="134"/>
      <c r="T945" s="135"/>
      <c r="U945" s="131"/>
      <c r="V945" s="136"/>
      <c r="W945" s="137"/>
      <c r="X945" s="138"/>
      <c r="Y945" s="42"/>
      <c r="Z945" s="135"/>
      <c r="AA945" s="139"/>
      <c r="AB945" s="28"/>
      <c r="AE945" s="36"/>
      <c r="AF945" s="36" t="s">
        <v>7539</v>
      </c>
      <c r="AI945" s="36" t="s">
        <v>7538</v>
      </c>
      <c r="AL945" s="36" t="s">
        <v>4472</v>
      </c>
      <c r="AO945" s="37"/>
      <c r="AP945" s="36"/>
      <c r="AQ945" s="131"/>
      <c r="AR945" s="132"/>
      <c r="AS945" s="133"/>
      <c r="AT945" s="42"/>
      <c r="AU945" s="135"/>
      <c r="AV945" s="131"/>
      <c r="AW945" s="136"/>
      <c r="AX945" s="137"/>
      <c r="AY945" s="138"/>
      <c r="AZ945" s="42"/>
      <c r="BA945" s="135"/>
      <c r="BB945" s="139"/>
      <c r="BE945" s="37"/>
      <c r="BF945" s="36"/>
      <c r="BG945" s="36" t="s">
        <v>7540</v>
      </c>
    </row>
    <row r="946" spans="1:59" ht="15" customHeight="1">
      <c r="A946" s="41" t="s">
        <v>7489</v>
      </c>
      <c r="B946" s="36" t="s">
        <v>7541</v>
      </c>
      <c r="C946" s="36" t="s">
        <v>7491</v>
      </c>
      <c r="D946" s="37">
        <v>317</v>
      </c>
      <c r="E946" s="36">
        <v>1</v>
      </c>
      <c r="F946" s="36" t="s">
        <v>7538</v>
      </c>
      <c r="G946" s="36" t="s">
        <v>7542</v>
      </c>
      <c r="J946" s="36" t="s">
        <v>4473</v>
      </c>
      <c r="K946" s="36" t="s">
        <v>6280</v>
      </c>
      <c r="L946" s="36">
        <v>1</v>
      </c>
      <c r="N946" s="36"/>
      <c r="O946" s="131"/>
      <c r="P946" s="132"/>
      <c r="Q946" s="133"/>
      <c r="R946" s="42"/>
      <c r="S946" s="134"/>
      <c r="T946" s="135"/>
      <c r="U946" s="131"/>
      <c r="V946" s="136"/>
      <c r="W946" s="137"/>
      <c r="X946" s="138"/>
      <c r="Y946" s="42"/>
      <c r="Z946" s="135">
        <v>7</v>
      </c>
      <c r="AA946" s="139"/>
      <c r="AB946" s="140"/>
      <c r="AE946" s="36"/>
      <c r="AF946" s="36" t="s">
        <v>7543</v>
      </c>
      <c r="AI946" s="36" t="s">
        <v>7544</v>
      </c>
      <c r="AL946" s="36" t="s">
        <v>4473</v>
      </c>
      <c r="AN946" s="36">
        <v>1</v>
      </c>
      <c r="AO946" s="37"/>
      <c r="AP946" s="36"/>
      <c r="AQ946" s="131"/>
      <c r="AR946" s="132"/>
      <c r="AS946" s="133"/>
      <c r="AT946" s="42"/>
      <c r="AU946" s="135"/>
      <c r="AV946" s="131"/>
      <c r="AW946" s="136"/>
      <c r="AX946" s="137"/>
      <c r="AY946" s="138"/>
      <c r="AZ946" s="42"/>
      <c r="BA946" s="135"/>
      <c r="BB946" s="139"/>
      <c r="BE946" s="37"/>
      <c r="BF946" s="36"/>
      <c r="BG946" s="36" t="s">
        <v>7545</v>
      </c>
    </row>
    <row r="947" spans="1:59" ht="15" customHeight="1">
      <c r="A947" s="41" t="s">
        <v>7489</v>
      </c>
      <c r="B947" s="36" t="s">
        <v>7546</v>
      </c>
      <c r="C947" s="36" t="s">
        <v>7491</v>
      </c>
      <c r="D947" s="44">
        <v>318</v>
      </c>
      <c r="E947" s="36">
        <v>1</v>
      </c>
      <c r="F947" s="36" t="s">
        <v>7538</v>
      </c>
      <c r="G947" s="36" t="s">
        <v>7547</v>
      </c>
      <c r="J947" s="36" t="s">
        <v>4473</v>
      </c>
      <c r="K947" s="36" t="s">
        <v>6280</v>
      </c>
      <c r="L947" s="36">
        <v>2</v>
      </c>
      <c r="N947" s="36"/>
      <c r="O947" s="131"/>
      <c r="P947" s="132"/>
      <c r="Q947" s="133"/>
      <c r="R947" s="42"/>
      <c r="S947" s="134"/>
      <c r="T947" s="135"/>
      <c r="U947" s="131"/>
      <c r="V947" s="136"/>
      <c r="W947" s="137"/>
      <c r="X947" s="138"/>
      <c r="Y947" s="42"/>
      <c r="Z947" s="135">
        <v>7</v>
      </c>
      <c r="AA947" s="139"/>
      <c r="AB947" s="140"/>
      <c r="AE947" s="36"/>
      <c r="AF947" s="36" t="s">
        <v>7548</v>
      </c>
      <c r="AI947" s="36" t="s">
        <v>7549</v>
      </c>
      <c r="AL947" s="36" t="s">
        <v>4473</v>
      </c>
      <c r="AN947" s="36">
        <v>2</v>
      </c>
      <c r="AO947" s="37"/>
      <c r="AP947" s="36"/>
      <c r="AQ947" s="131"/>
      <c r="AR947" s="132"/>
      <c r="AS947" s="133"/>
      <c r="AT947" s="42"/>
      <c r="AU947" s="135"/>
      <c r="AV947" s="131"/>
      <c r="AW947" s="136"/>
      <c r="AX947" s="137"/>
      <c r="AY947" s="138"/>
      <c r="AZ947" s="42"/>
      <c r="BA947" s="135"/>
      <c r="BB947" s="139"/>
      <c r="BE947" s="37"/>
      <c r="BF947" s="36"/>
      <c r="BG947" s="36" t="s">
        <v>7550</v>
      </c>
    </row>
    <row r="948" spans="1:59" ht="15" customHeight="1">
      <c r="A948" s="41" t="s">
        <v>7489</v>
      </c>
      <c r="B948" s="36" t="s">
        <v>7551</v>
      </c>
      <c r="C948" s="36" t="s">
        <v>7491</v>
      </c>
      <c r="D948" s="37">
        <v>319</v>
      </c>
      <c r="E948" s="36">
        <v>1</v>
      </c>
      <c r="F948" s="36" t="s">
        <v>7538</v>
      </c>
      <c r="G948" s="36" t="s">
        <v>7552</v>
      </c>
      <c r="J948" s="36" t="s">
        <v>4473</v>
      </c>
      <c r="K948" s="36" t="s">
        <v>6280</v>
      </c>
      <c r="L948" s="36">
        <v>3</v>
      </c>
      <c r="N948" s="36"/>
      <c r="O948" s="131"/>
      <c r="P948" s="132"/>
      <c r="Q948" s="133"/>
      <c r="R948" s="42"/>
      <c r="S948" s="134"/>
      <c r="T948" s="135"/>
      <c r="U948" s="131"/>
      <c r="V948" s="136"/>
      <c r="W948" s="137"/>
      <c r="X948" s="138"/>
      <c r="Y948" s="42"/>
      <c r="Z948" s="135">
        <v>9</v>
      </c>
      <c r="AA948" s="139"/>
      <c r="AB948" s="140"/>
      <c r="AE948" s="36"/>
      <c r="AF948" s="36" t="s">
        <v>7553</v>
      </c>
      <c r="AI948" s="36" t="s">
        <v>7554</v>
      </c>
      <c r="AL948" s="36" t="s">
        <v>4473</v>
      </c>
      <c r="AN948" s="36">
        <v>3</v>
      </c>
      <c r="AO948" s="37"/>
      <c r="AP948" s="36"/>
      <c r="AQ948" s="131"/>
      <c r="AR948" s="132"/>
      <c r="AS948" s="133"/>
      <c r="AT948" s="42"/>
      <c r="AU948" s="135"/>
      <c r="AV948" s="131"/>
      <c r="AW948" s="136"/>
      <c r="AX948" s="137"/>
      <c r="AY948" s="138"/>
      <c r="AZ948" s="42"/>
      <c r="BA948" s="135"/>
      <c r="BB948" s="139"/>
      <c r="BE948" s="37"/>
      <c r="BF948" s="36"/>
      <c r="BG948" s="36" t="s">
        <v>7555</v>
      </c>
    </row>
    <row r="949" spans="1:59" ht="15" customHeight="1">
      <c r="A949" s="41" t="s">
        <v>7489</v>
      </c>
      <c r="B949" s="36" t="s">
        <v>7556</v>
      </c>
      <c r="C949" s="36" t="s">
        <v>7491</v>
      </c>
      <c r="D949" s="44">
        <v>320</v>
      </c>
      <c r="E949" s="36">
        <v>1</v>
      </c>
      <c r="F949" s="36" t="s">
        <v>7538</v>
      </c>
      <c r="G949" s="36" t="s">
        <v>7557</v>
      </c>
      <c r="J949" s="36" t="s">
        <v>4475</v>
      </c>
      <c r="K949" s="36" t="s">
        <v>6280</v>
      </c>
      <c r="L949" s="36">
        <v>1</v>
      </c>
      <c r="N949" s="36"/>
      <c r="O949" s="131"/>
      <c r="P949" s="132"/>
      <c r="Q949" s="133"/>
      <c r="R949" s="42"/>
      <c r="S949" s="134"/>
      <c r="T949" s="135"/>
      <c r="U949" s="131"/>
      <c r="V949" s="136"/>
      <c r="W949" s="137"/>
      <c r="X949" s="138"/>
      <c r="Y949" s="42" t="s">
        <v>5551</v>
      </c>
      <c r="Z949" s="135"/>
      <c r="AA949" s="139"/>
      <c r="AB949" s="140"/>
      <c r="AE949" s="36"/>
      <c r="AF949" s="36" t="s">
        <v>7558</v>
      </c>
      <c r="AI949" s="36" t="s">
        <v>7559</v>
      </c>
      <c r="AL949" s="36" t="s">
        <v>4475</v>
      </c>
      <c r="AN949" s="36">
        <v>1</v>
      </c>
      <c r="AO949" s="37"/>
      <c r="AP949" s="36"/>
      <c r="AQ949" s="131"/>
      <c r="AR949" s="132"/>
      <c r="AS949" s="133"/>
      <c r="AT949" s="42"/>
      <c r="AU949" s="135"/>
      <c r="AV949" s="131"/>
      <c r="AW949" s="136"/>
      <c r="AX949" s="137"/>
      <c r="AY949" s="138"/>
      <c r="AZ949" s="42"/>
      <c r="BA949" s="135"/>
      <c r="BB949" s="139"/>
      <c r="BE949" s="37"/>
      <c r="BF949" s="36"/>
      <c r="BG949" s="36" t="s">
        <v>7560</v>
      </c>
    </row>
    <row r="950" spans="1:59" ht="15" customHeight="1">
      <c r="A950" s="41" t="s">
        <v>7489</v>
      </c>
      <c r="B950" s="36" t="s">
        <v>7561</v>
      </c>
      <c r="C950" s="36" t="s">
        <v>7491</v>
      </c>
      <c r="D950" s="37">
        <v>321</v>
      </c>
      <c r="E950" s="36">
        <v>1</v>
      </c>
      <c r="F950" s="36" t="s">
        <v>7538</v>
      </c>
      <c r="G950" s="36" t="s">
        <v>7562</v>
      </c>
      <c r="J950" s="36" t="s">
        <v>4475</v>
      </c>
      <c r="K950" s="36" t="s">
        <v>6280</v>
      </c>
      <c r="L950" s="36">
        <v>2</v>
      </c>
      <c r="N950" s="36"/>
      <c r="O950" s="131"/>
      <c r="P950" s="132"/>
      <c r="Q950" s="133"/>
      <c r="R950" s="42"/>
      <c r="S950" s="134"/>
      <c r="T950" s="135"/>
      <c r="U950" s="131"/>
      <c r="V950" s="136"/>
      <c r="W950" s="137"/>
      <c r="X950" s="138"/>
      <c r="Y950" s="42" t="s">
        <v>38</v>
      </c>
      <c r="Z950" s="135"/>
      <c r="AA950" s="139"/>
      <c r="AB950" s="140"/>
      <c r="AE950" s="36"/>
      <c r="AF950" s="36" t="s">
        <v>7563</v>
      </c>
      <c r="AI950" s="36" t="s">
        <v>7564</v>
      </c>
      <c r="AJ950" s="36" t="s">
        <v>7565</v>
      </c>
      <c r="AK950" s="36" t="s">
        <v>4077</v>
      </c>
      <c r="AL950" s="36" t="s">
        <v>4111</v>
      </c>
      <c r="AM950" s="36" t="s">
        <v>26</v>
      </c>
      <c r="AO950" s="37"/>
      <c r="AP950" s="36">
        <v>0</v>
      </c>
      <c r="AQ950" s="131"/>
      <c r="AR950" s="132"/>
      <c r="AS950" s="133"/>
      <c r="AT950" s="42"/>
      <c r="AU950" s="135"/>
      <c r="AV950" s="131"/>
      <c r="AW950" s="136"/>
      <c r="AX950" s="137"/>
      <c r="AY950" s="138"/>
      <c r="AZ950" s="42"/>
      <c r="BA950" s="135"/>
      <c r="BB950" s="139"/>
      <c r="BE950" s="37" t="s">
        <v>4130</v>
      </c>
      <c r="BF950" s="36"/>
      <c r="BG950" s="36" t="s">
        <v>7566</v>
      </c>
    </row>
    <row r="951" spans="1:59" ht="15" customHeight="1">
      <c r="A951" s="41" t="s">
        <v>7489</v>
      </c>
      <c r="B951" s="36" t="s">
        <v>7567</v>
      </c>
      <c r="C951" s="36" t="s">
        <v>7491</v>
      </c>
      <c r="D951" s="44">
        <v>322</v>
      </c>
      <c r="E951" s="36">
        <v>1</v>
      </c>
      <c r="F951" s="36" t="s">
        <v>7538</v>
      </c>
      <c r="G951" s="36" t="s">
        <v>7568</v>
      </c>
      <c r="J951" s="36" t="s">
        <v>4475</v>
      </c>
      <c r="K951" s="36" t="s">
        <v>6280</v>
      </c>
      <c r="L951" s="36">
        <v>2</v>
      </c>
      <c r="N951" s="36"/>
      <c r="O951" s="131"/>
      <c r="P951" s="132"/>
      <c r="Q951" s="133"/>
      <c r="R951" s="42"/>
      <c r="S951" s="134"/>
      <c r="T951" s="135"/>
      <c r="U951" s="131"/>
      <c r="V951" s="136"/>
      <c r="W951" s="137"/>
      <c r="X951" s="138"/>
      <c r="Y951" s="42" t="s">
        <v>38</v>
      </c>
      <c r="Z951" s="135"/>
      <c r="AA951" s="139"/>
      <c r="AB951" s="140"/>
      <c r="AE951" s="36"/>
      <c r="AF951" s="36" t="s">
        <v>7569</v>
      </c>
      <c r="AI951" s="36" t="s">
        <v>7570</v>
      </c>
      <c r="AL951" s="36" t="s">
        <v>4475</v>
      </c>
      <c r="AN951" s="36">
        <v>2</v>
      </c>
      <c r="AO951" s="37"/>
      <c r="AP951" s="36"/>
      <c r="AQ951" s="131"/>
      <c r="AR951" s="132"/>
      <c r="AS951" s="133"/>
      <c r="AT951" s="42"/>
      <c r="AU951" s="135"/>
      <c r="AV951" s="131"/>
      <c r="AW951" s="136"/>
      <c r="AX951" s="137"/>
      <c r="AY951" s="138"/>
      <c r="AZ951" s="42"/>
      <c r="BA951" s="135"/>
      <c r="BB951" s="139"/>
      <c r="BE951" s="37"/>
      <c r="BF951" s="36"/>
      <c r="BG951" s="36" t="s">
        <v>7571</v>
      </c>
    </row>
    <row r="952" spans="1:59" ht="15" customHeight="1">
      <c r="A952" s="41" t="s">
        <v>7489</v>
      </c>
      <c r="B952" s="36" t="s">
        <v>7572</v>
      </c>
      <c r="C952" s="36" t="s">
        <v>7491</v>
      </c>
      <c r="D952" s="37">
        <v>323</v>
      </c>
      <c r="E952" s="36">
        <v>1</v>
      </c>
      <c r="F952" s="36" t="s">
        <v>7538</v>
      </c>
      <c r="G952" s="36" t="s">
        <v>7573</v>
      </c>
      <c r="J952" s="36" t="s">
        <v>4475</v>
      </c>
      <c r="K952" s="36" t="s">
        <v>6280</v>
      </c>
      <c r="L952" s="36">
        <v>2</v>
      </c>
      <c r="N952" s="36"/>
      <c r="O952" s="131"/>
      <c r="P952" s="132"/>
      <c r="Q952" s="133"/>
      <c r="R952" s="42"/>
      <c r="S952" s="134"/>
      <c r="T952" s="135"/>
      <c r="U952" s="131"/>
      <c r="V952" s="136"/>
      <c r="W952" s="137"/>
      <c r="X952" s="138"/>
      <c r="Y952" s="42" t="s">
        <v>38</v>
      </c>
      <c r="Z952" s="135"/>
      <c r="AA952" s="139"/>
      <c r="AB952" s="140"/>
      <c r="AE952" s="36"/>
      <c r="AF952" s="36" t="s">
        <v>7574</v>
      </c>
      <c r="AI952" s="36" t="s">
        <v>7575</v>
      </c>
      <c r="AL952" s="36" t="s">
        <v>4475</v>
      </c>
      <c r="AN952" s="36">
        <v>2</v>
      </c>
      <c r="AO952" s="37"/>
      <c r="AP952" s="36"/>
      <c r="AQ952" s="131"/>
      <c r="AR952" s="132"/>
      <c r="AS952" s="133"/>
      <c r="AT952" s="42"/>
      <c r="AU952" s="135"/>
      <c r="AV952" s="131"/>
      <c r="AW952" s="136"/>
      <c r="AX952" s="137"/>
      <c r="AY952" s="138"/>
      <c r="AZ952" s="42"/>
      <c r="BA952" s="135"/>
      <c r="BB952" s="139"/>
      <c r="BE952" s="37"/>
      <c r="BF952" s="36"/>
      <c r="BG952" s="36" t="s">
        <v>7576</v>
      </c>
    </row>
    <row r="953" spans="1:59" ht="15" customHeight="1">
      <c r="A953" s="41" t="s">
        <v>7489</v>
      </c>
      <c r="B953" s="36" t="s">
        <v>7577</v>
      </c>
      <c r="C953" s="36" t="s">
        <v>7491</v>
      </c>
      <c r="D953" s="44">
        <v>324</v>
      </c>
      <c r="E953" s="36">
        <v>1</v>
      </c>
      <c r="F953" s="36" t="s">
        <v>7538</v>
      </c>
      <c r="G953" s="36" t="s">
        <v>7578</v>
      </c>
      <c r="J953" s="36" t="s">
        <v>4475</v>
      </c>
      <c r="K953" s="36" t="s">
        <v>6280</v>
      </c>
      <c r="L953" s="36">
        <v>3</v>
      </c>
      <c r="N953" s="36"/>
      <c r="O953" s="131"/>
      <c r="P953" s="132"/>
      <c r="Q953" s="133"/>
      <c r="R953" s="42"/>
      <c r="S953" s="134"/>
      <c r="T953" s="135"/>
      <c r="U953" s="131"/>
      <c r="V953" s="136"/>
      <c r="W953" s="137"/>
      <c r="X953" s="138"/>
      <c r="Y953" s="42" t="s">
        <v>38</v>
      </c>
      <c r="Z953" s="135"/>
      <c r="AA953" s="139"/>
      <c r="AB953" s="140"/>
      <c r="AE953" s="36"/>
      <c r="AF953" s="36" t="s">
        <v>7579</v>
      </c>
      <c r="AI953" s="36" t="s">
        <v>7580</v>
      </c>
      <c r="AL953" s="36" t="s">
        <v>4475</v>
      </c>
      <c r="AN953" s="36">
        <v>3</v>
      </c>
      <c r="AO953" s="37"/>
      <c r="AP953" s="36"/>
      <c r="AQ953" s="131"/>
      <c r="AR953" s="132"/>
      <c r="AS953" s="133"/>
      <c r="AT953" s="42"/>
      <c r="AU953" s="135"/>
      <c r="AV953" s="131"/>
      <c r="AW953" s="136"/>
      <c r="AX953" s="137"/>
      <c r="AY953" s="138"/>
      <c r="AZ953" s="42"/>
      <c r="BA953" s="135"/>
      <c r="BB953" s="139"/>
      <c r="BE953" s="37"/>
      <c r="BF953" s="36"/>
      <c r="BG953" s="36" t="s">
        <v>7581</v>
      </c>
    </row>
    <row r="954" spans="1:59" ht="15" customHeight="1">
      <c r="A954" s="41" t="s">
        <v>7489</v>
      </c>
      <c r="B954" s="36" t="s">
        <v>7582</v>
      </c>
      <c r="C954" s="36" t="s">
        <v>7491</v>
      </c>
      <c r="D954" s="37">
        <v>325</v>
      </c>
      <c r="E954" s="36">
        <v>1</v>
      </c>
      <c r="F954" s="36" t="s">
        <v>7538</v>
      </c>
      <c r="G954" s="36" t="s">
        <v>7583</v>
      </c>
      <c r="J954" s="36" t="s">
        <v>31</v>
      </c>
      <c r="K954" s="36" t="s">
        <v>6280</v>
      </c>
      <c r="N954" s="36"/>
      <c r="O954" s="131"/>
      <c r="P954" s="132"/>
      <c r="Q954" s="133"/>
      <c r="R954" s="42"/>
      <c r="S954" s="134"/>
      <c r="T954" s="135"/>
      <c r="U954" s="131"/>
      <c r="V954" s="136"/>
      <c r="W954" s="137"/>
      <c r="X954" s="138">
        <v>3</v>
      </c>
      <c r="Y954" s="42" t="s">
        <v>5551</v>
      </c>
      <c r="Z954" s="135"/>
      <c r="AA954" s="139"/>
      <c r="AB954" s="140"/>
      <c r="AD954" s="36" t="s">
        <v>7584</v>
      </c>
      <c r="AE954" s="36"/>
      <c r="AI954" s="36" t="s">
        <v>7585</v>
      </c>
      <c r="AL954" s="36" t="s">
        <v>4472</v>
      </c>
      <c r="AO954" s="37"/>
      <c r="AP954" s="36"/>
      <c r="AQ954" s="131"/>
      <c r="AR954" s="132"/>
      <c r="AS954" s="133"/>
      <c r="AT954" s="42"/>
      <c r="AU954" s="135"/>
      <c r="AV954" s="131"/>
      <c r="AW954" s="136"/>
      <c r="AX954" s="137"/>
      <c r="AY954" s="138"/>
      <c r="AZ954" s="42"/>
      <c r="BA954" s="135"/>
      <c r="BB954" s="139"/>
      <c r="BE954" s="37"/>
      <c r="BF954" s="36"/>
      <c r="BG954" s="36" t="s">
        <v>7586</v>
      </c>
    </row>
    <row r="955" spans="1:59" ht="15" customHeight="1">
      <c r="A955" s="41" t="s">
        <v>7489</v>
      </c>
      <c r="B955" s="36" t="s">
        <v>7588</v>
      </c>
      <c r="C955" s="36" t="s">
        <v>7491</v>
      </c>
      <c r="D955" s="37">
        <v>326</v>
      </c>
      <c r="E955" s="36">
        <v>1</v>
      </c>
      <c r="F955" s="36" t="s">
        <v>7538</v>
      </c>
      <c r="G955" s="36" t="s">
        <v>7589</v>
      </c>
      <c r="J955" s="36" t="s">
        <v>31</v>
      </c>
      <c r="K955" s="36" t="s">
        <v>6280</v>
      </c>
      <c r="N955" s="160"/>
      <c r="O955" s="131"/>
      <c r="P955" s="132"/>
      <c r="Q955" s="133"/>
      <c r="R955" s="42"/>
      <c r="S955" s="42"/>
      <c r="T955" s="135"/>
      <c r="U955" s="131"/>
      <c r="V955" s="136"/>
      <c r="W955" s="137"/>
      <c r="X955" s="138">
        <v>4</v>
      </c>
      <c r="Y955" s="42" t="s">
        <v>4925</v>
      </c>
      <c r="Z955" s="135"/>
      <c r="AA955" s="139"/>
      <c r="AB955" s="161"/>
      <c r="AD955" s="36" t="s">
        <v>7584</v>
      </c>
      <c r="AF955" s="36" t="s">
        <v>7590</v>
      </c>
      <c r="AI955" s="36" t="s">
        <v>7591</v>
      </c>
      <c r="AL955" s="36" t="s">
        <v>4472</v>
      </c>
      <c r="AP955" s="37"/>
      <c r="AQ955" s="131"/>
      <c r="AR955" s="132"/>
      <c r="AS955" s="133"/>
      <c r="AT955" s="42"/>
      <c r="AU955" s="135"/>
      <c r="AV955" s="131"/>
      <c r="AW955" s="136"/>
      <c r="AX955" s="137"/>
      <c r="AY955" s="138"/>
      <c r="AZ955" s="42"/>
      <c r="BA955" s="135"/>
      <c r="BB955" s="139"/>
      <c r="BG955" s="36" t="s">
        <v>7592</v>
      </c>
    </row>
    <row r="956" spans="1:59" ht="15" customHeight="1">
      <c r="A956" s="41" t="s">
        <v>7489</v>
      </c>
      <c r="B956" s="36" t="s">
        <v>7593</v>
      </c>
      <c r="C956" s="36" t="s">
        <v>7491</v>
      </c>
      <c r="D956" s="37">
        <v>326</v>
      </c>
      <c r="E956" s="36">
        <v>1</v>
      </c>
      <c r="F956" s="36" t="s">
        <v>7538</v>
      </c>
      <c r="G956" s="36" t="s">
        <v>7589</v>
      </c>
      <c r="J956" s="36" t="s">
        <v>31</v>
      </c>
      <c r="K956" s="36" t="s">
        <v>6280</v>
      </c>
      <c r="N956" s="160"/>
      <c r="O956" s="131"/>
      <c r="P956" s="132"/>
      <c r="Q956" s="133"/>
      <c r="R956" s="42"/>
      <c r="S956" s="42"/>
      <c r="T956" s="135"/>
      <c r="U956" s="131"/>
      <c r="V956" s="136"/>
      <c r="W956" s="137"/>
      <c r="X956" s="138">
        <v>4</v>
      </c>
      <c r="Y956" s="42" t="s">
        <v>4925</v>
      </c>
      <c r="Z956" s="135"/>
      <c r="AA956" s="139"/>
      <c r="AB956" s="161"/>
      <c r="AD956" s="36" t="s">
        <v>7584</v>
      </c>
      <c r="AF956" s="36" t="s">
        <v>7590</v>
      </c>
      <c r="AI956" s="36" t="s">
        <v>7594</v>
      </c>
      <c r="AL956" s="36" t="s">
        <v>4472</v>
      </c>
      <c r="AP956" s="37"/>
      <c r="AQ956" s="131"/>
      <c r="AR956" s="132"/>
      <c r="AS956" s="133"/>
      <c r="AT956" s="42"/>
      <c r="AU956" s="135"/>
      <c r="AV956" s="131"/>
      <c r="AW956" s="136"/>
      <c r="AX956" s="137"/>
      <c r="AY956" s="138"/>
      <c r="AZ956" s="42"/>
      <c r="BA956" s="135"/>
      <c r="BB956" s="139"/>
      <c r="BG956" s="36" t="s">
        <v>7595</v>
      </c>
    </row>
    <row r="957" spans="1:59" ht="15" customHeight="1">
      <c r="A957" s="41" t="s">
        <v>7489</v>
      </c>
      <c r="B957" s="36" t="s">
        <v>7596</v>
      </c>
      <c r="C957" s="36" t="s">
        <v>7491</v>
      </c>
      <c r="D957" s="37">
        <v>327</v>
      </c>
      <c r="E957" s="36">
        <v>1</v>
      </c>
      <c r="F957" s="36" t="s">
        <v>7538</v>
      </c>
      <c r="G957" s="36" t="s">
        <v>7597</v>
      </c>
      <c r="J957" s="36" t="s">
        <v>31</v>
      </c>
      <c r="K957" s="36" t="s">
        <v>6280</v>
      </c>
      <c r="N957" s="160"/>
      <c r="O957" s="131"/>
      <c r="P957" s="132"/>
      <c r="Q957" s="133"/>
      <c r="R957" s="42"/>
      <c r="S957" s="42"/>
      <c r="T957" s="135"/>
      <c r="U957" s="131"/>
      <c r="V957" s="136"/>
      <c r="W957" s="137"/>
      <c r="X957" s="138">
        <v>2</v>
      </c>
      <c r="Y957" s="42" t="s">
        <v>4925</v>
      </c>
      <c r="Z957" s="135"/>
      <c r="AA957" s="139"/>
      <c r="AB957" s="161"/>
      <c r="AD957" s="36" t="s">
        <v>7584</v>
      </c>
      <c r="AF957" s="36" t="s">
        <v>7598</v>
      </c>
      <c r="AI957" s="36" t="s">
        <v>7599</v>
      </c>
      <c r="AL957" s="36" t="s">
        <v>4472</v>
      </c>
      <c r="AP957" s="37"/>
      <c r="AQ957" s="131"/>
      <c r="AR957" s="132"/>
      <c r="AS957" s="133"/>
      <c r="AT957" s="42"/>
      <c r="AU957" s="135"/>
      <c r="AV957" s="131"/>
      <c r="AW957" s="136"/>
      <c r="AX957" s="137"/>
      <c r="AY957" s="138"/>
      <c r="AZ957" s="42"/>
      <c r="BA957" s="135"/>
      <c r="BB957" s="139"/>
      <c r="BG957" s="36" t="s">
        <v>7600</v>
      </c>
    </row>
    <row r="958" spans="1:59" ht="15" customHeight="1">
      <c r="A958" s="41" t="s">
        <v>7489</v>
      </c>
      <c r="B958" s="36" t="s">
        <v>7601</v>
      </c>
      <c r="C958" s="36" t="s">
        <v>7491</v>
      </c>
      <c r="D958" s="37">
        <v>327</v>
      </c>
      <c r="E958" s="36">
        <v>1</v>
      </c>
      <c r="F958" s="36" t="s">
        <v>7538</v>
      </c>
      <c r="G958" s="36" t="s">
        <v>7597</v>
      </c>
      <c r="J958" s="36" t="s">
        <v>31</v>
      </c>
      <c r="K958" s="36" t="s">
        <v>6280</v>
      </c>
      <c r="N958" s="160"/>
      <c r="O958" s="131"/>
      <c r="P958" s="132"/>
      <c r="Q958" s="133"/>
      <c r="R958" s="42"/>
      <c r="S958" s="42"/>
      <c r="T958" s="135"/>
      <c r="U958" s="131"/>
      <c r="V958" s="136"/>
      <c r="W958" s="137"/>
      <c r="X958" s="138">
        <v>2</v>
      </c>
      <c r="Y958" s="42" t="s">
        <v>4925</v>
      </c>
      <c r="Z958" s="135"/>
      <c r="AA958" s="139"/>
      <c r="AB958" s="161"/>
      <c r="AD958" s="36" t="s">
        <v>7584</v>
      </c>
      <c r="AF958" s="36" t="s">
        <v>7598</v>
      </c>
      <c r="AI958" s="36" t="s">
        <v>7602</v>
      </c>
      <c r="AL958" s="36" t="s">
        <v>4472</v>
      </c>
      <c r="AP958" s="37"/>
      <c r="AQ958" s="131"/>
      <c r="AR958" s="132"/>
      <c r="AS958" s="133"/>
      <c r="AT958" s="42"/>
      <c r="AU958" s="135"/>
      <c r="AV958" s="131"/>
      <c r="AW958" s="136"/>
      <c r="AX958" s="137"/>
      <c r="AY958" s="138"/>
      <c r="AZ958" s="42"/>
      <c r="BA958" s="135"/>
      <c r="BB958" s="139"/>
      <c r="BG958" s="36" t="s">
        <v>7603</v>
      </c>
    </row>
    <row r="959" spans="1:59" ht="15" customHeight="1">
      <c r="A959" s="41" t="s">
        <v>7489</v>
      </c>
      <c r="B959" s="36" t="s">
        <v>7604</v>
      </c>
      <c r="C959" s="36" t="s">
        <v>7491</v>
      </c>
      <c r="D959" s="37">
        <v>327</v>
      </c>
      <c r="E959" s="36">
        <v>1</v>
      </c>
      <c r="F959" s="36" t="s">
        <v>7538</v>
      </c>
      <c r="G959" s="36" t="s">
        <v>7597</v>
      </c>
      <c r="J959" s="36" t="s">
        <v>31</v>
      </c>
      <c r="K959" s="36" t="s">
        <v>6280</v>
      </c>
      <c r="N959" s="160"/>
      <c r="O959" s="131"/>
      <c r="P959" s="132"/>
      <c r="Q959" s="133"/>
      <c r="R959" s="42"/>
      <c r="S959" s="42"/>
      <c r="T959" s="135"/>
      <c r="U959" s="131"/>
      <c r="V959" s="136"/>
      <c r="W959" s="137"/>
      <c r="X959" s="138">
        <v>2</v>
      </c>
      <c r="Y959" s="42" t="s">
        <v>4925</v>
      </c>
      <c r="Z959" s="135"/>
      <c r="AA959" s="139"/>
      <c r="AB959" s="161"/>
      <c r="AD959" s="36" t="s">
        <v>7584</v>
      </c>
      <c r="AF959" s="36" t="s">
        <v>7598</v>
      </c>
      <c r="AI959" s="36" t="s">
        <v>7605</v>
      </c>
      <c r="AL959" s="36" t="s">
        <v>4472</v>
      </c>
      <c r="AP959" s="37"/>
      <c r="AQ959" s="131"/>
      <c r="AR959" s="132"/>
      <c r="AS959" s="133"/>
      <c r="AT959" s="42"/>
      <c r="AU959" s="135"/>
      <c r="AV959" s="131"/>
      <c r="AW959" s="136"/>
      <c r="AX959" s="137"/>
      <c r="AY959" s="138"/>
      <c r="AZ959" s="42"/>
      <c r="BA959" s="135"/>
      <c r="BB959" s="139"/>
      <c r="BG959" s="36" t="s">
        <v>7606</v>
      </c>
    </row>
    <row r="960" spans="1:59" ht="15" customHeight="1">
      <c r="A960" s="41" t="s">
        <v>7489</v>
      </c>
      <c r="B960" s="36" t="s">
        <v>7607</v>
      </c>
      <c r="C960" s="36" t="s">
        <v>7491</v>
      </c>
      <c r="D960" s="37">
        <v>328</v>
      </c>
      <c r="E960" s="36">
        <v>1</v>
      </c>
      <c r="F960" s="36" t="s">
        <v>7538</v>
      </c>
      <c r="G960" s="36" t="s">
        <v>7608</v>
      </c>
      <c r="J960" s="36" t="s">
        <v>31</v>
      </c>
      <c r="K960" s="36" t="s">
        <v>6280</v>
      </c>
      <c r="N960" s="160"/>
      <c r="O960" s="131"/>
      <c r="P960" s="132"/>
      <c r="Q960" s="133"/>
      <c r="R960" s="42"/>
      <c r="S960" s="42"/>
      <c r="T960" s="135"/>
      <c r="U960" s="131"/>
      <c r="V960" s="136"/>
      <c r="W960" s="137"/>
      <c r="X960" s="138">
        <v>2</v>
      </c>
      <c r="Y960" s="42" t="s">
        <v>4925</v>
      </c>
      <c r="Z960" s="135"/>
      <c r="AA960" s="139"/>
      <c r="AB960" s="161"/>
      <c r="AD960" s="36" t="s">
        <v>7584</v>
      </c>
      <c r="AF960" s="36" t="s">
        <v>7609</v>
      </c>
      <c r="AI960" s="36" t="s">
        <v>7610</v>
      </c>
      <c r="AL960" s="36" t="s">
        <v>4472</v>
      </c>
      <c r="AP960" s="37"/>
      <c r="AQ960" s="131"/>
      <c r="AR960" s="132"/>
      <c r="AS960" s="133"/>
      <c r="AT960" s="42"/>
      <c r="AU960" s="135"/>
      <c r="AV960" s="131"/>
      <c r="AW960" s="136"/>
      <c r="AX960" s="137"/>
      <c r="AY960" s="138"/>
      <c r="AZ960" s="42"/>
      <c r="BA960" s="135"/>
      <c r="BB960" s="139"/>
      <c r="BG960" s="36" t="s">
        <v>7611</v>
      </c>
    </row>
    <row r="961" spans="1:59" ht="15" customHeight="1">
      <c r="A961" s="41" t="s">
        <v>7489</v>
      </c>
      <c r="B961" s="36" t="s">
        <v>7612</v>
      </c>
      <c r="C961" s="36" t="s">
        <v>7491</v>
      </c>
      <c r="D961" s="37">
        <v>328</v>
      </c>
      <c r="E961" s="36">
        <v>1</v>
      </c>
      <c r="F961" s="36" t="s">
        <v>7538</v>
      </c>
      <c r="G961" s="36" t="s">
        <v>7608</v>
      </c>
      <c r="J961" s="36" t="s">
        <v>31</v>
      </c>
      <c r="K961" s="36" t="s">
        <v>6280</v>
      </c>
      <c r="N961" s="160"/>
      <c r="O961" s="131"/>
      <c r="P961" s="132"/>
      <c r="Q961" s="133"/>
      <c r="R961" s="42"/>
      <c r="S961" s="42"/>
      <c r="T961" s="135"/>
      <c r="U961" s="131"/>
      <c r="V961" s="136"/>
      <c r="W961" s="137"/>
      <c r="X961" s="138">
        <v>2</v>
      </c>
      <c r="Y961" s="42" t="s">
        <v>4925</v>
      </c>
      <c r="Z961" s="135"/>
      <c r="AA961" s="139"/>
      <c r="AB961" s="161"/>
      <c r="AD961" s="36" t="s">
        <v>7584</v>
      </c>
      <c r="AF961" s="36" t="s">
        <v>7609</v>
      </c>
      <c r="AI961" s="36" t="s">
        <v>7613</v>
      </c>
      <c r="AL961" s="36" t="s">
        <v>4472</v>
      </c>
      <c r="AP961" s="37"/>
      <c r="AQ961" s="131"/>
      <c r="AR961" s="132"/>
      <c r="AS961" s="133"/>
      <c r="AT961" s="42"/>
      <c r="AU961" s="135"/>
      <c r="AV961" s="131"/>
      <c r="AW961" s="136"/>
      <c r="AX961" s="137"/>
      <c r="AY961" s="138"/>
      <c r="AZ961" s="42"/>
      <c r="BA961" s="135"/>
      <c r="BB961" s="139"/>
      <c r="BG961" s="36" t="s">
        <v>7614</v>
      </c>
    </row>
    <row r="962" spans="1:59" ht="15" customHeight="1">
      <c r="A962" s="41" t="s">
        <v>7489</v>
      </c>
      <c r="B962" s="36" t="s">
        <v>7615</v>
      </c>
      <c r="C962" s="36" t="s">
        <v>7491</v>
      </c>
      <c r="D962" s="37">
        <v>328</v>
      </c>
      <c r="E962" s="36">
        <v>1</v>
      </c>
      <c r="F962" s="36" t="s">
        <v>7538</v>
      </c>
      <c r="G962" s="36" t="s">
        <v>7608</v>
      </c>
      <c r="J962" s="36" t="s">
        <v>31</v>
      </c>
      <c r="K962" s="36" t="s">
        <v>6280</v>
      </c>
      <c r="N962" s="160"/>
      <c r="O962" s="131"/>
      <c r="P962" s="132"/>
      <c r="Q962" s="133"/>
      <c r="R962" s="42"/>
      <c r="S962" s="42"/>
      <c r="T962" s="135"/>
      <c r="U962" s="131"/>
      <c r="V962" s="136"/>
      <c r="W962" s="137"/>
      <c r="X962" s="138">
        <v>2</v>
      </c>
      <c r="Y962" s="42" t="s">
        <v>4925</v>
      </c>
      <c r="Z962" s="135"/>
      <c r="AA962" s="139"/>
      <c r="AB962" s="161"/>
      <c r="AD962" s="36" t="s">
        <v>7584</v>
      </c>
      <c r="AF962" s="36" t="s">
        <v>7609</v>
      </c>
      <c r="AI962" s="36" t="s">
        <v>7616</v>
      </c>
      <c r="AL962" s="36" t="s">
        <v>4472</v>
      </c>
      <c r="AP962" s="37"/>
      <c r="AQ962" s="131"/>
      <c r="AR962" s="132"/>
      <c r="AS962" s="133"/>
      <c r="AT962" s="42"/>
      <c r="AU962" s="135"/>
      <c r="AV962" s="131"/>
      <c r="AW962" s="136"/>
      <c r="AX962" s="137"/>
      <c r="AY962" s="138"/>
      <c r="AZ962" s="42"/>
      <c r="BA962" s="135"/>
      <c r="BB962" s="139"/>
      <c r="BG962" s="36" t="s">
        <v>7617</v>
      </c>
    </row>
    <row r="963" spans="1:59" ht="15" customHeight="1">
      <c r="A963" s="41" t="s">
        <v>7489</v>
      </c>
      <c r="B963" s="36" t="s">
        <v>7618</v>
      </c>
      <c r="C963" s="36" t="s">
        <v>7491</v>
      </c>
      <c r="D963" s="37">
        <v>329</v>
      </c>
      <c r="E963" s="36">
        <v>1</v>
      </c>
      <c r="F963" s="36" t="s">
        <v>7538</v>
      </c>
      <c r="G963" s="36" t="s">
        <v>7619</v>
      </c>
      <c r="J963" s="36" t="s">
        <v>31</v>
      </c>
      <c r="K963" s="36" t="s">
        <v>6280</v>
      </c>
      <c r="N963" s="160"/>
      <c r="O963" s="131"/>
      <c r="P963" s="132"/>
      <c r="Q963" s="133"/>
      <c r="R963" s="42"/>
      <c r="S963" s="42"/>
      <c r="T963" s="135"/>
      <c r="U963" s="131"/>
      <c r="V963" s="136"/>
      <c r="W963" s="137"/>
      <c r="X963" s="138">
        <v>4</v>
      </c>
      <c r="Y963" s="42" t="s">
        <v>4925</v>
      </c>
      <c r="Z963" s="135"/>
      <c r="AA963" s="139"/>
      <c r="AB963" s="161"/>
      <c r="AD963" s="36" t="s">
        <v>7584</v>
      </c>
      <c r="AF963" s="36" t="s">
        <v>7620</v>
      </c>
      <c r="AI963" s="36" t="s">
        <v>7621</v>
      </c>
      <c r="AL963" s="36" t="s">
        <v>4472</v>
      </c>
      <c r="AP963" s="37"/>
      <c r="AQ963" s="131"/>
      <c r="AR963" s="132"/>
      <c r="AS963" s="133"/>
      <c r="AT963" s="42"/>
      <c r="AU963" s="135"/>
      <c r="AV963" s="131"/>
      <c r="AW963" s="136"/>
      <c r="AX963" s="137"/>
      <c r="AY963" s="138"/>
      <c r="AZ963" s="42"/>
      <c r="BA963" s="135"/>
      <c r="BB963" s="139"/>
      <c r="BG963" s="36" t="s">
        <v>7622</v>
      </c>
    </row>
    <row r="964" spans="1:59" ht="15" customHeight="1">
      <c r="A964" s="41" t="s">
        <v>7489</v>
      </c>
      <c r="B964" s="36" t="s">
        <v>7623</v>
      </c>
      <c r="C964" s="36" t="s">
        <v>7491</v>
      </c>
      <c r="D964" s="37">
        <v>329</v>
      </c>
      <c r="E964" s="36">
        <v>1</v>
      </c>
      <c r="F964" s="36" t="s">
        <v>7538</v>
      </c>
      <c r="G964" s="36" t="s">
        <v>7619</v>
      </c>
      <c r="J964" s="36" t="s">
        <v>31</v>
      </c>
      <c r="K964" s="36" t="s">
        <v>6280</v>
      </c>
      <c r="N964" s="160"/>
      <c r="O964" s="131"/>
      <c r="P964" s="132"/>
      <c r="Q964" s="133"/>
      <c r="R964" s="42"/>
      <c r="S964" s="42"/>
      <c r="T964" s="135"/>
      <c r="U964" s="131"/>
      <c r="V964" s="136"/>
      <c r="W964" s="137"/>
      <c r="X964" s="138">
        <v>4</v>
      </c>
      <c r="Y964" s="42" t="s">
        <v>4925</v>
      </c>
      <c r="Z964" s="135"/>
      <c r="AA964" s="139"/>
      <c r="AB964" s="161"/>
      <c r="AD964" s="36" t="s">
        <v>7584</v>
      </c>
      <c r="AF964" s="36" t="s">
        <v>7620</v>
      </c>
      <c r="AI964" s="36" t="s">
        <v>7624</v>
      </c>
      <c r="AL964" s="36" t="s">
        <v>4472</v>
      </c>
      <c r="AP964" s="37"/>
      <c r="AQ964" s="131"/>
      <c r="AR964" s="132"/>
      <c r="AS964" s="133"/>
      <c r="AT964" s="42"/>
      <c r="AU964" s="135"/>
      <c r="AV964" s="131"/>
      <c r="AW964" s="136"/>
      <c r="AX964" s="137"/>
      <c r="AY964" s="138"/>
      <c r="AZ964" s="42"/>
      <c r="BA964" s="135"/>
      <c r="BB964" s="139"/>
      <c r="BG964" s="36" t="s">
        <v>7586</v>
      </c>
    </row>
    <row r="965" spans="1:59" ht="15" customHeight="1">
      <c r="A965" s="41" t="s">
        <v>7489</v>
      </c>
      <c r="B965" s="36" t="s">
        <v>7625</v>
      </c>
      <c r="C965" s="36" t="s">
        <v>7491</v>
      </c>
      <c r="D965" s="37">
        <v>330</v>
      </c>
      <c r="E965" s="36">
        <v>1</v>
      </c>
      <c r="F965" s="36" t="s">
        <v>7538</v>
      </c>
      <c r="G965" s="36" t="s">
        <v>7626</v>
      </c>
      <c r="J965" s="36" t="s">
        <v>31</v>
      </c>
      <c r="K965" s="36" t="s">
        <v>6280</v>
      </c>
      <c r="N965" s="160"/>
      <c r="O965" s="131"/>
      <c r="P965" s="132"/>
      <c r="Q965" s="133"/>
      <c r="R965" s="42"/>
      <c r="S965" s="42"/>
      <c r="T965" s="135"/>
      <c r="U965" s="131"/>
      <c r="V965" s="136"/>
      <c r="W965" s="137"/>
      <c r="X965" s="138">
        <v>3</v>
      </c>
      <c r="Y965" s="42" t="s">
        <v>5551</v>
      </c>
      <c r="Z965" s="135"/>
      <c r="AA965" s="139"/>
      <c r="AB965" s="161"/>
      <c r="AD965" s="36" t="s">
        <v>7584</v>
      </c>
      <c r="AI965" s="36" t="s">
        <v>7627</v>
      </c>
      <c r="AL965" s="36" t="s">
        <v>4472</v>
      </c>
      <c r="AP965" s="37"/>
      <c r="AQ965" s="131"/>
      <c r="AR965" s="132"/>
      <c r="AS965" s="133"/>
      <c r="AT965" s="42"/>
      <c r="AU965" s="135"/>
      <c r="AV965" s="131"/>
      <c r="AW965" s="136"/>
      <c r="AX965" s="137"/>
      <c r="AY965" s="138"/>
      <c r="AZ965" s="42"/>
      <c r="BA965" s="135"/>
      <c r="BB965" s="139"/>
      <c r="BG965" s="36" t="s">
        <v>7628</v>
      </c>
    </row>
    <row r="966" spans="1:59" ht="15" customHeight="1">
      <c r="A966" s="41" t="s">
        <v>7489</v>
      </c>
      <c r="B966" s="36" t="s">
        <v>7629</v>
      </c>
      <c r="C966" s="36" t="s">
        <v>7491</v>
      </c>
      <c r="D966" s="37">
        <v>331</v>
      </c>
      <c r="E966" s="36">
        <v>1</v>
      </c>
      <c r="F966" s="36" t="s">
        <v>7538</v>
      </c>
      <c r="G966" s="36" t="s">
        <v>7630</v>
      </c>
      <c r="J966" s="36" t="s">
        <v>31</v>
      </c>
      <c r="K966" s="36" t="s">
        <v>6280</v>
      </c>
      <c r="N966" s="160"/>
      <c r="O966" s="131"/>
      <c r="P966" s="132"/>
      <c r="Q966" s="133"/>
      <c r="R966" s="42"/>
      <c r="S966" s="42"/>
      <c r="T966" s="135"/>
      <c r="U966" s="131"/>
      <c r="V966" s="136"/>
      <c r="W966" s="137"/>
      <c r="X966" s="138">
        <v>2</v>
      </c>
      <c r="Y966" s="42" t="s">
        <v>5550</v>
      </c>
      <c r="Z966" s="135"/>
      <c r="AA966" s="139"/>
      <c r="AB966" s="161"/>
      <c r="AD966" s="36" t="s">
        <v>7584</v>
      </c>
      <c r="AF966" s="36" t="s">
        <v>7631</v>
      </c>
      <c r="AI966" s="36" t="s">
        <v>7632</v>
      </c>
      <c r="AL966" s="36" t="s">
        <v>4472</v>
      </c>
      <c r="AP966" s="37"/>
      <c r="AQ966" s="131"/>
      <c r="AR966" s="132"/>
      <c r="AS966" s="133"/>
      <c r="AT966" s="42"/>
      <c r="AU966" s="135"/>
      <c r="AV966" s="131"/>
      <c r="AW966" s="136"/>
      <c r="AX966" s="137"/>
      <c r="AY966" s="138"/>
      <c r="AZ966" s="42"/>
      <c r="BA966" s="135"/>
      <c r="BB966" s="139"/>
      <c r="BG966" s="36" t="s">
        <v>7633</v>
      </c>
    </row>
    <row r="967" spans="1:59" ht="15" customHeight="1">
      <c r="A967" s="41" t="s">
        <v>7489</v>
      </c>
      <c r="B967" s="36" t="s">
        <v>7634</v>
      </c>
      <c r="C967" s="36" t="s">
        <v>7491</v>
      </c>
      <c r="D967" s="37">
        <v>332</v>
      </c>
      <c r="E967" s="36">
        <v>1</v>
      </c>
      <c r="F967" s="36" t="s">
        <v>7538</v>
      </c>
      <c r="G967" s="36" t="s">
        <v>7635</v>
      </c>
      <c r="H967" s="36" t="s">
        <v>6409</v>
      </c>
      <c r="I967" s="36" t="s">
        <v>4077</v>
      </c>
      <c r="J967" s="36" t="s">
        <v>29</v>
      </c>
      <c r="K967" s="36" t="s">
        <v>6280</v>
      </c>
      <c r="N967" s="160"/>
      <c r="O967" s="131"/>
      <c r="P967" s="132"/>
      <c r="Q967" s="133">
        <v>4</v>
      </c>
      <c r="R967" s="42">
        <v>2</v>
      </c>
      <c r="S967" s="42"/>
      <c r="T967" s="135" t="s">
        <v>7636</v>
      </c>
      <c r="U967" s="131"/>
      <c r="V967" s="136"/>
      <c r="W967" s="137">
        <v>2</v>
      </c>
      <c r="X967" s="138"/>
      <c r="Y967" s="42"/>
      <c r="Z967" s="135"/>
      <c r="AA967" s="139"/>
      <c r="AB967" s="161"/>
      <c r="AD967" s="36" t="s">
        <v>4676</v>
      </c>
      <c r="AF967" s="36" t="s">
        <v>7637</v>
      </c>
      <c r="AP967" s="37"/>
      <c r="AQ967" s="131"/>
      <c r="AR967" s="132"/>
      <c r="AS967" s="133"/>
      <c r="AT967" s="42"/>
      <c r="AU967" s="135"/>
      <c r="AV967" s="131"/>
      <c r="AW967" s="136"/>
      <c r="AX967" s="137"/>
      <c r="AY967" s="138"/>
      <c r="AZ967" s="42"/>
      <c r="BA967" s="135"/>
      <c r="BB967" s="139"/>
    </row>
    <row r="968" spans="1:59" ht="15" customHeight="1">
      <c r="A968" s="41" t="s">
        <v>7489</v>
      </c>
      <c r="B968" s="36" t="s">
        <v>7638</v>
      </c>
      <c r="C968" s="36" t="s">
        <v>7491</v>
      </c>
      <c r="D968" s="37">
        <v>333</v>
      </c>
      <c r="E968" s="36">
        <v>1</v>
      </c>
      <c r="F968" s="36" t="s">
        <v>7538</v>
      </c>
      <c r="G968" s="36" t="s">
        <v>7635</v>
      </c>
      <c r="H968" s="36" t="s">
        <v>7639</v>
      </c>
      <c r="I968" s="36" t="s">
        <v>4077</v>
      </c>
      <c r="J968" s="36" t="s">
        <v>29</v>
      </c>
      <c r="K968" s="36" t="s">
        <v>6280</v>
      </c>
      <c r="N968" s="160"/>
      <c r="O968" s="131"/>
      <c r="P968" s="132"/>
      <c r="Q968" s="133">
        <v>3</v>
      </c>
      <c r="R968" s="42">
        <v>3</v>
      </c>
      <c r="S968" s="42"/>
      <c r="T968" s="135" t="s">
        <v>7640</v>
      </c>
      <c r="U968" s="131"/>
      <c r="V968" s="136"/>
      <c r="W968" s="137">
        <v>2</v>
      </c>
      <c r="X968" s="138"/>
      <c r="Y968" s="42"/>
      <c r="Z968" s="135"/>
      <c r="AA968" s="139"/>
      <c r="AB968" s="161"/>
      <c r="AD968" s="36" t="s">
        <v>4676</v>
      </c>
      <c r="AE968" s="37" t="s">
        <v>7641</v>
      </c>
      <c r="AF968" s="36" t="s">
        <v>7642</v>
      </c>
      <c r="AP968" s="37"/>
      <c r="AQ968" s="131"/>
      <c r="AR968" s="132"/>
      <c r="AS968" s="133"/>
      <c r="AT968" s="42"/>
      <c r="AU968" s="135"/>
      <c r="AV968" s="131"/>
      <c r="AW968" s="136"/>
      <c r="AX968" s="137"/>
      <c r="AY968" s="138"/>
      <c r="AZ968" s="42"/>
      <c r="BA968" s="135"/>
      <c r="BB968" s="139"/>
    </row>
    <row r="969" spans="1:59" ht="15" customHeight="1">
      <c r="A969" s="41" t="s">
        <v>7489</v>
      </c>
      <c r="B969" s="36" t="s">
        <v>7643</v>
      </c>
      <c r="C969" s="36" t="s">
        <v>7491</v>
      </c>
      <c r="D969" s="37">
        <v>334</v>
      </c>
      <c r="E969" s="36">
        <v>1</v>
      </c>
      <c r="F969" s="36" t="s">
        <v>7538</v>
      </c>
      <c r="G969" s="36" t="s">
        <v>7635</v>
      </c>
      <c r="H969" s="36" t="s">
        <v>7644</v>
      </c>
      <c r="I969" s="36" t="s">
        <v>4077</v>
      </c>
      <c r="J969" s="36" t="s">
        <v>29</v>
      </c>
      <c r="K969" s="36" t="s">
        <v>6280</v>
      </c>
      <c r="N969" s="160"/>
      <c r="O969" s="131"/>
      <c r="P969" s="132"/>
      <c r="Q969" s="133">
        <v>3</v>
      </c>
      <c r="R969" s="42">
        <v>2</v>
      </c>
      <c r="S969" s="42"/>
      <c r="T969" s="135" t="s">
        <v>7645</v>
      </c>
      <c r="U969" s="131"/>
      <c r="V969" s="136"/>
      <c r="W969" s="137">
        <v>4</v>
      </c>
      <c r="X969" s="138"/>
      <c r="Y969" s="42"/>
      <c r="Z969" s="135"/>
      <c r="AA969" s="139"/>
      <c r="AB969" s="161"/>
      <c r="AD969" s="36" t="s">
        <v>4676</v>
      </c>
      <c r="AE969" s="37" t="s">
        <v>7646</v>
      </c>
      <c r="AF969" s="36" t="s">
        <v>7642</v>
      </c>
      <c r="AP969" s="37"/>
      <c r="AQ969" s="131"/>
      <c r="AR969" s="132"/>
      <c r="AS969" s="133"/>
      <c r="AT969" s="42"/>
      <c r="AU969" s="135"/>
      <c r="AV969" s="131"/>
      <c r="AW969" s="136"/>
      <c r="AX969" s="137"/>
      <c r="AY969" s="138"/>
      <c r="AZ969" s="42"/>
      <c r="BA969" s="135"/>
      <c r="BB969" s="139"/>
    </row>
    <row r="970" spans="1:59" ht="15" customHeight="1">
      <c r="A970" s="41" t="s">
        <v>7489</v>
      </c>
      <c r="B970" s="36" t="s">
        <v>7647</v>
      </c>
      <c r="C970" s="36" t="s">
        <v>7491</v>
      </c>
      <c r="D970" s="37">
        <v>335</v>
      </c>
      <c r="E970" s="36">
        <v>1</v>
      </c>
      <c r="F970" s="36" t="s">
        <v>7538</v>
      </c>
      <c r="G970" s="36" t="s">
        <v>7648</v>
      </c>
      <c r="J970" s="36" t="s">
        <v>29</v>
      </c>
      <c r="K970" s="36" t="s">
        <v>6280</v>
      </c>
      <c r="N970" s="160"/>
      <c r="O970" s="131"/>
      <c r="P970" s="132"/>
      <c r="Q970" s="133">
        <v>5</v>
      </c>
      <c r="R970" s="42">
        <v>2</v>
      </c>
      <c r="S970" s="42"/>
      <c r="T970" s="135">
        <v>4</v>
      </c>
      <c r="U970" s="131"/>
      <c r="V970" s="136">
        <v>1</v>
      </c>
      <c r="W970" s="137">
        <v>1</v>
      </c>
      <c r="X970" s="138"/>
      <c r="Y970" s="42"/>
      <c r="Z970" s="135"/>
      <c r="AA970" s="139"/>
      <c r="AB970" s="161"/>
      <c r="AD970" s="36" t="s">
        <v>6638</v>
      </c>
      <c r="AE970" s="36" t="s">
        <v>7649</v>
      </c>
      <c r="AF970" s="36" t="s">
        <v>7650</v>
      </c>
      <c r="AP970" s="37"/>
      <c r="AQ970" s="131"/>
      <c r="AR970" s="132"/>
      <c r="AS970" s="133"/>
      <c r="AT970" s="42"/>
      <c r="AU970" s="135"/>
      <c r="AV970" s="131"/>
      <c r="AW970" s="136"/>
      <c r="AX970" s="137"/>
      <c r="AY970" s="138"/>
      <c r="AZ970" s="42"/>
      <c r="BA970" s="135"/>
      <c r="BB970" s="139"/>
    </row>
    <row r="971" spans="1:59" ht="15" customHeight="1">
      <c r="A971" s="41" t="s">
        <v>7489</v>
      </c>
      <c r="B971" s="36" t="s">
        <v>7651</v>
      </c>
      <c r="C971" s="36" t="s">
        <v>7491</v>
      </c>
      <c r="D971" s="37">
        <v>336</v>
      </c>
      <c r="E971" s="36">
        <v>1</v>
      </c>
      <c r="F971" s="36" t="s">
        <v>7538</v>
      </c>
      <c r="G971" s="36" t="s">
        <v>7652</v>
      </c>
      <c r="J971" s="36" t="s">
        <v>29</v>
      </c>
      <c r="K971" s="36" t="s">
        <v>6280</v>
      </c>
      <c r="N971" s="160"/>
      <c r="O971" s="131"/>
      <c r="P971" s="132"/>
      <c r="Q971" s="133">
        <v>3</v>
      </c>
      <c r="R971" s="42">
        <v>4</v>
      </c>
      <c r="S971" s="42"/>
      <c r="T971" s="135">
        <v>3</v>
      </c>
      <c r="U971" s="131"/>
      <c r="V971" s="136">
        <v>3</v>
      </c>
      <c r="W971" s="137">
        <v>1</v>
      </c>
      <c r="X971" s="138"/>
      <c r="Y971" s="42"/>
      <c r="Z971" s="135"/>
      <c r="AA971" s="139"/>
      <c r="AB971" s="161"/>
      <c r="AD971" s="36" t="s">
        <v>4690</v>
      </c>
      <c r="AE971" s="37" t="s">
        <v>7653</v>
      </c>
      <c r="AF971" s="36" t="s">
        <v>7654</v>
      </c>
      <c r="AP971" s="37"/>
      <c r="AQ971" s="131"/>
      <c r="AR971" s="132"/>
      <c r="AS971" s="133"/>
      <c r="AT971" s="42"/>
      <c r="AU971" s="135"/>
      <c r="AV971" s="131"/>
      <c r="AW971" s="136"/>
      <c r="AX971" s="137"/>
      <c r="AY971" s="138"/>
      <c r="AZ971" s="42"/>
      <c r="BA971" s="135"/>
      <c r="BB971" s="139"/>
    </row>
    <row r="972" spans="1:59" ht="15" customHeight="1">
      <c r="A972" s="41" t="s">
        <v>7489</v>
      </c>
      <c r="B972" s="36" t="s">
        <v>7655</v>
      </c>
      <c r="C972" s="36" t="s">
        <v>7491</v>
      </c>
      <c r="D972" s="37">
        <v>337</v>
      </c>
      <c r="E972" s="36">
        <v>3</v>
      </c>
      <c r="F972" s="36" t="s">
        <v>7538</v>
      </c>
      <c r="G972" s="36" t="s">
        <v>7656</v>
      </c>
      <c r="J972" s="36" t="s">
        <v>28</v>
      </c>
      <c r="K972" s="36" t="s">
        <v>6280</v>
      </c>
      <c r="N972" s="160"/>
      <c r="O972" s="131"/>
      <c r="P972" s="132"/>
      <c r="Q972" s="133"/>
      <c r="R972" s="42"/>
      <c r="S972" s="42"/>
      <c r="T972" s="135"/>
      <c r="U972" s="131"/>
      <c r="V972" s="136"/>
      <c r="W972" s="137"/>
      <c r="X972" s="138"/>
      <c r="Y972" s="42"/>
      <c r="Z972" s="135"/>
      <c r="AA972" s="139"/>
      <c r="AB972" s="161"/>
      <c r="AD972" s="36" t="s">
        <v>7657</v>
      </c>
      <c r="AF972" s="36" t="s">
        <v>7658</v>
      </c>
      <c r="AP972" s="37"/>
      <c r="AQ972" s="131"/>
      <c r="AR972" s="132"/>
      <c r="AS972" s="133"/>
      <c r="AT972" s="42"/>
      <c r="AU972" s="135"/>
      <c r="AV972" s="131"/>
      <c r="AW972" s="136"/>
      <c r="AX972" s="137"/>
      <c r="AY972" s="138"/>
      <c r="AZ972" s="42"/>
      <c r="BA972" s="135"/>
      <c r="BB972" s="139"/>
    </row>
    <row r="973" spans="1:59" ht="15" customHeight="1">
      <c r="A973" s="41" t="s">
        <v>7489</v>
      </c>
      <c r="B973" s="36" t="s">
        <v>7659</v>
      </c>
      <c r="C973" s="36" t="s">
        <v>7491</v>
      </c>
      <c r="D973" s="37">
        <v>338</v>
      </c>
      <c r="E973" s="36">
        <v>2</v>
      </c>
      <c r="F973" s="36" t="s">
        <v>7538</v>
      </c>
      <c r="G973" s="36" t="s">
        <v>7660</v>
      </c>
      <c r="J973" s="36" t="s">
        <v>28</v>
      </c>
      <c r="K973" s="36" t="s">
        <v>6280</v>
      </c>
      <c r="N973" s="160"/>
      <c r="O973" s="131"/>
      <c r="P973" s="132"/>
      <c r="Q973" s="133"/>
      <c r="R973" s="42"/>
      <c r="S973" s="42"/>
      <c r="T973" s="135"/>
      <c r="U973" s="131"/>
      <c r="V973" s="136"/>
      <c r="W973" s="137"/>
      <c r="X973" s="138"/>
      <c r="Y973" s="42"/>
      <c r="Z973" s="135"/>
      <c r="AA973" s="139"/>
      <c r="AB973" s="161"/>
      <c r="AD973" s="36" t="s">
        <v>4335</v>
      </c>
      <c r="AF973" s="36" t="s">
        <v>7661</v>
      </c>
      <c r="AP973" s="37"/>
      <c r="AQ973" s="131"/>
      <c r="AR973" s="132"/>
      <c r="AS973" s="133"/>
      <c r="AT973" s="42"/>
      <c r="AU973" s="135"/>
      <c r="AV973" s="131"/>
      <c r="AW973" s="136"/>
      <c r="AX973" s="137"/>
      <c r="AY973" s="138"/>
      <c r="AZ973" s="42"/>
      <c r="BA973" s="135"/>
      <c r="BB973" s="139"/>
    </row>
    <row r="974" spans="1:59" ht="15" customHeight="1">
      <c r="A974" s="41" t="s">
        <v>7489</v>
      </c>
      <c r="B974" s="36" t="s">
        <v>7662</v>
      </c>
      <c r="C974" s="36" t="s">
        <v>7491</v>
      </c>
      <c r="D974" s="37">
        <v>339</v>
      </c>
      <c r="E974" s="36">
        <v>1</v>
      </c>
      <c r="F974" s="36" t="s">
        <v>7538</v>
      </c>
      <c r="G974" s="36" t="s">
        <v>7663</v>
      </c>
      <c r="J974" s="36" t="s">
        <v>28</v>
      </c>
      <c r="K974" s="36" t="s">
        <v>6280</v>
      </c>
      <c r="N974" s="160"/>
      <c r="O974" s="131"/>
      <c r="P974" s="132"/>
      <c r="Q974" s="133"/>
      <c r="R974" s="42"/>
      <c r="S974" s="42"/>
      <c r="T974" s="135"/>
      <c r="U974" s="131"/>
      <c r="V974" s="136"/>
      <c r="W974" s="137"/>
      <c r="X974" s="138"/>
      <c r="Y974" s="42"/>
      <c r="Z974" s="135"/>
      <c r="AA974" s="139"/>
      <c r="AB974" s="161"/>
      <c r="AD974" s="36" t="s">
        <v>4335</v>
      </c>
      <c r="AE974" s="37" t="s">
        <v>34</v>
      </c>
      <c r="AF974" s="36" t="s">
        <v>7664</v>
      </c>
      <c r="AP974" s="37"/>
      <c r="AQ974" s="131"/>
      <c r="AR974" s="132"/>
      <c r="AS974" s="133"/>
      <c r="AT974" s="42"/>
      <c r="AU974" s="135"/>
      <c r="AV974" s="131"/>
      <c r="AW974" s="136"/>
      <c r="AX974" s="137"/>
      <c r="AY974" s="138"/>
      <c r="AZ974" s="42"/>
      <c r="BA974" s="135"/>
      <c r="BB974" s="139"/>
    </row>
    <row r="975" spans="1:59" ht="15" customHeight="1">
      <c r="A975" s="41" t="s">
        <v>7489</v>
      </c>
      <c r="B975" s="36" t="s">
        <v>7665</v>
      </c>
      <c r="C975" s="36" t="s">
        <v>7491</v>
      </c>
      <c r="D975" s="37">
        <v>340</v>
      </c>
      <c r="E975" s="36">
        <v>1</v>
      </c>
      <c r="F975" s="36" t="s">
        <v>7538</v>
      </c>
      <c r="G975" s="36" t="s">
        <v>7666</v>
      </c>
      <c r="J975" s="36" t="s">
        <v>28</v>
      </c>
      <c r="K975" s="36" t="s">
        <v>6280</v>
      </c>
      <c r="N975" s="160"/>
      <c r="O975" s="131"/>
      <c r="P975" s="132"/>
      <c r="Q975" s="133"/>
      <c r="R975" s="42"/>
      <c r="S975" s="42"/>
      <c r="T975" s="135"/>
      <c r="U975" s="131"/>
      <c r="V975" s="136"/>
      <c r="W975" s="137"/>
      <c r="X975" s="138"/>
      <c r="Y975" s="42"/>
      <c r="Z975" s="135"/>
      <c r="AA975" s="139"/>
      <c r="AB975" s="161"/>
      <c r="AD975" s="36" t="s">
        <v>5536</v>
      </c>
      <c r="AE975" s="37" t="s">
        <v>7667</v>
      </c>
      <c r="AF975" s="36" t="s">
        <v>7668</v>
      </c>
      <c r="AP975" s="37"/>
      <c r="AQ975" s="131"/>
      <c r="AR975" s="132"/>
      <c r="AS975" s="133"/>
      <c r="AT975" s="42"/>
      <c r="AU975" s="135"/>
      <c r="AV975" s="131"/>
      <c r="AW975" s="136"/>
      <c r="AX975" s="137"/>
      <c r="AY975" s="138"/>
      <c r="AZ975" s="42"/>
      <c r="BA975" s="135"/>
      <c r="BB975" s="139"/>
    </row>
    <row r="976" spans="1:59" ht="15" customHeight="1">
      <c r="A976" s="41" t="s">
        <v>7489</v>
      </c>
      <c r="B976" s="36" t="s">
        <v>7669</v>
      </c>
      <c r="C976" s="36" t="s">
        <v>7491</v>
      </c>
      <c r="D976" s="37">
        <v>341</v>
      </c>
      <c r="E976" s="36">
        <v>1</v>
      </c>
      <c r="F976" s="36" t="s">
        <v>7538</v>
      </c>
      <c r="G976" s="36" t="s">
        <v>7670</v>
      </c>
      <c r="J976" s="36" t="s">
        <v>28</v>
      </c>
      <c r="K976" s="36" t="s">
        <v>6280</v>
      </c>
      <c r="N976" s="160"/>
      <c r="O976" s="131"/>
      <c r="P976" s="132"/>
      <c r="Q976" s="133"/>
      <c r="R976" s="42"/>
      <c r="S976" s="42"/>
      <c r="T976" s="135"/>
      <c r="U976" s="131"/>
      <c r="V976" s="136"/>
      <c r="W976" s="137"/>
      <c r="X976" s="138"/>
      <c r="Y976" s="42"/>
      <c r="Z976" s="135"/>
      <c r="AA976" s="139"/>
      <c r="AB976" s="161"/>
      <c r="AD976" s="36" t="s">
        <v>5536</v>
      </c>
      <c r="AE976" s="37" t="s">
        <v>7667</v>
      </c>
      <c r="AF976" s="36" t="s">
        <v>7671</v>
      </c>
      <c r="AP976" s="37"/>
      <c r="AQ976" s="131"/>
      <c r="AR976" s="132"/>
      <c r="AS976" s="133"/>
      <c r="AT976" s="42"/>
      <c r="AU976" s="135"/>
      <c r="AV976" s="131"/>
      <c r="AW976" s="136"/>
      <c r="AX976" s="137"/>
      <c r="AY976" s="138"/>
      <c r="AZ976" s="42"/>
      <c r="BA976" s="135"/>
      <c r="BB976" s="139"/>
    </row>
    <row r="977" spans="1:59" ht="15" customHeight="1">
      <c r="A977" s="41" t="s">
        <v>7489</v>
      </c>
      <c r="B977" s="36" t="s">
        <v>7672</v>
      </c>
      <c r="C977" s="36" t="s">
        <v>7491</v>
      </c>
      <c r="D977" s="37">
        <v>342</v>
      </c>
      <c r="E977" s="36">
        <v>1</v>
      </c>
      <c r="F977" s="36" t="s">
        <v>7538</v>
      </c>
      <c r="G977" s="36" t="s">
        <v>7673</v>
      </c>
      <c r="J977" s="36" t="s">
        <v>28</v>
      </c>
      <c r="K977" s="36" t="s">
        <v>6280</v>
      </c>
      <c r="N977" s="160"/>
      <c r="O977" s="131"/>
      <c r="P977" s="132"/>
      <c r="Q977" s="133"/>
      <c r="R977" s="42"/>
      <c r="S977" s="42"/>
      <c r="T977" s="135"/>
      <c r="U977" s="131"/>
      <c r="V977" s="136"/>
      <c r="W977" s="137"/>
      <c r="X977" s="138"/>
      <c r="Y977" s="42"/>
      <c r="Z977" s="135"/>
      <c r="AA977" s="139"/>
      <c r="AB977" s="161"/>
      <c r="AD977" s="36" t="s">
        <v>5536</v>
      </c>
      <c r="AE977" s="37" t="s">
        <v>7667</v>
      </c>
      <c r="AF977" s="36" t="s">
        <v>7674</v>
      </c>
      <c r="AP977" s="37"/>
      <c r="AQ977" s="131"/>
      <c r="AR977" s="132"/>
      <c r="AS977" s="133"/>
      <c r="AT977" s="42"/>
      <c r="AU977" s="135"/>
      <c r="AV977" s="131"/>
      <c r="AW977" s="136"/>
      <c r="AX977" s="137"/>
      <c r="AY977" s="138"/>
      <c r="AZ977" s="42"/>
      <c r="BA977" s="135"/>
      <c r="BB977" s="139"/>
    </row>
    <row r="978" spans="1:59" s="41" customFormat="1" ht="15" customHeight="1">
      <c r="A978" s="166" t="s">
        <v>7675</v>
      </c>
      <c r="B978" s="41" t="s">
        <v>7676</v>
      </c>
      <c r="C978" s="41" t="s">
        <v>7677</v>
      </c>
      <c r="D978" s="44">
        <v>1</v>
      </c>
      <c r="E978" s="41">
        <v>1</v>
      </c>
      <c r="G978" s="41" t="s">
        <v>7678</v>
      </c>
      <c r="H978" s="41" t="s">
        <v>7679</v>
      </c>
      <c r="I978" s="41" t="s">
        <v>4077</v>
      </c>
      <c r="J978" s="41" t="s">
        <v>4057</v>
      </c>
      <c r="K978" s="41" t="s">
        <v>4052</v>
      </c>
      <c r="N978" s="44"/>
      <c r="O978" s="131">
        <v>4</v>
      </c>
      <c r="P978" s="132">
        <v>3</v>
      </c>
      <c r="Q978" s="133">
        <v>4</v>
      </c>
      <c r="R978" s="42">
        <v>1</v>
      </c>
      <c r="S978" s="148"/>
      <c r="T978" s="135">
        <v>8</v>
      </c>
      <c r="U978" s="131">
        <v>6</v>
      </c>
      <c r="V978" s="136"/>
      <c r="W978" s="137"/>
      <c r="X978" s="138"/>
      <c r="Y978" s="42"/>
      <c r="Z978" s="135"/>
      <c r="AA978" s="139"/>
      <c r="AD978" s="41" t="s">
        <v>7680</v>
      </c>
      <c r="AE978" s="44"/>
      <c r="AF978" s="41" t="s">
        <v>7681</v>
      </c>
      <c r="AI978" s="41" t="s">
        <v>7678</v>
      </c>
      <c r="AJ978" s="41" t="s">
        <v>7679</v>
      </c>
      <c r="AK978" s="41" t="s">
        <v>4077</v>
      </c>
      <c r="AL978" s="41" t="s">
        <v>4057</v>
      </c>
      <c r="AM978" s="41" t="s">
        <v>4052</v>
      </c>
      <c r="AQ978" s="131"/>
      <c r="AR978" s="132"/>
      <c r="AS978" s="133"/>
      <c r="AT978" s="42"/>
      <c r="AU978" s="135"/>
      <c r="AV978" s="131"/>
      <c r="AW978" s="136"/>
      <c r="AX978" s="137"/>
      <c r="AY978" s="138"/>
      <c r="AZ978" s="42"/>
      <c r="BA978" s="135"/>
      <c r="BB978" s="139"/>
      <c r="BE978" s="41" t="s">
        <v>7682</v>
      </c>
      <c r="BF978" s="44"/>
      <c r="BG978" s="41" t="s">
        <v>7683</v>
      </c>
    </row>
    <row r="979" spans="1:59" ht="15" customHeight="1">
      <c r="A979" s="166" t="s">
        <v>7675</v>
      </c>
      <c r="B979" s="36" t="s">
        <v>7684</v>
      </c>
      <c r="C979" s="41" t="s">
        <v>7677</v>
      </c>
      <c r="D979" s="44">
        <v>2</v>
      </c>
      <c r="E979" s="36">
        <v>1</v>
      </c>
      <c r="G979" s="36" t="s">
        <v>7685</v>
      </c>
      <c r="H979" s="36" t="s">
        <v>7686</v>
      </c>
      <c r="I979" s="36" t="s">
        <v>4077</v>
      </c>
      <c r="J979" s="41" t="s">
        <v>4057</v>
      </c>
      <c r="K979" s="36" t="s">
        <v>4053</v>
      </c>
      <c r="N979" s="37"/>
      <c r="O979" s="131">
        <v>3</v>
      </c>
      <c r="P979" s="132">
        <v>4</v>
      </c>
      <c r="Q979" s="133">
        <v>1</v>
      </c>
      <c r="R979" s="42">
        <v>4</v>
      </c>
      <c r="S979" s="148"/>
      <c r="T979" s="135">
        <v>7</v>
      </c>
      <c r="U979" s="131">
        <v>7</v>
      </c>
      <c r="V979" s="136"/>
      <c r="W979" s="137"/>
      <c r="X979" s="138"/>
      <c r="Y979" s="42"/>
      <c r="Z979" s="135"/>
      <c r="AA979" s="139"/>
      <c r="AB979" s="56"/>
      <c r="AD979" s="36" t="s">
        <v>7687</v>
      </c>
      <c r="AF979" s="36" t="s">
        <v>7688</v>
      </c>
      <c r="AI979" s="36" t="s">
        <v>7685</v>
      </c>
      <c r="AJ979" s="36" t="s">
        <v>7686</v>
      </c>
      <c r="AK979" s="36" t="s">
        <v>4077</v>
      </c>
      <c r="AL979" s="41" t="s">
        <v>4057</v>
      </c>
      <c r="AM979" s="36" t="s">
        <v>4053</v>
      </c>
      <c r="AO979" s="37"/>
      <c r="AP979" s="37"/>
      <c r="AQ979" s="131"/>
      <c r="AR979" s="132"/>
      <c r="AS979" s="133"/>
      <c r="AT979" s="42"/>
      <c r="AU979" s="135"/>
      <c r="AV979" s="131"/>
      <c r="AW979" s="136"/>
      <c r="AX979" s="137"/>
      <c r="AY979" s="138"/>
      <c r="AZ979" s="42"/>
      <c r="BA979" s="135"/>
      <c r="BB979" s="139"/>
      <c r="BE979" s="37" t="s">
        <v>7689</v>
      </c>
      <c r="BF979" s="36"/>
      <c r="BG979" s="36" t="s">
        <v>7690</v>
      </c>
    </row>
    <row r="980" spans="1:59" ht="15" customHeight="1">
      <c r="A980" s="166" t="s">
        <v>7675</v>
      </c>
      <c r="B980" s="36" t="s">
        <v>7691</v>
      </c>
      <c r="C980" s="41" t="s">
        <v>7677</v>
      </c>
      <c r="D980" s="44">
        <v>3</v>
      </c>
      <c r="E980" s="36">
        <v>1</v>
      </c>
      <c r="G980" s="36" t="s">
        <v>7692</v>
      </c>
      <c r="H980" s="36" t="s">
        <v>7693</v>
      </c>
      <c r="I980" s="36" t="s">
        <v>4077</v>
      </c>
      <c r="J980" s="41" t="s">
        <v>4057</v>
      </c>
      <c r="K980" s="36" t="s">
        <v>4055</v>
      </c>
      <c r="N980" s="37"/>
      <c r="O980" s="131">
        <v>1</v>
      </c>
      <c r="P980" s="132">
        <v>4</v>
      </c>
      <c r="Q980" s="133">
        <v>3</v>
      </c>
      <c r="R980" s="42">
        <v>4</v>
      </c>
      <c r="S980" s="148"/>
      <c r="T980" s="135">
        <v>7</v>
      </c>
      <c r="U980" s="131">
        <v>7</v>
      </c>
      <c r="V980" s="136"/>
      <c r="W980" s="137"/>
      <c r="X980" s="138"/>
      <c r="Y980" s="42"/>
      <c r="Z980" s="135"/>
      <c r="AA980" s="139"/>
      <c r="AB980" s="56"/>
      <c r="AD980" s="36" t="s">
        <v>4100</v>
      </c>
      <c r="AF980" s="36" t="s">
        <v>7694</v>
      </c>
      <c r="AI980" s="36" t="s">
        <v>7692</v>
      </c>
      <c r="AJ980" s="36" t="s">
        <v>7693</v>
      </c>
      <c r="AK980" s="36" t="s">
        <v>4077</v>
      </c>
      <c r="AL980" s="41" t="s">
        <v>4057</v>
      </c>
      <c r="AM980" s="36" t="s">
        <v>4055</v>
      </c>
      <c r="AO980" s="37"/>
      <c r="AP980" s="37"/>
      <c r="AQ980" s="131"/>
      <c r="AR980" s="132"/>
      <c r="AS980" s="133"/>
      <c r="AT980" s="42"/>
      <c r="AU980" s="135"/>
      <c r="AV980" s="131"/>
      <c r="AW980" s="136"/>
      <c r="AX980" s="137"/>
      <c r="AY980" s="138"/>
      <c r="AZ980" s="42"/>
      <c r="BA980" s="135"/>
      <c r="BB980" s="139"/>
      <c r="BE980" s="37" t="s">
        <v>4100</v>
      </c>
      <c r="BF980" s="36"/>
      <c r="BG980" s="36" t="s">
        <v>7695</v>
      </c>
    </row>
    <row r="981" spans="1:59" ht="15" customHeight="1">
      <c r="A981" s="166" t="s">
        <v>7675</v>
      </c>
      <c r="B981" s="36" t="s">
        <v>7696</v>
      </c>
      <c r="C981" s="41" t="s">
        <v>7677</v>
      </c>
      <c r="D981" s="44">
        <v>4</v>
      </c>
      <c r="E981" s="36">
        <v>1</v>
      </c>
      <c r="G981" s="36" t="s">
        <v>7697</v>
      </c>
      <c r="H981" s="36" t="s">
        <v>7698</v>
      </c>
      <c r="I981" s="36" t="s">
        <v>4077</v>
      </c>
      <c r="J981" s="41" t="s">
        <v>4057</v>
      </c>
      <c r="K981" s="36" t="s">
        <v>4054</v>
      </c>
      <c r="N981" s="37"/>
      <c r="O981" s="131">
        <v>4</v>
      </c>
      <c r="P981" s="132">
        <v>3</v>
      </c>
      <c r="Q981" s="133">
        <v>2</v>
      </c>
      <c r="R981" s="42">
        <v>3</v>
      </c>
      <c r="S981" s="148"/>
      <c r="T981" s="135">
        <v>6</v>
      </c>
      <c r="U981" s="131">
        <v>8</v>
      </c>
      <c r="V981" s="136"/>
      <c r="W981" s="137"/>
      <c r="X981" s="138"/>
      <c r="Y981" s="42"/>
      <c r="Z981" s="135"/>
      <c r="AA981" s="139"/>
      <c r="AB981" s="56"/>
      <c r="AD981" s="36" t="s">
        <v>7699</v>
      </c>
      <c r="AF981" s="36" t="s">
        <v>7700</v>
      </c>
      <c r="AI981" s="36" t="s">
        <v>7697</v>
      </c>
      <c r="AJ981" s="36" t="s">
        <v>7698</v>
      </c>
      <c r="AK981" s="36" t="s">
        <v>4077</v>
      </c>
      <c r="AL981" s="41" t="s">
        <v>4057</v>
      </c>
      <c r="AM981" s="36" t="s">
        <v>4054</v>
      </c>
      <c r="AO981" s="37"/>
      <c r="AP981" s="37"/>
      <c r="AQ981" s="131"/>
      <c r="AR981" s="132"/>
      <c r="AS981" s="133"/>
      <c r="AT981" s="42"/>
      <c r="AU981" s="135"/>
      <c r="AV981" s="131"/>
      <c r="AW981" s="136"/>
      <c r="AX981" s="137"/>
      <c r="AY981" s="138"/>
      <c r="AZ981" s="42"/>
      <c r="BA981" s="135"/>
      <c r="BB981" s="139"/>
      <c r="BE981" s="37" t="s">
        <v>7699</v>
      </c>
      <c r="BF981" s="36"/>
      <c r="BG981" s="36" t="s">
        <v>7701</v>
      </c>
    </row>
    <row r="982" spans="1:59" ht="15" customHeight="1">
      <c r="A982" s="166" t="s">
        <v>7675</v>
      </c>
      <c r="B982" s="36" t="s">
        <v>7702</v>
      </c>
      <c r="C982" s="41" t="s">
        <v>7677</v>
      </c>
      <c r="D982" s="44">
        <v>5</v>
      </c>
      <c r="E982" s="36">
        <v>1</v>
      </c>
      <c r="G982" s="36" t="s">
        <v>7703</v>
      </c>
      <c r="H982" s="36" t="s">
        <v>7704</v>
      </c>
      <c r="I982" s="36" t="s">
        <v>4077</v>
      </c>
      <c r="J982" s="36" t="s">
        <v>4057</v>
      </c>
      <c r="K982" s="36" t="s">
        <v>4056</v>
      </c>
      <c r="N982" s="36"/>
      <c r="O982" s="131">
        <v>0</v>
      </c>
      <c r="P982" s="132">
        <v>0</v>
      </c>
      <c r="Q982" s="133">
        <v>0</v>
      </c>
      <c r="R982" s="42">
        <v>0</v>
      </c>
      <c r="S982" s="148"/>
      <c r="T982" s="135">
        <v>6</v>
      </c>
      <c r="U982" s="131">
        <v>6</v>
      </c>
      <c r="V982" s="136"/>
      <c r="W982" s="137"/>
      <c r="X982" s="138"/>
      <c r="Y982" s="42"/>
      <c r="Z982" s="135"/>
      <c r="AA982" s="139"/>
      <c r="AB982" s="56"/>
      <c r="AD982" s="36" t="s">
        <v>7705</v>
      </c>
      <c r="AE982" s="36"/>
      <c r="AF982" s="36" t="s">
        <v>7706</v>
      </c>
      <c r="AI982" s="36" t="s">
        <v>7703</v>
      </c>
      <c r="AJ982" s="36" t="s">
        <v>7704</v>
      </c>
      <c r="AK982" s="36" t="s">
        <v>4077</v>
      </c>
      <c r="AL982" s="36" t="s">
        <v>4057</v>
      </c>
      <c r="AM982" s="36" t="s">
        <v>4056</v>
      </c>
      <c r="AO982" s="37"/>
      <c r="AP982" s="36"/>
      <c r="AQ982" s="131"/>
      <c r="AR982" s="132"/>
      <c r="AS982" s="133"/>
      <c r="AT982" s="42"/>
      <c r="AU982" s="135"/>
      <c r="AV982" s="131"/>
      <c r="AW982" s="136"/>
      <c r="AX982" s="137"/>
      <c r="AY982" s="138"/>
      <c r="AZ982" s="42"/>
      <c r="BA982" s="135"/>
      <c r="BB982" s="139"/>
      <c r="BE982" s="37" t="s">
        <v>7705</v>
      </c>
      <c r="BF982" s="36"/>
      <c r="BG982" s="36" t="s">
        <v>7707</v>
      </c>
    </row>
    <row r="983" spans="1:59" ht="15" customHeight="1">
      <c r="A983" s="166" t="s">
        <v>7675</v>
      </c>
      <c r="B983" s="36" t="s">
        <v>7708</v>
      </c>
      <c r="C983" s="41" t="s">
        <v>7677</v>
      </c>
      <c r="D983" s="44">
        <v>6</v>
      </c>
      <c r="E983" s="36">
        <v>1</v>
      </c>
      <c r="G983" s="36" t="s">
        <v>7709</v>
      </c>
      <c r="H983" s="36" t="s">
        <v>7710</v>
      </c>
      <c r="I983" s="36" t="s">
        <v>4077</v>
      </c>
      <c r="J983" s="36" t="s">
        <v>4111</v>
      </c>
      <c r="K983" s="36" t="s">
        <v>26</v>
      </c>
      <c r="N983" s="36">
        <v>3</v>
      </c>
      <c r="O983" s="131"/>
      <c r="P983" s="132"/>
      <c r="Q983" s="133"/>
      <c r="R983" s="42"/>
      <c r="S983" s="148">
        <v>2</v>
      </c>
      <c r="T983" s="135">
        <v>2</v>
      </c>
      <c r="U983" s="131">
        <v>2</v>
      </c>
      <c r="V983" s="136"/>
      <c r="W983" s="137"/>
      <c r="X983" s="138"/>
      <c r="Y983" s="42"/>
      <c r="Z983" s="135"/>
      <c r="AA983" s="139"/>
      <c r="AB983" s="161" t="s">
        <v>4936</v>
      </c>
      <c r="AC983" s="36" t="s">
        <v>25</v>
      </c>
      <c r="AD983" s="36" t="s">
        <v>7711</v>
      </c>
      <c r="AE983" s="36"/>
      <c r="AF983" s="36" t="s">
        <v>7712</v>
      </c>
      <c r="AO983" s="37"/>
      <c r="AP983" s="36"/>
      <c r="AQ983" s="131"/>
      <c r="AR983" s="132"/>
      <c r="AS983" s="133"/>
      <c r="AT983" s="42"/>
      <c r="AU983" s="135"/>
      <c r="AV983" s="131"/>
      <c r="AW983" s="136"/>
      <c r="AX983" s="137"/>
      <c r="AY983" s="138"/>
      <c r="AZ983" s="42"/>
      <c r="BA983" s="135"/>
      <c r="BB983" s="139"/>
      <c r="BE983" s="37"/>
      <c r="BF983" s="36"/>
    </row>
    <row r="984" spans="1:59" ht="15" customHeight="1">
      <c r="A984" s="166" t="s">
        <v>7675</v>
      </c>
      <c r="B984" s="36" t="s">
        <v>7713</v>
      </c>
      <c r="C984" s="41" t="s">
        <v>7677</v>
      </c>
      <c r="D984" s="44">
        <v>7</v>
      </c>
      <c r="E984" s="36">
        <v>1</v>
      </c>
      <c r="G984" s="36" t="s">
        <v>7714</v>
      </c>
      <c r="J984" s="36" t="s">
        <v>28</v>
      </c>
      <c r="K984" s="36" t="s">
        <v>26</v>
      </c>
      <c r="M984" s="36" t="s">
        <v>4502</v>
      </c>
      <c r="N984" s="36"/>
      <c r="O984" s="131"/>
      <c r="P984" s="132"/>
      <c r="Q984" s="133"/>
      <c r="R984" s="42"/>
      <c r="S984" s="148"/>
      <c r="T984" s="135"/>
      <c r="U984" s="131"/>
      <c r="V984" s="136"/>
      <c r="W984" s="137"/>
      <c r="X984" s="138"/>
      <c r="Y984" s="42"/>
      <c r="Z984" s="135"/>
      <c r="AA984" s="139"/>
      <c r="AB984" s="56"/>
      <c r="AD984" s="36" t="s">
        <v>5303</v>
      </c>
      <c r="AE984" s="36"/>
      <c r="AF984" s="36" t="s">
        <v>7715</v>
      </c>
      <c r="AO984" s="37"/>
      <c r="AP984" s="36"/>
      <c r="AQ984" s="131"/>
      <c r="AR984" s="132"/>
      <c r="AS984" s="133"/>
      <c r="AT984" s="42"/>
      <c r="AU984" s="135"/>
      <c r="AV984" s="131"/>
      <c r="AW984" s="136"/>
      <c r="AX984" s="137"/>
      <c r="AY984" s="138"/>
      <c r="AZ984" s="42"/>
      <c r="BA984" s="135"/>
      <c r="BB984" s="139"/>
      <c r="BE984" s="37"/>
      <c r="BF984" s="36"/>
    </row>
    <row r="985" spans="1:59" ht="15" customHeight="1">
      <c r="A985" s="166" t="s">
        <v>7675</v>
      </c>
      <c r="B985" s="36" t="s">
        <v>7716</v>
      </c>
      <c r="C985" s="41" t="s">
        <v>7677</v>
      </c>
      <c r="D985" s="44">
        <v>8</v>
      </c>
      <c r="E985" s="36">
        <v>1</v>
      </c>
      <c r="G985" s="36" t="s">
        <v>7717</v>
      </c>
      <c r="H985" s="36" t="s">
        <v>7718</v>
      </c>
      <c r="I985" s="36" t="s">
        <v>4077</v>
      </c>
      <c r="J985" s="36" t="s">
        <v>4111</v>
      </c>
      <c r="K985" s="36" t="s">
        <v>26</v>
      </c>
      <c r="N985" s="36">
        <v>3</v>
      </c>
      <c r="O985" s="131"/>
      <c r="P985" s="132">
        <v>1</v>
      </c>
      <c r="Q985" s="133"/>
      <c r="R985" s="42"/>
      <c r="S985" s="148">
        <v>1</v>
      </c>
      <c r="T985" s="135">
        <v>3</v>
      </c>
      <c r="U985" s="131">
        <v>2</v>
      </c>
      <c r="V985" s="136"/>
      <c r="W985" s="137"/>
      <c r="X985" s="138"/>
      <c r="Y985" s="42"/>
      <c r="Z985" s="135"/>
      <c r="AA985" s="139"/>
      <c r="AB985" s="161" t="s">
        <v>5032</v>
      </c>
      <c r="AC985" s="36" t="s">
        <v>25</v>
      </c>
      <c r="AD985" s="36" t="s">
        <v>7711</v>
      </c>
      <c r="AE985" s="36"/>
      <c r="AF985" s="36" t="s">
        <v>7719</v>
      </c>
      <c r="AO985" s="37"/>
      <c r="AP985" s="36"/>
      <c r="AQ985" s="131"/>
      <c r="AR985" s="132"/>
      <c r="AS985" s="133"/>
      <c r="AT985" s="42"/>
      <c r="AU985" s="135"/>
      <c r="AV985" s="131"/>
      <c r="AW985" s="136"/>
      <c r="AX985" s="137"/>
      <c r="AY985" s="138"/>
      <c r="AZ985" s="42"/>
      <c r="BA985" s="135"/>
      <c r="BB985" s="139"/>
      <c r="BE985" s="37"/>
      <c r="BF985" s="36"/>
    </row>
    <row r="986" spans="1:59" ht="15" customHeight="1">
      <c r="A986" s="166" t="s">
        <v>7675</v>
      </c>
      <c r="B986" s="36" t="s">
        <v>7720</v>
      </c>
      <c r="C986" s="41" t="s">
        <v>7677</v>
      </c>
      <c r="D986" s="44">
        <v>9</v>
      </c>
      <c r="E986" s="36">
        <v>1</v>
      </c>
      <c r="G986" s="36" t="s">
        <v>7721</v>
      </c>
      <c r="J986" s="36" t="s">
        <v>28</v>
      </c>
      <c r="K986" s="36" t="s">
        <v>26</v>
      </c>
      <c r="M986" s="36" t="s">
        <v>4502</v>
      </c>
      <c r="N986" s="141"/>
      <c r="O986" s="131"/>
      <c r="P986" s="132"/>
      <c r="Q986" s="133"/>
      <c r="R986" s="42"/>
      <c r="S986" s="148"/>
      <c r="T986" s="135"/>
      <c r="U986" s="131"/>
      <c r="V986" s="136"/>
      <c r="W986" s="137"/>
      <c r="X986" s="138"/>
      <c r="Y986" s="42"/>
      <c r="Z986" s="135"/>
      <c r="AA986" s="139"/>
      <c r="AB986" s="56"/>
      <c r="AD986" s="36" t="s">
        <v>4116</v>
      </c>
      <c r="AE986" s="36"/>
      <c r="AF986" s="36" t="s">
        <v>7722</v>
      </c>
      <c r="AO986" s="37"/>
      <c r="AP986" s="36"/>
      <c r="AQ986" s="131"/>
      <c r="AR986" s="132"/>
      <c r="AS986" s="133"/>
      <c r="AT986" s="42"/>
      <c r="AU986" s="135"/>
      <c r="AV986" s="131"/>
      <c r="AW986" s="136"/>
      <c r="AX986" s="137"/>
      <c r="AY986" s="138"/>
      <c r="AZ986" s="42"/>
      <c r="BA986" s="135"/>
      <c r="BB986" s="139"/>
      <c r="BE986" s="37"/>
      <c r="BF986" s="36"/>
    </row>
    <row r="987" spans="1:59" ht="15" customHeight="1">
      <c r="A987" s="166" t="s">
        <v>7675</v>
      </c>
      <c r="B987" s="36" t="s">
        <v>7723</v>
      </c>
      <c r="C987" s="41" t="s">
        <v>7677</v>
      </c>
      <c r="D987" s="44">
        <v>10</v>
      </c>
      <c r="E987" s="36">
        <v>1</v>
      </c>
      <c r="G987" s="36" t="s">
        <v>7724</v>
      </c>
      <c r="J987" s="36" t="s">
        <v>27</v>
      </c>
      <c r="K987" s="36" t="s">
        <v>26</v>
      </c>
      <c r="N987" s="36">
        <v>0</v>
      </c>
      <c r="O987" s="131"/>
      <c r="P987" s="132"/>
      <c r="Q987" s="133"/>
      <c r="R987" s="42"/>
      <c r="S987" s="148">
        <v>1</v>
      </c>
      <c r="T987" s="135"/>
      <c r="U987" s="131"/>
      <c r="V987" s="136"/>
      <c r="W987" s="137"/>
      <c r="X987" s="138"/>
      <c r="Y987" s="42"/>
      <c r="Z987" s="135"/>
      <c r="AA987" s="139"/>
      <c r="AB987" s="161" t="s">
        <v>4062</v>
      </c>
      <c r="AD987" s="36" t="s">
        <v>5585</v>
      </c>
      <c r="AE987" s="36"/>
      <c r="AF987" s="36" t="s">
        <v>7725</v>
      </c>
      <c r="AO987" s="37"/>
      <c r="AP987" s="36"/>
      <c r="AQ987" s="131"/>
      <c r="AR987" s="132"/>
      <c r="AS987" s="133"/>
      <c r="AT987" s="42"/>
      <c r="AU987" s="135"/>
      <c r="AV987" s="131"/>
      <c r="AW987" s="136"/>
      <c r="AX987" s="137"/>
      <c r="AY987" s="138"/>
      <c r="AZ987" s="42"/>
      <c r="BA987" s="135"/>
      <c r="BB987" s="139"/>
      <c r="BE987" s="37"/>
      <c r="BF987" s="36"/>
    </row>
    <row r="988" spans="1:59" ht="15" customHeight="1">
      <c r="A988" s="166" t="s">
        <v>7675</v>
      </c>
      <c r="B988" s="36" t="s">
        <v>7726</v>
      </c>
      <c r="C988" s="41" t="s">
        <v>7677</v>
      </c>
      <c r="D988" s="44">
        <v>11</v>
      </c>
      <c r="E988" s="36">
        <v>1</v>
      </c>
      <c r="G988" s="36" t="s">
        <v>7727</v>
      </c>
      <c r="I988" s="36" t="s">
        <v>4077</v>
      </c>
      <c r="J988" s="36" t="s">
        <v>4111</v>
      </c>
      <c r="K988" s="36" t="s">
        <v>26</v>
      </c>
      <c r="N988" s="36">
        <v>2</v>
      </c>
      <c r="O988" s="131"/>
      <c r="P988" s="132"/>
      <c r="Q988" s="133"/>
      <c r="R988" s="42">
        <v>1</v>
      </c>
      <c r="S988" s="148">
        <v>1</v>
      </c>
      <c r="T988" s="135"/>
      <c r="U988" s="131"/>
      <c r="V988" s="136"/>
      <c r="W988" s="137"/>
      <c r="X988" s="138"/>
      <c r="Y988" s="42"/>
      <c r="Z988" s="135"/>
      <c r="AA988" s="139"/>
      <c r="AB988" s="56" t="s">
        <v>5034</v>
      </c>
      <c r="AC988" s="36" t="s">
        <v>4112</v>
      </c>
      <c r="AD988" s="36" t="s">
        <v>4777</v>
      </c>
      <c r="AE988" s="36"/>
      <c r="AF988" s="36" t="s">
        <v>7728</v>
      </c>
      <c r="AO988" s="37"/>
      <c r="AP988" s="36"/>
      <c r="AQ988" s="131"/>
      <c r="AR988" s="132"/>
      <c r="AS988" s="133"/>
      <c r="AT988" s="42"/>
      <c r="AU988" s="135"/>
      <c r="AV988" s="131"/>
      <c r="AW988" s="136"/>
      <c r="AX988" s="137"/>
      <c r="AY988" s="138"/>
      <c r="AZ988" s="42"/>
      <c r="BA988" s="135"/>
      <c r="BB988" s="139"/>
      <c r="BE988" s="37"/>
      <c r="BF988" s="36"/>
    </row>
    <row r="989" spans="1:59" ht="15" customHeight="1">
      <c r="A989" s="166" t="s">
        <v>7675</v>
      </c>
      <c r="B989" s="36" t="s">
        <v>7729</v>
      </c>
      <c r="C989" s="41" t="s">
        <v>7677</v>
      </c>
      <c r="D989" s="44">
        <v>12</v>
      </c>
      <c r="E989" s="36">
        <v>1</v>
      </c>
      <c r="G989" s="36" t="s">
        <v>7730</v>
      </c>
      <c r="J989" s="36" t="s">
        <v>28</v>
      </c>
      <c r="K989" s="36" t="s">
        <v>26</v>
      </c>
      <c r="M989" s="36" t="s">
        <v>4502</v>
      </c>
      <c r="N989" s="36"/>
      <c r="O989" s="131"/>
      <c r="P989" s="132"/>
      <c r="Q989" s="133"/>
      <c r="R989" s="42"/>
      <c r="S989" s="148"/>
      <c r="T989" s="135"/>
      <c r="U989" s="131"/>
      <c r="V989" s="136"/>
      <c r="W989" s="137"/>
      <c r="X989" s="138"/>
      <c r="Y989" s="42"/>
      <c r="Z989" s="135"/>
      <c r="AA989" s="139"/>
      <c r="AB989" s="161"/>
      <c r="AD989" s="36" t="s">
        <v>5045</v>
      </c>
      <c r="AE989" s="36"/>
      <c r="AF989" s="36" t="s">
        <v>7731</v>
      </c>
      <c r="AO989" s="37"/>
      <c r="AP989" s="36"/>
      <c r="AQ989" s="131"/>
      <c r="AR989" s="132"/>
      <c r="AS989" s="133"/>
      <c r="AT989" s="42"/>
      <c r="AU989" s="135"/>
      <c r="AV989" s="131"/>
      <c r="AW989" s="136"/>
      <c r="AX989" s="137"/>
      <c r="AY989" s="138"/>
      <c r="AZ989" s="42"/>
      <c r="BA989" s="135"/>
      <c r="BB989" s="139"/>
      <c r="BE989" s="37"/>
      <c r="BF989" s="36"/>
    </row>
    <row r="990" spans="1:59" ht="15" customHeight="1">
      <c r="A990" s="166" t="s">
        <v>7675</v>
      </c>
      <c r="B990" s="36" t="s">
        <v>7732</v>
      </c>
      <c r="C990" s="41" t="s">
        <v>7677</v>
      </c>
      <c r="D990" s="44">
        <v>13</v>
      </c>
      <c r="E990" s="36">
        <v>1</v>
      </c>
      <c r="G990" s="36" t="s">
        <v>7733</v>
      </c>
      <c r="I990" s="36" t="s">
        <v>4077</v>
      </c>
      <c r="J990" s="36" t="s">
        <v>4111</v>
      </c>
      <c r="K990" s="36" t="s">
        <v>26</v>
      </c>
      <c r="N990" s="36">
        <v>2</v>
      </c>
      <c r="O990" s="131">
        <v>1</v>
      </c>
      <c r="P990" s="132"/>
      <c r="Q990" s="133"/>
      <c r="R990" s="42"/>
      <c r="S990" s="148">
        <v>1</v>
      </c>
      <c r="T990" s="135"/>
      <c r="U990" s="131"/>
      <c r="V990" s="136"/>
      <c r="W990" s="137"/>
      <c r="X990" s="138"/>
      <c r="Y990" s="42"/>
      <c r="Z990" s="135"/>
      <c r="AA990" s="139"/>
      <c r="AB990" s="56" t="s">
        <v>4940</v>
      </c>
      <c r="AC990" s="36" t="s">
        <v>4112</v>
      </c>
      <c r="AD990" s="36" t="s">
        <v>7734</v>
      </c>
      <c r="AE990" s="36"/>
      <c r="AF990" s="36" t="s">
        <v>7735</v>
      </c>
      <c r="AO990" s="37"/>
      <c r="AP990" s="36"/>
      <c r="AQ990" s="131"/>
      <c r="AR990" s="132"/>
      <c r="AS990" s="133"/>
      <c r="AT990" s="42"/>
      <c r="AU990" s="135"/>
      <c r="AV990" s="131"/>
      <c r="AW990" s="136"/>
      <c r="AX990" s="137"/>
      <c r="AY990" s="138"/>
      <c r="AZ990" s="42"/>
      <c r="BA990" s="135"/>
      <c r="BB990" s="139"/>
      <c r="BE990" s="37"/>
      <c r="BF990" s="36"/>
    </row>
    <row r="991" spans="1:59" ht="15" customHeight="1">
      <c r="A991" s="166" t="s">
        <v>7675</v>
      </c>
      <c r="B991" s="36" t="s">
        <v>7736</v>
      </c>
      <c r="C991" s="41" t="s">
        <v>7677</v>
      </c>
      <c r="D991" s="44">
        <v>14</v>
      </c>
      <c r="E991" s="36">
        <v>1</v>
      </c>
      <c r="G991" s="36" t="s">
        <v>7737</v>
      </c>
      <c r="J991" s="36" t="s">
        <v>29</v>
      </c>
      <c r="K991" s="36" t="s">
        <v>26</v>
      </c>
      <c r="M991" s="36" t="s">
        <v>4502</v>
      </c>
      <c r="N991" s="36"/>
      <c r="O991" s="131"/>
      <c r="P991" s="132"/>
      <c r="Q991" s="133">
        <v>2</v>
      </c>
      <c r="R991" s="42">
        <v>2</v>
      </c>
      <c r="S991" s="148"/>
      <c r="T991" s="135">
        <v>3</v>
      </c>
      <c r="U991" s="131"/>
      <c r="V991" s="136">
        <v>1</v>
      </c>
      <c r="W991" s="137">
        <v>1</v>
      </c>
      <c r="X991" s="138"/>
      <c r="Y991" s="42"/>
      <c r="Z991" s="135"/>
      <c r="AA991" s="139"/>
      <c r="AB991" s="161"/>
      <c r="AD991" s="36" t="s">
        <v>7738</v>
      </c>
      <c r="AE991" s="36"/>
      <c r="AF991" s="36" t="s">
        <v>7739</v>
      </c>
      <c r="AO991" s="37"/>
      <c r="AP991" s="36"/>
      <c r="AQ991" s="131"/>
      <c r="AR991" s="132"/>
      <c r="AS991" s="133"/>
      <c r="AT991" s="42"/>
      <c r="AU991" s="135"/>
      <c r="AV991" s="131"/>
      <c r="AW991" s="136"/>
      <c r="AX991" s="137"/>
      <c r="AY991" s="138"/>
      <c r="AZ991" s="42"/>
      <c r="BA991" s="135"/>
      <c r="BB991" s="139"/>
      <c r="BE991" s="37"/>
      <c r="BF991" s="36"/>
    </row>
    <row r="992" spans="1:59" ht="15" customHeight="1">
      <c r="A992" s="166" t="s">
        <v>7675</v>
      </c>
      <c r="B992" s="36" t="s">
        <v>7740</v>
      </c>
      <c r="C992" s="41" t="s">
        <v>7677</v>
      </c>
      <c r="D992" s="44">
        <v>15</v>
      </c>
      <c r="E992" s="36">
        <v>1</v>
      </c>
      <c r="G992" s="36" t="s">
        <v>7741</v>
      </c>
      <c r="J992" s="36" t="s">
        <v>4111</v>
      </c>
      <c r="K992" s="36" t="s">
        <v>26</v>
      </c>
      <c r="N992" s="36">
        <v>1</v>
      </c>
      <c r="O992" s="131"/>
      <c r="P992" s="132"/>
      <c r="Q992" s="133">
        <v>1</v>
      </c>
      <c r="R992" s="42"/>
      <c r="S992" s="148">
        <v>1</v>
      </c>
      <c r="T992" s="135">
        <v>2</v>
      </c>
      <c r="U992" s="131">
        <v>2</v>
      </c>
      <c r="V992" s="136"/>
      <c r="W992" s="137"/>
      <c r="X992" s="138"/>
      <c r="Y992" s="42"/>
      <c r="Z992" s="135"/>
      <c r="AA992" s="139"/>
      <c r="AB992" s="161" t="s">
        <v>4947</v>
      </c>
      <c r="AD992" s="36" t="s">
        <v>4143</v>
      </c>
      <c r="AE992" s="36"/>
      <c r="AF992" s="36" t="s">
        <v>7742</v>
      </c>
      <c r="AO992" s="37"/>
      <c r="AP992" s="36"/>
      <c r="AQ992" s="131"/>
      <c r="AR992" s="132"/>
      <c r="AS992" s="133"/>
      <c r="AT992" s="42"/>
      <c r="AU992" s="135"/>
      <c r="AV992" s="131"/>
      <c r="AW992" s="136"/>
      <c r="AX992" s="137"/>
      <c r="AY992" s="138"/>
      <c r="AZ992" s="42"/>
      <c r="BA992" s="135"/>
      <c r="BB992" s="139"/>
      <c r="BE992" s="37"/>
      <c r="BF992" s="36"/>
    </row>
    <row r="993" spans="1:58" ht="15" customHeight="1">
      <c r="A993" s="166" t="s">
        <v>7675</v>
      </c>
      <c r="B993" s="36" t="s">
        <v>7743</v>
      </c>
      <c r="C993" s="41" t="s">
        <v>7677</v>
      </c>
      <c r="D993" s="44">
        <v>16</v>
      </c>
      <c r="E993" s="36">
        <v>1</v>
      </c>
      <c r="G993" s="36" t="s">
        <v>7744</v>
      </c>
      <c r="J993" s="36" t="s">
        <v>28</v>
      </c>
      <c r="K993" s="36" t="s">
        <v>26</v>
      </c>
      <c r="M993" s="36" t="s">
        <v>4502</v>
      </c>
      <c r="N993" s="36"/>
      <c r="O993" s="131"/>
      <c r="P993" s="132"/>
      <c r="Q993" s="133"/>
      <c r="R993" s="42"/>
      <c r="S993" s="148"/>
      <c r="T993" s="135"/>
      <c r="U993" s="131"/>
      <c r="V993" s="136"/>
      <c r="W993" s="137"/>
      <c r="X993" s="138"/>
      <c r="Y993" s="42"/>
      <c r="Z993" s="135"/>
      <c r="AA993" s="139"/>
      <c r="AB993" s="161"/>
      <c r="AD993" s="36" t="s">
        <v>7745</v>
      </c>
      <c r="AE993" s="36"/>
      <c r="AF993" s="36" t="s">
        <v>7746</v>
      </c>
      <c r="AO993" s="37"/>
      <c r="AP993" s="36"/>
      <c r="AQ993" s="131"/>
      <c r="AR993" s="132"/>
      <c r="AS993" s="133"/>
      <c r="AT993" s="42"/>
      <c r="AU993" s="135"/>
      <c r="AV993" s="131"/>
      <c r="AW993" s="136"/>
      <c r="AX993" s="137"/>
      <c r="AY993" s="138"/>
      <c r="AZ993" s="42"/>
      <c r="BA993" s="135"/>
      <c r="BB993" s="139"/>
      <c r="BE993" s="37"/>
      <c r="BF993" s="36"/>
    </row>
    <row r="994" spans="1:58" ht="15" customHeight="1">
      <c r="A994" s="166" t="s">
        <v>7675</v>
      </c>
      <c r="B994" s="36" t="s">
        <v>7747</v>
      </c>
      <c r="C994" s="41" t="s">
        <v>7677</v>
      </c>
      <c r="D994" s="44">
        <v>17</v>
      </c>
      <c r="E994" s="36">
        <v>2</v>
      </c>
      <c r="G994" s="36" t="s">
        <v>7748</v>
      </c>
      <c r="J994" s="36" t="s">
        <v>4111</v>
      </c>
      <c r="K994" s="41" t="s">
        <v>4052</v>
      </c>
      <c r="N994" s="36">
        <v>2</v>
      </c>
      <c r="O994" s="131"/>
      <c r="P994" s="132"/>
      <c r="Q994" s="133">
        <v>1</v>
      </c>
      <c r="R994" s="42"/>
      <c r="S994" s="148"/>
      <c r="T994" s="135"/>
      <c r="U994" s="131"/>
      <c r="V994" s="136"/>
      <c r="W994" s="137"/>
      <c r="X994" s="138"/>
      <c r="Y994" s="42"/>
      <c r="Z994" s="135"/>
      <c r="AA994" s="139"/>
      <c r="AB994" s="161" t="s">
        <v>4060</v>
      </c>
      <c r="AC994" s="36" t="s">
        <v>4112</v>
      </c>
      <c r="AD994" s="36" t="s">
        <v>4152</v>
      </c>
      <c r="AE994" s="36"/>
      <c r="AF994" s="36" t="s">
        <v>7749</v>
      </c>
      <c r="AO994" s="37"/>
      <c r="AP994" s="36"/>
      <c r="AQ994" s="131"/>
      <c r="AR994" s="132"/>
      <c r="AS994" s="133"/>
      <c r="AT994" s="42"/>
      <c r="AU994" s="135"/>
      <c r="AV994" s="131"/>
      <c r="AW994" s="136"/>
      <c r="AX994" s="137"/>
      <c r="AY994" s="138"/>
      <c r="AZ994" s="42"/>
      <c r="BA994" s="135"/>
      <c r="BB994" s="139"/>
      <c r="BE994" s="37"/>
      <c r="BF994" s="36"/>
    </row>
    <row r="995" spans="1:58" ht="15" customHeight="1">
      <c r="A995" s="166" t="s">
        <v>7675</v>
      </c>
      <c r="B995" s="36" t="s">
        <v>7750</v>
      </c>
      <c r="C995" s="41" t="s">
        <v>7677</v>
      </c>
      <c r="D995" s="44">
        <v>18</v>
      </c>
      <c r="E995" s="36">
        <v>2</v>
      </c>
      <c r="G995" s="36" t="s">
        <v>7751</v>
      </c>
      <c r="J995" s="36" t="s">
        <v>4111</v>
      </c>
      <c r="K995" s="41" t="s">
        <v>4052</v>
      </c>
      <c r="N995" s="36">
        <v>4</v>
      </c>
      <c r="O995" s="131"/>
      <c r="P995" s="132">
        <v>1</v>
      </c>
      <c r="Q995" s="133"/>
      <c r="R995" s="42"/>
      <c r="S995" s="148"/>
      <c r="T995" s="135">
        <v>2</v>
      </c>
      <c r="U995" s="131">
        <v>2</v>
      </c>
      <c r="V995" s="136"/>
      <c r="W995" s="137"/>
      <c r="X995" s="138"/>
      <c r="Y995" s="42"/>
      <c r="Z995" s="135"/>
      <c r="AA995" s="139"/>
      <c r="AB995" s="161" t="s">
        <v>4059</v>
      </c>
      <c r="AC995" s="36" t="s">
        <v>25</v>
      </c>
      <c r="AD995" s="36" t="s">
        <v>7711</v>
      </c>
      <c r="AE995" s="36"/>
      <c r="AF995" s="36" t="s">
        <v>7752</v>
      </c>
      <c r="AO995" s="37"/>
      <c r="AP995" s="36"/>
      <c r="AQ995" s="131"/>
      <c r="AR995" s="132"/>
      <c r="AS995" s="133"/>
      <c r="AT995" s="42"/>
      <c r="AU995" s="135"/>
      <c r="AV995" s="131"/>
      <c r="AW995" s="136"/>
      <c r="AX995" s="137"/>
      <c r="AY995" s="138"/>
      <c r="AZ995" s="42"/>
      <c r="BA995" s="135"/>
      <c r="BB995" s="139"/>
      <c r="BE995" s="37"/>
      <c r="BF995" s="36"/>
    </row>
    <row r="996" spans="1:58" ht="15" customHeight="1">
      <c r="A996" s="166" t="s">
        <v>7675</v>
      </c>
      <c r="B996" s="36" t="s">
        <v>7753</v>
      </c>
      <c r="C996" s="41" t="s">
        <v>7677</v>
      </c>
      <c r="D996" s="44">
        <v>19</v>
      </c>
      <c r="E996" s="36">
        <v>2</v>
      </c>
      <c r="G996" s="36" t="s">
        <v>7754</v>
      </c>
      <c r="J996" s="36" t="s">
        <v>27</v>
      </c>
      <c r="K996" s="41" t="s">
        <v>4052</v>
      </c>
      <c r="N996" s="36">
        <v>1</v>
      </c>
      <c r="O996" s="131">
        <v>1</v>
      </c>
      <c r="P996" s="132"/>
      <c r="Q996" s="133"/>
      <c r="R996" s="42"/>
      <c r="S996" s="148"/>
      <c r="T996" s="135"/>
      <c r="U996" s="131"/>
      <c r="V996" s="136"/>
      <c r="W996" s="137"/>
      <c r="X996" s="138"/>
      <c r="Y996" s="42"/>
      <c r="Z996" s="135"/>
      <c r="AA996" s="139"/>
      <c r="AB996" s="161" t="s">
        <v>4058</v>
      </c>
      <c r="AD996" s="36" t="s">
        <v>7755</v>
      </c>
      <c r="AE996" s="36"/>
      <c r="AF996" s="36" t="s">
        <v>7756</v>
      </c>
      <c r="AO996" s="37"/>
      <c r="AP996" s="36"/>
      <c r="AQ996" s="131"/>
      <c r="AR996" s="132"/>
      <c r="AS996" s="133"/>
      <c r="AT996" s="42"/>
      <c r="AU996" s="135"/>
      <c r="AV996" s="131"/>
      <c r="AW996" s="136"/>
      <c r="AX996" s="137"/>
      <c r="AY996" s="138"/>
      <c r="AZ996" s="42"/>
      <c r="BA996" s="135"/>
      <c r="BB996" s="139"/>
      <c r="BE996" s="37"/>
      <c r="BF996" s="36"/>
    </row>
    <row r="997" spans="1:58" ht="15" customHeight="1">
      <c r="A997" s="166" t="s">
        <v>7675</v>
      </c>
      <c r="B997" s="36" t="s">
        <v>7757</v>
      </c>
      <c r="C997" s="41" t="s">
        <v>7677</v>
      </c>
      <c r="D997" s="44">
        <v>20</v>
      </c>
      <c r="E997" s="36">
        <v>2</v>
      </c>
      <c r="G997" s="36" t="s">
        <v>7758</v>
      </c>
      <c r="J997" s="36" t="s">
        <v>27</v>
      </c>
      <c r="K997" s="41" t="s">
        <v>4052</v>
      </c>
      <c r="L997" s="36">
        <v>1</v>
      </c>
      <c r="N997" s="36">
        <v>1</v>
      </c>
      <c r="O997" s="131"/>
      <c r="P997" s="132">
        <v>1</v>
      </c>
      <c r="Q997" s="133"/>
      <c r="R997" s="42"/>
      <c r="S997" s="148"/>
      <c r="T997" s="135"/>
      <c r="U997" s="131"/>
      <c r="V997" s="136"/>
      <c r="W997" s="137"/>
      <c r="X997" s="138"/>
      <c r="Y997" s="42"/>
      <c r="Z997" s="135"/>
      <c r="AA997" s="139"/>
      <c r="AB997" s="161" t="s">
        <v>4059</v>
      </c>
      <c r="AD997" s="36" t="s">
        <v>7755</v>
      </c>
      <c r="AE997" s="36"/>
      <c r="AF997" s="36" t="s">
        <v>7759</v>
      </c>
      <c r="AO997" s="37"/>
      <c r="AP997" s="36"/>
      <c r="AQ997" s="131"/>
      <c r="AR997" s="132"/>
      <c r="AS997" s="133"/>
      <c r="AT997" s="42"/>
      <c r="AU997" s="135"/>
      <c r="AV997" s="131"/>
      <c r="AW997" s="136"/>
      <c r="AX997" s="137"/>
      <c r="AY997" s="138"/>
      <c r="AZ997" s="42"/>
      <c r="BA997" s="135"/>
      <c r="BB997" s="139"/>
      <c r="BE997" s="37"/>
      <c r="BF997" s="36"/>
    </row>
    <row r="998" spans="1:58" ht="15" customHeight="1">
      <c r="A998" s="166" t="s">
        <v>7675</v>
      </c>
      <c r="B998" s="36" t="s">
        <v>7760</v>
      </c>
      <c r="C998" s="41" t="s">
        <v>7677</v>
      </c>
      <c r="D998" s="44">
        <v>21</v>
      </c>
      <c r="E998" s="36">
        <v>2</v>
      </c>
      <c r="G998" s="36" t="s">
        <v>7761</v>
      </c>
      <c r="H998" s="36" t="s">
        <v>7762</v>
      </c>
      <c r="I998" s="36" t="s">
        <v>4077</v>
      </c>
      <c r="J998" s="36" t="s">
        <v>4111</v>
      </c>
      <c r="K998" s="36" t="s">
        <v>4053</v>
      </c>
      <c r="N998" s="36">
        <v>3</v>
      </c>
      <c r="O998" s="131">
        <v>1</v>
      </c>
      <c r="P998" s="132"/>
      <c r="Q998" s="133"/>
      <c r="R998" s="42"/>
      <c r="S998" s="148"/>
      <c r="T998" s="135">
        <v>1</v>
      </c>
      <c r="U998" s="131">
        <v>2</v>
      </c>
      <c r="V998" s="136"/>
      <c r="W998" s="137"/>
      <c r="X998" s="138"/>
      <c r="Y998" s="42"/>
      <c r="Z998" s="135"/>
      <c r="AA998" s="139"/>
      <c r="AB998" s="161" t="s">
        <v>4058</v>
      </c>
      <c r="AC998" s="36" t="s">
        <v>25</v>
      </c>
      <c r="AD998" s="36" t="s">
        <v>7763</v>
      </c>
      <c r="AE998" s="36"/>
      <c r="AF998" s="36" t="s">
        <v>7764</v>
      </c>
      <c r="AO998" s="37"/>
      <c r="AP998" s="36"/>
      <c r="AQ998" s="131"/>
      <c r="AR998" s="132"/>
      <c r="AS998" s="133"/>
      <c r="AT998" s="42"/>
      <c r="AU998" s="135"/>
      <c r="AV998" s="131"/>
      <c r="AW998" s="136"/>
      <c r="AX998" s="137"/>
      <c r="AY998" s="138"/>
      <c r="AZ998" s="42"/>
      <c r="BA998" s="135"/>
      <c r="BB998" s="139"/>
      <c r="BE998" s="37"/>
      <c r="BF998" s="36"/>
    </row>
    <row r="999" spans="1:58" ht="15" customHeight="1">
      <c r="A999" s="166" t="s">
        <v>7675</v>
      </c>
      <c r="B999" s="36" t="s">
        <v>7765</v>
      </c>
      <c r="C999" s="41" t="s">
        <v>7677</v>
      </c>
      <c r="D999" s="44">
        <v>22</v>
      </c>
      <c r="E999" s="36">
        <v>2</v>
      </c>
      <c r="G999" s="36" t="s">
        <v>7766</v>
      </c>
      <c r="H999" s="36" t="s">
        <v>5251</v>
      </c>
      <c r="J999" s="36" t="s">
        <v>4111</v>
      </c>
      <c r="K999" s="36" t="s">
        <v>4053</v>
      </c>
      <c r="L999" s="36">
        <v>1</v>
      </c>
      <c r="N999" s="36">
        <v>1</v>
      </c>
      <c r="O999" s="131"/>
      <c r="P999" s="132">
        <v>1</v>
      </c>
      <c r="Q999" s="133"/>
      <c r="R999" s="42"/>
      <c r="S999" s="148"/>
      <c r="T999" s="135"/>
      <c r="U999" s="131"/>
      <c r="V999" s="136"/>
      <c r="W999" s="137"/>
      <c r="X999" s="138"/>
      <c r="Y999" s="42"/>
      <c r="Z999" s="135"/>
      <c r="AA999" s="139"/>
      <c r="AB999" s="161" t="s">
        <v>4059</v>
      </c>
      <c r="AC999" s="36" t="s">
        <v>4112</v>
      </c>
      <c r="AD999" s="36" t="s">
        <v>4130</v>
      </c>
      <c r="AE999" s="36"/>
      <c r="AF999" s="36" t="s">
        <v>7767</v>
      </c>
      <c r="AO999" s="37"/>
      <c r="AP999" s="36"/>
      <c r="AQ999" s="131"/>
      <c r="AR999" s="132"/>
      <c r="AS999" s="133"/>
      <c r="AT999" s="42"/>
      <c r="AU999" s="135"/>
      <c r="AV999" s="131"/>
      <c r="AW999" s="136"/>
      <c r="AX999" s="137"/>
      <c r="AY999" s="138"/>
      <c r="AZ999" s="42"/>
      <c r="BA999" s="135"/>
      <c r="BB999" s="139"/>
      <c r="BE999" s="37"/>
      <c r="BF999" s="36"/>
    </row>
    <row r="1000" spans="1:58" ht="15" customHeight="1">
      <c r="A1000" s="166" t="s">
        <v>7675</v>
      </c>
      <c r="B1000" s="36" t="s">
        <v>7768</v>
      </c>
      <c r="C1000" s="41" t="s">
        <v>7677</v>
      </c>
      <c r="D1000" s="44">
        <v>23</v>
      </c>
      <c r="E1000" s="36">
        <v>2</v>
      </c>
      <c r="G1000" s="36" t="s">
        <v>7769</v>
      </c>
      <c r="H1000" s="36" t="s">
        <v>7770</v>
      </c>
      <c r="J1000" s="36" t="s">
        <v>4111</v>
      </c>
      <c r="K1000" s="36" t="s">
        <v>4053</v>
      </c>
      <c r="N1000" s="160">
        <v>3</v>
      </c>
      <c r="O1000" s="131">
        <v>1</v>
      </c>
      <c r="P1000" s="132"/>
      <c r="Q1000" s="133"/>
      <c r="R1000" s="42"/>
      <c r="S1000" s="148"/>
      <c r="T1000" s="135"/>
      <c r="U1000" s="131"/>
      <c r="V1000" s="136"/>
      <c r="W1000" s="137"/>
      <c r="X1000" s="138"/>
      <c r="Y1000" s="42"/>
      <c r="Z1000" s="135"/>
      <c r="AA1000" s="139"/>
      <c r="AB1000" s="161" t="s">
        <v>4058</v>
      </c>
      <c r="AC1000" s="36" t="s">
        <v>4129</v>
      </c>
      <c r="AD1000" s="36" t="s">
        <v>4130</v>
      </c>
      <c r="AF1000" s="36" t="s">
        <v>7771</v>
      </c>
      <c r="AP1000" s="37"/>
      <c r="AQ1000" s="131"/>
      <c r="AR1000" s="132"/>
      <c r="AS1000" s="133"/>
      <c r="AT1000" s="42"/>
      <c r="AU1000" s="135"/>
      <c r="AV1000" s="131"/>
      <c r="AW1000" s="136"/>
      <c r="AX1000" s="137"/>
      <c r="AY1000" s="138"/>
      <c r="AZ1000" s="42"/>
      <c r="BA1000" s="135"/>
      <c r="BB1000" s="139"/>
    </row>
    <row r="1001" spans="1:58" ht="15" customHeight="1">
      <c r="A1001" s="166" t="s">
        <v>7675</v>
      </c>
      <c r="B1001" s="36" t="s">
        <v>7772</v>
      </c>
      <c r="C1001" s="41" t="s">
        <v>7677</v>
      </c>
      <c r="D1001" s="44">
        <v>24</v>
      </c>
      <c r="E1001" s="36">
        <v>2</v>
      </c>
      <c r="G1001" s="36" t="s">
        <v>7773</v>
      </c>
      <c r="J1001" s="36" t="s">
        <v>27</v>
      </c>
      <c r="K1001" s="36" t="s">
        <v>4053</v>
      </c>
      <c r="N1001" s="160">
        <v>1</v>
      </c>
      <c r="O1001" s="131"/>
      <c r="P1001" s="132">
        <v>2</v>
      </c>
      <c r="Q1001" s="133"/>
      <c r="R1001" s="42"/>
      <c r="S1001" s="148"/>
      <c r="T1001" s="135"/>
      <c r="U1001" s="131"/>
      <c r="V1001" s="136"/>
      <c r="W1001" s="137"/>
      <c r="X1001" s="138"/>
      <c r="Y1001" s="42"/>
      <c r="Z1001" s="135"/>
      <c r="AA1001" s="139"/>
      <c r="AB1001" s="161" t="s">
        <v>4938</v>
      </c>
      <c r="AD1001" s="36" t="s">
        <v>4194</v>
      </c>
      <c r="AF1001" s="36" t="s">
        <v>7774</v>
      </c>
      <c r="AP1001" s="37"/>
      <c r="AQ1001" s="131"/>
      <c r="AR1001" s="132"/>
      <c r="AS1001" s="133"/>
      <c r="AT1001" s="42"/>
      <c r="AU1001" s="135"/>
      <c r="AV1001" s="131"/>
      <c r="AW1001" s="136"/>
      <c r="AX1001" s="137"/>
      <c r="AY1001" s="138"/>
      <c r="AZ1001" s="42"/>
      <c r="BA1001" s="135"/>
      <c r="BB1001" s="139"/>
    </row>
    <row r="1002" spans="1:58" ht="15" customHeight="1">
      <c r="A1002" s="166" t="s">
        <v>7675</v>
      </c>
      <c r="B1002" s="36" t="s">
        <v>7775</v>
      </c>
      <c r="C1002" s="41" t="s">
        <v>7677</v>
      </c>
      <c r="D1002" s="44">
        <v>25</v>
      </c>
      <c r="E1002" s="36">
        <v>2</v>
      </c>
      <c r="G1002" s="36" t="s">
        <v>7776</v>
      </c>
      <c r="J1002" s="36" t="s">
        <v>4111</v>
      </c>
      <c r="K1002" s="36" t="s">
        <v>4055</v>
      </c>
      <c r="L1002" s="36">
        <v>1</v>
      </c>
      <c r="N1002" s="160">
        <v>1</v>
      </c>
      <c r="O1002" s="131"/>
      <c r="P1002" s="132">
        <v>1</v>
      </c>
      <c r="Q1002" s="133"/>
      <c r="R1002" s="42"/>
      <c r="S1002" s="148"/>
      <c r="T1002" s="135"/>
      <c r="U1002" s="131"/>
      <c r="V1002" s="136"/>
      <c r="W1002" s="137"/>
      <c r="X1002" s="138"/>
      <c r="Y1002" s="42"/>
      <c r="Z1002" s="135"/>
      <c r="AA1002" s="139"/>
      <c r="AB1002" s="161" t="s">
        <v>4059</v>
      </c>
      <c r="AC1002" s="36" t="s">
        <v>25</v>
      </c>
      <c r="AD1002" s="36" t="s">
        <v>7711</v>
      </c>
      <c r="AF1002" s="36" t="s">
        <v>7777</v>
      </c>
      <c r="AP1002" s="37"/>
      <c r="AQ1002" s="131"/>
      <c r="AR1002" s="132"/>
      <c r="AS1002" s="133"/>
      <c r="AT1002" s="42"/>
      <c r="AU1002" s="135"/>
      <c r="AV1002" s="131"/>
      <c r="AW1002" s="136"/>
      <c r="AX1002" s="137"/>
      <c r="AY1002" s="138"/>
      <c r="AZ1002" s="42"/>
      <c r="BA1002" s="135"/>
      <c r="BB1002" s="139"/>
    </row>
    <row r="1003" spans="1:58" ht="15" customHeight="1">
      <c r="A1003" s="166" t="s">
        <v>7675</v>
      </c>
      <c r="B1003" s="36" t="s">
        <v>7778</v>
      </c>
      <c r="C1003" s="41" t="s">
        <v>7677</v>
      </c>
      <c r="D1003" s="44">
        <v>26</v>
      </c>
      <c r="E1003" s="36">
        <v>2</v>
      </c>
      <c r="G1003" s="36" t="s">
        <v>7779</v>
      </c>
      <c r="H1003" s="36" t="s">
        <v>7780</v>
      </c>
      <c r="J1003" s="36" t="s">
        <v>4111</v>
      </c>
      <c r="K1003" s="36" t="s">
        <v>4055</v>
      </c>
      <c r="N1003" s="160">
        <v>0</v>
      </c>
      <c r="O1003" s="131"/>
      <c r="P1003" s="132"/>
      <c r="Q1003" s="133"/>
      <c r="R1003" s="42">
        <v>1</v>
      </c>
      <c r="S1003" s="148"/>
      <c r="T1003" s="135"/>
      <c r="U1003" s="131"/>
      <c r="V1003" s="136"/>
      <c r="W1003" s="137"/>
      <c r="X1003" s="138"/>
      <c r="Y1003" s="42"/>
      <c r="Z1003" s="135"/>
      <c r="AA1003" s="139"/>
      <c r="AB1003" s="161" t="s">
        <v>4061</v>
      </c>
      <c r="AC1003" s="36" t="s">
        <v>4129</v>
      </c>
      <c r="AD1003" s="36" t="s">
        <v>7781</v>
      </c>
      <c r="AF1003" s="36" t="s">
        <v>7782</v>
      </c>
      <c r="AP1003" s="37"/>
      <c r="AQ1003" s="131"/>
      <c r="AR1003" s="132"/>
      <c r="AS1003" s="133"/>
      <c r="AT1003" s="42"/>
      <c r="AU1003" s="135"/>
      <c r="AV1003" s="131"/>
      <c r="AW1003" s="136"/>
      <c r="AX1003" s="137"/>
      <c r="AY1003" s="138"/>
      <c r="AZ1003" s="42"/>
      <c r="BA1003" s="135"/>
      <c r="BB1003" s="139"/>
    </row>
    <row r="1004" spans="1:58" ht="15" customHeight="1">
      <c r="A1004" s="166" t="s">
        <v>7675</v>
      </c>
      <c r="B1004" s="36" t="s">
        <v>7783</v>
      </c>
      <c r="C1004" s="41" t="s">
        <v>7677</v>
      </c>
      <c r="D1004" s="44">
        <v>27</v>
      </c>
      <c r="E1004" s="36">
        <v>2</v>
      </c>
      <c r="G1004" s="36" t="s">
        <v>7784</v>
      </c>
      <c r="J1004" s="36" t="s">
        <v>27</v>
      </c>
      <c r="K1004" s="36" t="s">
        <v>4055</v>
      </c>
      <c r="N1004" s="160">
        <v>1</v>
      </c>
      <c r="O1004" s="131"/>
      <c r="P1004" s="132">
        <v>1</v>
      </c>
      <c r="Q1004" s="133"/>
      <c r="R1004" s="42">
        <v>1</v>
      </c>
      <c r="S1004" s="148"/>
      <c r="T1004" s="135"/>
      <c r="U1004" s="131"/>
      <c r="V1004" s="136"/>
      <c r="W1004" s="137"/>
      <c r="X1004" s="138"/>
      <c r="Y1004" s="42"/>
      <c r="Z1004" s="135"/>
      <c r="AA1004" s="139"/>
      <c r="AB1004" s="161" t="s">
        <v>6169</v>
      </c>
      <c r="AD1004" s="36" t="s">
        <v>7785</v>
      </c>
      <c r="AF1004" s="36" t="s">
        <v>7786</v>
      </c>
      <c r="AP1004" s="37"/>
      <c r="AQ1004" s="131"/>
      <c r="AR1004" s="132"/>
      <c r="AS1004" s="133"/>
      <c r="AT1004" s="42"/>
      <c r="AU1004" s="135"/>
      <c r="AV1004" s="131"/>
      <c r="AW1004" s="136"/>
      <c r="AX1004" s="137"/>
      <c r="AY1004" s="138"/>
      <c r="AZ1004" s="42"/>
      <c r="BA1004" s="135"/>
      <c r="BB1004" s="139"/>
    </row>
    <row r="1005" spans="1:58" ht="15" customHeight="1">
      <c r="A1005" s="166" t="s">
        <v>7675</v>
      </c>
      <c r="B1005" s="36" t="s">
        <v>7787</v>
      </c>
      <c r="C1005" s="41" t="s">
        <v>7677</v>
      </c>
      <c r="D1005" s="44">
        <v>28</v>
      </c>
      <c r="E1005" s="36">
        <v>2</v>
      </c>
      <c r="G1005" s="36" t="s">
        <v>7788</v>
      </c>
      <c r="J1005" s="36" t="s">
        <v>27</v>
      </c>
      <c r="K1005" s="36" t="s">
        <v>4055</v>
      </c>
      <c r="N1005" s="160">
        <v>0</v>
      </c>
      <c r="O1005" s="131"/>
      <c r="P1005" s="132">
        <v>1</v>
      </c>
      <c r="Q1005" s="133"/>
      <c r="R1005" s="42">
        <v>1</v>
      </c>
      <c r="S1005" s="148"/>
      <c r="T1005" s="135"/>
      <c r="U1005" s="131"/>
      <c r="V1005" s="136"/>
      <c r="W1005" s="137"/>
      <c r="X1005" s="138"/>
      <c r="Y1005" s="42"/>
      <c r="Z1005" s="135"/>
      <c r="AA1005" s="139"/>
      <c r="AB1005" s="161" t="s">
        <v>6169</v>
      </c>
      <c r="AD1005" s="36" t="s">
        <v>5266</v>
      </c>
      <c r="AF1005" s="36" t="s">
        <v>7789</v>
      </c>
      <c r="AP1005" s="37"/>
      <c r="AQ1005" s="131"/>
      <c r="AR1005" s="132"/>
      <c r="AS1005" s="133"/>
      <c r="AT1005" s="42"/>
      <c r="AU1005" s="135"/>
      <c r="AV1005" s="131"/>
      <c r="AW1005" s="136"/>
      <c r="AX1005" s="137"/>
      <c r="AY1005" s="138"/>
      <c r="AZ1005" s="42"/>
      <c r="BA1005" s="135"/>
      <c r="BB1005" s="139"/>
    </row>
    <row r="1006" spans="1:58" ht="15" customHeight="1">
      <c r="A1006" s="166" t="s">
        <v>7675</v>
      </c>
      <c r="B1006" s="36" t="s">
        <v>7790</v>
      </c>
      <c r="C1006" s="41" t="s">
        <v>7677</v>
      </c>
      <c r="D1006" s="44">
        <v>29</v>
      </c>
      <c r="E1006" s="36">
        <v>2</v>
      </c>
      <c r="G1006" s="36" t="s">
        <v>7791</v>
      </c>
      <c r="J1006" s="36" t="s">
        <v>4111</v>
      </c>
      <c r="K1006" s="36" t="s">
        <v>4054</v>
      </c>
      <c r="N1006" s="160">
        <v>2</v>
      </c>
      <c r="O1006" s="131"/>
      <c r="P1006" s="132"/>
      <c r="Q1006" s="133"/>
      <c r="R1006" s="42">
        <v>1</v>
      </c>
      <c r="S1006" s="148"/>
      <c r="T1006" s="135"/>
      <c r="U1006" s="131"/>
      <c r="V1006" s="136"/>
      <c r="W1006" s="137"/>
      <c r="X1006" s="138"/>
      <c r="Y1006" s="42"/>
      <c r="Z1006" s="135"/>
      <c r="AA1006" s="139"/>
      <c r="AB1006" s="161" t="s">
        <v>4061</v>
      </c>
      <c r="AC1006" s="36" t="s">
        <v>4232</v>
      </c>
      <c r="AD1006" s="36" t="s">
        <v>4133</v>
      </c>
      <c r="AF1006" s="36" t="s">
        <v>7792</v>
      </c>
      <c r="AP1006" s="37"/>
      <c r="AQ1006" s="131"/>
      <c r="AR1006" s="132"/>
      <c r="AS1006" s="133"/>
      <c r="AT1006" s="42"/>
      <c r="AU1006" s="135"/>
      <c r="AV1006" s="131"/>
      <c r="AW1006" s="136"/>
      <c r="AX1006" s="137"/>
      <c r="AY1006" s="138"/>
      <c r="AZ1006" s="42"/>
      <c r="BA1006" s="135"/>
      <c r="BB1006" s="139"/>
    </row>
    <row r="1007" spans="1:58" ht="15" customHeight="1">
      <c r="A1007" s="166" t="s">
        <v>7675</v>
      </c>
      <c r="B1007" s="36" t="s">
        <v>7793</v>
      </c>
      <c r="C1007" s="41" t="s">
        <v>7677</v>
      </c>
      <c r="D1007" s="44">
        <v>30</v>
      </c>
      <c r="E1007" s="36">
        <v>2</v>
      </c>
      <c r="G1007" s="36" t="s">
        <v>7794</v>
      </c>
      <c r="H1007" s="36" t="s">
        <v>7795</v>
      </c>
      <c r="I1007" s="36" t="s">
        <v>4077</v>
      </c>
      <c r="J1007" s="36" t="s">
        <v>4111</v>
      </c>
      <c r="K1007" s="36" t="s">
        <v>4054</v>
      </c>
      <c r="N1007" s="160">
        <v>3</v>
      </c>
      <c r="O1007" s="131"/>
      <c r="P1007" s="132">
        <v>1</v>
      </c>
      <c r="Q1007" s="133"/>
      <c r="R1007" s="42"/>
      <c r="S1007" s="148"/>
      <c r="T1007" s="135"/>
      <c r="U1007" s="131"/>
      <c r="V1007" s="136"/>
      <c r="W1007" s="137"/>
      <c r="X1007" s="138"/>
      <c r="Y1007" s="42"/>
      <c r="Z1007" s="135"/>
      <c r="AA1007" s="139"/>
      <c r="AB1007" s="161" t="s">
        <v>4059</v>
      </c>
      <c r="AC1007" s="36" t="s">
        <v>4112</v>
      </c>
      <c r="AD1007" s="36" t="s">
        <v>7781</v>
      </c>
      <c r="AF1007" s="36" t="s">
        <v>7796</v>
      </c>
      <c r="AP1007" s="37"/>
      <c r="AQ1007" s="131"/>
      <c r="AR1007" s="132"/>
      <c r="AS1007" s="133"/>
      <c r="AT1007" s="42"/>
      <c r="AU1007" s="135"/>
      <c r="AV1007" s="131"/>
      <c r="AW1007" s="136"/>
      <c r="AX1007" s="137"/>
      <c r="AY1007" s="138"/>
      <c r="AZ1007" s="42"/>
      <c r="BA1007" s="135"/>
      <c r="BB1007" s="139"/>
    </row>
    <row r="1008" spans="1:58" ht="15" customHeight="1">
      <c r="A1008" s="166" t="s">
        <v>7675</v>
      </c>
      <c r="B1008" s="36" t="s">
        <v>7797</v>
      </c>
      <c r="C1008" s="41" t="s">
        <v>7677</v>
      </c>
      <c r="D1008" s="44">
        <v>31</v>
      </c>
      <c r="E1008" s="36">
        <v>2</v>
      </c>
      <c r="G1008" s="36" t="s">
        <v>7798</v>
      </c>
      <c r="J1008" s="36" t="s">
        <v>4111</v>
      </c>
      <c r="K1008" s="36" t="s">
        <v>4054</v>
      </c>
      <c r="L1008" s="36">
        <v>1</v>
      </c>
      <c r="N1008" s="160">
        <v>1</v>
      </c>
      <c r="O1008" s="131">
        <v>1</v>
      </c>
      <c r="P1008" s="132"/>
      <c r="Q1008" s="133"/>
      <c r="R1008" s="42"/>
      <c r="S1008" s="148"/>
      <c r="T1008" s="135"/>
      <c r="U1008" s="131"/>
      <c r="V1008" s="136"/>
      <c r="W1008" s="137"/>
      <c r="X1008" s="138"/>
      <c r="Y1008" s="42"/>
      <c r="Z1008" s="135"/>
      <c r="AA1008" s="139"/>
      <c r="AB1008" s="161" t="s">
        <v>4058</v>
      </c>
      <c r="AC1008" s="36" t="s">
        <v>4232</v>
      </c>
      <c r="AD1008" s="36" t="s">
        <v>7799</v>
      </c>
      <c r="AF1008" s="36" t="s">
        <v>7800</v>
      </c>
      <c r="AP1008" s="37"/>
      <c r="AQ1008" s="131"/>
      <c r="AR1008" s="132"/>
      <c r="AS1008" s="133"/>
      <c r="AT1008" s="42"/>
      <c r="AU1008" s="135"/>
      <c r="AV1008" s="131"/>
      <c r="AW1008" s="136"/>
      <c r="AX1008" s="137"/>
      <c r="AY1008" s="138"/>
      <c r="AZ1008" s="42"/>
      <c r="BA1008" s="135"/>
      <c r="BB1008" s="139"/>
    </row>
    <row r="1009" spans="1:59" ht="15" customHeight="1">
      <c r="A1009" s="166" t="s">
        <v>7675</v>
      </c>
      <c r="B1009" s="36" t="s">
        <v>7801</v>
      </c>
      <c r="C1009" s="41" t="s">
        <v>7677</v>
      </c>
      <c r="D1009" s="44">
        <v>32</v>
      </c>
      <c r="E1009" s="36">
        <v>2</v>
      </c>
      <c r="G1009" s="36" t="s">
        <v>7802</v>
      </c>
      <c r="J1009" s="36" t="s">
        <v>27</v>
      </c>
      <c r="K1009" s="36" t="s">
        <v>4054</v>
      </c>
      <c r="N1009" s="160">
        <v>1</v>
      </c>
      <c r="O1009" s="131">
        <v>1</v>
      </c>
      <c r="P1009" s="132"/>
      <c r="Q1009" s="133"/>
      <c r="R1009" s="42">
        <v>1</v>
      </c>
      <c r="S1009" s="148"/>
      <c r="T1009" s="135"/>
      <c r="U1009" s="131"/>
      <c r="V1009" s="136"/>
      <c r="W1009" s="137"/>
      <c r="X1009" s="138"/>
      <c r="Y1009" s="42"/>
      <c r="Z1009" s="135"/>
      <c r="AA1009" s="139"/>
      <c r="AB1009" s="161" t="s">
        <v>6042</v>
      </c>
      <c r="AD1009" s="36" t="s">
        <v>7803</v>
      </c>
      <c r="AF1009" s="36" t="s">
        <v>7804</v>
      </c>
      <c r="AP1009" s="37"/>
      <c r="AQ1009" s="131"/>
      <c r="AR1009" s="132"/>
      <c r="AS1009" s="133"/>
      <c r="AT1009" s="42"/>
      <c r="AU1009" s="135"/>
      <c r="AV1009" s="131"/>
      <c r="AW1009" s="136"/>
      <c r="AX1009" s="137"/>
      <c r="AY1009" s="138"/>
      <c r="AZ1009" s="42"/>
      <c r="BA1009" s="135"/>
      <c r="BB1009" s="139"/>
    </row>
    <row r="1010" spans="1:59" ht="15" customHeight="1">
      <c r="A1010" s="166" t="s">
        <v>7675</v>
      </c>
      <c r="B1010" s="36" t="s">
        <v>7805</v>
      </c>
      <c r="C1010" s="41" t="s">
        <v>7677</v>
      </c>
      <c r="D1010" s="44">
        <v>33</v>
      </c>
      <c r="E1010" s="36">
        <v>2</v>
      </c>
      <c r="G1010" s="36" t="s">
        <v>7806</v>
      </c>
      <c r="J1010" s="36" t="s">
        <v>27</v>
      </c>
      <c r="K1010" s="36" t="s">
        <v>4056</v>
      </c>
      <c r="N1010" s="160">
        <v>1</v>
      </c>
      <c r="O1010" s="131"/>
      <c r="P1010" s="132"/>
      <c r="Q1010" s="133"/>
      <c r="R1010" s="42"/>
      <c r="S1010" s="148"/>
      <c r="T1010" s="135"/>
      <c r="U1010" s="131"/>
      <c r="V1010" s="136"/>
      <c r="W1010" s="137"/>
      <c r="X1010" s="138"/>
      <c r="Y1010" s="42"/>
      <c r="Z1010" s="135"/>
      <c r="AA1010" s="139"/>
      <c r="AB1010" s="161"/>
      <c r="AD1010" s="36" t="s">
        <v>7807</v>
      </c>
      <c r="AF1010" s="36" t="s">
        <v>7808</v>
      </c>
      <c r="AP1010" s="37"/>
      <c r="AQ1010" s="131"/>
      <c r="AR1010" s="132"/>
      <c r="AS1010" s="133"/>
      <c r="AT1010" s="42"/>
      <c r="AU1010" s="135"/>
      <c r="AV1010" s="131"/>
      <c r="AW1010" s="136"/>
      <c r="AX1010" s="137"/>
      <c r="AY1010" s="138"/>
      <c r="AZ1010" s="42"/>
      <c r="BA1010" s="135"/>
      <c r="BB1010" s="139"/>
    </row>
    <row r="1011" spans="1:59" ht="15" customHeight="1">
      <c r="A1011" s="166" t="s">
        <v>7675</v>
      </c>
      <c r="B1011" s="36" t="s">
        <v>7809</v>
      </c>
      <c r="C1011" s="41" t="s">
        <v>7677</v>
      </c>
      <c r="D1011" s="44">
        <v>34</v>
      </c>
      <c r="E1011" s="36">
        <v>2</v>
      </c>
      <c r="G1011" s="36" t="s">
        <v>7810</v>
      </c>
      <c r="J1011" s="36" t="s">
        <v>27</v>
      </c>
      <c r="K1011" s="36" t="s">
        <v>4056</v>
      </c>
      <c r="N1011" s="160">
        <v>2</v>
      </c>
      <c r="O1011" s="131"/>
      <c r="P1011" s="132"/>
      <c r="Q1011" s="133"/>
      <c r="R1011" s="42">
        <v>2</v>
      </c>
      <c r="S1011" s="148"/>
      <c r="T1011" s="135"/>
      <c r="U1011" s="131"/>
      <c r="V1011" s="136"/>
      <c r="W1011" s="137"/>
      <c r="X1011" s="138"/>
      <c r="Y1011" s="42"/>
      <c r="Z1011" s="135"/>
      <c r="AA1011" s="139"/>
      <c r="AB1011" s="161" t="s">
        <v>4949</v>
      </c>
      <c r="AD1011" s="36" t="s">
        <v>4226</v>
      </c>
      <c r="AF1011" s="36" t="s">
        <v>7811</v>
      </c>
      <c r="AP1011" s="37"/>
      <c r="AQ1011" s="131"/>
      <c r="AR1011" s="132"/>
      <c r="AS1011" s="133"/>
      <c r="AT1011" s="42"/>
      <c r="AU1011" s="135"/>
      <c r="AV1011" s="131"/>
      <c r="AW1011" s="136"/>
      <c r="AX1011" s="137"/>
      <c r="AY1011" s="138"/>
      <c r="AZ1011" s="42"/>
      <c r="BA1011" s="135"/>
      <c r="BB1011" s="139"/>
    </row>
    <row r="1012" spans="1:59" ht="15" customHeight="1">
      <c r="A1012" s="166" t="s">
        <v>7675</v>
      </c>
      <c r="B1012" s="36" t="s">
        <v>7812</v>
      </c>
      <c r="C1012" s="41" t="s">
        <v>7677</v>
      </c>
      <c r="D1012" s="44">
        <v>35</v>
      </c>
      <c r="E1012" s="36">
        <v>2</v>
      </c>
      <c r="G1012" s="36" t="s">
        <v>7813</v>
      </c>
      <c r="H1012" s="36" t="s">
        <v>7814</v>
      </c>
      <c r="I1012" s="36" t="s">
        <v>4077</v>
      </c>
      <c r="J1012" s="36" t="s">
        <v>4111</v>
      </c>
      <c r="K1012" s="36" t="s">
        <v>4056</v>
      </c>
      <c r="L1012" s="36">
        <v>1</v>
      </c>
      <c r="N1012" s="160">
        <v>3</v>
      </c>
      <c r="O1012" s="131">
        <v>1</v>
      </c>
      <c r="P1012" s="132"/>
      <c r="Q1012" s="133"/>
      <c r="R1012" s="42"/>
      <c r="S1012" s="148"/>
      <c r="T1012" s="135">
        <v>2</v>
      </c>
      <c r="U1012" s="131">
        <v>2</v>
      </c>
      <c r="V1012" s="136"/>
      <c r="W1012" s="137"/>
      <c r="X1012" s="138"/>
      <c r="Y1012" s="42"/>
      <c r="Z1012" s="135"/>
      <c r="AA1012" s="139"/>
      <c r="AB1012" s="161" t="s">
        <v>4058</v>
      </c>
      <c r="AC1012" s="36" t="s">
        <v>25</v>
      </c>
      <c r="AD1012" s="36" t="s">
        <v>7711</v>
      </c>
      <c r="AF1012" s="36" t="s">
        <v>7815</v>
      </c>
      <c r="AP1012" s="37"/>
      <c r="AQ1012" s="131"/>
      <c r="AR1012" s="132"/>
      <c r="AS1012" s="133"/>
      <c r="AT1012" s="42"/>
      <c r="AU1012" s="135"/>
      <c r="AV1012" s="131"/>
      <c r="AW1012" s="136"/>
      <c r="AX1012" s="137"/>
      <c r="AY1012" s="138"/>
      <c r="AZ1012" s="42"/>
      <c r="BA1012" s="135"/>
      <c r="BB1012" s="139"/>
    </row>
    <row r="1013" spans="1:59" ht="15" customHeight="1">
      <c r="A1013" s="166" t="s">
        <v>7675</v>
      </c>
      <c r="B1013" s="36" t="s">
        <v>7816</v>
      </c>
      <c r="C1013" s="41" t="s">
        <v>7677</v>
      </c>
      <c r="D1013" s="44">
        <v>36</v>
      </c>
      <c r="E1013" s="36">
        <v>2</v>
      </c>
      <c r="G1013" s="36" t="s">
        <v>7817</v>
      </c>
      <c r="J1013" s="36" t="s">
        <v>4166</v>
      </c>
      <c r="K1013" s="36" t="s">
        <v>4056</v>
      </c>
      <c r="N1013" s="160"/>
      <c r="O1013" s="131"/>
      <c r="P1013" s="132"/>
      <c r="Q1013" s="133"/>
      <c r="R1013" s="42"/>
      <c r="S1013" s="148">
        <v>5</v>
      </c>
      <c r="T1013" s="135"/>
      <c r="U1013" s="131"/>
      <c r="V1013" s="136"/>
      <c r="W1013" s="137"/>
      <c r="X1013" s="138"/>
      <c r="Y1013" s="42"/>
      <c r="Z1013" s="135"/>
      <c r="AA1013" s="139"/>
      <c r="AB1013" s="161" t="s">
        <v>7818</v>
      </c>
      <c r="AD1013" s="36" t="s">
        <v>6457</v>
      </c>
      <c r="AF1013" s="36" t="s">
        <v>7819</v>
      </c>
      <c r="AP1013" s="37"/>
      <c r="AQ1013" s="131"/>
      <c r="AR1013" s="132"/>
      <c r="AS1013" s="133"/>
      <c r="AT1013" s="42"/>
      <c r="AU1013" s="135"/>
      <c r="AV1013" s="131"/>
      <c r="AW1013" s="136"/>
      <c r="AX1013" s="137"/>
      <c r="AY1013" s="138"/>
      <c r="AZ1013" s="42"/>
      <c r="BA1013" s="135"/>
      <c r="BB1013" s="139"/>
    </row>
    <row r="1014" spans="1:59" ht="15" customHeight="1">
      <c r="A1014" s="166" t="s">
        <v>7675</v>
      </c>
      <c r="B1014" s="36" t="s">
        <v>7820</v>
      </c>
      <c r="C1014" s="41" t="s">
        <v>7677</v>
      </c>
      <c r="D1014" s="44">
        <v>37</v>
      </c>
      <c r="E1014" s="36">
        <v>2</v>
      </c>
      <c r="G1014" s="36" t="s">
        <v>7821</v>
      </c>
      <c r="J1014" s="36" t="s">
        <v>4111</v>
      </c>
      <c r="K1014" s="36" t="s">
        <v>26</v>
      </c>
      <c r="N1014" s="160">
        <v>2</v>
      </c>
      <c r="O1014" s="131"/>
      <c r="P1014" s="132"/>
      <c r="Q1014" s="133"/>
      <c r="R1014" s="42">
        <v>1</v>
      </c>
      <c r="S1014" s="148"/>
      <c r="T1014" s="135"/>
      <c r="U1014" s="131"/>
      <c r="V1014" s="136"/>
      <c r="W1014" s="137"/>
      <c r="X1014" s="138"/>
      <c r="Y1014" s="42"/>
      <c r="Z1014" s="135"/>
      <c r="AA1014" s="139"/>
      <c r="AB1014" s="161" t="s">
        <v>4061</v>
      </c>
      <c r="AC1014" s="36" t="s">
        <v>4247</v>
      </c>
      <c r="AD1014" s="36" t="s">
        <v>4119</v>
      </c>
      <c r="AF1014" s="36" t="s">
        <v>7822</v>
      </c>
      <c r="AP1014" s="37"/>
      <c r="AQ1014" s="131"/>
      <c r="AR1014" s="132"/>
      <c r="AS1014" s="133"/>
      <c r="AT1014" s="42"/>
      <c r="AU1014" s="135"/>
      <c r="AV1014" s="131"/>
      <c r="AW1014" s="136"/>
      <c r="AX1014" s="137"/>
      <c r="AY1014" s="138"/>
      <c r="AZ1014" s="42"/>
      <c r="BA1014" s="135"/>
      <c r="BB1014" s="139"/>
    </row>
    <row r="1015" spans="1:59" ht="15" customHeight="1">
      <c r="A1015" s="166" t="s">
        <v>7675</v>
      </c>
      <c r="B1015" s="36" t="s">
        <v>7823</v>
      </c>
      <c r="C1015" s="41" t="s">
        <v>7677</v>
      </c>
      <c r="D1015" s="44">
        <v>38</v>
      </c>
      <c r="E1015" s="36">
        <v>1</v>
      </c>
      <c r="G1015" s="36" t="s">
        <v>7824</v>
      </c>
      <c r="J1015" s="36" t="s">
        <v>27</v>
      </c>
      <c r="K1015" s="36" t="s">
        <v>26</v>
      </c>
      <c r="M1015" s="36" t="s">
        <v>4545</v>
      </c>
      <c r="N1015" s="160">
        <v>2</v>
      </c>
      <c r="O1015" s="131"/>
      <c r="P1015" s="132"/>
      <c r="Q1015" s="133"/>
      <c r="R1015" s="42"/>
      <c r="S1015" s="148"/>
      <c r="T1015" s="135"/>
      <c r="U1015" s="131"/>
      <c r="V1015" s="136"/>
      <c r="W1015" s="137"/>
      <c r="X1015" s="138"/>
      <c r="Y1015" s="42"/>
      <c r="Z1015" s="135"/>
      <c r="AA1015" s="139"/>
      <c r="AB1015" s="161"/>
      <c r="AD1015" s="36" t="s">
        <v>4699</v>
      </c>
      <c r="AE1015" s="36"/>
      <c r="AF1015" s="36" t="s">
        <v>7825</v>
      </c>
      <c r="AP1015" s="37"/>
      <c r="AQ1015" s="131"/>
      <c r="AR1015" s="132"/>
      <c r="AS1015" s="133"/>
      <c r="AT1015" s="42"/>
      <c r="AU1015" s="135"/>
      <c r="AV1015" s="131"/>
      <c r="AW1015" s="136"/>
      <c r="AX1015" s="137"/>
      <c r="AY1015" s="138"/>
      <c r="AZ1015" s="42"/>
      <c r="BA1015" s="135"/>
      <c r="BB1015" s="139"/>
    </row>
    <row r="1016" spans="1:59" ht="15" customHeight="1">
      <c r="A1016" s="166" t="s">
        <v>7675</v>
      </c>
      <c r="B1016" s="36" t="s">
        <v>7826</v>
      </c>
      <c r="C1016" s="41" t="s">
        <v>7677</v>
      </c>
      <c r="D1016" s="44">
        <v>39</v>
      </c>
      <c r="E1016" s="36">
        <v>1</v>
      </c>
      <c r="G1016" s="36" t="s">
        <v>6289</v>
      </c>
      <c r="J1016" s="36" t="s">
        <v>28</v>
      </c>
      <c r="K1016" s="36" t="s">
        <v>26</v>
      </c>
      <c r="M1016" s="36" t="s">
        <v>4502</v>
      </c>
      <c r="N1016" s="160"/>
      <c r="O1016" s="131"/>
      <c r="P1016" s="132"/>
      <c r="Q1016" s="133"/>
      <c r="R1016" s="42"/>
      <c r="S1016" s="148"/>
      <c r="T1016" s="135"/>
      <c r="U1016" s="131"/>
      <c r="V1016" s="136"/>
      <c r="W1016" s="137"/>
      <c r="X1016" s="138"/>
      <c r="Y1016" s="42"/>
      <c r="Z1016" s="135"/>
      <c r="AA1016" s="139"/>
      <c r="AB1016" s="161"/>
      <c r="AD1016" s="36" t="s">
        <v>4699</v>
      </c>
      <c r="AF1016" s="36" t="s">
        <v>7827</v>
      </c>
      <c r="AP1016" s="37"/>
      <c r="AQ1016" s="131"/>
      <c r="AR1016" s="132"/>
      <c r="AS1016" s="133"/>
      <c r="AT1016" s="42"/>
      <c r="AU1016" s="135"/>
      <c r="AV1016" s="131"/>
      <c r="AW1016" s="136"/>
      <c r="AX1016" s="137"/>
      <c r="AY1016" s="138"/>
      <c r="AZ1016" s="42"/>
      <c r="BA1016" s="135"/>
      <c r="BB1016" s="139"/>
    </row>
    <row r="1017" spans="1:59" ht="15" customHeight="1">
      <c r="A1017" s="166" t="s">
        <v>7675</v>
      </c>
      <c r="B1017" s="36" t="s">
        <v>7828</v>
      </c>
      <c r="C1017" s="41" t="s">
        <v>7677</v>
      </c>
      <c r="D1017" s="44">
        <v>40</v>
      </c>
      <c r="E1017" s="36">
        <v>1</v>
      </c>
      <c r="G1017" s="36" t="s">
        <v>7829</v>
      </c>
      <c r="J1017" s="36" t="s">
        <v>28</v>
      </c>
      <c r="K1017" s="36" t="s">
        <v>26</v>
      </c>
      <c r="M1017" s="36" t="s">
        <v>4545</v>
      </c>
      <c r="N1017" s="160"/>
      <c r="O1017" s="131"/>
      <c r="P1017" s="132"/>
      <c r="Q1017" s="133"/>
      <c r="R1017" s="42"/>
      <c r="S1017" s="148"/>
      <c r="T1017" s="135"/>
      <c r="U1017" s="131"/>
      <c r="V1017" s="136"/>
      <c r="W1017" s="137"/>
      <c r="X1017" s="138"/>
      <c r="Y1017" s="42"/>
      <c r="Z1017" s="135"/>
      <c r="AA1017" s="139"/>
      <c r="AB1017" s="161"/>
      <c r="AD1017" s="36" t="s">
        <v>4293</v>
      </c>
      <c r="AF1017" s="36" t="s">
        <v>7830</v>
      </c>
      <c r="AP1017" s="37"/>
      <c r="AQ1017" s="131"/>
      <c r="AR1017" s="132"/>
      <c r="AS1017" s="133"/>
      <c r="AT1017" s="42"/>
      <c r="AU1017" s="135"/>
      <c r="AV1017" s="131"/>
      <c r="AW1017" s="136"/>
      <c r="AX1017" s="137"/>
      <c r="AY1017" s="138"/>
      <c r="AZ1017" s="42"/>
      <c r="BA1017" s="135"/>
      <c r="BB1017" s="139"/>
    </row>
    <row r="1018" spans="1:59" ht="15" customHeight="1">
      <c r="A1018" s="166" t="s">
        <v>7675</v>
      </c>
      <c r="B1018" s="36" t="s">
        <v>7831</v>
      </c>
      <c r="C1018" s="41" t="s">
        <v>7677</v>
      </c>
      <c r="D1018" s="44">
        <v>41</v>
      </c>
      <c r="E1018" s="36">
        <v>1</v>
      </c>
      <c r="G1018" s="36" t="s">
        <v>7832</v>
      </c>
      <c r="J1018" s="36" t="s">
        <v>28</v>
      </c>
      <c r="K1018" s="36" t="s">
        <v>26</v>
      </c>
      <c r="M1018" s="36" t="s">
        <v>4502</v>
      </c>
      <c r="N1018" s="160"/>
      <c r="O1018" s="131"/>
      <c r="P1018" s="132"/>
      <c r="Q1018" s="133"/>
      <c r="R1018" s="42"/>
      <c r="S1018" s="148"/>
      <c r="T1018" s="135"/>
      <c r="U1018" s="131"/>
      <c r="V1018" s="136"/>
      <c r="W1018" s="137"/>
      <c r="X1018" s="138"/>
      <c r="Y1018" s="42"/>
      <c r="Z1018" s="135"/>
      <c r="AA1018" s="139"/>
      <c r="AB1018" s="161"/>
      <c r="AD1018" s="36" t="s">
        <v>4293</v>
      </c>
      <c r="AF1018" s="36" t="s">
        <v>7833</v>
      </c>
      <c r="AP1018" s="37"/>
      <c r="AQ1018" s="131"/>
      <c r="AR1018" s="132"/>
      <c r="AS1018" s="133"/>
      <c r="AT1018" s="42"/>
      <c r="AU1018" s="135"/>
      <c r="AV1018" s="131"/>
      <c r="AW1018" s="136"/>
      <c r="AX1018" s="137"/>
      <c r="AY1018" s="138"/>
      <c r="AZ1018" s="42"/>
      <c r="BA1018" s="135"/>
      <c r="BB1018" s="139"/>
    </row>
    <row r="1019" spans="1:59" ht="15" customHeight="1">
      <c r="A1019" s="166" t="s">
        <v>7675</v>
      </c>
      <c r="B1019" s="43" t="s">
        <v>7834</v>
      </c>
      <c r="C1019" s="41" t="s">
        <v>7677</v>
      </c>
      <c r="D1019" s="44">
        <v>42</v>
      </c>
      <c r="E1019" s="36">
        <v>1</v>
      </c>
      <c r="G1019" s="36" t="s">
        <v>7835</v>
      </c>
      <c r="J1019" s="36" t="s">
        <v>28</v>
      </c>
      <c r="K1019" s="36" t="s">
        <v>26</v>
      </c>
      <c r="M1019" s="36" t="s">
        <v>4502</v>
      </c>
      <c r="N1019" s="160"/>
      <c r="O1019" s="131"/>
      <c r="P1019" s="132"/>
      <c r="Q1019" s="133"/>
      <c r="R1019" s="42"/>
      <c r="S1019" s="148"/>
      <c r="T1019" s="135"/>
      <c r="U1019" s="131"/>
      <c r="V1019" s="136"/>
      <c r="W1019" s="137"/>
      <c r="X1019" s="138"/>
      <c r="Y1019" s="42"/>
      <c r="Z1019" s="135"/>
      <c r="AA1019" s="139"/>
      <c r="AB1019" s="161"/>
      <c r="AD1019" s="36" t="s">
        <v>4293</v>
      </c>
      <c r="AF1019" s="36" t="s">
        <v>7836</v>
      </c>
      <c r="AP1019" s="37"/>
      <c r="AQ1019" s="131"/>
      <c r="AR1019" s="132"/>
      <c r="AS1019" s="133"/>
      <c r="AT1019" s="42"/>
      <c r="AU1019" s="135"/>
      <c r="AV1019" s="131"/>
      <c r="AW1019" s="136"/>
      <c r="AX1019" s="137"/>
      <c r="AY1019" s="138"/>
      <c r="AZ1019" s="42"/>
      <c r="BA1019" s="135"/>
      <c r="BB1019" s="139"/>
    </row>
    <row r="1020" spans="1:59" ht="15" customHeight="1">
      <c r="A1020" s="166" t="s">
        <v>7675</v>
      </c>
      <c r="B1020" s="36" t="s">
        <v>7837</v>
      </c>
      <c r="C1020" s="41" t="s">
        <v>7677</v>
      </c>
      <c r="D1020" s="44">
        <v>43</v>
      </c>
      <c r="E1020" s="36">
        <v>1</v>
      </c>
      <c r="F1020" s="36" t="s">
        <v>7838</v>
      </c>
      <c r="G1020" s="36" t="s">
        <v>7838</v>
      </c>
      <c r="H1020" s="36" t="s">
        <v>4563</v>
      </c>
      <c r="J1020" s="36" t="s">
        <v>4472</v>
      </c>
      <c r="K1020" s="36" t="s">
        <v>6280</v>
      </c>
      <c r="N1020" s="37"/>
      <c r="O1020" s="131"/>
      <c r="P1020" s="132"/>
      <c r="Q1020" s="133"/>
      <c r="R1020" s="42"/>
      <c r="S1020" s="148"/>
      <c r="T1020" s="135"/>
      <c r="U1020" s="131"/>
      <c r="V1020" s="136"/>
      <c r="W1020" s="137"/>
      <c r="X1020" s="138"/>
      <c r="Y1020" s="42"/>
      <c r="Z1020" s="135"/>
      <c r="AA1020" s="139"/>
      <c r="AB1020" s="56"/>
      <c r="AF1020" s="36" t="s">
        <v>7839</v>
      </c>
      <c r="AI1020" s="41" t="s">
        <v>7838</v>
      </c>
      <c r="AJ1020" s="41" t="s">
        <v>4564</v>
      </c>
      <c r="AL1020" s="36" t="s">
        <v>4472</v>
      </c>
      <c r="AM1020" s="36" t="s">
        <v>6280</v>
      </c>
      <c r="AO1020" s="37"/>
      <c r="AP1020" s="36"/>
      <c r="AQ1020" s="142"/>
      <c r="AR1020" s="143"/>
      <c r="AS1020" s="144"/>
      <c r="AT1020" s="42"/>
      <c r="AU1020" s="135"/>
      <c r="AV1020" s="142"/>
      <c r="AW1020" s="149"/>
      <c r="AX1020" s="150"/>
      <c r="AY1020" s="147"/>
      <c r="AZ1020" s="42"/>
      <c r="BA1020" s="135"/>
      <c r="BB1020" s="148"/>
      <c r="BE1020" s="37"/>
      <c r="BF1020" s="36"/>
      <c r="BG1020" s="36" t="s">
        <v>7840</v>
      </c>
    </row>
    <row r="1021" spans="1:59" ht="15" customHeight="1">
      <c r="A1021" s="166" t="s">
        <v>7675</v>
      </c>
      <c r="B1021" s="36" t="s">
        <v>7841</v>
      </c>
      <c r="C1021" s="41" t="s">
        <v>7677</v>
      </c>
      <c r="D1021" s="44">
        <v>44</v>
      </c>
      <c r="E1021" s="36">
        <v>1</v>
      </c>
      <c r="F1021" s="36" t="s">
        <v>7838</v>
      </c>
      <c r="G1021" s="36" t="s">
        <v>7842</v>
      </c>
      <c r="J1021" s="36" t="s">
        <v>4473</v>
      </c>
      <c r="K1021" s="36" t="s">
        <v>6280</v>
      </c>
      <c r="L1021" s="36">
        <v>1</v>
      </c>
      <c r="N1021" s="160"/>
      <c r="O1021" s="131"/>
      <c r="P1021" s="132"/>
      <c r="Q1021" s="133"/>
      <c r="R1021" s="42"/>
      <c r="S1021" s="148"/>
      <c r="T1021" s="135"/>
      <c r="U1021" s="131"/>
      <c r="V1021" s="136"/>
      <c r="W1021" s="137"/>
      <c r="X1021" s="138"/>
      <c r="Y1021" s="42"/>
      <c r="Z1021" s="135">
        <v>6</v>
      </c>
      <c r="AA1021" s="139"/>
      <c r="AB1021" s="161"/>
      <c r="AF1021" s="36" t="s">
        <v>7843</v>
      </c>
      <c r="AI1021" s="36" t="s">
        <v>7844</v>
      </c>
      <c r="AL1021" s="36" t="s">
        <v>4473</v>
      </c>
      <c r="AM1021" s="36" t="s">
        <v>6280</v>
      </c>
      <c r="AN1021" s="36">
        <v>1</v>
      </c>
      <c r="AP1021" s="37"/>
      <c r="AQ1021" s="131"/>
      <c r="AR1021" s="132"/>
      <c r="AS1021" s="133"/>
      <c r="AT1021" s="42"/>
      <c r="AU1021" s="135"/>
      <c r="AV1021" s="131"/>
      <c r="AW1021" s="136"/>
      <c r="AX1021" s="137"/>
      <c r="AY1021" s="138"/>
      <c r="AZ1021" s="42"/>
      <c r="BA1021" s="135"/>
      <c r="BB1021" s="139"/>
      <c r="BG1021" s="36" t="s">
        <v>7845</v>
      </c>
    </row>
    <row r="1022" spans="1:59" ht="15" customHeight="1">
      <c r="A1022" s="166" t="s">
        <v>7675</v>
      </c>
      <c r="B1022" s="36" t="s">
        <v>7846</v>
      </c>
      <c r="C1022" s="41" t="s">
        <v>7677</v>
      </c>
      <c r="D1022" s="44">
        <v>45</v>
      </c>
      <c r="E1022" s="36">
        <v>1</v>
      </c>
      <c r="F1022" s="36" t="s">
        <v>7838</v>
      </c>
      <c r="G1022" s="36" t="s">
        <v>7847</v>
      </c>
      <c r="J1022" s="36" t="s">
        <v>4473</v>
      </c>
      <c r="K1022" s="36" t="s">
        <v>6280</v>
      </c>
      <c r="L1022" s="36">
        <v>2</v>
      </c>
      <c r="N1022" s="160"/>
      <c r="O1022" s="131"/>
      <c r="P1022" s="132"/>
      <c r="Q1022" s="133"/>
      <c r="R1022" s="42"/>
      <c r="S1022" s="148"/>
      <c r="T1022" s="135"/>
      <c r="U1022" s="131"/>
      <c r="V1022" s="136"/>
      <c r="W1022" s="137"/>
      <c r="X1022" s="138"/>
      <c r="Y1022" s="42"/>
      <c r="Z1022" s="135">
        <v>9</v>
      </c>
      <c r="AA1022" s="139"/>
      <c r="AB1022" s="161"/>
      <c r="AF1022" s="36" t="s">
        <v>7843</v>
      </c>
      <c r="AI1022" s="36" t="s">
        <v>7848</v>
      </c>
      <c r="AL1022" s="36" t="s">
        <v>4473</v>
      </c>
      <c r="AM1022" s="36" t="s">
        <v>6280</v>
      </c>
      <c r="AN1022" s="36">
        <v>2</v>
      </c>
      <c r="AP1022" s="37"/>
      <c r="AQ1022" s="131"/>
      <c r="AR1022" s="132"/>
      <c r="AS1022" s="133"/>
      <c r="AT1022" s="42"/>
      <c r="AU1022" s="135"/>
      <c r="AV1022" s="131"/>
      <c r="AW1022" s="136"/>
      <c r="AX1022" s="137"/>
      <c r="AY1022" s="138"/>
      <c r="AZ1022" s="42"/>
      <c r="BA1022" s="135"/>
      <c r="BB1022" s="139"/>
      <c r="BG1022" s="36" t="s">
        <v>7849</v>
      </c>
    </row>
    <row r="1023" spans="1:59" ht="15" customHeight="1">
      <c r="A1023" s="166" t="s">
        <v>7675</v>
      </c>
      <c r="B1023" s="36" t="s">
        <v>7850</v>
      </c>
      <c r="C1023" s="41" t="s">
        <v>7677</v>
      </c>
      <c r="D1023" s="44">
        <v>46</v>
      </c>
      <c r="E1023" s="36">
        <v>1</v>
      </c>
      <c r="F1023" s="36" t="s">
        <v>7838</v>
      </c>
      <c r="G1023" s="36" t="s">
        <v>7851</v>
      </c>
      <c r="J1023" s="36" t="s">
        <v>4475</v>
      </c>
      <c r="K1023" s="36" t="s">
        <v>6280</v>
      </c>
      <c r="L1023" s="36">
        <v>1</v>
      </c>
      <c r="N1023" s="160"/>
      <c r="O1023" s="131"/>
      <c r="P1023" s="132"/>
      <c r="Q1023" s="133"/>
      <c r="R1023" s="42"/>
      <c r="S1023" s="148"/>
      <c r="T1023" s="135"/>
      <c r="U1023" s="131"/>
      <c r="V1023" s="136"/>
      <c r="W1023" s="137"/>
      <c r="X1023" s="138"/>
      <c r="Y1023" s="42" t="s">
        <v>4966</v>
      </c>
      <c r="Z1023" s="135"/>
      <c r="AA1023" s="139"/>
      <c r="AB1023" s="161"/>
      <c r="AF1023" s="36" t="s">
        <v>7852</v>
      </c>
      <c r="AI1023" s="36" t="s">
        <v>7853</v>
      </c>
      <c r="AL1023" s="36" t="s">
        <v>4475</v>
      </c>
      <c r="AM1023" s="36" t="s">
        <v>6280</v>
      </c>
      <c r="AN1023" s="36">
        <v>1</v>
      </c>
      <c r="AP1023" s="37"/>
      <c r="AQ1023" s="131"/>
      <c r="AR1023" s="132"/>
      <c r="AS1023" s="133"/>
      <c r="AT1023" s="42"/>
      <c r="AU1023" s="135"/>
      <c r="AV1023" s="131"/>
      <c r="AW1023" s="136"/>
      <c r="AX1023" s="137"/>
      <c r="AY1023" s="138"/>
      <c r="AZ1023" s="42"/>
      <c r="BA1023" s="135"/>
      <c r="BB1023" s="139"/>
      <c r="BG1023" s="36" t="s">
        <v>7854</v>
      </c>
    </row>
    <row r="1024" spans="1:59" ht="15" customHeight="1">
      <c r="A1024" s="166" t="s">
        <v>7675</v>
      </c>
      <c r="B1024" s="36" t="s">
        <v>7855</v>
      </c>
      <c r="C1024" s="41" t="s">
        <v>7677</v>
      </c>
      <c r="D1024" s="44">
        <v>47</v>
      </c>
      <c r="E1024" s="36">
        <v>1</v>
      </c>
      <c r="F1024" s="36" t="s">
        <v>7838</v>
      </c>
      <c r="G1024" s="36" t="s">
        <v>7856</v>
      </c>
      <c r="J1024" s="36" t="s">
        <v>4475</v>
      </c>
      <c r="K1024" s="36" t="s">
        <v>6280</v>
      </c>
      <c r="L1024" s="36">
        <v>2</v>
      </c>
      <c r="N1024" s="160"/>
      <c r="O1024" s="131"/>
      <c r="P1024" s="132"/>
      <c r="Q1024" s="133"/>
      <c r="R1024" s="42"/>
      <c r="S1024" s="148"/>
      <c r="T1024" s="135"/>
      <c r="U1024" s="131"/>
      <c r="V1024" s="136"/>
      <c r="W1024" s="137"/>
      <c r="X1024" s="138"/>
      <c r="Y1024" s="42" t="s">
        <v>38</v>
      </c>
      <c r="Z1024" s="135"/>
      <c r="AA1024" s="139"/>
      <c r="AB1024" s="161"/>
      <c r="AF1024" s="36" t="s">
        <v>7857</v>
      </c>
      <c r="AI1024" s="36" t="s">
        <v>7858</v>
      </c>
      <c r="AL1024" s="36" t="s">
        <v>4475</v>
      </c>
      <c r="AM1024" s="36" t="s">
        <v>6280</v>
      </c>
      <c r="AN1024" s="36">
        <v>2</v>
      </c>
      <c r="AP1024" s="37"/>
      <c r="AQ1024" s="131"/>
      <c r="AR1024" s="132"/>
      <c r="AS1024" s="133"/>
      <c r="AT1024" s="42"/>
      <c r="AU1024" s="135"/>
      <c r="AV1024" s="131"/>
      <c r="AW1024" s="136"/>
      <c r="AX1024" s="137"/>
      <c r="AY1024" s="138"/>
      <c r="AZ1024" s="42"/>
      <c r="BA1024" s="135"/>
      <c r="BB1024" s="139"/>
      <c r="BG1024" s="36" t="s">
        <v>7859</v>
      </c>
    </row>
    <row r="1025" spans="1:59" ht="15" customHeight="1">
      <c r="A1025" s="166" t="s">
        <v>7675</v>
      </c>
      <c r="B1025" s="36" t="s">
        <v>7860</v>
      </c>
      <c r="C1025" s="41" t="s">
        <v>7677</v>
      </c>
      <c r="D1025" s="44">
        <v>48</v>
      </c>
      <c r="E1025" s="36">
        <v>1</v>
      </c>
      <c r="F1025" s="36" t="s">
        <v>7838</v>
      </c>
      <c r="G1025" s="36" t="s">
        <v>7861</v>
      </c>
      <c r="J1025" s="36" t="s">
        <v>4475</v>
      </c>
      <c r="K1025" s="36" t="s">
        <v>6280</v>
      </c>
      <c r="L1025" s="36">
        <v>3</v>
      </c>
      <c r="N1025" s="160"/>
      <c r="O1025" s="131"/>
      <c r="P1025" s="132"/>
      <c r="Q1025" s="133"/>
      <c r="R1025" s="42"/>
      <c r="S1025" s="148"/>
      <c r="T1025" s="135"/>
      <c r="U1025" s="131"/>
      <c r="V1025" s="136"/>
      <c r="W1025" s="137"/>
      <c r="X1025" s="138"/>
      <c r="Y1025" s="42" t="s">
        <v>4965</v>
      </c>
      <c r="Z1025" s="135"/>
      <c r="AA1025" s="139"/>
      <c r="AB1025" s="161"/>
      <c r="AF1025" s="36" t="s">
        <v>7862</v>
      </c>
      <c r="AI1025" s="36" t="s">
        <v>7863</v>
      </c>
      <c r="AL1025" s="36" t="s">
        <v>4475</v>
      </c>
      <c r="AM1025" s="36" t="s">
        <v>6280</v>
      </c>
      <c r="AN1025" s="36">
        <v>3</v>
      </c>
      <c r="AP1025" s="37"/>
      <c r="AQ1025" s="131"/>
      <c r="AR1025" s="132"/>
      <c r="AS1025" s="133"/>
      <c r="AT1025" s="42"/>
      <c r="AU1025" s="135"/>
      <c r="AV1025" s="131"/>
      <c r="AW1025" s="136"/>
      <c r="AX1025" s="137"/>
      <c r="AY1025" s="138"/>
      <c r="AZ1025" s="42"/>
      <c r="BA1025" s="135"/>
      <c r="BB1025" s="139"/>
      <c r="BG1025" s="36" t="s">
        <v>7864</v>
      </c>
    </row>
    <row r="1026" spans="1:59" ht="15" customHeight="1">
      <c r="A1026" s="166" t="s">
        <v>7675</v>
      </c>
      <c r="B1026" s="36" t="s">
        <v>7865</v>
      </c>
      <c r="C1026" s="41" t="s">
        <v>7677</v>
      </c>
      <c r="D1026" s="44">
        <v>49</v>
      </c>
      <c r="E1026" s="36">
        <v>1</v>
      </c>
      <c r="F1026" s="36" t="s">
        <v>7838</v>
      </c>
      <c r="G1026" s="36" t="s">
        <v>7866</v>
      </c>
      <c r="J1026" s="36" t="s">
        <v>4475</v>
      </c>
      <c r="K1026" s="36" t="s">
        <v>6280</v>
      </c>
      <c r="L1026" s="36">
        <v>3</v>
      </c>
      <c r="N1026" s="160"/>
      <c r="O1026" s="131"/>
      <c r="P1026" s="132"/>
      <c r="Q1026" s="133"/>
      <c r="R1026" s="42"/>
      <c r="S1026" s="148"/>
      <c r="T1026" s="135"/>
      <c r="U1026" s="131"/>
      <c r="V1026" s="136"/>
      <c r="W1026" s="137"/>
      <c r="X1026" s="138"/>
      <c r="Y1026" s="42" t="s">
        <v>4965</v>
      </c>
      <c r="Z1026" s="135"/>
      <c r="AA1026" s="139"/>
      <c r="AB1026" s="161"/>
      <c r="AF1026" s="36" t="s">
        <v>7867</v>
      </c>
      <c r="AI1026" s="36" t="s">
        <v>7863</v>
      </c>
      <c r="AL1026" s="36" t="s">
        <v>4475</v>
      </c>
      <c r="AM1026" s="36" t="s">
        <v>6280</v>
      </c>
      <c r="AN1026" s="36">
        <v>3</v>
      </c>
      <c r="AP1026" s="37"/>
      <c r="AQ1026" s="131"/>
      <c r="AR1026" s="132"/>
      <c r="AS1026" s="133"/>
      <c r="AT1026" s="42"/>
      <c r="AU1026" s="135"/>
      <c r="AV1026" s="131"/>
      <c r="AW1026" s="136"/>
      <c r="AX1026" s="137"/>
      <c r="AY1026" s="138"/>
      <c r="AZ1026" s="42"/>
      <c r="BA1026" s="135"/>
      <c r="BB1026" s="139"/>
      <c r="BG1026" s="36" t="s">
        <v>7868</v>
      </c>
    </row>
    <row r="1027" spans="1:59" ht="15" customHeight="1">
      <c r="A1027" s="166" t="s">
        <v>7675</v>
      </c>
      <c r="B1027" s="36" t="s">
        <v>7869</v>
      </c>
      <c r="C1027" s="41" t="s">
        <v>7677</v>
      </c>
      <c r="D1027" s="37">
        <v>50</v>
      </c>
      <c r="E1027" s="36">
        <v>1</v>
      </c>
      <c r="F1027" s="36" t="s">
        <v>7838</v>
      </c>
      <c r="G1027" s="36" t="s">
        <v>7870</v>
      </c>
      <c r="J1027" s="36" t="s">
        <v>31</v>
      </c>
      <c r="K1027" s="36" t="s">
        <v>6280</v>
      </c>
      <c r="N1027" s="160"/>
      <c r="O1027" s="131"/>
      <c r="P1027" s="132"/>
      <c r="Q1027" s="133"/>
      <c r="R1027" s="42"/>
      <c r="S1027" s="148"/>
      <c r="T1027" s="135"/>
      <c r="U1027" s="131"/>
      <c r="V1027" s="136"/>
      <c r="W1027" s="137"/>
      <c r="X1027" s="138"/>
      <c r="Y1027" s="42"/>
      <c r="Z1027" s="135"/>
      <c r="AA1027" s="139"/>
      <c r="AB1027" s="161"/>
      <c r="AD1027" s="36" t="s">
        <v>7871</v>
      </c>
      <c r="AI1027" s="36" t="s">
        <v>7870</v>
      </c>
      <c r="AL1027" s="36" t="s">
        <v>31</v>
      </c>
      <c r="AM1027" s="36" t="s">
        <v>6280</v>
      </c>
      <c r="AP1027" s="37"/>
      <c r="AQ1027" s="131"/>
      <c r="AR1027" s="132"/>
      <c r="AS1027" s="133"/>
      <c r="AT1027" s="42"/>
      <c r="AU1027" s="135"/>
      <c r="AV1027" s="131"/>
      <c r="AW1027" s="136"/>
      <c r="AX1027" s="137"/>
      <c r="AY1027" s="138">
        <v>1</v>
      </c>
      <c r="AZ1027" s="42">
        <v>0</v>
      </c>
      <c r="BA1027" s="135"/>
      <c r="BB1027" s="139"/>
      <c r="BE1027" s="36" t="s">
        <v>7871</v>
      </c>
      <c r="BG1027" s="36" t="s">
        <v>7872</v>
      </c>
    </row>
    <row r="1028" spans="1:59" ht="15" customHeight="1">
      <c r="A1028" s="166" t="s">
        <v>7675</v>
      </c>
      <c r="B1028" s="36" t="s">
        <v>7873</v>
      </c>
      <c r="C1028" s="41" t="s">
        <v>7677</v>
      </c>
      <c r="D1028" s="37">
        <v>51</v>
      </c>
      <c r="E1028" s="36">
        <v>1</v>
      </c>
      <c r="F1028" s="36" t="s">
        <v>7838</v>
      </c>
      <c r="G1028" s="36" t="s">
        <v>7874</v>
      </c>
      <c r="H1028" s="36" t="s">
        <v>7875</v>
      </c>
      <c r="I1028" s="36" t="s">
        <v>4077</v>
      </c>
      <c r="J1028" s="36" t="s">
        <v>4111</v>
      </c>
      <c r="K1028" s="36" t="s">
        <v>26</v>
      </c>
      <c r="N1028" s="160">
        <v>2</v>
      </c>
      <c r="O1028" s="131">
        <v>1</v>
      </c>
      <c r="P1028" s="132">
        <v>1</v>
      </c>
      <c r="Q1028" s="133"/>
      <c r="R1028" s="42"/>
      <c r="S1028" s="148">
        <v>1</v>
      </c>
      <c r="T1028" s="135">
        <v>2</v>
      </c>
      <c r="U1028" s="131">
        <v>2</v>
      </c>
      <c r="V1028" s="136"/>
      <c r="W1028" s="137"/>
      <c r="X1028" s="138"/>
      <c r="Y1028" s="42"/>
      <c r="Z1028" s="135"/>
      <c r="AA1028" s="139"/>
      <c r="AB1028" s="161" t="s">
        <v>6420</v>
      </c>
      <c r="AC1028" s="36" t="s">
        <v>25</v>
      </c>
      <c r="AD1028" s="36" t="s">
        <v>7711</v>
      </c>
      <c r="AF1028" s="36" t="s">
        <v>7876</v>
      </c>
      <c r="AP1028" s="37"/>
      <c r="AQ1028" s="131"/>
      <c r="AR1028" s="132"/>
      <c r="AS1028" s="133"/>
      <c r="AT1028" s="42"/>
      <c r="AU1028" s="135"/>
      <c r="AV1028" s="131"/>
      <c r="AW1028" s="136"/>
      <c r="AX1028" s="137"/>
      <c r="AY1028" s="138"/>
      <c r="AZ1028" s="42"/>
      <c r="BA1028" s="135"/>
      <c r="BB1028" s="139"/>
    </row>
    <row r="1029" spans="1:59" ht="15" customHeight="1">
      <c r="A1029" s="166" t="s">
        <v>7675</v>
      </c>
      <c r="B1029" s="36" t="s">
        <v>7877</v>
      </c>
      <c r="C1029" s="41" t="s">
        <v>7677</v>
      </c>
      <c r="D1029" s="37">
        <v>52</v>
      </c>
      <c r="E1029" s="36">
        <v>1</v>
      </c>
      <c r="F1029" s="36" t="s">
        <v>7838</v>
      </c>
      <c r="G1029" s="36" t="s">
        <v>7878</v>
      </c>
      <c r="H1029" s="36" t="s">
        <v>7879</v>
      </c>
      <c r="I1029" s="36" t="s">
        <v>4077</v>
      </c>
      <c r="J1029" s="36" t="s">
        <v>29</v>
      </c>
      <c r="K1029" s="36" t="s">
        <v>6280</v>
      </c>
      <c r="N1029" s="160"/>
      <c r="O1029" s="131"/>
      <c r="P1029" s="132"/>
      <c r="Q1029" s="133">
        <v>5</v>
      </c>
      <c r="R1029" s="42">
        <v>4</v>
      </c>
      <c r="S1029" s="148"/>
      <c r="T1029" s="135">
        <v>4</v>
      </c>
      <c r="U1029" s="131"/>
      <c r="V1029" s="136">
        <v>2</v>
      </c>
      <c r="W1029" s="137"/>
      <c r="X1029" s="138"/>
      <c r="Y1029" s="42"/>
      <c r="Z1029" s="135"/>
      <c r="AA1029" s="139">
        <v>1</v>
      </c>
      <c r="AB1029" s="161"/>
      <c r="AD1029" s="36" t="s">
        <v>7880</v>
      </c>
      <c r="AE1029" s="37" t="s">
        <v>7881</v>
      </c>
      <c r="AF1029" s="36" t="s">
        <v>7882</v>
      </c>
      <c r="AP1029" s="37"/>
      <c r="AQ1029" s="131"/>
      <c r="AR1029" s="132"/>
      <c r="AS1029" s="133"/>
      <c r="AT1029" s="42"/>
      <c r="AU1029" s="135"/>
      <c r="AV1029" s="131"/>
      <c r="AW1029" s="136"/>
      <c r="AX1029" s="137"/>
      <c r="AY1029" s="138"/>
      <c r="AZ1029" s="42"/>
      <c r="BA1029" s="135"/>
      <c r="BB1029" s="139"/>
    </row>
    <row r="1030" spans="1:59" ht="15" customHeight="1">
      <c r="A1030" s="166" t="s">
        <v>7675</v>
      </c>
      <c r="B1030" s="36" t="s">
        <v>7883</v>
      </c>
      <c r="C1030" s="41" t="s">
        <v>7677</v>
      </c>
      <c r="D1030" s="37">
        <v>53</v>
      </c>
      <c r="E1030" s="36">
        <v>1</v>
      </c>
      <c r="F1030" s="36" t="s">
        <v>7838</v>
      </c>
      <c r="G1030" s="36" t="s">
        <v>7884</v>
      </c>
      <c r="J1030" s="36" t="s">
        <v>31</v>
      </c>
      <c r="K1030" s="36" t="s">
        <v>6280</v>
      </c>
      <c r="N1030" s="160"/>
      <c r="O1030" s="131"/>
      <c r="P1030" s="132"/>
      <c r="Q1030" s="133"/>
      <c r="R1030" s="42"/>
      <c r="S1030" s="148"/>
      <c r="T1030" s="135"/>
      <c r="U1030" s="131"/>
      <c r="V1030" s="136"/>
      <c r="W1030" s="137"/>
      <c r="X1030" s="138">
        <v>3</v>
      </c>
      <c r="Y1030" s="42" t="s">
        <v>4965</v>
      </c>
      <c r="Z1030" s="135"/>
      <c r="AA1030" s="139">
        <v>2</v>
      </c>
      <c r="AB1030" s="161"/>
      <c r="AD1030" s="36" t="s">
        <v>7885</v>
      </c>
      <c r="AF1030" s="36" t="s">
        <v>7886</v>
      </c>
      <c r="AP1030" s="37"/>
      <c r="AQ1030" s="131"/>
      <c r="AR1030" s="132"/>
      <c r="AS1030" s="133"/>
      <c r="AT1030" s="42"/>
      <c r="AU1030" s="135"/>
      <c r="AV1030" s="131"/>
      <c r="AW1030" s="136"/>
      <c r="AX1030" s="137"/>
      <c r="AY1030" s="138"/>
      <c r="AZ1030" s="42"/>
      <c r="BA1030" s="135"/>
      <c r="BB1030" s="139"/>
    </row>
    <row r="1031" spans="1:59" ht="15" customHeight="1">
      <c r="A1031" s="166" t="s">
        <v>7675</v>
      </c>
      <c r="B1031" s="36" t="s">
        <v>7887</v>
      </c>
      <c r="C1031" s="41" t="s">
        <v>7677</v>
      </c>
      <c r="D1031" s="37">
        <v>54</v>
      </c>
      <c r="E1031" s="36">
        <v>1</v>
      </c>
      <c r="F1031" s="36" t="s">
        <v>7888</v>
      </c>
      <c r="G1031" s="36" t="s">
        <v>7888</v>
      </c>
      <c r="H1031" s="36" t="s">
        <v>4563</v>
      </c>
      <c r="J1031" s="36" t="s">
        <v>4472</v>
      </c>
      <c r="K1031" s="36" t="s">
        <v>6280</v>
      </c>
      <c r="N1031" s="160"/>
      <c r="O1031" s="131"/>
      <c r="P1031" s="132"/>
      <c r="Q1031" s="133"/>
      <c r="R1031" s="42"/>
      <c r="S1031" s="148"/>
      <c r="T1031" s="135"/>
      <c r="U1031" s="131"/>
      <c r="V1031" s="136"/>
      <c r="W1031" s="137"/>
      <c r="X1031" s="138"/>
      <c r="Y1031" s="42"/>
      <c r="Z1031" s="135"/>
      <c r="AA1031" s="139"/>
      <c r="AB1031" s="161"/>
      <c r="AF1031" s="36" t="s">
        <v>7889</v>
      </c>
      <c r="AI1031" s="36" t="s">
        <v>7888</v>
      </c>
      <c r="AJ1031" s="41" t="s">
        <v>4564</v>
      </c>
      <c r="AL1031" s="36" t="s">
        <v>4472</v>
      </c>
      <c r="AM1031" s="36" t="s">
        <v>6280</v>
      </c>
      <c r="AP1031" s="37"/>
      <c r="AQ1031" s="131"/>
      <c r="AR1031" s="132"/>
      <c r="AS1031" s="133"/>
      <c r="AT1031" s="42"/>
      <c r="AU1031" s="135"/>
      <c r="AV1031" s="131"/>
      <c r="AW1031" s="136"/>
      <c r="AX1031" s="137"/>
      <c r="AY1031" s="138"/>
      <c r="AZ1031" s="42"/>
      <c r="BA1031" s="135"/>
      <c r="BB1031" s="139"/>
      <c r="BG1031" s="36" t="s">
        <v>7890</v>
      </c>
    </row>
    <row r="1032" spans="1:59" ht="15" customHeight="1">
      <c r="A1032" s="166" t="s">
        <v>7675</v>
      </c>
      <c r="B1032" s="36" t="s">
        <v>7891</v>
      </c>
      <c r="C1032" s="41" t="s">
        <v>7677</v>
      </c>
      <c r="D1032" s="37">
        <v>55</v>
      </c>
      <c r="E1032" s="36">
        <v>1</v>
      </c>
      <c r="F1032" s="36" t="s">
        <v>7888</v>
      </c>
      <c r="G1032" s="36" t="s">
        <v>7892</v>
      </c>
      <c r="J1032" s="36" t="s">
        <v>4473</v>
      </c>
      <c r="K1032" s="36" t="s">
        <v>6280</v>
      </c>
      <c r="L1032" s="36">
        <v>1</v>
      </c>
      <c r="N1032" s="160"/>
      <c r="O1032" s="131"/>
      <c r="P1032" s="132"/>
      <c r="Q1032" s="133"/>
      <c r="R1032" s="42"/>
      <c r="S1032" s="148"/>
      <c r="T1032" s="135"/>
      <c r="U1032" s="131"/>
      <c r="V1032" s="136"/>
      <c r="W1032" s="137"/>
      <c r="X1032" s="138"/>
      <c r="Y1032" s="42"/>
      <c r="Z1032" s="135" t="s">
        <v>7893</v>
      </c>
      <c r="AA1032" s="139"/>
      <c r="AB1032" s="161"/>
      <c r="AF1032" s="36" t="s">
        <v>7894</v>
      </c>
      <c r="AI1032" s="36" t="s">
        <v>7895</v>
      </c>
      <c r="AL1032" s="36" t="s">
        <v>4473</v>
      </c>
      <c r="AM1032" s="36" t="s">
        <v>6280</v>
      </c>
      <c r="AN1032" s="36">
        <v>1</v>
      </c>
      <c r="AP1032" s="37"/>
      <c r="AQ1032" s="131"/>
      <c r="AR1032" s="132"/>
      <c r="AS1032" s="133"/>
      <c r="AT1032" s="42"/>
      <c r="AU1032" s="135"/>
      <c r="AV1032" s="131"/>
      <c r="AW1032" s="136"/>
      <c r="AX1032" s="137"/>
      <c r="AY1032" s="138"/>
      <c r="AZ1032" s="42"/>
      <c r="BA1032" s="135"/>
      <c r="BB1032" s="139"/>
      <c r="BG1032" s="36" t="s">
        <v>7896</v>
      </c>
    </row>
    <row r="1033" spans="1:59" ht="15" customHeight="1">
      <c r="A1033" s="166" t="s">
        <v>7675</v>
      </c>
      <c r="B1033" s="36" t="s">
        <v>7897</v>
      </c>
      <c r="C1033" s="41" t="s">
        <v>7677</v>
      </c>
      <c r="D1033" s="37">
        <v>56</v>
      </c>
      <c r="E1033" s="36">
        <v>1</v>
      </c>
      <c r="F1033" s="36" t="s">
        <v>7888</v>
      </c>
      <c r="G1033" s="36" t="s">
        <v>7898</v>
      </c>
      <c r="J1033" s="36" t="s">
        <v>4473</v>
      </c>
      <c r="K1033" s="36" t="s">
        <v>6280</v>
      </c>
      <c r="L1033" s="36">
        <v>2</v>
      </c>
      <c r="N1033" s="160"/>
      <c r="O1033" s="131"/>
      <c r="P1033" s="132"/>
      <c r="Q1033" s="133"/>
      <c r="R1033" s="42"/>
      <c r="S1033" s="148"/>
      <c r="T1033" s="135"/>
      <c r="U1033" s="131"/>
      <c r="V1033" s="136"/>
      <c r="W1033" s="137"/>
      <c r="X1033" s="138"/>
      <c r="Y1033" s="42"/>
      <c r="Z1033" s="135" t="s">
        <v>7899</v>
      </c>
      <c r="AA1033" s="139"/>
      <c r="AB1033" s="161"/>
      <c r="AF1033" s="36" t="s">
        <v>7900</v>
      </c>
      <c r="AI1033" s="36" t="s">
        <v>7901</v>
      </c>
      <c r="AL1033" s="36" t="s">
        <v>4473</v>
      </c>
      <c r="AM1033" s="36" t="s">
        <v>6280</v>
      </c>
      <c r="AN1033" s="36">
        <v>2</v>
      </c>
      <c r="AP1033" s="37"/>
      <c r="AQ1033" s="131"/>
      <c r="AR1033" s="132"/>
      <c r="AS1033" s="133"/>
      <c r="AT1033" s="42"/>
      <c r="AU1033" s="135"/>
      <c r="AV1033" s="131"/>
      <c r="AW1033" s="136"/>
      <c r="AX1033" s="137"/>
      <c r="AY1033" s="138"/>
      <c r="AZ1033" s="42"/>
      <c r="BA1033" s="135"/>
      <c r="BB1033" s="139"/>
      <c r="BG1033" s="36" t="s">
        <v>7902</v>
      </c>
    </row>
    <row r="1034" spans="1:59" ht="15" customHeight="1">
      <c r="A1034" s="166" t="s">
        <v>7675</v>
      </c>
      <c r="B1034" s="36" t="s">
        <v>7903</v>
      </c>
      <c r="C1034" s="41" t="s">
        <v>7677</v>
      </c>
      <c r="D1034" s="37">
        <v>57</v>
      </c>
      <c r="E1034" s="36">
        <v>1</v>
      </c>
      <c r="F1034" s="36" t="s">
        <v>7888</v>
      </c>
      <c r="G1034" s="36" t="s">
        <v>7904</v>
      </c>
      <c r="J1034" s="36" t="s">
        <v>4475</v>
      </c>
      <c r="K1034" s="36" t="s">
        <v>6280</v>
      </c>
      <c r="L1034" s="36">
        <v>1</v>
      </c>
      <c r="N1034" s="160"/>
      <c r="O1034" s="131"/>
      <c r="P1034" s="132"/>
      <c r="Q1034" s="133"/>
      <c r="R1034" s="42"/>
      <c r="S1034" s="148"/>
      <c r="T1034" s="135"/>
      <c r="U1034" s="131"/>
      <c r="V1034" s="136"/>
      <c r="W1034" s="137"/>
      <c r="X1034" s="138"/>
      <c r="Y1034" s="42" t="s">
        <v>4966</v>
      </c>
      <c r="Z1034" s="135"/>
      <c r="AA1034" s="139"/>
      <c r="AB1034" s="161"/>
      <c r="AF1034" s="36" t="s">
        <v>7843</v>
      </c>
      <c r="AI1034" s="36" t="s">
        <v>7905</v>
      </c>
      <c r="AL1034" s="36" t="s">
        <v>4475</v>
      </c>
      <c r="AM1034" s="36" t="s">
        <v>6280</v>
      </c>
      <c r="AN1034" s="36">
        <v>1</v>
      </c>
      <c r="AP1034" s="37"/>
      <c r="AQ1034" s="131"/>
      <c r="AR1034" s="132"/>
      <c r="AS1034" s="133"/>
      <c r="AT1034" s="42"/>
      <c r="AU1034" s="135"/>
      <c r="AV1034" s="131"/>
      <c r="AW1034" s="136"/>
      <c r="AX1034" s="137"/>
      <c r="AY1034" s="138"/>
      <c r="AZ1034" s="42"/>
      <c r="BA1034" s="135"/>
      <c r="BB1034" s="139"/>
      <c r="BG1034" s="36" t="s">
        <v>7906</v>
      </c>
    </row>
    <row r="1035" spans="1:59" ht="15" customHeight="1">
      <c r="A1035" s="166" t="s">
        <v>7675</v>
      </c>
      <c r="B1035" s="36" t="s">
        <v>7907</v>
      </c>
      <c r="C1035" s="41" t="s">
        <v>7677</v>
      </c>
      <c r="D1035" s="37">
        <v>58</v>
      </c>
      <c r="E1035" s="36">
        <v>1</v>
      </c>
      <c r="F1035" s="36" t="s">
        <v>7888</v>
      </c>
      <c r="G1035" s="36" t="s">
        <v>7908</v>
      </c>
      <c r="J1035" s="36" t="s">
        <v>4475</v>
      </c>
      <c r="K1035" s="36" t="s">
        <v>6280</v>
      </c>
      <c r="L1035" s="36">
        <v>2</v>
      </c>
      <c r="N1035" s="160"/>
      <c r="O1035" s="131"/>
      <c r="P1035" s="132"/>
      <c r="Q1035" s="133"/>
      <c r="R1035" s="42"/>
      <c r="S1035" s="148"/>
      <c r="T1035" s="135"/>
      <c r="U1035" s="131"/>
      <c r="V1035" s="136"/>
      <c r="W1035" s="137"/>
      <c r="X1035" s="138"/>
      <c r="Y1035" s="42" t="s">
        <v>4965</v>
      </c>
      <c r="Z1035" s="135"/>
      <c r="AA1035" s="139"/>
      <c r="AB1035" s="161"/>
      <c r="AF1035" s="36" t="s">
        <v>7909</v>
      </c>
      <c r="AI1035" s="36" t="s">
        <v>7910</v>
      </c>
      <c r="AL1035" s="36" t="s">
        <v>4475</v>
      </c>
      <c r="AM1035" s="36" t="s">
        <v>6280</v>
      </c>
      <c r="AN1035" s="36">
        <v>2</v>
      </c>
      <c r="AP1035" s="37"/>
      <c r="AQ1035" s="131"/>
      <c r="AR1035" s="132"/>
      <c r="AS1035" s="133"/>
      <c r="AT1035" s="42"/>
      <c r="AU1035" s="135"/>
      <c r="AV1035" s="131"/>
      <c r="AW1035" s="136"/>
      <c r="AX1035" s="137"/>
      <c r="AY1035" s="138"/>
      <c r="AZ1035" s="42"/>
      <c r="BA1035" s="135"/>
      <c r="BB1035" s="139"/>
      <c r="BG1035" s="36" t="s">
        <v>7911</v>
      </c>
    </row>
    <row r="1036" spans="1:59" ht="15" customHeight="1">
      <c r="A1036" s="166" t="s">
        <v>7675</v>
      </c>
      <c r="B1036" s="36" t="s">
        <v>7912</v>
      </c>
      <c r="C1036" s="41" t="s">
        <v>7677</v>
      </c>
      <c r="D1036" s="37">
        <v>59</v>
      </c>
      <c r="E1036" s="36">
        <v>1</v>
      </c>
      <c r="F1036" s="36" t="s">
        <v>7888</v>
      </c>
      <c r="G1036" s="36" t="s">
        <v>7913</v>
      </c>
      <c r="J1036" s="36" t="s">
        <v>4475</v>
      </c>
      <c r="K1036" s="36" t="s">
        <v>6280</v>
      </c>
      <c r="L1036" s="36">
        <v>3</v>
      </c>
      <c r="N1036" s="160"/>
      <c r="O1036" s="131"/>
      <c r="P1036" s="132"/>
      <c r="Q1036" s="133"/>
      <c r="R1036" s="42"/>
      <c r="S1036" s="148"/>
      <c r="T1036" s="135"/>
      <c r="U1036" s="131"/>
      <c r="V1036" s="136"/>
      <c r="W1036" s="137"/>
      <c r="X1036" s="138"/>
      <c r="Y1036" s="42" t="s">
        <v>38</v>
      </c>
      <c r="Z1036" s="135"/>
      <c r="AA1036" s="139"/>
      <c r="AB1036" s="161"/>
      <c r="AF1036" s="36" t="s">
        <v>7914</v>
      </c>
      <c r="AI1036" s="36" t="s">
        <v>7915</v>
      </c>
      <c r="AL1036" s="36" t="s">
        <v>4475</v>
      </c>
      <c r="AM1036" s="36" t="s">
        <v>6280</v>
      </c>
      <c r="AN1036" s="36">
        <v>3</v>
      </c>
      <c r="AP1036" s="37"/>
      <c r="AQ1036" s="131"/>
      <c r="AR1036" s="132"/>
      <c r="AS1036" s="133"/>
      <c r="AT1036" s="42"/>
      <c r="AU1036" s="135"/>
      <c r="AV1036" s="131"/>
      <c r="AW1036" s="136"/>
      <c r="AX1036" s="137"/>
      <c r="AY1036" s="138"/>
      <c r="AZ1036" s="42"/>
      <c r="BA1036" s="135"/>
      <c r="BB1036" s="139"/>
      <c r="BG1036" s="36" t="s">
        <v>7916</v>
      </c>
    </row>
    <row r="1037" spans="1:59" ht="15" customHeight="1">
      <c r="A1037" s="166" t="s">
        <v>7675</v>
      </c>
      <c r="B1037" s="36" t="s">
        <v>7917</v>
      </c>
      <c r="C1037" s="41" t="s">
        <v>7677</v>
      </c>
      <c r="D1037" s="37">
        <v>60</v>
      </c>
      <c r="E1037" s="36">
        <v>1</v>
      </c>
      <c r="F1037" s="36" t="s">
        <v>7888</v>
      </c>
      <c r="G1037" s="36" t="s">
        <v>7918</v>
      </c>
      <c r="J1037" s="36" t="s">
        <v>31</v>
      </c>
      <c r="K1037" s="36" t="s">
        <v>6280</v>
      </c>
      <c r="N1037" s="160"/>
      <c r="O1037" s="131"/>
      <c r="P1037" s="132"/>
      <c r="Q1037" s="133"/>
      <c r="R1037" s="42"/>
      <c r="S1037" s="148"/>
      <c r="T1037" s="135"/>
      <c r="U1037" s="131"/>
      <c r="V1037" s="136"/>
      <c r="W1037" s="137"/>
      <c r="X1037" s="138"/>
      <c r="Y1037" s="42"/>
      <c r="Z1037" s="135"/>
      <c r="AA1037" s="139"/>
      <c r="AB1037" s="161"/>
      <c r="AD1037" s="36" t="s">
        <v>7885</v>
      </c>
      <c r="AI1037" s="36" t="s">
        <v>7918</v>
      </c>
      <c r="AL1037" s="36" t="s">
        <v>31</v>
      </c>
      <c r="AM1037" s="36" t="s">
        <v>6280</v>
      </c>
      <c r="AP1037" s="37"/>
      <c r="AQ1037" s="131"/>
      <c r="AR1037" s="132"/>
      <c r="AS1037" s="133"/>
      <c r="AT1037" s="42"/>
      <c r="AU1037" s="135"/>
      <c r="AV1037" s="131"/>
      <c r="AW1037" s="136"/>
      <c r="AX1037" s="137"/>
      <c r="AY1037" s="138">
        <v>2</v>
      </c>
      <c r="AZ1037" s="42" t="s">
        <v>4927</v>
      </c>
      <c r="BA1037" s="135"/>
      <c r="BB1037" s="139"/>
      <c r="BE1037" s="36" t="s">
        <v>7885</v>
      </c>
      <c r="BG1037" s="36" t="s">
        <v>7919</v>
      </c>
    </row>
    <row r="1038" spans="1:59" ht="15" customHeight="1">
      <c r="A1038" s="166" t="s">
        <v>7675</v>
      </c>
      <c r="B1038" s="36" t="s">
        <v>7920</v>
      </c>
      <c r="C1038" s="41" t="s">
        <v>7677</v>
      </c>
      <c r="D1038" s="37">
        <v>61</v>
      </c>
      <c r="E1038" s="36">
        <v>1</v>
      </c>
      <c r="F1038" s="36" t="s">
        <v>7888</v>
      </c>
      <c r="G1038" s="36" t="s">
        <v>7921</v>
      </c>
      <c r="H1038" s="36" t="s">
        <v>7922</v>
      </c>
      <c r="I1038" s="36" t="s">
        <v>4077</v>
      </c>
      <c r="J1038" s="36" t="s">
        <v>4111</v>
      </c>
      <c r="K1038" s="36" t="s">
        <v>26</v>
      </c>
      <c r="N1038" s="160">
        <v>2</v>
      </c>
      <c r="O1038" s="131"/>
      <c r="P1038" s="132"/>
      <c r="Q1038" s="133"/>
      <c r="R1038" s="42"/>
      <c r="S1038" s="148">
        <v>3</v>
      </c>
      <c r="T1038" s="135"/>
      <c r="U1038" s="131"/>
      <c r="V1038" s="136"/>
      <c r="W1038" s="137"/>
      <c r="X1038" s="138"/>
      <c r="Y1038" s="42"/>
      <c r="Z1038" s="135"/>
      <c r="AA1038" s="139"/>
      <c r="AB1038" s="161" t="s">
        <v>5850</v>
      </c>
      <c r="AD1038" s="36" t="s">
        <v>4130</v>
      </c>
      <c r="AP1038" s="37"/>
      <c r="AQ1038" s="131"/>
      <c r="AR1038" s="132"/>
      <c r="AS1038" s="133"/>
      <c r="AT1038" s="42"/>
      <c r="AU1038" s="135"/>
      <c r="AV1038" s="131"/>
      <c r="AW1038" s="136"/>
      <c r="AX1038" s="137"/>
      <c r="AY1038" s="138"/>
      <c r="AZ1038" s="42"/>
      <c r="BA1038" s="135"/>
      <c r="BB1038" s="139"/>
    </row>
    <row r="1039" spans="1:59" ht="15" customHeight="1">
      <c r="A1039" s="166" t="s">
        <v>7675</v>
      </c>
      <c r="B1039" s="36" t="s">
        <v>7923</v>
      </c>
      <c r="C1039" s="41" t="s">
        <v>7677</v>
      </c>
      <c r="D1039" s="37">
        <v>62</v>
      </c>
      <c r="E1039" s="36">
        <v>1</v>
      </c>
      <c r="F1039" s="36" t="s">
        <v>7888</v>
      </c>
      <c r="G1039" s="36" t="s">
        <v>7924</v>
      </c>
      <c r="H1039" s="36" t="s">
        <v>7925</v>
      </c>
      <c r="I1039" s="36" t="s">
        <v>4077</v>
      </c>
      <c r="J1039" s="36" t="s">
        <v>29</v>
      </c>
      <c r="K1039" s="36" t="s">
        <v>6280</v>
      </c>
      <c r="N1039" s="160"/>
      <c r="O1039" s="131"/>
      <c r="P1039" s="132"/>
      <c r="Q1039" s="133">
        <v>3</v>
      </c>
      <c r="R1039" s="42">
        <v>3</v>
      </c>
      <c r="S1039" s="148"/>
      <c r="T1039" s="135" t="s">
        <v>7926</v>
      </c>
      <c r="U1039" s="131"/>
      <c r="V1039" s="136">
        <v>2</v>
      </c>
      <c r="W1039" s="137">
        <v>2</v>
      </c>
      <c r="X1039" s="138"/>
      <c r="Y1039" s="42"/>
      <c r="Z1039" s="135"/>
      <c r="AA1039" s="139"/>
      <c r="AB1039" s="161"/>
      <c r="AD1039" s="36" t="s">
        <v>7927</v>
      </c>
      <c r="AE1039" s="37" t="s">
        <v>7928</v>
      </c>
      <c r="AF1039" s="36" t="s">
        <v>7929</v>
      </c>
      <c r="AP1039" s="37"/>
      <c r="AQ1039" s="131"/>
      <c r="AR1039" s="132"/>
      <c r="AS1039" s="133"/>
      <c r="AT1039" s="42"/>
      <c r="AU1039" s="135"/>
      <c r="AV1039" s="131"/>
      <c r="AW1039" s="136"/>
      <c r="AX1039" s="137"/>
      <c r="AY1039" s="138"/>
      <c r="AZ1039" s="42"/>
      <c r="BA1039" s="135"/>
      <c r="BB1039" s="139"/>
    </row>
    <row r="1040" spans="1:59" ht="15" customHeight="1">
      <c r="A1040" s="166" t="s">
        <v>7675</v>
      </c>
      <c r="B1040" s="36" t="s">
        <v>7930</v>
      </c>
      <c r="C1040" s="41" t="s">
        <v>7677</v>
      </c>
      <c r="D1040" s="37">
        <v>63</v>
      </c>
      <c r="E1040" s="36">
        <v>1</v>
      </c>
      <c r="F1040" s="36" t="s">
        <v>7888</v>
      </c>
      <c r="G1040" s="36" t="s">
        <v>7931</v>
      </c>
      <c r="J1040" s="36" t="s">
        <v>31</v>
      </c>
      <c r="K1040" s="36" t="s">
        <v>6280</v>
      </c>
      <c r="N1040" s="160"/>
      <c r="O1040" s="131"/>
      <c r="P1040" s="132"/>
      <c r="Q1040" s="133"/>
      <c r="R1040" s="42"/>
      <c r="S1040" s="148"/>
      <c r="T1040" s="135"/>
      <c r="U1040" s="131"/>
      <c r="V1040" s="136"/>
      <c r="W1040" s="137"/>
      <c r="X1040" s="138">
        <v>3</v>
      </c>
      <c r="Y1040" s="42" t="s">
        <v>4965</v>
      </c>
      <c r="Z1040" s="135"/>
      <c r="AA1040" s="139"/>
      <c r="AB1040" s="161"/>
      <c r="AD1040" s="36" t="s">
        <v>7885</v>
      </c>
      <c r="AF1040" s="36" t="s">
        <v>7932</v>
      </c>
      <c r="AP1040" s="37"/>
      <c r="AQ1040" s="131"/>
      <c r="AR1040" s="132"/>
      <c r="AS1040" s="133"/>
      <c r="AT1040" s="42"/>
      <c r="AU1040" s="135"/>
      <c r="AV1040" s="131"/>
      <c r="AW1040" s="136"/>
      <c r="AX1040" s="137"/>
      <c r="AY1040" s="138"/>
      <c r="AZ1040" s="42"/>
      <c r="BA1040" s="135"/>
      <c r="BB1040" s="139"/>
    </row>
    <row r="1041" spans="1:54" ht="15" customHeight="1">
      <c r="A1041" s="166" t="s">
        <v>7675</v>
      </c>
      <c r="B1041" s="36" t="s">
        <v>7933</v>
      </c>
      <c r="C1041" s="41" t="s">
        <v>7677</v>
      </c>
      <c r="D1041" s="37">
        <v>64</v>
      </c>
      <c r="E1041" s="36">
        <v>1</v>
      </c>
      <c r="F1041" s="36" t="s">
        <v>7888</v>
      </c>
      <c r="G1041" s="36" t="s">
        <v>7934</v>
      </c>
      <c r="J1041" s="36" t="s">
        <v>31</v>
      </c>
      <c r="K1041" s="36" t="s">
        <v>6280</v>
      </c>
      <c r="N1041" s="160"/>
      <c r="O1041" s="131"/>
      <c r="P1041" s="132"/>
      <c r="Q1041" s="133"/>
      <c r="R1041" s="42"/>
      <c r="S1041" s="148"/>
      <c r="T1041" s="135"/>
      <c r="U1041" s="131"/>
      <c r="V1041" s="136"/>
      <c r="W1041" s="137"/>
      <c r="X1041" s="138">
        <v>2</v>
      </c>
      <c r="Y1041" s="42" t="s">
        <v>4927</v>
      </c>
      <c r="Z1041" s="135"/>
      <c r="AA1041" s="139">
        <v>1</v>
      </c>
      <c r="AB1041" s="161"/>
      <c r="AD1041" s="36" t="s">
        <v>7885</v>
      </c>
      <c r="AF1041" s="36" t="s">
        <v>7935</v>
      </c>
      <c r="AP1041" s="37"/>
      <c r="AQ1041" s="131"/>
      <c r="AR1041" s="132"/>
      <c r="AS1041" s="133"/>
      <c r="AT1041" s="42"/>
      <c r="AU1041" s="135"/>
      <c r="AV1041" s="131"/>
      <c r="AW1041" s="136"/>
      <c r="AX1041" s="137"/>
      <c r="AY1041" s="138"/>
      <c r="AZ1041" s="42"/>
      <c r="BA1041" s="135"/>
      <c r="BB1041" s="139"/>
    </row>
    <row r="1042" spans="1:54" ht="15" customHeight="1">
      <c r="A1042" s="166" t="s">
        <v>7675</v>
      </c>
      <c r="B1042" s="36" t="s">
        <v>7936</v>
      </c>
      <c r="C1042" s="41" t="s">
        <v>7677</v>
      </c>
      <c r="D1042" s="37">
        <v>65</v>
      </c>
      <c r="E1042" s="36">
        <v>1</v>
      </c>
      <c r="F1042" s="36" t="s">
        <v>7888</v>
      </c>
      <c r="G1042" s="36" t="s">
        <v>7937</v>
      </c>
      <c r="J1042" s="36" t="s">
        <v>31</v>
      </c>
      <c r="K1042" s="36" t="s">
        <v>6280</v>
      </c>
      <c r="N1042" s="160"/>
      <c r="O1042" s="131"/>
      <c r="P1042" s="132"/>
      <c r="Q1042" s="133"/>
      <c r="R1042" s="42"/>
      <c r="S1042" s="148"/>
      <c r="T1042" s="135"/>
      <c r="U1042" s="131"/>
      <c r="V1042" s="136"/>
      <c r="W1042" s="137"/>
      <c r="X1042" s="138">
        <v>3</v>
      </c>
      <c r="Y1042" s="42" t="s">
        <v>4927</v>
      </c>
      <c r="Z1042" s="135"/>
      <c r="AA1042" s="139">
        <v>1</v>
      </c>
      <c r="AB1042" s="161"/>
      <c r="AD1042" s="36" t="s">
        <v>7885</v>
      </c>
      <c r="AF1042" s="36" t="s">
        <v>7938</v>
      </c>
      <c r="AP1042" s="37"/>
      <c r="AQ1042" s="131"/>
      <c r="AR1042" s="132"/>
      <c r="AS1042" s="133"/>
      <c r="AT1042" s="42"/>
      <c r="AU1042" s="135"/>
      <c r="AV1042" s="131"/>
      <c r="AW1042" s="136"/>
      <c r="AX1042" s="137"/>
      <c r="AY1042" s="138"/>
      <c r="AZ1042" s="42"/>
      <c r="BA1042" s="135"/>
      <c r="BB1042" s="139"/>
    </row>
    <row r="1043" spans="1:54" ht="15" customHeight="1">
      <c r="A1043" s="166" t="s">
        <v>7675</v>
      </c>
      <c r="B1043" s="36" t="s">
        <v>7939</v>
      </c>
      <c r="C1043" s="41" t="s">
        <v>7677</v>
      </c>
      <c r="D1043" s="37">
        <v>66</v>
      </c>
      <c r="E1043" s="36">
        <v>1</v>
      </c>
      <c r="F1043" s="36" t="s">
        <v>7888</v>
      </c>
      <c r="G1043" s="36" t="s">
        <v>7940</v>
      </c>
      <c r="J1043" s="36" t="s">
        <v>31</v>
      </c>
      <c r="K1043" s="36" t="s">
        <v>6280</v>
      </c>
      <c r="N1043" s="160"/>
      <c r="O1043" s="131"/>
      <c r="P1043" s="132"/>
      <c r="Q1043" s="133"/>
      <c r="R1043" s="42"/>
      <c r="S1043" s="148"/>
      <c r="T1043" s="135"/>
      <c r="U1043" s="131"/>
      <c r="V1043" s="136"/>
      <c r="W1043" s="137"/>
      <c r="X1043" s="138">
        <v>2</v>
      </c>
      <c r="Y1043" s="42" t="s">
        <v>4927</v>
      </c>
      <c r="Z1043" s="135"/>
      <c r="AA1043" s="139"/>
      <c r="AB1043" s="161"/>
      <c r="AD1043" s="36" t="s">
        <v>7885</v>
      </c>
      <c r="AF1043" s="36" t="s">
        <v>7941</v>
      </c>
      <c r="AP1043" s="37"/>
      <c r="AQ1043" s="131"/>
      <c r="AR1043" s="132"/>
      <c r="AS1043" s="133"/>
      <c r="AT1043" s="42"/>
      <c r="AU1043" s="135"/>
      <c r="AV1043" s="131"/>
      <c r="AW1043" s="136"/>
      <c r="AX1043" s="137"/>
      <c r="AY1043" s="138"/>
      <c r="AZ1043" s="42"/>
      <c r="BA1043" s="135"/>
      <c r="BB1043" s="139"/>
    </row>
    <row r="1044" spans="1:54" ht="15" customHeight="1">
      <c r="A1044" s="166" t="s">
        <v>7675</v>
      </c>
      <c r="B1044" s="36" t="s">
        <v>7942</v>
      </c>
      <c r="C1044" s="41" t="s">
        <v>7677</v>
      </c>
      <c r="D1044" s="37">
        <v>67</v>
      </c>
      <c r="E1044" s="36">
        <v>1</v>
      </c>
      <c r="F1044" s="36" t="s">
        <v>7888</v>
      </c>
      <c r="G1044" s="36" t="s">
        <v>7943</v>
      </c>
      <c r="J1044" s="36" t="s">
        <v>31</v>
      </c>
      <c r="K1044" s="36" t="s">
        <v>6280</v>
      </c>
      <c r="N1044" s="160"/>
      <c r="O1044" s="131"/>
      <c r="P1044" s="132"/>
      <c r="Q1044" s="133"/>
      <c r="R1044" s="42"/>
      <c r="S1044" s="148"/>
      <c r="T1044" s="135"/>
      <c r="U1044" s="131"/>
      <c r="V1044" s="136"/>
      <c r="W1044" s="137"/>
      <c r="X1044" s="138">
        <v>5</v>
      </c>
      <c r="Y1044" s="42" t="s">
        <v>4927</v>
      </c>
      <c r="Z1044" s="135"/>
      <c r="AA1044" s="139">
        <v>1</v>
      </c>
      <c r="AB1044" s="161"/>
      <c r="AD1044" s="36" t="s">
        <v>7885</v>
      </c>
      <c r="AF1044" s="36" t="s">
        <v>7944</v>
      </c>
      <c r="AP1044" s="37"/>
      <c r="AQ1044" s="131"/>
      <c r="AR1044" s="132"/>
      <c r="AS1044" s="133"/>
      <c r="AT1044" s="42"/>
      <c r="AU1044" s="135"/>
      <c r="AV1044" s="131"/>
      <c r="AW1044" s="136"/>
      <c r="AX1044" s="137"/>
      <c r="AY1044" s="138"/>
      <c r="AZ1044" s="42"/>
      <c r="BA1044" s="135"/>
      <c r="BB1044" s="139"/>
    </row>
    <row r="1045" spans="1:54" ht="15" customHeight="1">
      <c r="A1045" s="166" t="s">
        <v>7675</v>
      </c>
      <c r="B1045" s="36" t="s">
        <v>7945</v>
      </c>
      <c r="C1045" s="41" t="s">
        <v>7677</v>
      </c>
      <c r="D1045" s="37">
        <v>68</v>
      </c>
      <c r="E1045" s="36">
        <v>1</v>
      </c>
      <c r="F1045" s="36" t="s">
        <v>7888</v>
      </c>
      <c r="G1045" s="36" t="s">
        <v>7946</v>
      </c>
      <c r="J1045" s="36" t="s">
        <v>31</v>
      </c>
      <c r="K1045" s="36" t="s">
        <v>6280</v>
      </c>
      <c r="N1045" s="160"/>
      <c r="O1045" s="131"/>
      <c r="P1045" s="132"/>
      <c r="Q1045" s="133"/>
      <c r="R1045" s="42"/>
      <c r="S1045" s="148"/>
      <c r="T1045" s="135"/>
      <c r="U1045" s="131"/>
      <c r="V1045" s="136"/>
      <c r="W1045" s="137"/>
      <c r="X1045" s="138">
        <v>4</v>
      </c>
      <c r="Y1045" s="42" t="s">
        <v>4965</v>
      </c>
      <c r="Z1045" s="135"/>
      <c r="AA1045" s="139">
        <v>2</v>
      </c>
      <c r="AB1045" s="161"/>
      <c r="AD1045" s="36" t="s">
        <v>7947</v>
      </c>
      <c r="AF1045" s="36" t="s">
        <v>7948</v>
      </c>
      <c r="AP1045" s="37"/>
      <c r="AQ1045" s="131"/>
      <c r="AR1045" s="132"/>
      <c r="AS1045" s="133"/>
      <c r="AT1045" s="42"/>
      <c r="AU1045" s="135"/>
      <c r="AV1045" s="131"/>
      <c r="AW1045" s="136"/>
      <c r="AX1045" s="137"/>
      <c r="AY1045" s="138"/>
      <c r="AZ1045" s="42"/>
      <c r="BA1045" s="135"/>
      <c r="BB1045" s="139"/>
    </row>
    <row r="1046" spans="1:54" ht="15" customHeight="1">
      <c r="A1046" s="166" t="s">
        <v>7675</v>
      </c>
      <c r="B1046" s="36" t="s">
        <v>7949</v>
      </c>
      <c r="C1046" s="41" t="s">
        <v>7677</v>
      </c>
      <c r="D1046" s="37">
        <v>69</v>
      </c>
      <c r="E1046" s="36">
        <v>1</v>
      </c>
      <c r="F1046" s="36" t="s">
        <v>7950</v>
      </c>
      <c r="G1046" s="36" t="s">
        <v>7951</v>
      </c>
      <c r="J1046" s="36" t="s">
        <v>31</v>
      </c>
      <c r="K1046" s="36" t="s">
        <v>6280</v>
      </c>
      <c r="N1046" s="160"/>
      <c r="O1046" s="131"/>
      <c r="P1046" s="132"/>
      <c r="Q1046" s="133"/>
      <c r="R1046" s="42"/>
      <c r="S1046" s="148"/>
      <c r="T1046" s="135"/>
      <c r="U1046" s="131"/>
      <c r="V1046" s="136"/>
      <c r="W1046" s="137"/>
      <c r="X1046" s="138">
        <v>3</v>
      </c>
      <c r="Y1046" s="42" t="s">
        <v>4927</v>
      </c>
      <c r="Z1046" s="135"/>
      <c r="AA1046" s="139"/>
      <c r="AB1046" s="161"/>
      <c r="AD1046" s="36" t="s">
        <v>7952</v>
      </c>
      <c r="AF1046" s="36" t="s">
        <v>7953</v>
      </c>
      <c r="AP1046" s="37"/>
      <c r="AQ1046" s="131"/>
      <c r="AR1046" s="132"/>
      <c r="AS1046" s="133"/>
      <c r="AT1046" s="42"/>
      <c r="AU1046" s="135"/>
      <c r="AV1046" s="131"/>
      <c r="AW1046" s="136"/>
      <c r="AX1046" s="137"/>
      <c r="AY1046" s="138"/>
      <c r="AZ1046" s="42"/>
      <c r="BA1046" s="135"/>
      <c r="BB1046" s="139"/>
    </row>
    <row r="1047" spans="1:54" ht="15" customHeight="1">
      <c r="A1047" s="166" t="s">
        <v>7675</v>
      </c>
      <c r="B1047" s="36" t="s">
        <v>7954</v>
      </c>
      <c r="C1047" s="41" t="s">
        <v>7677</v>
      </c>
      <c r="D1047" s="37">
        <v>70</v>
      </c>
      <c r="E1047" s="36">
        <v>1</v>
      </c>
      <c r="F1047" s="36" t="s">
        <v>7950</v>
      </c>
      <c r="G1047" s="36" t="s">
        <v>7955</v>
      </c>
      <c r="J1047" s="36" t="s">
        <v>31</v>
      </c>
      <c r="K1047" s="36" t="s">
        <v>6280</v>
      </c>
      <c r="N1047" s="160"/>
      <c r="O1047" s="131"/>
      <c r="P1047" s="132"/>
      <c r="Q1047" s="133"/>
      <c r="R1047" s="42"/>
      <c r="S1047" s="148"/>
      <c r="T1047" s="135"/>
      <c r="U1047" s="131"/>
      <c r="V1047" s="136"/>
      <c r="W1047" s="137"/>
      <c r="X1047" s="138">
        <v>4</v>
      </c>
      <c r="Y1047" s="42" t="s">
        <v>4927</v>
      </c>
      <c r="Z1047" s="135"/>
      <c r="AA1047" s="139"/>
      <c r="AB1047" s="161"/>
      <c r="AD1047" s="36" t="s">
        <v>7952</v>
      </c>
      <c r="AF1047" s="36" t="s">
        <v>7956</v>
      </c>
      <c r="AP1047" s="37"/>
      <c r="AQ1047" s="131"/>
      <c r="AR1047" s="132"/>
      <c r="AS1047" s="133"/>
      <c r="AT1047" s="42"/>
      <c r="AU1047" s="135"/>
      <c r="AV1047" s="131"/>
      <c r="AW1047" s="136"/>
      <c r="AX1047" s="137"/>
      <c r="AY1047" s="138"/>
      <c r="AZ1047" s="42"/>
      <c r="BA1047" s="135"/>
      <c r="BB1047" s="139"/>
    </row>
    <row r="1048" spans="1:54" ht="15" customHeight="1">
      <c r="A1048" s="166" t="s">
        <v>7675</v>
      </c>
      <c r="B1048" s="36" t="s">
        <v>7957</v>
      </c>
      <c r="C1048" s="41" t="s">
        <v>7677</v>
      </c>
      <c r="D1048" s="37">
        <v>71</v>
      </c>
      <c r="E1048" s="36">
        <v>1</v>
      </c>
      <c r="F1048" s="36" t="s">
        <v>7950</v>
      </c>
      <c r="G1048" s="36" t="s">
        <v>7958</v>
      </c>
      <c r="J1048" s="36" t="s">
        <v>31</v>
      </c>
      <c r="K1048" s="36" t="s">
        <v>6280</v>
      </c>
      <c r="N1048" s="160"/>
      <c r="O1048" s="131"/>
      <c r="P1048" s="132"/>
      <c r="Q1048" s="133"/>
      <c r="R1048" s="42"/>
      <c r="S1048" s="148"/>
      <c r="T1048" s="135"/>
      <c r="U1048" s="131"/>
      <c r="V1048" s="136"/>
      <c r="W1048" s="137"/>
      <c r="X1048" s="138">
        <v>2</v>
      </c>
      <c r="Y1048" s="42" t="s">
        <v>4927</v>
      </c>
      <c r="Z1048" s="135"/>
      <c r="AA1048" s="139"/>
      <c r="AB1048" s="161"/>
      <c r="AD1048" s="36" t="s">
        <v>7952</v>
      </c>
      <c r="AF1048" s="36" t="s">
        <v>7959</v>
      </c>
      <c r="AP1048" s="37"/>
      <c r="AQ1048" s="131"/>
      <c r="AR1048" s="132"/>
      <c r="AS1048" s="133"/>
      <c r="AT1048" s="42"/>
      <c r="AU1048" s="135"/>
      <c r="AV1048" s="131"/>
      <c r="AW1048" s="136"/>
      <c r="AX1048" s="137"/>
      <c r="AY1048" s="138"/>
      <c r="AZ1048" s="42"/>
      <c r="BA1048" s="135"/>
      <c r="BB1048" s="139"/>
    </row>
    <row r="1049" spans="1:54" ht="15" customHeight="1">
      <c r="A1049" s="166" t="s">
        <v>7675</v>
      </c>
      <c r="B1049" s="36" t="s">
        <v>7960</v>
      </c>
      <c r="C1049" s="41" t="s">
        <v>7677</v>
      </c>
      <c r="D1049" s="37">
        <v>72</v>
      </c>
      <c r="E1049" s="36">
        <v>1</v>
      </c>
      <c r="F1049" s="36" t="s">
        <v>7950</v>
      </c>
      <c r="G1049" s="36" t="s">
        <v>7961</v>
      </c>
      <c r="J1049" s="36" t="s">
        <v>31</v>
      </c>
      <c r="K1049" s="36" t="s">
        <v>6280</v>
      </c>
      <c r="N1049" s="160"/>
      <c r="O1049" s="131"/>
      <c r="P1049" s="132"/>
      <c r="Q1049" s="133"/>
      <c r="R1049" s="42"/>
      <c r="S1049" s="148"/>
      <c r="T1049" s="135"/>
      <c r="U1049" s="131"/>
      <c r="V1049" s="136"/>
      <c r="W1049" s="137"/>
      <c r="X1049" s="138">
        <v>2</v>
      </c>
      <c r="Y1049" s="42" t="s">
        <v>4965</v>
      </c>
      <c r="Z1049" s="135"/>
      <c r="AA1049" s="139">
        <v>1</v>
      </c>
      <c r="AB1049" s="161"/>
      <c r="AD1049" s="36" t="s">
        <v>7952</v>
      </c>
      <c r="AF1049" s="36" t="s">
        <v>7962</v>
      </c>
      <c r="AP1049" s="37"/>
      <c r="AQ1049" s="131"/>
      <c r="AR1049" s="132"/>
      <c r="AS1049" s="133"/>
      <c r="AT1049" s="42"/>
      <c r="AU1049" s="135"/>
      <c r="AV1049" s="131"/>
      <c r="AW1049" s="136"/>
      <c r="AX1049" s="137"/>
      <c r="AY1049" s="138"/>
      <c r="AZ1049" s="42"/>
      <c r="BA1049" s="135"/>
      <c r="BB1049" s="139"/>
    </row>
    <row r="1050" spans="1:54" ht="15" customHeight="1">
      <c r="A1050" s="166" t="s">
        <v>7675</v>
      </c>
      <c r="B1050" s="36" t="s">
        <v>7963</v>
      </c>
      <c r="C1050" s="41" t="s">
        <v>7677</v>
      </c>
      <c r="D1050" s="37">
        <v>73</v>
      </c>
      <c r="E1050" s="36">
        <v>1</v>
      </c>
      <c r="F1050" s="36" t="s">
        <v>7950</v>
      </c>
      <c r="G1050" s="36" t="s">
        <v>7964</v>
      </c>
      <c r="J1050" s="36" t="s">
        <v>31</v>
      </c>
      <c r="K1050" s="36" t="s">
        <v>6280</v>
      </c>
      <c r="N1050" s="160"/>
      <c r="O1050" s="131"/>
      <c r="P1050" s="132"/>
      <c r="Q1050" s="133"/>
      <c r="R1050" s="42"/>
      <c r="S1050" s="148"/>
      <c r="T1050" s="135"/>
      <c r="U1050" s="131"/>
      <c r="V1050" s="136"/>
      <c r="W1050" s="137"/>
      <c r="X1050" s="138">
        <v>1</v>
      </c>
      <c r="Y1050" s="42" t="s">
        <v>4927</v>
      </c>
      <c r="Z1050" s="135"/>
      <c r="AA1050" s="139">
        <v>1</v>
      </c>
      <c r="AB1050" s="161"/>
      <c r="AD1050" s="36" t="s">
        <v>7952</v>
      </c>
      <c r="AF1050" s="36" t="s">
        <v>7965</v>
      </c>
      <c r="AP1050" s="37"/>
      <c r="AQ1050" s="131"/>
      <c r="AR1050" s="132"/>
      <c r="AS1050" s="133"/>
      <c r="AT1050" s="42"/>
      <c r="AU1050" s="135"/>
      <c r="AV1050" s="131"/>
      <c r="AW1050" s="136"/>
      <c r="AX1050" s="137"/>
      <c r="AY1050" s="138"/>
      <c r="AZ1050" s="42"/>
      <c r="BA1050" s="135"/>
      <c r="BB1050" s="139"/>
    </row>
    <row r="1051" spans="1:54" ht="15" customHeight="1">
      <c r="A1051" s="166" t="s">
        <v>7675</v>
      </c>
      <c r="B1051" s="36" t="s">
        <v>7966</v>
      </c>
      <c r="C1051" s="41" t="s">
        <v>7677</v>
      </c>
      <c r="D1051" s="37">
        <v>74</v>
      </c>
      <c r="E1051" s="36">
        <v>1</v>
      </c>
      <c r="F1051" s="36" t="s">
        <v>7950</v>
      </c>
      <c r="G1051" s="36" t="s">
        <v>7967</v>
      </c>
      <c r="J1051" s="36" t="s">
        <v>31</v>
      </c>
      <c r="K1051" s="36" t="s">
        <v>6280</v>
      </c>
      <c r="N1051" s="160"/>
      <c r="O1051" s="131"/>
      <c r="P1051" s="132"/>
      <c r="Q1051" s="133"/>
      <c r="R1051" s="42"/>
      <c r="S1051" s="148"/>
      <c r="T1051" s="135"/>
      <c r="U1051" s="131"/>
      <c r="V1051" s="136"/>
      <c r="W1051" s="137"/>
      <c r="X1051" s="138">
        <v>2</v>
      </c>
      <c r="Y1051" s="42" t="s">
        <v>4927</v>
      </c>
      <c r="Z1051" s="135"/>
      <c r="AA1051" s="139">
        <v>2</v>
      </c>
      <c r="AB1051" s="161"/>
      <c r="AD1051" s="36" t="s">
        <v>7885</v>
      </c>
      <c r="AF1051" s="36" t="s">
        <v>7968</v>
      </c>
      <c r="AP1051" s="37"/>
      <c r="AQ1051" s="131"/>
      <c r="AR1051" s="132"/>
      <c r="AS1051" s="133"/>
      <c r="AT1051" s="42"/>
      <c r="AU1051" s="135"/>
      <c r="AV1051" s="131"/>
      <c r="AW1051" s="136"/>
      <c r="AX1051" s="137"/>
      <c r="AY1051" s="138"/>
      <c r="AZ1051" s="42"/>
      <c r="BA1051" s="135"/>
      <c r="BB1051" s="139"/>
    </row>
    <row r="1052" spans="1:54" ht="15" customHeight="1">
      <c r="A1052" s="166" t="s">
        <v>7675</v>
      </c>
      <c r="B1052" s="36" t="s">
        <v>7969</v>
      </c>
      <c r="C1052" s="41" t="s">
        <v>7677</v>
      </c>
      <c r="D1052" s="37">
        <v>75</v>
      </c>
      <c r="E1052" s="36">
        <v>1</v>
      </c>
      <c r="F1052" s="36" t="s">
        <v>7950</v>
      </c>
      <c r="G1052" s="36" t="s">
        <v>7970</v>
      </c>
      <c r="J1052" s="36" t="s">
        <v>31</v>
      </c>
      <c r="K1052" s="36" t="s">
        <v>6280</v>
      </c>
      <c r="N1052" s="160"/>
      <c r="O1052" s="131"/>
      <c r="P1052" s="132"/>
      <c r="Q1052" s="133"/>
      <c r="R1052" s="42"/>
      <c r="S1052" s="148"/>
      <c r="T1052" s="135"/>
      <c r="U1052" s="131"/>
      <c r="V1052" s="136"/>
      <c r="W1052" s="137"/>
      <c r="X1052" s="138">
        <v>5</v>
      </c>
      <c r="Y1052" s="42" t="s">
        <v>4927</v>
      </c>
      <c r="Z1052" s="135"/>
      <c r="AA1052" s="139">
        <v>2</v>
      </c>
      <c r="AB1052" s="161"/>
      <c r="AD1052" s="36" t="s">
        <v>7885</v>
      </c>
      <c r="AF1052" s="36" t="s">
        <v>7971</v>
      </c>
      <c r="AP1052" s="37"/>
      <c r="AQ1052" s="131"/>
      <c r="AR1052" s="132"/>
      <c r="AS1052" s="133"/>
      <c r="AT1052" s="42"/>
      <c r="AU1052" s="135"/>
      <c r="AV1052" s="131"/>
      <c r="AW1052" s="136"/>
      <c r="AX1052" s="137"/>
      <c r="AY1052" s="138"/>
      <c r="AZ1052" s="42"/>
      <c r="BA1052" s="135"/>
      <c r="BB1052" s="139"/>
    </row>
    <row r="1053" spans="1:54" ht="15" customHeight="1">
      <c r="A1053" s="166" t="s">
        <v>7675</v>
      </c>
      <c r="B1053" s="36" t="s">
        <v>7972</v>
      </c>
      <c r="C1053" s="41" t="s">
        <v>7677</v>
      </c>
      <c r="D1053" s="37">
        <v>76</v>
      </c>
      <c r="E1053" s="36">
        <v>2</v>
      </c>
      <c r="F1053" s="36" t="s">
        <v>7950</v>
      </c>
      <c r="G1053" s="36" t="s">
        <v>7973</v>
      </c>
      <c r="J1053" s="36" t="s">
        <v>28</v>
      </c>
      <c r="K1053" s="36" t="s">
        <v>6280</v>
      </c>
      <c r="N1053" s="160"/>
      <c r="O1053" s="131"/>
      <c r="P1053" s="132"/>
      <c r="Q1053" s="133"/>
      <c r="R1053" s="42"/>
      <c r="S1053" s="148"/>
      <c r="T1053" s="135"/>
      <c r="U1053" s="131"/>
      <c r="V1053" s="136"/>
      <c r="W1053" s="137"/>
      <c r="X1053" s="138"/>
      <c r="Y1053" s="42"/>
      <c r="Z1053" s="135"/>
      <c r="AA1053" s="139"/>
      <c r="AB1053" s="161"/>
      <c r="AD1053" s="36" t="s">
        <v>4688</v>
      </c>
      <c r="AF1053" s="36" t="s">
        <v>7974</v>
      </c>
      <c r="AP1053" s="37"/>
      <c r="AQ1053" s="131"/>
      <c r="AR1053" s="132"/>
      <c r="AS1053" s="133"/>
      <c r="AT1053" s="42"/>
      <c r="AU1053" s="135"/>
      <c r="AV1053" s="131"/>
      <c r="AW1053" s="136"/>
      <c r="AX1053" s="137"/>
      <c r="AY1053" s="138"/>
      <c r="AZ1053" s="42"/>
      <c r="BA1053" s="135"/>
      <c r="BB1053" s="139"/>
    </row>
    <row r="1054" spans="1:54" ht="15" customHeight="1">
      <c r="A1054" s="166" t="s">
        <v>7675</v>
      </c>
      <c r="B1054" s="36" t="s">
        <v>7975</v>
      </c>
      <c r="C1054" s="41" t="s">
        <v>7677</v>
      </c>
      <c r="D1054" s="37">
        <v>77</v>
      </c>
      <c r="E1054" s="36">
        <v>2</v>
      </c>
      <c r="F1054" s="36" t="s">
        <v>7950</v>
      </c>
      <c r="G1054" s="36" t="s">
        <v>7976</v>
      </c>
      <c r="J1054" s="36" t="s">
        <v>28</v>
      </c>
      <c r="K1054" s="36" t="s">
        <v>6280</v>
      </c>
      <c r="N1054" s="160"/>
      <c r="O1054" s="131"/>
      <c r="P1054" s="132"/>
      <c r="Q1054" s="133"/>
      <c r="R1054" s="42"/>
      <c r="S1054" s="148"/>
      <c r="T1054" s="135"/>
      <c r="U1054" s="131"/>
      <c r="V1054" s="136"/>
      <c r="W1054" s="137"/>
      <c r="X1054" s="138"/>
      <c r="Y1054" s="42"/>
      <c r="Z1054" s="135"/>
      <c r="AA1054" s="139"/>
      <c r="AB1054" s="161"/>
      <c r="AD1054" s="36" t="s">
        <v>5517</v>
      </c>
      <c r="AF1054" s="36" t="s">
        <v>7977</v>
      </c>
      <c r="AP1054" s="37"/>
      <c r="AQ1054" s="131"/>
      <c r="AR1054" s="132"/>
      <c r="AS1054" s="133"/>
      <c r="AT1054" s="42"/>
      <c r="AU1054" s="135"/>
      <c r="AV1054" s="131"/>
      <c r="AW1054" s="136"/>
      <c r="AX1054" s="137"/>
      <c r="AY1054" s="138"/>
      <c r="AZ1054" s="42"/>
      <c r="BA1054" s="135"/>
      <c r="BB1054" s="139"/>
    </row>
    <row r="1055" spans="1:54" ht="15" customHeight="1">
      <c r="A1055" s="166" t="s">
        <v>7675</v>
      </c>
      <c r="B1055" s="36" t="s">
        <v>7978</v>
      </c>
      <c r="C1055" s="41" t="s">
        <v>7677</v>
      </c>
      <c r="D1055" s="37">
        <v>78</v>
      </c>
      <c r="E1055" s="36">
        <v>3</v>
      </c>
      <c r="F1055" s="36" t="s">
        <v>7979</v>
      </c>
      <c r="G1055" s="36" t="s">
        <v>7980</v>
      </c>
      <c r="J1055" s="36" t="s">
        <v>29</v>
      </c>
      <c r="K1055" s="36" t="s">
        <v>6280</v>
      </c>
      <c r="N1055" s="160"/>
      <c r="O1055" s="131"/>
      <c r="P1055" s="132"/>
      <c r="Q1055" s="133">
        <v>3</v>
      </c>
      <c r="R1055" s="42">
        <v>3</v>
      </c>
      <c r="S1055" s="148"/>
      <c r="T1055" s="135">
        <v>1</v>
      </c>
      <c r="U1055" s="131"/>
      <c r="V1055" s="136">
        <v>1</v>
      </c>
      <c r="W1055" s="137"/>
      <c r="X1055" s="138"/>
      <c r="Y1055" s="42"/>
      <c r="Z1055" s="135"/>
      <c r="AA1055" s="139"/>
      <c r="AB1055" s="161"/>
      <c r="AD1055" s="36" t="s">
        <v>7981</v>
      </c>
      <c r="AF1055" s="36" t="s">
        <v>7982</v>
      </c>
      <c r="AP1055" s="37"/>
      <c r="AQ1055" s="131"/>
      <c r="AR1055" s="132"/>
      <c r="AS1055" s="133"/>
      <c r="AT1055" s="42"/>
      <c r="AU1055" s="135"/>
      <c r="AV1055" s="131"/>
      <c r="AW1055" s="136"/>
      <c r="AX1055" s="137"/>
      <c r="AY1055" s="138"/>
      <c r="AZ1055" s="42"/>
      <c r="BA1055" s="135"/>
      <c r="BB1055" s="139"/>
    </row>
    <row r="1056" spans="1:54" ht="15" customHeight="1">
      <c r="A1056" s="166" t="s">
        <v>7675</v>
      </c>
      <c r="B1056" s="36" t="s">
        <v>7983</v>
      </c>
      <c r="C1056" s="41" t="s">
        <v>7677</v>
      </c>
      <c r="D1056" s="37">
        <v>79</v>
      </c>
      <c r="E1056" s="36">
        <v>1</v>
      </c>
      <c r="F1056" s="36" t="s">
        <v>7979</v>
      </c>
      <c r="G1056" s="36" t="s">
        <v>7984</v>
      </c>
      <c r="J1056" s="36" t="s">
        <v>29</v>
      </c>
      <c r="K1056" s="36" t="s">
        <v>6280</v>
      </c>
      <c r="N1056" s="160"/>
      <c r="O1056" s="131"/>
      <c r="P1056" s="132"/>
      <c r="Q1056" s="133">
        <v>4</v>
      </c>
      <c r="R1056" s="42">
        <v>2</v>
      </c>
      <c r="S1056" s="148"/>
      <c r="T1056" s="135">
        <v>4</v>
      </c>
      <c r="U1056" s="131"/>
      <c r="V1056" s="136">
        <v>1</v>
      </c>
      <c r="W1056" s="137">
        <v>1</v>
      </c>
      <c r="X1056" s="138"/>
      <c r="Y1056" s="42"/>
      <c r="Z1056" s="135"/>
      <c r="AA1056" s="139"/>
      <c r="AB1056" s="161"/>
      <c r="AD1056" s="36" t="s">
        <v>7981</v>
      </c>
      <c r="AE1056" s="37" t="s">
        <v>4329</v>
      </c>
      <c r="AF1056" s="36" t="s">
        <v>7985</v>
      </c>
      <c r="AP1056" s="37"/>
      <c r="AQ1056" s="131"/>
      <c r="AR1056" s="132"/>
      <c r="AS1056" s="133"/>
      <c r="AT1056" s="42"/>
      <c r="AU1056" s="135"/>
      <c r="AV1056" s="131"/>
      <c r="AW1056" s="136"/>
      <c r="AX1056" s="137"/>
      <c r="AY1056" s="138"/>
      <c r="AZ1056" s="42"/>
      <c r="BA1056" s="135"/>
      <c r="BB1056" s="139"/>
    </row>
    <row r="1057" spans="1:54" ht="15" customHeight="1">
      <c r="A1057" s="166" t="s">
        <v>7675</v>
      </c>
      <c r="B1057" s="36" t="s">
        <v>7986</v>
      </c>
      <c r="C1057" s="41" t="s">
        <v>7677</v>
      </c>
      <c r="D1057" s="37">
        <v>80</v>
      </c>
      <c r="E1057" s="36">
        <v>3</v>
      </c>
      <c r="F1057" s="36" t="s">
        <v>7979</v>
      </c>
      <c r="G1057" s="36" t="s">
        <v>7987</v>
      </c>
      <c r="J1057" s="36" t="s">
        <v>28</v>
      </c>
      <c r="K1057" s="36" t="s">
        <v>6280</v>
      </c>
      <c r="N1057" s="160"/>
      <c r="O1057" s="131"/>
      <c r="P1057" s="132"/>
      <c r="Q1057" s="133"/>
      <c r="R1057" s="42"/>
      <c r="S1057" s="148"/>
      <c r="T1057" s="135"/>
      <c r="U1057" s="131"/>
      <c r="V1057" s="136"/>
      <c r="W1057" s="137"/>
      <c r="X1057" s="138"/>
      <c r="Y1057" s="42"/>
      <c r="Z1057" s="135"/>
      <c r="AA1057" s="139"/>
      <c r="AB1057" s="161"/>
      <c r="AD1057" s="36" t="s">
        <v>7988</v>
      </c>
      <c r="AF1057" s="36" t="s">
        <v>7989</v>
      </c>
      <c r="AP1057" s="37"/>
      <c r="AQ1057" s="131"/>
      <c r="AR1057" s="132"/>
      <c r="AS1057" s="133"/>
      <c r="AT1057" s="42"/>
      <c r="AU1057" s="135"/>
      <c r="AV1057" s="131"/>
      <c r="AW1057" s="136"/>
      <c r="AX1057" s="137"/>
      <c r="AY1057" s="138"/>
      <c r="AZ1057" s="42"/>
      <c r="BA1057" s="135"/>
      <c r="BB1057" s="139"/>
    </row>
    <row r="1058" spans="1:54" ht="15" customHeight="1">
      <c r="A1058" s="166" t="s">
        <v>7675</v>
      </c>
      <c r="B1058" s="36" t="s">
        <v>7990</v>
      </c>
      <c r="C1058" s="41" t="s">
        <v>7677</v>
      </c>
      <c r="D1058" s="37">
        <v>81</v>
      </c>
      <c r="E1058" s="36">
        <v>3</v>
      </c>
      <c r="F1058" s="36" t="s">
        <v>7991</v>
      </c>
      <c r="G1058" s="36" t="s">
        <v>7992</v>
      </c>
      <c r="J1058" s="36" t="s">
        <v>28</v>
      </c>
      <c r="K1058" s="36" t="s">
        <v>6280</v>
      </c>
      <c r="N1058" s="160"/>
      <c r="O1058" s="131"/>
      <c r="P1058" s="132"/>
      <c r="Q1058" s="133"/>
      <c r="R1058" s="42"/>
      <c r="S1058" s="148"/>
      <c r="T1058" s="135"/>
      <c r="U1058" s="131"/>
      <c r="V1058" s="136"/>
      <c r="W1058" s="137"/>
      <c r="X1058" s="138"/>
      <c r="Y1058" s="42"/>
      <c r="Z1058" s="135"/>
      <c r="AA1058" s="139"/>
      <c r="AB1058" s="161"/>
      <c r="AD1058" s="36" t="s">
        <v>5045</v>
      </c>
      <c r="AF1058" s="36" t="s">
        <v>7993</v>
      </c>
      <c r="AP1058" s="37"/>
      <c r="AQ1058" s="131"/>
      <c r="AR1058" s="132"/>
      <c r="AS1058" s="133"/>
      <c r="AT1058" s="42"/>
      <c r="AU1058" s="135"/>
      <c r="AV1058" s="131"/>
      <c r="AW1058" s="136"/>
      <c r="AX1058" s="137"/>
      <c r="AY1058" s="138"/>
      <c r="AZ1058" s="42"/>
      <c r="BA1058" s="135"/>
      <c r="BB1058" s="139"/>
    </row>
    <row r="1059" spans="1:54" ht="15" customHeight="1">
      <c r="A1059" s="166" t="s">
        <v>7675</v>
      </c>
      <c r="B1059" s="36" t="s">
        <v>7994</v>
      </c>
      <c r="C1059" s="41" t="s">
        <v>7677</v>
      </c>
      <c r="D1059" s="37">
        <v>82</v>
      </c>
      <c r="E1059" s="36">
        <v>2</v>
      </c>
      <c r="F1059" s="36" t="s">
        <v>7991</v>
      </c>
      <c r="G1059" s="36" t="s">
        <v>7995</v>
      </c>
      <c r="J1059" s="36" t="s">
        <v>28</v>
      </c>
      <c r="K1059" s="36" t="s">
        <v>6280</v>
      </c>
      <c r="N1059" s="160"/>
      <c r="O1059" s="131"/>
      <c r="P1059" s="132"/>
      <c r="Q1059" s="133"/>
      <c r="R1059" s="42"/>
      <c r="S1059" s="148"/>
      <c r="T1059" s="135"/>
      <c r="U1059" s="131"/>
      <c r="V1059" s="136"/>
      <c r="W1059" s="137"/>
      <c r="X1059" s="138"/>
      <c r="Y1059" s="42"/>
      <c r="Z1059" s="135"/>
      <c r="AA1059" s="139"/>
      <c r="AB1059" s="161"/>
      <c r="AD1059" s="36" t="s">
        <v>5045</v>
      </c>
      <c r="AE1059" s="37" t="s">
        <v>4615</v>
      </c>
      <c r="AF1059" s="36" t="s">
        <v>7996</v>
      </c>
      <c r="AP1059" s="37"/>
      <c r="AQ1059" s="131"/>
      <c r="AR1059" s="132"/>
      <c r="AS1059" s="133"/>
      <c r="AT1059" s="42"/>
      <c r="AU1059" s="135"/>
      <c r="AV1059" s="131"/>
      <c r="AW1059" s="136"/>
      <c r="AX1059" s="137"/>
      <c r="AY1059" s="138"/>
      <c r="AZ1059" s="42"/>
      <c r="BA1059" s="135"/>
      <c r="BB1059" s="139"/>
    </row>
    <row r="1060" spans="1:54" ht="15" customHeight="1">
      <c r="A1060" s="166" t="s">
        <v>7675</v>
      </c>
      <c r="B1060" s="36" t="s">
        <v>7997</v>
      </c>
      <c r="C1060" s="41" t="s">
        <v>7677</v>
      </c>
      <c r="D1060" s="37">
        <v>83</v>
      </c>
      <c r="E1060" s="36">
        <v>3</v>
      </c>
      <c r="F1060" s="36" t="s">
        <v>7998</v>
      </c>
      <c r="G1060" s="36" t="s">
        <v>7999</v>
      </c>
      <c r="J1060" s="36" t="s">
        <v>29</v>
      </c>
      <c r="K1060" s="36" t="s">
        <v>6280</v>
      </c>
      <c r="N1060" s="160"/>
      <c r="O1060" s="131"/>
      <c r="P1060" s="132"/>
      <c r="Q1060" s="133">
        <v>2</v>
      </c>
      <c r="R1060" s="42">
        <v>2</v>
      </c>
      <c r="S1060" s="148"/>
      <c r="T1060" s="135">
        <v>3</v>
      </c>
      <c r="U1060" s="131"/>
      <c r="V1060" s="136">
        <v>1</v>
      </c>
      <c r="W1060" s="137">
        <v>1</v>
      </c>
      <c r="X1060" s="138"/>
      <c r="Y1060" s="42"/>
      <c r="Z1060" s="135"/>
      <c r="AA1060" s="139"/>
      <c r="AB1060" s="161"/>
      <c r="AD1060" s="36" t="s">
        <v>7738</v>
      </c>
      <c r="AE1060" s="37" t="s">
        <v>4329</v>
      </c>
      <c r="AF1060" s="36" t="s">
        <v>8000</v>
      </c>
      <c r="AP1060" s="37"/>
      <c r="AQ1060" s="131"/>
      <c r="AR1060" s="132"/>
      <c r="AS1060" s="133"/>
      <c r="AT1060" s="42"/>
      <c r="AU1060" s="135"/>
      <c r="AV1060" s="131"/>
      <c r="AW1060" s="136"/>
      <c r="AX1060" s="137"/>
      <c r="AY1060" s="138"/>
      <c r="AZ1060" s="42"/>
      <c r="BA1060" s="135"/>
      <c r="BB1060" s="139"/>
    </row>
    <row r="1061" spans="1:54" ht="15" customHeight="1">
      <c r="A1061" s="166" t="s">
        <v>7675</v>
      </c>
      <c r="B1061" s="36" t="s">
        <v>8001</v>
      </c>
      <c r="C1061" s="41" t="s">
        <v>7677</v>
      </c>
      <c r="D1061" s="37">
        <v>84</v>
      </c>
      <c r="E1061" s="36">
        <v>1</v>
      </c>
      <c r="F1061" s="36" t="s">
        <v>7998</v>
      </c>
      <c r="G1061" s="36" t="s">
        <v>8002</v>
      </c>
      <c r="J1061" s="36" t="s">
        <v>29</v>
      </c>
      <c r="K1061" s="36" t="s">
        <v>6280</v>
      </c>
      <c r="N1061" s="160"/>
      <c r="O1061" s="131"/>
      <c r="P1061" s="132"/>
      <c r="Q1061" s="133">
        <v>3</v>
      </c>
      <c r="R1061" s="42">
        <v>3</v>
      </c>
      <c r="S1061" s="148"/>
      <c r="T1061" s="135">
        <v>5</v>
      </c>
      <c r="U1061" s="131"/>
      <c r="V1061" s="136">
        <v>1</v>
      </c>
      <c r="W1061" s="137">
        <v>2</v>
      </c>
      <c r="X1061" s="138"/>
      <c r="Y1061" s="42"/>
      <c r="Z1061" s="135"/>
      <c r="AA1061" s="139">
        <v>1</v>
      </c>
      <c r="AB1061" s="161"/>
      <c r="AD1061" s="36" t="s">
        <v>7738</v>
      </c>
      <c r="AF1061" s="36" t="s">
        <v>8003</v>
      </c>
      <c r="AP1061" s="37"/>
      <c r="AQ1061" s="131"/>
      <c r="AR1061" s="132"/>
      <c r="AS1061" s="133"/>
      <c r="AT1061" s="42"/>
      <c r="AU1061" s="135"/>
      <c r="AV1061" s="131"/>
      <c r="AW1061" s="136"/>
      <c r="AX1061" s="137"/>
      <c r="AY1061" s="138"/>
      <c r="AZ1061" s="42"/>
      <c r="BA1061" s="135"/>
      <c r="BB1061" s="139"/>
    </row>
    <row r="1062" spans="1:54" ht="15" customHeight="1">
      <c r="A1062" s="166" t="s">
        <v>7675</v>
      </c>
      <c r="B1062" s="36" t="s">
        <v>8004</v>
      </c>
      <c r="C1062" s="41" t="s">
        <v>7677</v>
      </c>
      <c r="D1062" s="37">
        <v>85</v>
      </c>
      <c r="E1062" s="36">
        <v>2</v>
      </c>
      <c r="F1062" s="36" t="s">
        <v>7998</v>
      </c>
      <c r="G1062" s="36" t="s">
        <v>8005</v>
      </c>
      <c r="J1062" s="36" t="s">
        <v>28</v>
      </c>
      <c r="K1062" s="36" t="s">
        <v>6280</v>
      </c>
      <c r="N1062" s="160"/>
      <c r="O1062" s="131"/>
      <c r="P1062" s="132"/>
      <c r="Q1062" s="133"/>
      <c r="R1062" s="42"/>
      <c r="S1062" s="148"/>
      <c r="T1062" s="135"/>
      <c r="U1062" s="131"/>
      <c r="V1062" s="136"/>
      <c r="W1062" s="137"/>
      <c r="X1062" s="138"/>
      <c r="Y1062" s="42"/>
      <c r="Z1062" s="135"/>
      <c r="AA1062" s="139"/>
      <c r="AB1062" s="161"/>
      <c r="AD1062" s="36" t="s">
        <v>4293</v>
      </c>
      <c r="AF1062" s="36" t="s">
        <v>8006</v>
      </c>
      <c r="AP1062" s="37"/>
      <c r="AQ1062" s="131"/>
      <c r="AR1062" s="132"/>
      <c r="AS1062" s="133"/>
      <c r="AT1062" s="42"/>
      <c r="AU1062" s="135"/>
      <c r="AV1062" s="131"/>
      <c r="AW1062" s="136"/>
      <c r="AX1062" s="137"/>
      <c r="AY1062" s="138"/>
      <c r="AZ1062" s="42"/>
      <c r="BA1062" s="135"/>
      <c r="BB1062" s="139"/>
    </row>
    <row r="1063" spans="1:54" ht="15" customHeight="1">
      <c r="A1063" s="166" t="s">
        <v>7675</v>
      </c>
      <c r="B1063" s="36" t="s">
        <v>8007</v>
      </c>
      <c r="C1063" s="41" t="s">
        <v>7677</v>
      </c>
      <c r="D1063" s="37">
        <v>86</v>
      </c>
      <c r="E1063" s="36">
        <v>2</v>
      </c>
      <c r="F1063" s="36" t="s">
        <v>8008</v>
      </c>
      <c r="G1063" s="36" t="s">
        <v>8009</v>
      </c>
      <c r="J1063" s="36" t="s">
        <v>29</v>
      </c>
      <c r="K1063" s="36" t="s">
        <v>6280</v>
      </c>
      <c r="N1063" s="160"/>
      <c r="O1063" s="131"/>
      <c r="P1063" s="132"/>
      <c r="Q1063" s="133">
        <v>4</v>
      </c>
      <c r="R1063" s="42">
        <v>2</v>
      </c>
      <c r="S1063" s="148"/>
      <c r="T1063" s="135">
        <v>2</v>
      </c>
      <c r="U1063" s="131"/>
      <c r="V1063" s="136">
        <v>1</v>
      </c>
      <c r="W1063" s="137"/>
      <c r="X1063" s="138"/>
      <c r="Y1063" s="42"/>
      <c r="Z1063" s="135"/>
      <c r="AA1063" s="139"/>
      <c r="AB1063" s="161"/>
      <c r="AD1063" s="36" t="s">
        <v>8010</v>
      </c>
      <c r="AE1063" s="37" t="s">
        <v>8011</v>
      </c>
      <c r="AF1063" s="36" t="s">
        <v>8012</v>
      </c>
      <c r="AP1063" s="37"/>
      <c r="AQ1063" s="131"/>
      <c r="AR1063" s="132"/>
      <c r="AS1063" s="133"/>
      <c r="AT1063" s="42"/>
      <c r="AU1063" s="135"/>
      <c r="AV1063" s="131"/>
      <c r="AW1063" s="136"/>
      <c r="AX1063" s="137"/>
      <c r="AY1063" s="138"/>
      <c r="AZ1063" s="42"/>
      <c r="BA1063" s="135"/>
      <c r="BB1063" s="139"/>
    </row>
    <row r="1064" spans="1:54" ht="15" customHeight="1">
      <c r="A1064" s="166" t="s">
        <v>7675</v>
      </c>
      <c r="B1064" s="36" t="s">
        <v>8013</v>
      </c>
      <c r="C1064" s="41" t="s">
        <v>7677</v>
      </c>
      <c r="D1064" s="37">
        <v>87</v>
      </c>
      <c r="E1064" s="36">
        <v>2</v>
      </c>
      <c r="F1064" s="36" t="s">
        <v>8008</v>
      </c>
      <c r="G1064" s="36" t="s">
        <v>8014</v>
      </c>
      <c r="J1064" s="36" t="s">
        <v>28</v>
      </c>
      <c r="K1064" s="36" t="s">
        <v>6280</v>
      </c>
      <c r="N1064" s="160"/>
      <c r="O1064" s="131"/>
      <c r="P1064" s="132"/>
      <c r="Q1064" s="133"/>
      <c r="R1064" s="42"/>
      <c r="S1064" s="148"/>
      <c r="T1064" s="135"/>
      <c r="U1064" s="131"/>
      <c r="V1064" s="136"/>
      <c r="W1064" s="137"/>
      <c r="X1064" s="138"/>
      <c r="Y1064" s="42"/>
      <c r="Z1064" s="135"/>
      <c r="AA1064" s="139"/>
      <c r="AB1064" s="161"/>
      <c r="AD1064" s="36" t="s">
        <v>5050</v>
      </c>
      <c r="AF1064" s="36" t="s">
        <v>8015</v>
      </c>
      <c r="AP1064" s="37"/>
      <c r="AQ1064" s="131"/>
      <c r="AR1064" s="132"/>
      <c r="AS1064" s="133"/>
      <c r="AT1064" s="42"/>
      <c r="AU1064" s="135"/>
      <c r="AV1064" s="131"/>
      <c r="AW1064" s="136"/>
      <c r="AX1064" s="137"/>
      <c r="AY1064" s="138"/>
      <c r="AZ1064" s="42"/>
      <c r="BA1064" s="135"/>
      <c r="BB1064" s="139"/>
    </row>
    <row r="1065" spans="1:54" ht="15" customHeight="1">
      <c r="A1065" s="166" t="s">
        <v>7675</v>
      </c>
      <c r="B1065" s="36" t="s">
        <v>8016</v>
      </c>
      <c r="C1065" s="41" t="s">
        <v>7677</v>
      </c>
      <c r="D1065" s="37">
        <v>88</v>
      </c>
      <c r="E1065" s="36">
        <v>3</v>
      </c>
      <c r="F1065" s="36" t="s">
        <v>8017</v>
      </c>
      <c r="G1065" s="36" t="s">
        <v>8018</v>
      </c>
      <c r="J1065" s="36" t="s">
        <v>28</v>
      </c>
      <c r="K1065" s="36" t="s">
        <v>6280</v>
      </c>
      <c r="N1065" s="160"/>
      <c r="O1065" s="131"/>
      <c r="P1065" s="132"/>
      <c r="Q1065" s="133"/>
      <c r="R1065" s="42"/>
      <c r="S1065" s="148"/>
      <c r="T1065" s="135"/>
      <c r="U1065" s="131"/>
      <c r="V1065" s="136"/>
      <c r="W1065" s="137"/>
      <c r="X1065" s="138"/>
      <c r="Y1065" s="42"/>
      <c r="Z1065" s="135"/>
      <c r="AA1065" s="139"/>
      <c r="AB1065" s="161"/>
      <c r="AD1065" s="36" t="s">
        <v>4879</v>
      </c>
      <c r="AF1065" s="36" t="s">
        <v>8019</v>
      </c>
      <c r="AP1065" s="37"/>
      <c r="AQ1065" s="131"/>
      <c r="AR1065" s="132"/>
      <c r="AS1065" s="133"/>
      <c r="AT1065" s="42"/>
      <c r="AU1065" s="135"/>
      <c r="AV1065" s="131"/>
      <c r="AW1065" s="136"/>
      <c r="AX1065" s="137"/>
      <c r="AY1065" s="138"/>
      <c r="AZ1065" s="42"/>
      <c r="BA1065" s="135"/>
      <c r="BB1065" s="139"/>
    </row>
    <row r="1066" spans="1:54" ht="15" customHeight="1">
      <c r="A1066" s="166" t="s">
        <v>7675</v>
      </c>
      <c r="B1066" s="36" t="s">
        <v>8020</v>
      </c>
      <c r="C1066" s="41" t="s">
        <v>7677</v>
      </c>
      <c r="D1066" s="37">
        <v>89</v>
      </c>
      <c r="E1066" s="36">
        <v>2</v>
      </c>
      <c r="F1066" s="36" t="s">
        <v>8017</v>
      </c>
      <c r="G1066" s="36" t="s">
        <v>8021</v>
      </c>
      <c r="J1066" s="36" t="s">
        <v>28</v>
      </c>
      <c r="K1066" s="36" t="s">
        <v>6280</v>
      </c>
      <c r="N1066" s="160"/>
      <c r="O1066" s="131"/>
      <c r="P1066" s="132"/>
      <c r="Q1066" s="133"/>
      <c r="R1066" s="42"/>
      <c r="S1066" s="148"/>
      <c r="T1066" s="135"/>
      <c r="U1066" s="131"/>
      <c r="V1066" s="136"/>
      <c r="W1066" s="137"/>
      <c r="X1066" s="138"/>
      <c r="Y1066" s="42"/>
      <c r="Z1066" s="135"/>
      <c r="AA1066" s="139"/>
      <c r="AB1066" s="161"/>
      <c r="AD1066" s="36" t="s">
        <v>4879</v>
      </c>
      <c r="AF1066" s="36" t="s">
        <v>8022</v>
      </c>
      <c r="AP1066" s="37"/>
      <c r="AQ1066" s="131"/>
      <c r="AR1066" s="132"/>
      <c r="AS1066" s="133"/>
      <c r="AT1066" s="42"/>
      <c r="AU1066" s="135"/>
      <c r="AV1066" s="131"/>
      <c r="AW1066" s="136"/>
      <c r="AX1066" s="137"/>
      <c r="AY1066" s="138"/>
      <c r="AZ1066" s="42"/>
      <c r="BA1066" s="135"/>
      <c r="BB1066" s="139"/>
    </row>
    <row r="1067" spans="1:54" ht="15" customHeight="1">
      <c r="A1067" s="166" t="s">
        <v>7675</v>
      </c>
      <c r="B1067" s="36" t="s">
        <v>8023</v>
      </c>
      <c r="C1067" s="41" t="s">
        <v>7677</v>
      </c>
      <c r="D1067" s="37">
        <v>90</v>
      </c>
      <c r="E1067" s="36">
        <v>3</v>
      </c>
      <c r="F1067" s="36" t="s">
        <v>8024</v>
      </c>
      <c r="G1067" s="36" t="s">
        <v>8025</v>
      </c>
      <c r="J1067" s="36" t="s">
        <v>28</v>
      </c>
      <c r="K1067" s="36" t="s">
        <v>6280</v>
      </c>
      <c r="N1067" s="160"/>
      <c r="O1067" s="131"/>
      <c r="P1067" s="132"/>
      <c r="Q1067" s="133"/>
      <c r="R1067" s="42"/>
      <c r="S1067" s="148"/>
      <c r="T1067" s="135"/>
      <c r="U1067" s="131"/>
      <c r="V1067" s="136"/>
      <c r="W1067" s="137"/>
      <c r="X1067" s="138"/>
      <c r="Y1067" s="42"/>
      <c r="Z1067" s="135"/>
      <c r="AA1067" s="139"/>
      <c r="AB1067" s="161"/>
      <c r="AD1067" s="36" t="s">
        <v>4340</v>
      </c>
      <c r="AF1067" s="36" t="s">
        <v>8026</v>
      </c>
      <c r="AP1067" s="37"/>
      <c r="AQ1067" s="131"/>
      <c r="AR1067" s="132"/>
      <c r="AS1067" s="133"/>
      <c r="AT1067" s="42"/>
      <c r="AU1067" s="135"/>
      <c r="AV1067" s="131"/>
      <c r="AW1067" s="136"/>
      <c r="AX1067" s="137"/>
      <c r="AY1067" s="138"/>
      <c r="AZ1067" s="42"/>
      <c r="BA1067" s="135"/>
      <c r="BB1067" s="139"/>
    </row>
    <row r="1068" spans="1:54" ht="15" customHeight="1">
      <c r="A1068" s="166" t="s">
        <v>7675</v>
      </c>
      <c r="B1068" s="36" t="s">
        <v>8027</v>
      </c>
      <c r="C1068" s="41" t="s">
        <v>7677</v>
      </c>
      <c r="D1068" s="37">
        <v>91</v>
      </c>
      <c r="E1068" s="36">
        <v>2</v>
      </c>
      <c r="F1068" s="36" t="s">
        <v>8024</v>
      </c>
      <c r="G1068" s="36" t="s">
        <v>8028</v>
      </c>
      <c r="J1068" s="36" t="s">
        <v>28</v>
      </c>
      <c r="K1068" s="36" t="s">
        <v>6280</v>
      </c>
      <c r="N1068" s="160"/>
      <c r="O1068" s="131"/>
      <c r="P1068" s="132"/>
      <c r="Q1068" s="133"/>
      <c r="R1068" s="42"/>
      <c r="S1068" s="148"/>
      <c r="T1068" s="135"/>
      <c r="U1068" s="131"/>
      <c r="V1068" s="136"/>
      <c r="W1068" s="137"/>
      <c r="X1068" s="138"/>
      <c r="Y1068" s="42"/>
      <c r="Z1068" s="135"/>
      <c r="AA1068" s="139"/>
      <c r="AB1068" s="161"/>
      <c r="AD1068" s="36" t="s">
        <v>4340</v>
      </c>
      <c r="AF1068" s="36" t="s">
        <v>8029</v>
      </c>
      <c r="AP1068" s="37"/>
      <c r="AQ1068" s="131"/>
      <c r="AR1068" s="132"/>
      <c r="AS1068" s="133"/>
      <c r="AT1068" s="42"/>
      <c r="AU1068" s="135"/>
      <c r="AV1068" s="131"/>
      <c r="AW1068" s="136"/>
      <c r="AX1068" s="137"/>
      <c r="AY1068" s="138"/>
      <c r="AZ1068" s="42"/>
      <c r="BA1068" s="135"/>
      <c r="BB1068" s="139"/>
    </row>
    <row r="1069" spans="1:54" ht="15" customHeight="1">
      <c r="A1069" s="166" t="s">
        <v>7675</v>
      </c>
      <c r="B1069" s="36" t="s">
        <v>8030</v>
      </c>
      <c r="C1069" s="41" t="s">
        <v>7677</v>
      </c>
      <c r="D1069" s="37">
        <v>92</v>
      </c>
      <c r="E1069" s="36">
        <v>2</v>
      </c>
      <c r="F1069" s="36" t="s">
        <v>8031</v>
      </c>
      <c r="G1069" s="36" t="s">
        <v>8032</v>
      </c>
      <c r="J1069" s="36" t="s">
        <v>28</v>
      </c>
      <c r="K1069" s="36" t="s">
        <v>6280</v>
      </c>
      <c r="N1069" s="160"/>
      <c r="O1069" s="131"/>
      <c r="P1069" s="132"/>
      <c r="Q1069" s="133"/>
      <c r="R1069" s="42"/>
      <c r="S1069" s="148"/>
      <c r="T1069" s="135"/>
      <c r="U1069" s="131"/>
      <c r="V1069" s="136"/>
      <c r="W1069" s="137"/>
      <c r="X1069" s="138"/>
      <c r="Y1069" s="42"/>
      <c r="Z1069" s="135"/>
      <c r="AA1069" s="139"/>
      <c r="AB1069" s="161"/>
      <c r="AD1069" s="36" t="s">
        <v>8033</v>
      </c>
      <c r="AE1069" s="37" t="s">
        <v>4615</v>
      </c>
      <c r="AF1069" s="36" t="s">
        <v>8034</v>
      </c>
      <c r="AP1069" s="37"/>
      <c r="AQ1069" s="131"/>
      <c r="AR1069" s="132"/>
      <c r="AS1069" s="133"/>
      <c r="AT1069" s="42"/>
      <c r="AU1069" s="135"/>
      <c r="AV1069" s="131"/>
      <c r="AW1069" s="136"/>
      <c r="AX1069" s="137"/>
      <c r="AY1069" s="138"/>
      <c r="AZ1069" s="42"/>
      <c r="BA1069" s="135"/>
      <c r="BB1069" s="139"/>
    </row>
    <row r="1070" spans="1:54" ht="15" customHeight="1">
      <c r="A1070" s="166" t="s">
        <v>7675</v>
      </c>
      <c r="B1070" s="36" t="s">
        <v>8035</v>
      </c>
      <c r="C1070" s="41" t="s">
        <v>7677</v>
      </c>
      <c r="D1070" s="37">
        <v>93</v>
      </c>
      <c r="E1070" s="36">
        <v>2</v>
      </c>
      <c r="F1070" s="36" t="s">
        <v>8031</v>
      </c>
      <c r="G1070" s="36" t="s">
        <v>8036</v>
      </c>
      <c r="J1070" s="36" t="s">
        <v>28</v>
      </c>
      <c r="K1070" s="36" t="s">
        <v>6280</v>
      </c>
      <c r="N1070" s="160"/>
      <c r="O1070" s="131"/>
      <c r="P1070" s="132"/>
      <c r="Q1070" s="133"/>
      <c r="R1070" s="42"/>
      <c r="S1070" s="148"/>
      <c r="T1070" s="135"/>
      <c r="U1070" s="131"/>
      <c r="V1070" s="136"/>
      <c r="W1070" s="137"/>
      <c r="X1070" s="138"/>
      <c r="Y1070" s="42"/>
      <c r="Z1070" s="135"/>
      <c r="AA1070" s="139"/>
      <c r="AB1070" s="161"/>
      <c r="AD1070" s="36" t="s">
        <v>4335</v>
      </c>
      <c r="AE1070" s="37" t="s">
        <v>8037</v>
      </c>
      <c r="AF1070" s="36" t="s">
        <v>8038</v>
      </c>
      <c r="AP1070" s="37"/>
      <c r="AQ1070" s="131"/>
      <c r="AR1070" s="132"/>
      <c r="AS1070" s="133"/>
      <c r="AT1070" s="42"/>
      <c r="AU1070" s="135"/>
      <c r="AV1070" s="131"/>
      <c r="AW1070" s="136"/>
      <c r="AX1070" s="137"/>
      <c r="AY1070" s="138"/>
      <c r="AZ1070" s="42"/>
      <c r="BA1070" s="135"/>
      <c r="BB1070" s="139"/>
    </row>
    <row r="1071" spans="1:54" ht="15" customHeight="1">
      <c r="A1071" s="166" t="s">
        <v>7675</v>
      </c>
      <c r="B1071" s="36" t="s">
        <v>8039</v>
      </c>
      <c r="C1071" s="41" t="s">
        <v>7677</v>
      </c>
      <c r="D1071" s="37">
        <v>94</v>
      </c>
      <c r="E1071" s="36">
        <v>3</v>
      </c>
      <c r="F1071" s="36" t="s">
        <v>8031</v>
      </c>
      <c r="G1071" s="36" t="s">
        <v>8040</v>
      </c>
      <c r="J1071" s="36" t="s">
        <v>28</v>
      </c>
      <c r="K1071" s="36" t="s">
        <v>6280</v>
      </c>
      <c r="N1071" s="160"/>
      <c r="O1071" s="131"/>
      <c r="P1071" s="132"/>
      <c r="Q1071" s="133"/>
      <c r="R1071" s="42"/>
      <c r="S1071" s="148"/>
      <c r="T1071" s="135"/>
      <c r="U1071" s="131"/>
      <c r="V1071" s="136"/>
      <c r="W1071" s="137"/>
      <c r="X1071" s="138"/>
      <c r="Y1071" s="42"/>
      <c r="Z1071" s="135"/>
      <c r="AA1071" s="139"/>
      <c r="AB1071" s="161"/>
      <c r="AD1071" s="36" t="s">
        <v>4333</v>
      </c>
      <c r="AF1071" s="36" t="s">
        <v>8041</v>
      </c>
      <c r="AP1071" s="37"/>
      <c r="AQ1071" s="131"/>
      <c r="AR1071" s="132"/>
      <c r="AS1071" s="133"/>
      <c r="AT1071" s="42"/>
      <c r="AU1071" s="135"/>
      <c r="AV1071" s="131"/>
      <c r="AW1071" s="136"/>
      <c r="AX1071" s="137"/>
      <c r="AY1071" s="138"/>
      <c r="AZ1071" s="42"/>
      <c r="BA1071" s="135"/>
      <c r="BB1071" s="139"/>
    </row>
    <row r="1072" spans="1:54" ht="15" customHeight="1">
      <c r="A1072" s="166" t="s">
        <v>7675</v>
      </c>
      <c r="B1072" s="36" t="s">
        <v>8042</v>
      </c>
      <c r="C1072" s="41" t="s">
        <v>7677</v>
      </c>
      <c r="D1072" s="37">
        <v>95</v>
      </c>
      <c r="E1072" s="36">
        <v>2</v>
      </c>
      <c r="F1072" s="36" t="s">
        <v>8043</v>
      </c>
      <c r="G1072" s="36" t="s">
        <v>8044</v>
      </c>
      <c r="J1072" s="36" t="s">
        <v>29</v>
      </c>
      <c r="K1072" s="36" t="s">
        <v>6280</v>
      </c>
      <c r="N1072" s="160"/>
      <c r="O1072" s="131"/>
      <c r="P1072" s="132"/>
      <c r="Q1072" s="133">
        <v>2</v>
      </c>
      <c r="R1072" s="42">
        <v>2</v>
      </c>
      <c r="S1072" s="148"/>
      <c r="T1072" s="135">
        <v>3</v>
      </c>
      <c r="U1072" s="131"/>
      <c r="V1072" s="136"/>
      <c r="W1072" s="137">
        <v>1</v>
      </c>
      <c r="X1072" s="138"/>
      <c r="Y1072" s="42"/>
      <c r="Z1072" s="135"/>
      <c r="AA1072" s="139"/>
      <c r="AB1072" s="161"/>
      <c r="AD1072" s="36" t="s">
        <v>4321</v>
      </c>
      <c r="AE1072" s="37" t="s">
        <v>4329</v>
      </c>
      <c r="AF1072" s="36" t="s">
        <v>8045</v>
      </c>
      <c r="AP1072" s="37"/>
      <c r="AQ1072" s="131"/>
      <c r="AR1072" s="132"/>
      <c r="AS1072" s="133"/>
      <c r="AT1072" s="42"/>
      <c r="AU1072" s="135"/>
      <c r="AV1072" s="131"/>
      <c r="AW1072" s="136"/>
      <c r="AX1072" s="137"/>
      <c r="AY1072" s="138"/>
      <c r="AZ1072" s="42"/>
      <c r="BA1072" s="135"/>
      <c r="BB1072" s="139"/>
    </row>
    <row r="1073" spans="1:54" ht="15" customHeight="1">
      <c r="A1073" s="166" t="s">
        <v>7675</v>
      </c>
      <c r="B1073" s="36" t="s">
        <v>8046</v>
      </c>
      <c r="C1073" s="41" t="s">
        <v>7677</v>
      </c>
      <c r="D1073" s="37">
        <v>96</v>
      </c>
      <c r="E1073" s="36">
        <v>2</v>
      </c>
      <c r="F1073" s="36" t="s">
        <v>8043</v>
      </c>
      <c r="G1073" s="36" t="s">
        <v>8047</v>
      </c>
      <c r="J1073" s="36" t="s">
        <v>28</v>
      </c>
      <c r="K1073" s="36" t="s">
        <v>6280</v>
      </c>
      <c r="N1073" s="160"/>
      <c r="O1073" s="131"/>
      <c r="P1073" s="132"/>
      <c r="Q1073" s="133"/>
      <c r="R1073" s="42"/>
      <c r="S1073" s="148"/>
      <c r="T1073" s="135"/>
      <c r="U1073" s="131"/>
      <c r="V1073" s="136"/>
      <c r="W1073" s="137"/>
      <c r="X1073" s="138"/>
      <c r="Y1073" s="42"/>
      <c r="Z1073" s="135"/>
      <c r="AA1073" s="139"/>
      <c r="AB1073" s="161"/>
      <c r="AD1073" s="36" t="s">
        <v>5050</v>
      </c>
      <c r="AF1073" s="36" t="s">
        <v>8048</v>
      </c>
      <c r="AP1073" s="37"/>
      <c r="AQ1073" s="131"/>
      <c r="AR1073" s="132"/>
      <c r="AS1073" s="133"/>
      <c r="AT1073" s="42"/>
      <c r="AU1073" s="135"/>
      <c r="AV1073" s="131"/>
      <c r="AW1073" s="136"/>
      <c r="AX1073" s="137"/>
      <c r="AY1073" s="138"/>
      <c r="AZ1073" s="42"/>
      <c r="BA1073" s="135"/>
      <c r="BB1073" s="139"/>
    </row>
    <row r="1074" spans="1:54" ht="15" customHeight="1">
      <c r="A1074" s="166" t="s">
        <v>7675</v>
      </c>
      <c r="B1074" s="36" t="s">
        <v>8049</v>
      </c>
      <c r="C1074" s="41" t="s">
        <v>7677</v>
      </c>
      <c r="D1074" s="37">
        <v>97</v>
      </c>
      <c r="E1074" s="36">
        <v>2</v>
      </c>
      <c r="F1074" s="36" t="s">
        <v>8043</v>
      </c>
      <c r="G1074" s="36" t="s">
        <v>8050</v>
      </c>
      <c r="J1074" s="36" t="s">
        <v>28</v>
      </c>
      <c r="K1074" s="36" t="s">
        <v>6280</v>
      </c>
      <c r="N1074" s="160"/>
      <c r="O1074" s="131"/>
      <c r="P1074" s="132"/>
      <c r="Q1074" s="133"/>
      <c r="R1074" s="42"/>
      <c r="S1074" s="148"/>
      <c r="T1074" s="135"/>
      <c r="U1074" s="131"/>
      <c r="V1074" s="136"/>
      <c r="W1074" s="137"/>
      <c r="X1074" s="138"/>
      <c r="Y1074" s="42"/>
      <c r="Z1074" s="135"/>
      <c r="AA1074" s="139"/>
      <c r="AB1074" s="161"/>
      <c r="AD1074" s="36" t="s">
        <v>4340</v>
      </c>
      <c r="AF1074" s="36" t="s">
        <v>8051</v>
      </c>
      <c r="AP1074" s="37"/>
      <c r="AQ1074" s="131"/>
      <c r="AR1074" s="132"/>
      <c r="AS1074" s="133"/>
      <c r="AT1074" s="42"/>
      <c r="AU1074" s="135"/>
      <c r="AV1074" s="131"/>
      <c r="AW1074" s="136"/>
      <c r="AX1074" s="137"/>
      <c r="AY1074" s="138"/>
      <c r="AZ1074" s="42"/>
      <c r="BA1074" s="135"/>
      <c r="BB1074" s="139"/>
    </row>
    <row r="1075" spans="1:54" ht="15" customHeight="1">
      <c r="A1075" s="166" t="s">
        <v>7675</v>
      </c>
      <c r="B1075" s="36" t="s">
        <v>8052</v>
      </c>
      <c r="C1075" s="41" t="s">
        <v>7677</v>
      </c>
      <c r="D1075" s="37">
        <v>98</v>
      </c>
      <c r="E1075" s="36">
        <v>2</v>
      </c>
      <c r="F1075" s="36" t="s">
        <v>8053</v>
      </c>
      <c r="G1075" s="36" t="s">
        <v>8054</v>
      </c>
      <c r="J1075" s="36" t="s">
        <v>29</v>
      </c>
      <c r="K1075" s="36" t="s">
        <v>6280</v>
      </c>
      <c r="N1075" s="160"/>
      <c r="O1075" s="131"/>
      <c r="P1075" s="132"/>
      <c r="Q1075" s="133">
        <v>3</v>
      </c>
      <c r="R1075" s="42">
        <v>3</v>
      </c>
      <c r="S1075" s="148"/>
      <c r="T1075" s="135">
        <v>3</v>
      </c>
      <c r="U1075" s="131"/>
      <c r="V1075" s="136">
        <v>1</v>
      </c>
      <c r="W1075" s="137">
        <v>1</v>
      </c>
      <c r="X1075" s="138"/>
      <c r="Y1075" s="42"/>
      <c r="Z1075" s="135"/>
      <c r="AA1075" s="139"/>
      <c r="AB1075" s="161"/>
      <c r="AD1075" s="36" t="s">
        <v>7738</v>
      </c>
      <c r="AE1075" s="37" t="s">
        <v>8055</v>
      </c>
      <c r="AF1075" s="36" t="s">
        <v>8056</v>
      </c>
      <c r="AP1075" s="37"/>
      <c r="AQ1075" s="131"/>
      <c r="AR1075" s="132"/>
      <c r="AS1075" s="133"/>
      <c r="AT1075" s="42"/>
      <c r="AU1075" s="135"/>
      <c r="AV1075" s="131"/>
      <c r="AW1075" s="136"/>
      <c r="AX1075" s="137"/>
      <c r="AY1075" s="138"/>
      <c r="AZ1075" s="42"/>
      <c r="BA1075" s="135"/>
      <c r="BB1075" s="139"/>
    </row>
    <row r="1076" spans="1:54" ht="15" customHeight="1">
      <c r="A1076" s="166" t="s">
        <v>7675</v>
      </c>
      <c r="B1076" s="36" t="s">
        <v>8057</v>
      </c>
      <c r="C1076" s="41" t="s">
        <v>7677</v>
      </c>
      <c r="D1076" s="37">
        <v>99</v>
      </c>
      <c r="E1076" s="36">
        <v>2</v>
      </c>
      <c r="F1076" s="36" t="s">
        <v>8053</v>
      </c>
      <c r="G1076" s="36" t="s">
        <v>8058</v>
      </c>
      <c r="J1076" s="36" t="s">
        <v>28</v>
      </c>
      <c r="K1076" s="36" t="s">
        <v>6280</v>
      </c>
      <c r="N1076" s="160"/>
      <c r="O1076" s="131"/>
      <c r="P1076" s="132"/>
      <c r="Q1076" s="133"/>
      <c r="R1076" s="42"/>
      <c r="S1076" s="148"/>
      <c r="T1076" s="135"/>
      <c r="U1076" s="131"/>
      <c r="V1076" s="136"/>
      <c r="W1076" s="137"/>
      <c r="X1076" s="138"/>
      <c r="Y1076" s="42"/>
      <c r="Z1076" s="135"/>
      <c r="AA1076" s="139"/>
      <c r="AB1076" s="161"/>
      <c r="AD1076" s="36" t="s">
        <v>4293</v>
      </c>
      <c r="AF1076" s="36" t="s">
        <v>8059</v>
      </c>
      <c r="AP1076" s="37"/>
      <c r="AQ1076" s="131"/>
      <c r="AR1076" s="132"/>
      <c r="AS1076" s="133"/>
      <c r="AT1076" s="42"/>
      <c r="AU1076" s="135"/>
      <c r="AV1076" s="131"/>
      <c r="AW1076" s="136"/>
      <c r="AX1076" s="137"/>
      <c r="AY1076" s="138"/>
      <c r="AZ1076" s="42"/>
      <c r="BA1076" s="135"/>
      <c r="BB1076" s="139"/>
    </row>
    <row r="1077" spans="1:54" ht="15" customHeight="1">
      <c r="A1077" s="166" t="s">
        <v>7675</v>
      </c>
      <c r="B1077" s="36" t="s">
        <v>8060</v>
      </c>
      <c r="C1077" s="41" t="s">
        <v>7677</v>
      </c>
      <c r="D1077" s="37">
        <v>100</v>
      </c>
      <c r="E1077" s="36">
        <v>1</v>
      </c>
      <c r="F1077" s="36" t="s">
        <v>8053</v>
      </c>
      <c r="G1077" s="36" t="s">
        <v>8061</v>
      </c>
      <c r="J1077" s="36" t="s">
        <v>28</v>
      </c>
      <c r="K1077" s="36" t="s">
        <v>6280</v>
      </c>
      <c r="N1077" s="160"/>
      <c r="O1077" s="131"/>
      <c r="P1077" s="132"/>
      <c r="Q1077" s="133"/>
      <c r="R1077" s="42"/>
      <c r="S1077" s="148"/>
      <c r="T1077" s="135"/>
      <c r="U1077" s="131"/>
      <c r="V1077" s="136"/>
      <c r="W1077" s="137"/>
      <c r="X1077" s="138"/>
      <c r="Y1077" s="42"/>
      <c r="Z1077" s="135"/>
      <c r="AA1077" s="139"/>
      <c r="AB1077" s="161"/>
      <c r="AD1077" s="36" t="s">
        <v>5517</v>
      </c>
      <c r="AF1077" s="36" t="s">
        <v>8062</v>
      </c>
      <c r="AP1077" s="37"/>
      <c r="AQ1077" s="131"/>
      <c r="AR1077" s="132"/>
      <c r="AS1077" s="133"/>
      <c r="AT1077" s="42"/>
      <c r="AU1077" s="135"/>
      <c r="AV1077" s="131"/>
      <c r="AW1077" s="136"/>
      <c r="AX1077" s="137"/>
      <c r="AY1077" s="138"/>
      <c r="AZ1077" s="42"/>
      <c r="BA1077" s="135"/>
      <c r="BB1077" s="139"/>
    </row>
    <row r="1078" spans="1:54" ht="15" customHeight="1">
      <c r="A1078" s="166" t="s">
        <v>7675</v>
      </c>
      <c r="B1078" s="36" t="s">
        <v>8063</v>
      </c>
      <c r="C1078" s="41" t="s">
        <v>7677</v>
      </c>
      <c r="D1078" s="37">
        <v>101</v>
      </c>
      <c r="E1078" s="36">
        <v>2</v>
      </c>
      <c r="F1078" s="36" t="s">
        <v>8064</v>
      </c>
      <c r="G1078" s="36" t="s">
        <v>8065</v>
      </c>
      <c r="J1078" s="36" t="s">
        <v>28</v>
      </c>
      <c r="K1078" s="36" t="s">
        <v>6280</v>
      </c>
      <c r="N1078" s="160"/>
      <c r="O1078" s="131"/>
      <c r="P1078" s="132"/>
      <c r="Q1078" s="133"/>
      <c r="R1078" s="42"/>
      <c r="S1078" s="148"/>
      <c r="T1078" s="135"/>
      <c r="U1078" s="131"/>
      <c r="V1078" s="136"/>
      <c r="W1078" s="137"/>
      <c r="X1078" s="138"/>
      <c r="Y1078" s="42"/>
      <c r="Z1078" s="135"/>
      <c r="AA1078" s="139"/>
      <c r="AB1078" s="161"/>
      <c r="AD1078" s="36" t="s">
        <v>8066</v>
      </c>
      <c r="AE1078" s="37" t="s">
        <v>34</v>
      </c>
      <c r="AF1078" s="36" t="s">
        <v>8067</v>
      </c>
      <c r="AP1078" s="37"/>
      <c r="AQ1078" s="131"/>
      <c r="AR1078" s="132"/>
      <c r="AS1078" s="133"/>
      <c r="AT1078" s="42"/>
      <c r="AU1078" s="135"/>
      <c r="AV1078" s="131"/>
      <c r="AW1078" s="136"/>
      <c r="AX1078" s="137"/>
      <c r="AY1078" s="138"/>
      <c r="AZ1078" s="42"/>
      <c r="BA1078" s="135"/>
      <c r="BB1078" s="139"/>
    </row>
    <row r="1079" spans="1:54" ht="15" customHeight="1">
      <c r="A1079" s="166" t="s">
        <v>7675</v>
      </c>
      <c r="B1079" s="36" t="s">
        <v>8068</v>
      </c>
      <c r="C1079" s="41" t="s">
        <v>7677</v>
      </c>
      <c r="D1079" s="37">
        <v>102</v>
      </c>
      <c r="E1079" s="36">
        <v>4</v>
      </c>
      <c r="F1079" s="36" t="s">
        <v>8064</v>
      </c>
      <c r="G1079" s="36" t="s">
        <v>8069</v>
      </c>
      <c r="J1079" s="36" t="s">
        <v>28</v>
      </c>
      <c r="K1079" s="36" t="s">
        <v>26</v>
      </c>
      <c r="M1079" s="36" t="s">
        <v>4502</v>
      </c>
      <c r="N1079" s="160"/>
      <c r="O1079" s="131"/>
      <c r="P1079" s="132"/>
      <c r="Q1079" s="133"/>
      <c r="R1079" s="42"/>
      <c r="S1079" s="148"/>
      <c r="T1079" s="135"/>
      <c r="U1079" s="131"/>
      <c r="V1079" s="136"/>
      <c r="W1079" s="137"/>
      <c r="X1079" s="138"/>
      <c r="Y1079" s="42"/>
      <c r="Z1079" s="135"/>
      <c r="AA1079" s="139"/>
      <c r="AB1079" s="161"/>
      <c r="AD1079" s="36" t="s">
        <v>8066</v>
      </c>
      <c r="AE1079" s="37" t="s">
        <v>8070</v>
      </c>
      <c r="AF1079" s="36" t="s">
        <v>8071</v>
      </c>
      <c r="AP1079" s="37"/>
      <c r="AQ1079" s="131"/>
      <c r="AR1079" s="132"/>
      <c r="AS1079" s="133"/>
      <c r="AT1079" s="42"/>
      <c r="AU1079" s="135"/>
      <c r="AV1079" s="131"/>
      <c r="AW1079" s="136"/>
      <c r="AX1079" s="137"/>
      <c r="AY1079" s="138"/>
      <c r="AZ1079" s="42"/>
      <c r="BA1079" s="135"/>
      <c r="BB1079" s="139"/>
    </row>
    <row r="1080" spans="1:54" ht="15" customHeight="1">
      <c r="A1080" s="166" t="s">
        <v>7675</v>
      </c>
      <c r="B1080" s="36" t="s">
        <v>8072</v>
      </c>
      <c r="C1080" s="41" t="s">
        <v>7677</v>
      </c>
      <c r="D1080" s="37">
        <v>995</v>
      </c>
      <c r="E1080" s="36">
        <v>1</v>
      </c>
      <c r="G1080" s="41" t="s">
        <v>7678</v>
      </c>
      <c r="J1080" s="36" t="s">
        <v>4715</v>
      </c>
      <c r="K1080" s="41" t="s">
        <v>4052</v>
      </c>
      <c r="N1080" s="160"/>
      <c r="O1080" s="131"/>
      <c r="P1080" s="132"/>
      <c r="Q1080" s="133"/>
      <c r="R1080" s="42"/>
      <c r="S1080" s="148"/>
      <c r="T1080" s="135"/>
      <c r="U1080" s="131"/>
      <c r="V1080" s="136"/>
      <c r="W1080" s="137"/>
      <c r="X1080" s="138"/>
      <c r="Y1080" s="42"/>
      <c r="Z1080" s="135"/>
      <c r="AA1080" s="139"/>
      <c r="AB1080" s="161"/>
      <c r="AI1080" s="41" t="s">
        <v>7678</v>
      </c>
      <c r="AL1080" s="36" t="s">
        <v>4715</v>
      </c>
      <c r="AM1080" s="41" t="s">
        <v>4052</v>
      </c>
      <c r="AP1080" s="37"/>
      <c r="AQ1080" s="131"/>
      <c r="AR1080" s="132"/>
      <c r="AS1080" s="133"/>
      <c r="AT1080" s="42"/>
      <c r="AU1080" s="135"/>
      <c r="AV1080" s="131"/>
      <c r="AW1080" s="136"/>
      <c r="AX1080" s="137"/>
      <c r="AY1080" s="138"/>
      <c r="AZ1080" s="42"/>
      <c r="BA1080" s="135"/>
      <c r="BB1080" s="139"/>
    </row>
    <row r="1081" spans="1:54" ht="15" customHeight="1">
      <c r="A1081" s="166" t="s">
        <v>7675</v>
      </c>
      <c r="B1081" s="36" t="s">
        <v>8073</v>
      </c>
      <c r="C1081" s="41" t="s">
        <v>7677</v>
      </c>
      <c r="D1081" s="37">
        <v>996</v>
      </c>
      <c r="E1081" s="36">
        <v>1</v>
      </c>
      <c r="G1081" s="36" t="s">
        <v>7685</v>
      </c>
      <c r="J1081" s="36" t="s">
        <v>4715</v>
      </c>
      <c r="K1081" s="36" t="s">
        <v>4053</v>
      </c>
      <c r="N1081" s="160"/>
      <c r="O1081" s="131"/>
      <c r="P1081" s="132"/>
      <c r="Q1081" s="133"/>
      <c r="R1081" s="42"/>
      <c r="S1081" s="148"/>
      <c r="T1081" s="135"/>
      <c r="U1081" s="131"/>
      <c r="V1081" s="136"/>
      <c r="W1081" s="137"/>
      <c r="X1081" s="138"/>
      <c r="Y1081" s="42"/>
      <c r="Z1081" s="135"/>
      <c r="AA1081" s="139"/>
      <c r="AB1081" s="161"/>
      <c r="AI1081" s="36" t="s">
        <v>7685</v>
      </c>
      <c r="AL1081" s="36" t="s">
        <v>4715</v>
      </c>
      <c r="AM1081" s="36" t="s">
        <v>4053</v>
      </c>
      <c r="AP1081" s="37"/>
      <c r="AQ1081" s="131"/>
      <c r="AR1081" s="132"/>
      <c r="AS1081" s="133"/>
      <c r="AT1081" s="42"/>
      <c r="AU1081" s="135"/>
      <c r="AV1081" s="131"/>
      <c r="AW1081" s="136"/>
      <c r="AX1081" s="137"/>
      <c r="AY1081" s="138"/>
      <c r="AZ1081" s="42"/>
      <c r="BA1081" s="135"/>
      <c r="BB1081" s="139"/>
    </row>
    <row r="1082" spans="1:54" ht="15" customHeight="1">
      <c r="A1082" s="166" t="s">
        <v>7675</v>
      </c>
      <c r="B1082" s="36" t="s">
        <v>8074</v>
      </c>
      <c r="C1082" s="41" t="s">
        <v>7677</v>
      </c>
      <c r="D1082" s="37">
        <v>997</v>
      </c>
      <c r="E1082" s="36">
        <v>1</v>
      </c>
      <c r="G1082" s="36" t="s">
        <v>7692</v>
      </c>
      <c r="J1082" s="36" t="s">
        <v>4715</v>
      </c>
      <c r="K1082" s="36" t="s">
        <v>4055</v>
      </c>
      <c r="N1082" s="160"/>
      <c r="O1082" s="131"/>
      <c r="P1082" s="132"/>
      <c r="Q1082" s="133"/>
      <c r="R1082" s="42"/>
      <c r="S1082" s="148"/>
      <c r="T1082" s="135"/>
      <c r="U1082" s="131"/>
      <c r="V1082" s="136"/>
      <c r="W1082" s="137"/>
      <c r="X1082" s="138"/>
      <c r="Y1082" s="42"/>
      <c r="Z1082" s="135"/>
      <c r="AA1082" s="139"/>
      <c r="AB1082" s="161"/>
      <c r="AI1082" s="36" t="s">
        <v>7692</v>
      </c>
      <c r="AL1082" s="36" t="s">
        <v>4715</v>
      </c>
      <c r="AM1082" s="36" t="s">
        <v>4055</v>
      </c>
      <c r="AP1082" s="37"/>
      <c r="AQ1082" s="131"/>
      <c r="AR1082" s="132"/>
      <c r="AS1082" s="133"/>
      <c r="AT1082" s="42"/>
      <c r="AU1082" s="135"/>
      <c r="AV1082" s="131"/>
      <c r="AW1082" s="136"/>
      <c r="AX1082" s="137"/>
      <c r="AY1082" s="138"/>
      <c r="AZ1082" s="42"/>
      <c r="BA1082" s="135"/>
      <c r="BB1082" s="139"/>
    </row>
    <row r="1083" spans="1:54" ht="15" customHeight="1">
      <c r="A1083" s="166" t="s">
        <v>7675</v>
      </c>
      <c r="B1083" s="36" t="s">
        <v>8075</v>
      </c>
      <c r="C1083" s="41" t="s">
        <v>7677</v>
      </c>
      <c r="D1083" s="37">
        <v>998</v>
      </c>
      <c r="E1083" s="36">
        <v>1</v>
      </c>
      <c r="G1083" s="36" t="s">
        <v>7697</v>
      </c>
      <c r="J1083" s="36" t="s">
        <v>4715</v>
      </c>
      <c r="K1083" s="36" t="s">
        <v>4054</v>
      </c>
      <c r="N1083" s="160"/>
      <c r="O1083" s="131"/>
      <c r="P1083" s="132"/>
      <c r="Q1083" s="133"/>
      <c r="R1083" s="42"/>
      <c r="S1083" s="148"/>
      <c r="T1083" s="135"/>
      <c r="U1083" s="131"/>
      <c r="V1083" s="136"/>
      <c r="W1083" s="137"/>
      <c r="X1083" s="138"/>
      <c r="Y1083" s="42"/>
      <c r="Z1083" s="135"/>
      <c r="AA1083" s="139"/>
      <c r="AB1083" s="161"/>
      <c r="AI1083" s="36" t="s">
        <v>7697</v>
      </c>
      <c r="AL1083" s="36" t="s">
        <v>4715</v>
      </c>
      <c r="AM1083" s="36" t="s">
        <v>4054</v>
      </c>
      <c r="AP1083" s="37"/>
      <c r="AQ1083" s="131"/>
      <c r="AR1083" s="132"/>
      <c r="AS1083" s="133"/>
      <c r="AT1083" s="42"/>
      <c r="AU1083" s="135"/>
      <c r="AV1083" s="131"/>
      <c r="AW1083" s="136"/>
      <c r="AX1083" s="137"/>
      <c r="AY1083" s="138"/>
      <c r="AZ1083" s="42"/>
      <c r="BA1083" s="135"/>
      <c r="BB1083" s="139"/>
    </row>
    <row r="1084" spans="1:54" ht="15" customHeight="1">
      <c r="A1084" s="166" t="s">
        <v>7675</v>
      </c>
      <c r="B1084" s="36" t="s">
        <v>8076</v>
      </c>
      <c r="C1084" s="41" t="s">
        <v>7677</v>
      </c>
      <c r="D1084" s="37">
        <v>999</v>
      </c>
      <c r="E1084" s="36">
        <v>1</v>
      </c>
      <c r="G1084" s="36" t="s">
        <v>7703</v>
      </c>
      <c r="J1084" s="36" t="s">
        <v>4715</v>
      </c>
      <c r="K1084" s="36" t="s">
        <v>4056</v>
      </c>
      <c r="N1084" s="160"/>
      <c r="O1084" s="131"/>
      <c r="P1084" s="132"/>
      <c r="Q1084" s="133"/>
      <c r="R1084" s="42"/>
      <c r="S1084" s="148"/>
      <c r="T1084" s="135"/>
      <c r="U1084" s="131"/>
      <c r="V1084" s="136"/>
      <c r="W1084" s="137"/>
      <c r="X1084" s="138"/>
      <c r="Y1084" s="42"/>
      <c r="Z1084" s="135"/>
      <c r="AA1084" s="139"/>
      <c r="AB1084" s="161"/>
      <c r="AI1084" s="36" t="s">
        <v>7703</v>
      </c>
      <c r="AL1084" s="36" t="s">
        <v>4715</v>
      </c>
      <c r="AM1084" s="36" t="s">
        <v>4056</v>
      </c>
      <c r="AP1084" s="37"/>
      <c r="AQ1084" s="131"/>
      <c r="AR1084" s="132"/>
      <c r="AS1084" s="133"/>
      <c r="AT1084" s="42"/>
      <c r="AU1084" s="135"/>
      <c r="AV1084" s="131"/>
      <c r="AW1084" s="136"/>
      <c r="AX1084" s="137"/>
      <c r="AY1084" s="138"/>
      <c r="AZ1084" s="42"/>
      <c r="BA1084" s="135"/>
      <c r="BB1084" s="139"/>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085:K1048576 AM1085:AM1048576">
    <cfRule type="cellIs" dxfId="816" priority="691" operator="equal">
      <formula>"Seeker"</formula>
    </cfRule>
    <cfRule type="cellIs" dxfId="815" priority="692" operator="equal">
      <formula>"Neutral"</formula>
    </cfRule>
    <cfRule type="cellIs" dxfId="814" priority="693" operator="equal">
      <formula>"Rogue"</formula>
    </cfRule>
    <cfRule type="cellIs" dxfId="813" priority="694" operator="equal">
      <formula>"Guardian"</formula>
    </cfRule>
    <cfRule type="cellIs" dxfId="812" priority="695" operator="equal">
      <formula>"Survivor"</formula>
    </cfRule>
    <cfRule type="cellIs" dxfId="811" priority="696" operator="equal">
      <formula>"Mystic"</formula>
    </cfRule>
  </conditionalFormatting>
  <conditionalFormatting sqref="K2:K99 K101:K104 K234:K347">
    <cfRule type="cellIs" dxfId="810" priority="685" operator="equal">
      <formula>"seeker"</formula>
    </cfRule>
    <cfRule type="cellIs" dxfId="809" priority="686" operator="equal">
      <formula>"neutral"</formula>
    </cfRule>
    <cfRule type="cellIs" dxfId="808" priority="687" operator="equal">
      <formula>"rogue"</formula>
    </cfRule>
    <cfRule type="cellIs" dxfId="807" priority="688" operator="equal">
      <formula>"Guardian"</formula>
    </cfRule>
    <cfRule type="cellIs" dxfId="806" priority="689" operator="equal">
      <formula>"Survivor"</formula>
    </cfRule>
    <cfRule type="cellIs" dxfId="805" priority="690" operator="equal">
      <formula>"Mystic"</formula>
    </cfRule>
  </conditionalFormatting>
  <conditionalFormatting sqref="K134:K152 K158:K169 K171:K193 K105:K122 K195:K232 K124:K132">
    <cfRule type="cellIs" dxfId="804" priority="679" operator="equal">
      <formula>"seeker"</formula>
    </cfRule>
    <cfRule type="cellIs" dxfId="803" priority="680" operator="equal">
      <formula>"neutral"</formula>
    </cfRule>
    <cfRule type="cellIs" dxfId="802" priority="681" operator="equal">
      <formula>"rogue"</formula>
    </cfRule>
    <cfRule type="cellIs" dxfId="801" priority="682" operator="equal">
      <formula>"Guardian"</formula>
    </cfRule>
    <cfRule type="cellIs" dxfId="800" priority="683" operator="equal">
      <formula>"Survivor"</formula>
    </cfRule>
    <cfRule type="cellIs" dxfId="799" priority="684" operator="equal">
      <formula>"Mystic"</formula>
    </cfRule>
  </conditionalFormatting>
  <conditionalFormatting sqref="K100">
    <cfRule type="cellIs" dxfId="798" priority="673" operator="equal">
      <formula>"seeker"</formula>
    </cfRule>
    <cfRule type="cellIs" dxfId="797" priority="674" operator="equal">
      <formula>"neutral"</formula>
    </cfRule>
    <cfRule type="cellIs" dxfId="796" priority="675" operator="equal">
      <formula>"rogue"</formula>
    </cfRule>
    <cfRule type="cellIs" dxfId="795" priority="676" operator="equal">
      <formula>"Guardian"</formula>
    </cfRule>
    <cfRule type="cellIs" dxfId="794" priority="677" operator="equal">
      <formula>"Survivor"</formula>
    </cfRule>
    <cfRule type="cellIs" dxfId="793" priority="678" operator="equal">
      <formula>"Mystic"</formula>
    </cfRule>
  </conditionalFormatting>
  <conditionalFormatting sqref="AM112:AM116">
    <cfRule type="cellIs" dxfId="792" priority="667" operator="equal">
      <formula>"seeker"</formula>
    </cfRule>
    <cfRule type="cellIs" dxfId="791" priority="668" operator="equal">
      <formula>"neutral"</formula>
    </cfRule>
    <cfRule type="cellIs" dxfId="790" priority="669" operator="equal">
      <formula>"rogue"</formula>
    </cfRule>
    <cfRule type="cellIs" dxfId="789" priority="670" operator="equal">
      <formula>"Guardian"</formula>
    </cfRule>
    <cfRule type="cellIs" dxfId="788" priority="671" operator="equal">
      <formula>"Survivor"</formula>
    </cfRule>
    <cfRule type="cellIs" dxfId="787" priority="672" operator="equal">
      <formula>"Mystic"</formula>
    </cfRule>
  </conditionalFormatting>
  <conditionalFormatting sqref="AM130:AM131">
    <cfRule type="cellIs" dxfId="786" priority="661" operator="equal">
      <formula>"seeker"</formula>
    </cfRule>
    <cfRule type="cellIs" dxfId="785" priority="662" operator="equal">
      <formula>"neutral"</formula>
    </cfRule>
    <cfRule type="cellIs" dxfId="784" priority="663" operator="equal">
      <formula>"rogue"</formula>
    </cfRule>
    <cfRule type="cellIs" dxfId="783" priority="664" operator="equal">
      <formula>"Guardian"</formula>
    </cfRule>
    <cfRule type="cellIs" dxfId="782" priority="665" operator="equal">
      <formula>"Survivor"</formula>
    </cfRule>
    <cfRule type="cellIs" dxfId="781" priority="666" operator="equal">
      <formula>"Mystic"</formula>
    </cfRule>
  </conditionalFormatting>
  <conditionalFormatting sqref="AL133">
    <cfRule type="cellIs" dxfId="780" priority="655" operator="equal">
      <formula>"Seeker"</formula>
    </cfRule>
    <cfRule type="cellIs" dxfId="779" priority="656" operator="equal">
      <formula>"Neutral"</formula>
    </cfRule>
    <cfRule type="cellIs" dxfId="778" priority="657" operator="equal">
      <formula>"Rogue"</formula>
    </cfRule>
    <cfRule type="cellIs" dxfId="777" priority="658" operator="equal">
      <formula>"Guardian"</formula>
    </cfRule>
    <cfRule type="cellIs" dxfId="776" priority="659" operator="equal">
      <formula>"Survivor"</formula>
    </cfRule>
    <cfRule type="cellIs" dxfId="775" priority="660" operator="equal">
      <formula>"Mystic"</formula>
    </cfRule>
  </conditionalFormatting>
  <conditionalFormatting sqref="K133">
    <cfRule type="cellIs" dxfId="774" priority="649" operator="equal">
      <formula>"seeker"</formula>
    </cfRule>
    <cfRule type="cellIs" dxfId="773" priority="650" operator="equal">
      <formula>"neutral"</formula>
    </cfRule>
    <cfRule type="cellIs" dxfId="772" priority="651" operator="equal">
      <formula>"rogue"</formula>
    </cfRule>
    <cfRule type="cellIs" dxfId="771" priority="652" operator="equal">
      <formula>"Guardian"</formula>
    </cfRule>
    <cfRule type="cellIs" dxfId="770" priority="653" operator="equal">
      <formula>"Survivor"</formula>
    </cfRule>
    <cfRule type="cellIs" dxfId="769" priority="654" operator="equal">
      <formula>"Mystic"</formula>
    </cfRule>
  </conditionalFormatting>
  <conditionalFormatting sqref="AM151:AM152 AM158:AM159">
    <cfRule type="cellIs" dxfId="768" priority="643" operator="equal">
      <formula>"seeker"</formula>
    </cfRule>
    <cfRule type="cellIs" dxfId="767" priority="644" operator="equal">
      <formula>"neutral"</formula>
    </cfRule>
    <cfRule type="cellIs" dxfId="766" priority="645" operator="equal">
      <formula>"rogue"</formula>
    </cfRule>
    <cfRule type="cellIs" dxfId="765" priority="646" operator="equal">
      <formula>"Guardian"</formula>
    </cfRule>
    <cfRule type="cellIs" dxfId="764" priority="647" operator="equal">
      <formula>"Survivor"</formula>
    </cfRule>
    <cfRule type="cellIs" dxfId="763" priority="648" operator="equal">
      <formula>"Mystic"</formula>
    </cfRule>
  </conditionalFormatting>
  <conditionalFormatting sqref="K153">
    <cfRule type="cellIs" dxfId="762" priority="637" operator="equal">
      <formula>"seeker"</formula>
    </cfRule>
    <cfRule type="cellIs" dxfId="761" priority="638" operator="equal">
      <formula>"neutral"</formula>
    </cfRule>
    <cfRule type="cellIs" dxfId="760" priority="639" operator="equal">
      <formula>"rogue"</formula>
    </cfRule>
    <cfRule type="cellIs" dxfId="759" priority="640" operator="equal">
      <formula>"Guardian"</formula>
    </cfRule>
    <cfRule type="cellIs" dxfId="758" priority="641" operator="equal">
      <formula>"Survivor"</formula>
    </cfRule>
    <cfRule type="cellIs" dxfId="757" priority="642" operator="equal">
      <formula>"Mystic"</formula>
    </cfRule>
  </conditionalFormatting>
  <conditionalFormatting sqref="AM153">
    <cfRule type="cellIs" dxfId="756" priority="631" operator="equal">
      <formula>"seeker"</formula>
    </cfRule>
    <cfRule type="cellIs" dxfId="755" priority="632" operator="equal">
      <formula>"neutral"</formula>
    </cfRule>
    <cfRule type="cellIs" dxfId="754" priority="633" operator="equal">
      <formula>"rogue"</formula>
    </cfRule>
    <cfRule type="cellIs" dxfId="753" priority="634" operator="equal">
      <formula>"Guardian"</formula>
    </cfRule>
    <cfRule type="cellIs" dxfId="752" priority="635" operator="equal">
      <formula>"Survivor"</formula>
    </cfRule>
    <cfRule type="cellIs" dxfId="751" priority="636" operator="equal">
      <formula>"Mystic"</formula>
    </cfRule>
  </conditionalFormatting>
  <conditionalFormatting sqref="K154">
    <cfRule type="cellIs" dxfId="750" priority="625" operator="equal">
      <formula>"seeker"</formula>
    </cfRule>
    <cfRule type="cellIs" dxfId="749" priority="626" operator="equal">
      <formula>"neutral"</formula>
    </cfRule>
    <cfRule type="cellIs" dxfId="748" priority="627" operator="equal">
      <formula>"rogue"</formula>
    </cfRule>
    <cfRule type="cellIs" dxfId="747" priority="628" operator="equal">
      <formula>"Guardian"</formula>
    </cfRule>
    <cfRule type="cellIs" dxfId="746" priority="629" operator="equal">
      <formula>"Survivor"</formula>
    </cfRule>
    <cfRule type="cellIs" dxfId="745" priority="630" operator="equal">
      <formula>"Mystic"</formula>
    </cfRule>
  </conditionalFormatting>
  <conditionalFormatting sqref="AM154">
    <cfRule type="cellIs" dxfId="744" priority="619" operator="equal">
      <formula>"seeker"</formula>
    </cfRule>
    <cfRule type="cellIs" dxfId="743" priority="620" operator="equal">
      <formula>"neutral"</formula>
    </cfRule>
    <cfRule type="cellIs" dxfId="742" priority="621" operator="equal">
      <formula>"rogue"</formula>
    </cfRule>
    <cfRule type="cellIs" dxfId="741" priority="622" operator="equal">
      <formula>"Guardian"</formula>
    </cfRule>
    <cfRule type="cellIs" dxfId="740" priority="623" operator="equal">
      <formula>"Survivor"</formula>
    </cfRule>
    <cfRule type="cellIs" dxfId="739" priority="624" operator="equal">
      <formula>"Mystic"</formula>
    </cfRule>
  </conditionalFormatting>
  <conditionalFormatting sqref="K155">
    <cfRule type="cellIs" dxfId="738" priority="613" operator="equal">
      <formula>"seeker"</formula>
    </cfRule>
    <cfRule type="cellIs" dxfId="737" priority="614" operator="equal">
      <formula>"neutral"</formula>
    </cfRule>
    <cfRule type="cellIs" dxfId="736" priority="615" operator="equal">
      <formula>"rogue"</formula>
    </cfRule>
    <cfRule type="cellIs" dxfId="735" priority="616" operator="equal">
      <formula>"Guardian"</formula>
    </cfRule>
    <cfRule type="cellIs" dxfId="734" priority="617" operator="equal">
      <formula>"Survivor"</formula>
    </cfRule>
    <cfRule type="cellIs" dxfId="733" priority="618" operator="equal">
      <formula>"Mystic"</formula>
    </cfRule>
  </conditionalFormatting>
  <conditionalFormatting sqref="AM155">
    <cfRule type="cellIs" dxfId="732" priority="607" operator="equal">
      <formula>"seeker"</formula>
    </cfRule>
    <cfRule type="cellIs" dxfId="731" priority="608" operator="equal">
      <formula>"neutral"</formula>
    </cfRule>
    <cfRule type="cellIs" dxfId="730" priority="609" operator="equal">
      <formula>"rogue"</formula>
    </cfRule>
    <cfRule type="cellIs" dxfId="729" priority="610" operator="equal">
      <formula>"Guardian"</formula>
    </cfRule>
    <cfRule type="cellIs" dxfId="728" priority="611" operator="equal">
      <formula>"Survivor"</formula>
    </cfRule>
    <cfRule type="cellIs" dxfId="727" priority="612" operator="equal">
      <formula>"Mystic"</formula>
    </cfRule>
  </conditionalFormatting>
  <conditionalFormatting sqref="K156">
    <cfRule type="cellIs" dxfId="726" priority="601" operator="equal">
      <formula>"seeker"</formula>
    </cfRule>
    <cfRule type="cellIs" dxfId="725" priority="602" operator="equal">
      <formula>"neutral"</formula>
    </cfRule>
    <cfRule type="cellIs" dxfId="724" priority="603" operator="equal">
      <formula>"rogue"</formula>
    </cfRule>
    <cfRule type="cellIs" dxfId="723" priority="604" operator="equal">
      <formula>"Guardian"</formula>
    </cfRule>
    <cfRule type="cellIs" dxfId="722" priority="605" operator="equal">
      <formula>"Survivor"</formula>
    </cfRule>
    <cfRule type="cellIs" dxfId="721" priority="606" operator="equal">
      <formula>"Mystic"</formula>
    </cfRule>
  </conditionalFormatting>
  <conditionalFormatting sqref="AM156">
    <cfRule type="cellIs" dxfId="720" priority="595" operator="equal">
      <formula>"seeker"</formula>
    </cfRule>
    <cfRule type="cellIs" dxfId="719" priority="596" operator="equal">
      <formula>"neutral"</formula>
    </cfRule>
    <cfRule type="cellIs" dxfId="718" priority="597" operator="equal">
      <formula>"rogue"</formula>
    </cfRule>
    <cfRule type="cellIs" dxfId="717" priority="598" operator="equal">
      <formula>"Guardian"</formula>
    </cfRule>
    <cfRule type="cellIs" dxfId="716" priority="599" operator="equal">
      <formula>"Survivor"</formula>
    </cfRule>
    <cfRule type="cellIs" dxfId="715" priority="600" operator="equal">
      <formula>"Mystic"</formula>
    </cfRule>
  </conditionalFormatting>
  <conditionalFormatting sqref="K157">
    <cfRule type="cellIs" dxfId="714" priority="589" operator="equal">
      <formula>"seeker"</formula>
    </cfRule>
    <cfRule type="cellIs" dxfId="713" priority="590" operator="equal">
      <formula>"neutral"</formula>
    </cfRule>
    <cfRule type="cellIs" dxfId="712" priority="591" operator="equal">
      <formula>"rogue"</formula>
    </cfRule>
    <cfRule type="cellIs" dxfId="711" priority="592" operator="equal">
      <formula>"Guardian"</formula>
    </cfRule>
    <cfRule type="cellIs" dxfId="710" priority="593" operator="equal">
      <formula>"Survivor"</formula>
    </cfRule>
    <cfRule type="cellIs" dxfId="709" priority="594" operator="equal">
      <formula>"Mystic"</formula>
    </cfRule>
  </conditionalFormatting>
  <conditionalFormatting sqref="AM157">
    <cfRule type="cellIs" dxfId="708" priority="583" operator="equal">
      <formula>"seeker"</formula>
    </cfRule>
    <cfRule type="cellIs" dxfId="707" priority="584" operator="equal">
      <formula>"neutral"</formula>
    </cfRule>
    <cfRule type="cellIs" dxfId="706" priority="585" operator="equal">
      <formula>"rogue"</formula>
    </cfRule>
    <cfRule type="cellIs" dxfId="705" priority="586" operator="equal">
      <formula>"Guardian"</formula>
    </cfRule>
    <cfRule type="cellIs" dxfId="704" priority="587" operator="equal">
      <formula>"Survivor"</formula>
    </cfRule>
    <cfRule type="cellIs" dxfId="703" priority="588" operator="equal">
      <formula>"Mystic"</formula>
    </cfRule>
  </conditionalFormatting>
  <conditionalFormatting sqref="K170">
    <cfRule type="cellIs" dxfId="702" priority="577" operator="equal">
      <formula>"seeker"</formula>
    </cfRule>
    <cfRule type="cellIs" dxfId="701" priority="578" operator="equal">
      <formula>"neutral"</formula>
    </cfRule>
    <cfRule type="cellIs" dxfId="700" priority="579" operator="equal">
      <formula>"rogue"</formula>
    </cfRule>
    <cfRule type="cellIs" dxfId="699" priority="580" operator="equal">
      <formula>"Guardian"</formula>
    </cfRule>
    <cfRule type="cellIs" dxfId="698" priority="581" operator="equal">
      <formula>"Survivor"</formula>
    </cfRule>
    <cfRule type="cellIs" dxfId="697" priority="582" operator="equal">
      <formula>"Mystic"</formula>
    </cfRule>
  </conditionalFormatting>
  <conditionalFormatting sqref="AL190">
    <cfRule type="cellIs" dxfId="696" priority="565" operator="equal">
      <formula>"Seeker"</formula>
    </cfRule>
    <cfRule type="cellIs" dxfId="695" priority="566" operator="equal">
      <formula>"Neutral"</formula>
    </cfRule>
    <cfRule type="cellIs" dxfId="694" priority="567" operator="equal">
      <formula>"Rogue"</formula>
    </cfRule>
    <cfRule type="cellIs" dxfId="693" priority="568" operator="equal">
      <formula>"Guardian"</formula>
    </cfRule>
    <cfRule type="cellIs" dxfId="692" priority="569" operator="equal">
      <formula>"Survivor"</formula>
    </cfRule>
    <cfRule type="cellIs" dxfId="691" priority="570" operator="equal">
      <formula>"Mystic"</formula>
    </cfRule>
  </conditionalFormatting>
  <conditionalFormatting sqref="AM191">
    <cfRule type="cellIs" dxfId="690" priority="559" operator="equal">
      <formula>"seeker"</formula>
    </cfRule>
    <cfRule type="cellIs" dxfId="689" priority="560" operator="equal">
      <formula>"neutral"</formula>
    </cfRule>
    <cfRule type="cellIs" dxfId="688" priority="561" operator="equal">
      <formula>"rogue"</formula>
    </cfRule>
    <cfRule type="cellIs" dxfId="687" priority="562" operator="equal">
      <formula>"Guardian"</formula>
    </cfRule>
    <cfRule type="cellIs" dxfId="686" priority="563" operator="equal">
      <formula>"Survivor"</formula>
    </cfRule>
    <cfRule type="cellIs" dxfId="685" priority="564" operator="equal">
      <formula>"Mystic"</formula>
    </cfRule>
  </conditionalFormatting>
  <conditionalFormatting sqref="AM193">
    <cfRule type="cellIs" dxfId="684" priority="553" operator="equal">
      <formula>"seeker"</formula>
    </cfRule>
    <cfRule type="cellIs" dxfId="683" priority="554" operator="equal">
      <formula>"neutral"</formula>
    </cfRule>
    <cfRule type="cellIs" dxfId="682" priority="555" operator="equal">
      <formula>"rogue"</formula>
    </cfRule>
    <cfRule type="cellIs" dxfId="681" priority="556" operator="equal">
      <formula>"Guardian"</formula>
    </cfRule>
    <cfRule type="cellIs" dxfId="680" priority="557" operator="equal">
      <formula>"Survivor"</formula>
    </cfRule>
    <cfRule type="cellIs" dxfId="679" priority="558" operator="equal">
      <formula>"Mystic"</formula>
    </cfRule>
  </conditionalFormatting>
  <conditionalFormatting sqref="K194">
    <cfRule type="cellIs" dxfId="678" priority="547" operator="equal">
      <formula>"seeker"</formula>
    </cfRule>
    <cfRule type="cellIs" dxfId="677" priority="548" operator="equal">
      <formula>"neutral"</formula>
    </cfRule>
    <cfRule type="cellIs" dxfId="676" priority="549" operator="equal">
      <formula>"rogue"</formula>
    </cfRule>
    <cfRule type="cellIs" dxfId="675" priority="550" operator="equal">
      <formula>"Guardian"</formula>
    </cfRule>
    <cfRule type="cellIs" dxfId="674" priority="551" operator="equal">
      <formula>"Survivor"</formula>
    </cfRule>
    <cfRule type="cellIs" dxfId="673" priority="552" operator="equal">
      <formula>"Mystic"</formula>
    </cfRule>
  </conditionalFormatting>
  <conditionalFormatting sqref="AM195">
    <cfRule type="cellIs" dxfId="672" priority="541" operator="equal">
      <formula>"seeker"</formula>
    </cfRule>
    <cfRule type="cellIs" dxfId="671" priority="542" operator="equal">
      <formula>"neutral"</formula>
    </cfRule>
    <cfRule type="cellIs" dxfId="670" priority="543" operator="equal">
      <formula>"rogue"</formula>
    </cfRule>
    <cfRule type="cellIs" dxfId="669" priority="544" operator="equal">
      <formula>"Guardian"</formula>
    </cfRule>
    <cfRule type="cellIs" dxfId="668" priority="545" operator="equal">
      <formula>"Survivor"</formula>
    </cfRule>
    <cfRule type="cellIs" dxfId="667" priority="546" operator="equal">
      <formula>"Mystic"</formula>
    </cfRule>
  </conditionalFormatting>
  <conditionalFormatting sqref="AM194">
    <cfRule type="cellIs" dxfId="666" priority="535" operator="equal">
      <formula>"seeker"</formula>
    </cfRule>
    <cfRule type="cellIs" dxfId="665" priority="536" operator="equal">
      <formula>"neutral"</formula>
    </cfRule>
    <cfRule type="cellIs" dxfId="664" priority="537" operator="equal">
      <formula>"rogue"</formula>
    </cfRule>
    <cfRule type="cellIs" dxfId="663" priority="538" operator="equal">
      <formula>"Guardian"</formula>
    </cfRule>
    <cfRule type="cellIs" dxfId="662" priority="539" operator="equal">
      <formula>"Survivor"</formula>
    </cfRule>
    <cfRule type="cellIs" dxfId="661" priority="540" operator="equal">
      <formula>"Mystic"</formula>
    </cfRule>
  </conditionalFormatting>
  <conditionalFormatting sqref="AL3">
    <cfRule type="cellIs" dxfId="660" priority="529" operator="equal">
      <formula>"Seeker"</formula>
    </cfRule>
    <cfRule type="cellIs" dxfId="659" priority="530" operator="equal">
      <formula>"Neutral"</formula>
    </cfRule>
    <cfRule type="cellIs" dxfId="658" priority="531" operator="equal">
      <formula>"Rogue"</formula>
    </cfRule>
    <cfRule type="cellIs" dxfId="657" priority="532" operator="equal">
      <formula>"Guardian"</formula>
    </cfRule>
    <cfRule type="cellIs" dxfId="656" priority="533" operator="equal">
      <formula>"Survivor"</formula>
    </cfRule>
    <cfRule type="cellIs" dxfId="655" priority="534" operator="equal">
      <formula>"Mystic"</formula>
    </cfRule>
  </conditionalFormatting>
  <conditionalFormatting sqref="AL4">
    <cfRule type="cellIs" dxfId="654" priority="523" operator="equal">
      <formula>"Seeker"</formula>
    </cfRule>
    <cfRule type="cellIs" dxfId="653" priority="524" operator="equal">
      <formula>"Neutral"</formula>
    </cfRule>
    <cfRule type="cellIs" dxfId="652" priority="525" operator="equal">
      <formula>"Rogue"</formula>
    </cfRule>
    <cfRule type="cellIs" dxfId="651" priority="526" operator="equal">
      <formula>"Guardian"</formula>
    </cfRule>
    <cfRule type="cellIs" dxfId="650" priority="527" operator="equal">
      <formula>"Survivor"</formula>
    </cfRule>
    <cfRule type="cellIs" dxfId="649" priority="528" operator="equal">
      <formula>"Mystic"</formula>
    </cfRule>
  </conditionalFormatting>
  <conditionalFormatting sqref="AL5">
    <cfRule type="cellIs" dxfId="648" priority="517" operator="equal">
      <formula>"Seeker"</formula>
    </cfRule>
    <cfRule type="cellIs" dxfId="647" priority="518" operator="equal">
      <formula>"Neutral"</formula>
    </cfRule>
    <cfRule type="cellIs" dxfId="646" priority="519" operator="equal">
      <formula>"Rogue"</formula>
    </cfRule>
    <cfRule type="cellIs" dxfId="645" priority="520" operator="equal">
      <formula>"Guardian"</formula>
    </cfRule>
    <cfRule type="cellIs" dxfId="644" priority="521" operator="equal">
      <formula>"Survivor"</formula>
    </cfRule>
    <cfRule type="cellIs" dxfId="643" priority="522" operator="equal">
      <formula>"Mystic"</formula>
    </cfRule>
  </conditionalFormatting>
  <conditionalFormatting sqref="AL6">
    <cfRule type="cellIs" dxfId="642" priority="511" operator="equal">
      <formula>"Seeker"</formula>
    </cfRule>
    <cfRule type="cellIs" dxfId="641" priority="512" operator="equal">
      <formula>"Neutral"</formula>
    </cfRule>
    <cfRule type="cellIs" dxfId="640" priority="513" operator="equal">
      <formula>"Rogue"</formula>
    </cfRule>
    <cfRule type="cellIs" dxfId="639" priority="514" operator="equal">
      <formula>"Guardian"</formula>
    </cfRule>
    <cfRule type="cellIs" dxfId="638" priority="515" operator="equal">
      <formula>"Survivor"</formula>
    </cfRule>
    <cfRule type="cellIs" dxfId="637" priority="516" operator="equal">
      <formula>"Mystic"</formula>
    </cfRule>
  </conditionalFormatting>
  <conditionalFormatting sqref="AL122">
    <cfRule type="cellIs" dxfId="636" priority="505" operator="equal">
      <formula>"Seeker"</formula>
    </cfRule>
    <cfRule type="cellIs" dxfId="635" priority="506" operator="equal">
      <formula>"Neutral"</formula>
    </cfRule>
    <cfRule type="cellIs" dxfId="634" priority="507" operator="equal">
      <formula>"Rogue"</formula>
    </cfRule>
    <cfRule type="cellIs" dxfId="633" priority="508" operator="equal">
      <formula>"Guardian"</formula>
    </cfRule>
    <cfRule type="cellIs" dxfId="632" priority="509" operator="equal">
      <formula>"Survivor"</formula>
    </cfRule>
    <cfRule type="cellIs" dxfId="631" priority="510" operator="equal">
      <formula>"Mystic"</formula>
    </cfRule>
  </conditionalFormatting>
  <conditionalFormatting sqref="AL123">
    <cfRule type="cellIs" dxfId="630" priority="499" operator="equal">
      <formula>"Seeker"</formula>
    </cfRule>
    <cfRule type="cellIs" dxfId="629" priority="500" operator="equal">
      <formula>"Neutral"</formula>
    </cfRule>
    <cfRule type="cellIs" dxfId="628" priority="501" operator="equal">
      <formula>"Rogue"</formula>
    </cfRule>
    <cfRule type="cellIs" dxfId="627" priority="502" operator="equal">
      <formula>"Guardian"</formula>
    </cfRule>
    <cfRule type="cellIs" dxfId="626" priority="503" operator="equal">
      <formula>"Survivor"</formula>
    </cfRule>
    <cfRule type="cellIs" dxfId="625" priority="504" operator="equal">
      <formula>"Mystic"</formula>
    </cfRule>
  </conditionalFormatting>
  <conditionalFormatting sqref="J123">
    <cfRule type="cellIs" dxfId="624" priority="493" operator="equal">
      <formula>"Seeker"</formula>
    </cfRule>
    <cfRule type="cellIs" dxfId="623" priority="494" operator="equal">
      <formula>"Neutral"</formula>
    </cfRule>
    <cfRule type="cellIs" dxfId="622" priority="495" operator="equal">
      <formula>"Rogue"</formula>
    </cfRule>
    <cfRule type="cellIs" dxfId="621" priority="496" operator="equal">
      <formula>"Guardian"</formula>
    </cfRule>
    <cfRule type="cellIs" dxfId="620" priority="497" operator="equal">
      <formula>"Survivor"</formula>
    </cfRule>
    <cfRule type="cellIs" dxfId="619" priority="498" operator="equal">
      <formula>"Mystic"</formula>
    </cfRule>
  </conditionalFormatting>
  <conditionalFormatting sqref="AM253">
    <cfRule type="cellIs" dxfId="618" priority="487" operator="equal">
      <formula>"seeker"</formula>
    </cfRule>
    <cfRule type="cellIs" dxfId="617" priority="488" operator="equal">
      <formula>"neutral"</formula>
    </cfRule>
    <cfRule type="cellIs" dxfId="616" priority="489" operator="equal">
      <formula>"rogue"</formula>
    </cfRule>
    <cfRule type="cellIs" dxfId="615" priority="490" operator="equal">
      <formula>"Guardian"</formula>
    </cfRule>
    <cfRule type="cellIs" dxfId="614" priority="491" operator="equal">
      <formula>"Survivor"</formula>
    </cfRule>
    <cfRule type="cellIs" dxfId="613" priority="492" operator="equal">
      <formula>"Mystic"</formula>
    </cfRule>
  </conditionalFormatting>
  <conditionalFormatting sqref="AM254">
    <cfRule type="cellIs" dxfId="612" priority="481" operator="equal">
      <formula>"seeker"</formula>
    </cfRule>
    <cfRule type="cellIs" dxfId="611" priority="482" operator="equal">
      <formula>"neutral"</formula>
    </cfRule>
    <cfRule type="cellIs" dxfId="610" priority="483" operator="equal">
      <formula>"rogue"</formula>
    </cfRule>
    <cfRule type="cellIs" dxfId="609" priority="484" operator="equal">
      <formula>"Guardian"</formula>
    </cfRule>
    <cfRule type="cellIs" dxfId="608" priority="485" operator="equal">
      <formula>"Survivor"</formula>
    </cfRule>
    <cfRule type="cellIs" dxfId="607" priority="486" operator="equal">
      <formula>"Mystic"</formula>
    </cfRule>
  </conditionalFormatting>
  <conditionalFormatting sqref="AM255">
    <cfRule type="cellIs" dxfId="606" priority="475" operator="equal">
      <formula>"seeker"</formula>
    </cfRule>
    <cfRule type="cellIs" dxfId="605" priority="476" operator="equal">
      <formula>"neutral"</formula>
    </cfRule>
    <cfRule type="cellIs" dxfId="604" priority="477" operator="equal">
      <formula>"rogue"</formula>
    </cfRule>
    <cfRule type="cellIs" dxfId="603" priority="478" operator="equal">
      <formula>"Guardian"</formula>
    </cfRule>
    <cfRule type="cellIs" dxfId="602" priority="479" operator="equal">
      <formula>"Survivor"</formula>
    </cfRule>
    <cfRule type="cellIs" dxfId="601" priority="480" operator="equal">
      <formula>"Mystic"</formula>
    </cfRule>
  </conditionalFormatting>
  <conditionalFormatting sqref="AM256">
    <cfRule type="cellIs" dxfId="600" priority="469" operator="equal">
      <formula>"seeker"</formula>
    </cfRule>
    <cfRule type="cellIs" dxfId="599" priority="470" operator="equal">
      <formula>"neutral"</formula>
    </cfRule>
    <cfRule type="cellIs" dxfId="598" priority="471" operator="equal">
      <formula>"rogue"</formula>
    </cfRule>
    <cfRule type="cellIs" dxfId="597" priority="472" operator="equal">
      <formula>"Guardian"</formula>
    </cfRule>
    <cfRule type="cellIs" dxfId="596" priority="473" operator="equal">
      <formula>"Survivor"</formula>
    </cfRule>
    <cfRule type="cellIs" dxfId="595" priority="474" operator="equal">
      <formula>"Mystic"</formula>
    </cfRule>
  </conditionalFormatting>
  <conditionalFormatting sqref="AM252">
    <cfRule type="cellIs" dxfId="594" priority="463" operator="equal">
      <formula>"seeker"</formula>
    </cfRule>
    <cfRule type="cellIs" dxfId="593" priority="464" operator="equal">
      <formula>"neutral"</formula>
    </cfRule>
    <cfRule type="cellIs" dxfId="592" priority="465" operator="equal">
      <formula>"rogue"</formula>
    </cfRule>
    <cfRule type="cellIs" dxfId="591" priority="466" operator="equal">
      <formula>"Guardian"</formula>
    </cfRule>
    <cfRule type="cellIs" dxfId="590" priority="467" operator="equal">
      <formula>"Survivor"</formula>
    </cfRule>
    <cfRule type="cellIs" dxfId="589" priority="468" operator="equal">
      <formula>"Mystic"</formula>
    </cfRule>
  </conditionalFormatting>
  <conditionalFormatting sqref="AM383:AM387">
    <cfRule type="cellIs" dxfId="588" priority="457" operator="equal">
      <formula>"Seeker"</formula>
    </cfRule>
    <cfRule type="cellIs" dxfId="587" priority="458" operator="equal">
      <formula>"Neutral"</formula>
    </cfRule>
    <cfRule type="cellIs" dxfId="586" priority="459" operator="equal">
      <formula>"Rogue"</formula>
    </cfRule>
    <cfRule type="cellIs" dxfId="585" priority="460" operator="equal">
      <formula>"Guardian"</formula>
    </cfRule>
    <cfRule type="cellIs" dxfId="584" priority="461" operator="equal">
      <formula>"Survivor"</formula>
    </cfRule>
    <cfRule type="cellIs" dxfId="583" priority="462" operator="equal">
      <formula>"Mystic"</formula>
    </cfRule>
  </conditionalFormatting>
  <conditionalFormatting sqref="K383:K387">
    <cfRule type="cellIs" dxfId="582" priority="451" operator="equal">
      <formula>"seeker"</formula>
    </cfRule>
    <cfRule type="cellIs" dxfId="581" priority="452" operator="equal">
      <formula>"neutral"</formula>
    </cfRule>
    <cfRule type="cellIs" dxfId="580" priority="453" operator="equal">
      <formula>"rogue"</formula>
    </cfRule>
    <cfRule type="cellIs" dxfId="579" priority="454" operator="equal">
      <formula>"Guardian"</formula>
    </cfRule>
    <cfRule type="cellIs" dxfId="578" priority="455" operator="equal">
      <formula>"Survivor"</formula>
    </cfRule>
    <cfRule type="cellIs" dxfId="577" priority="456" operator="equal">
      <formula>"Mystic"</formula>
    </cfRule>
  </conditionalFormatting>
  <conditionalFormatting sqref="AM233">
    <cfRule type="cellIs" dxfId="576" priority="445" operator="equal">
      <formula>"Seeker"</formula>
    </cfRule>
    <cfRule type="cellIs" dxfId="575" priority="446" operator="equal">
      <formula>"Neutral"</formula>
    </cfRule>
    <cfRule type="cellIs" dxfId="574" priority="447" operator="equal">
      <formula>"Rogue"</formula>
    </cfRule>
    <cfRule type="cellIs" dxfId="573" priority="448" operator="equal">
      <formula>"Guardian"</formula>
    </cfRule>
    <cfRule type="cellIs" dxfId="572" priority="449" operator="equal">
      <formula>"Survivor"</formula>
    </cfRule>
    <cfRule type="cellIs" dxfId="571" priority="450" operator="equal">
      <formula>"Mystic"</formula>
    </cfRule>
  </conditionalFormatting>
  <conditionalFormatting sqref="K233">
    <cfRule type="cellIs" dxfId="570" priority="439" operator="equal">
      <formula>"seeker"</formula>
    </cfRule>
    <cfRule type="cellIs" dxfId="569" priority="440" operator="equal">
      <formula>"neutral"</formula>
    </cfRule>
    <cfRule type="cellIs" dxfId="568" priority="441" operator="equal">
      <formula>"rogue"</formula>
    </cfRule>
    <cfRule type="cellIs" dxfId="567" priority="442" operator="equal">
      <formula>"Guardian"</formula>
    </cfRule>
    <cfRule type="cellIs" dxfId="566" priority="443" operator="equal">
      <formula>"Survivor"</formula>
    </cfRule>
    <cfRule type="cellIs" dxfId="565" priority="444" operator="equal">
      <formula>"Mystic"</formula>
    </cfRule>
  </conditionalFormatting>
  <conditionalFormatting sqref="K388:K429 AM388:AM429">
    <cfRule type="cellIs" dxfId="564" priority="433" operator="equal">
      <formula>"seeker"</formula>
    </cfRule>
    <cfRule type="cellIs" dxfId="563" priority="434" operator="equal">
      <formula>"neutral"</formula>
    </cfRule>
    <cfRule type="cellIs" dxfId="562" priority="435" operator="equal">
      <formula>"rogue"</formula>
    </cfRule>
    <cfRule type="cellIs" dxfId="561" priority="436" operator="equal">
      <formula>"Guardian"</formula>
    </cfRule>
    <cfRule type="cellIs" dxfId="560" priority="437" operator="equal">
      <formula>"Survivor"</formula>
    </cfRule>
    <cfRule type="cellIs" dxfId="559" priority="438" operator="equal">
      <formula>"Mystic"</formula>
    </cfRule>
  </conditionalFormatting>
  <conditionalFormatting sqref="K430:K466 AM430:AM442 AM450:AM466">
    <cfRule type="cellIs" dxfId="558" priority="427" operator="equal">
      <formula>"seeker"</formula>
    </cfRule>
    <cfRule type="cellIs" dxfId="557" priority="428" operator="equal">
      <formula>"neutral"</formula>
    </cfRule>
    <cfRule type="cellIs" dxfId="556" priority="429" operator="equal">
      <formula>"rogue"</formula>
    </cfRule>
    <cfRule type="cellIs" dxfId="555" priority="430" operator="equal">
      <formula>"Guardian"</formula>
    </cfRule>
    <cfRule type="cellIs" dxfId="554" priority="431" operator="equal">
      <formula>"Survivor"</formula>
    </cfRule>
    <cfRule type="cellIs" dxfId="553" priority="432" operator="equal">
      <formula>"Mystic"</formula>
    </cfRule>
  </conditionalFormatting>
  <conditionalFormatting sqref="AM443:AM449">
    <cfRule type="cellIs" dxfId="552" priority="421" operator="equal">
      <formula>"seeker"</formula>
    </cfRule>
    <cfRule type="cellIs" dxfId="551" priority="422" operator="equal">
      <formula>"neutral"</formula>
    </cfRule>
    <cfRule type="cellIs" dxfId="550" priority="423" operator="equal">
      <formula>"rogue"</formula>
    </cfRule>
    <cfRule type="cellIs" dxfId="549" priority="424" operator="equal">
      <formula>"Guardian"</formula>
    </cfRule>
    <cfRule type="cellIs" dxfId="548" priority="425" operator="equal">
      <formula>"Survivor"</formula>
    </cfRule>
    <cfRule type="cellIs" dxfId="547" priority="426" operator="equal">
      <formula>"Mystic"</formula>
    </cfRule>
  </conditionalFormatting>
  <conditionalFormatting sqref="AL737">
    <cfRule type="cellIs" dxfId="546" priority="385" operator="equal">
      <formula>"Seeker"</formula>
    </cfRule>
    <cfRule type="cellIs" dxfId="545" priority="386" operator="equal">
      <formula>"Neutral"</formula>
    </cfRule>
    <cfRule type="cellIs" dxfId="544" priority="387" operator="equal">
      <formula>"Rogue"</formula>
    </cfRule>
    <cfRule type="cellIs" dxfId="543" priority="388" operator="equal">
      <formula>"Guardian"</formula>
    </cfRule>
    <cfRule type="cellIs" dxfId="542" priority="389" operator="equal">
      <formula>"Survivor"</formula>
    </cfRule>
    <cfRule type="cellIs" dxfId="541" priority="390" operator="equal">
      <formula>"Mystic"</formula>
    </cfRule>
  </conditionalFormatting>
  <conditionalFormatting sqref="AL733 AL738:AL746 AL767:AL773">
    <cfRule type="cellIs" dxfId="540" priority="415" operator="equal">
      <formula>"Seeker"</formula>
    </cfRule>
    <cfRule type="cellIs" dxfId="539" priority="416" operator="equal">
      <formula>"Neutral"</formula>
    </cfRule>
    <cfRule type="cellIs" dxfId="538" priority="417" operator="equal">
      <formula>"Rogue"</formula>
    </cfRule>
    <cfRule type="cellIs" dxfId="537" priority="418" operator="equal">
      <formula>"Guardian"</formula>
    </cfRule>
    <cfRule type="cellIs" dxfId="536" priority="419" operator="equal">
      <formula>"Survivor"</formula>
    </cfRule>
    <cfRule type="cellIs" dxfId="535" priority="420" operator="equal">
      <formula>"Mystic"</formula>
    </cfRule>
  </conditionalFormatting>
  <conditionalFormatting sqref="K733:K773">
    <cfRule type="cellIs" dxfId="534" priority="409" operator="equal">
      <formula>"seeker"</formula>
    </cfRule>
    <cfRule type="cellIs" dxfId="533" priority="410" operator="equal">
      <formula>"neutral"</formula>
    </cfRule>
    <cfRule type="cellIs" dxfId="532" priority="411" operator="equal">
      <formula>"rogue"</formula>
    </cfRule>
    <cfRule type="cellIs" dxfId="531" priority="412" operator="equal">
      <formula>"Guardian"</formula>
    </cfRule>
    <cfRule type="cellIs" dxfId="530" priority="413" operator="equal">
      <formula>"Survivor"</formula>
    </cfRule>
    <cfRule type="cellIs" dxfId="529" priority="414" operator="equal">
      <formula>"Mystic"</formula>
    </cfRule>
  </conditionalFormatting>
  <conditionalFormatting sqref="AL734">
    <cfRule type="cellIs" dxfId="528" priority="403" operator="equal">
      <formula>"Seeker"</formula>
    </cfRule>
    <cfRule type="cellIs" dxfId="527" priority="404" operator="equal">
      <formula>"Neutral"</formula>
    </cfRule>
    <cfRule type="cellIs" dxfId="526" priority="405" operator="equal">
      <formula>"Rogue"</formula>
    </cfRule>
    <cfRule type="cellIs" dxfId="525" priority="406" operator="equal">
      <formula>"Guardian"</formula>
    </cfRule>
    <cfRule type="cellIs" dxfId="524" priority="407" operator="equal">
      <formula>"Survivor"</formula>
    </cfRule>
    <cfRule type="cellIs" dxfId="523" priority="408" operator="equal">
      <formula>"Mystic"</formula>
    </cfRule>
  </conditionalFormatting>
  <conditionalFormatting sqref="AL735">
    <cfRule type="cellIs" dxfId="522" priority="397" operator="equal">
      <formula>"Seeker"</formula>
    </cfRule>
    <cfRule type="cellIs" dxfId="521" priority="398" operator="equal">
      <formula>"Neutral"</formula>
    </cfRule>
    <cfRule type="cellIs" dxfId="520" priority="399" operator="equal">
      <formula>"Rogue"</formula>
    </cfRule>
    <cfRule type="cellIs" dxfId="519" priority="400" operator="equal">
      <formula>"Guardian"</formula>
    </cfRule>
    <cfRule type="cellIs" dxfId="518" priority="401" operator="equal">
      <formula>"Survivor"</formula>
    </cfRule>
    <cfRule type="cellIs" dxfId="517" priority="402" operator="equal">
      <formula>"Mystic"</formula>
    </cfRule>
  </conditionalFormatting>
  <conditionalFormatting sqref="AL736">
    <cfRule type="cellIs" dxfId="516" priority="391" operator="equal">
      <formula>"Seeker"</formula>
    </cfRule>
    <cfRule type="cellIs" dxfId="515" priority="392" operator="equal">
      <formula>"Neutral"</formula>
    </cfRule>
    <cfRule type="cellIs" dxfId="514" priority="393" operator="equal">
      <formula>"Rogue"</formula>
    </cfRule>
    <cfRule type="cellIs" dxfId="513" priority="394" operator="equal">
      <formula>"Guardian"</formula>
    </cfRule>
    <cfRule type="cellIs" dxfId="512" priority="395" operator="equal">
      <formula>"Survivor"</formula>
    </cfRule>
    <cfRule type="cellIs" dxfId="511" priority="396" operator="equal">
      <formula>"Mystic"</formula>
    </cfRule>
  </conditionalFormatting>
  <conditionalFormatting sqref="AM727:AM731">
    <cfRule type="cellIs" dxfId="510" priority="379" operator="equal">
      <formula>"Seeker"</formula>
    </cfRule>
    <cfRule type="cellIs" dxfId="509" priority="380" operator="equal">
      <formula>"Neutral"</formula>
    </cfRule>
    <cfRule type="cellIs" dxfId="508" priority="381" operator="equal">
      <formula>"Rogue"</formula>
    </cfRule>
    <cfRule type="cellIs" dxfId="507" priority="382" operator="equal">
      <formula>"Guardian"</formula>
    </cfRule>
    <cfRule type="cellIs" dxfId="506" priority="383" operator="equal">
      <formula>"Survivor"</formula>
    </cfRule>
    <cfRule type="cellIs" dxfId="505" priority="384" operator="equal">
      <formula>"Mystic"</formula>
    </cfRule>
  </conditionalFormatting>
  <conditionalFormatting sqref="K727:K731">
    <cfRule type="cellIs" dxfId="504" priority="373" operator="equal">
      <formula>"seeker"</formula>
    </cfRule>
    <cfRule type="cellIs" dxfId="503" priority="374" operator="equal">
      <formula>"neutral"</formula>
    </cfRule>
    <cfRule type="cellIs" dxfId="502" priority="375" operator="equal">
      <formula>"rogue"</formula>
    </cfRule>
    <cfRule type="cellIs" dxfId="501" priority="376" operator="equal">
      <formula>"Guardian"</formula>
    </cfRule>
    <cfRule type="cellIs" dxfId="500" priority="377" operator="equal">
      <formula>"Survivor"</formula>
    </cfRule>
    <cfRule type="cellIs" dxfId="499" priority="378" operator="equal">
      <formula>"Mystic"</formula>
    </cfRule>
  </conditionalFormatting>
  <conditionalFormatting sqref="AM732">
    <cfRule type="cellIs" dxfId="498" priority="367" operator="equal">
      <formula>"Seeker"</formula>
    </cfRule>
    <cfRule type="cellIs" dxfId="497" priority="368" operator="equal">
      <formula>"Neutral"</formula>
    </cfRule>
    <cfRule type="cellIs" dxfId="496" priority="369" operator="equal">
      <formula>"Rogue"</formula>
    </cfRule>
    <cfRule type="cellIs" dxfId="495" priority="370" operator="equal">
      <formula>"Guardian"</formula>
    </cfRule>
    <cfRule type="cellIs" dxfId="494" priority="371" operator="equal">
      <formula>"Survivor"</formula>
    </cfRule>
    <cfRule type="cellIs" dxfId="493" priority="372" operator="equal">
      <formula>"Mystic"</formula>
    </cfRule>
  </conditionalFormatting>
  <conditionalFormatting sqref="K732">
    <cfRule type="cellIs" dxfId="492" priority="361" operator="equal">
      <formula>"seeker"</formula>
    </cfRule>
    <cfRule type="cellIs" dxfId="491" priority="362" operator="equal">
      <formula>"neutral"</formula>
    </cfRule>
    <cfRule type="cellIs" dxfId="490" priority="363" operator="equal">
      <formula>"rogue"</formula>
    </cfRule>
    <cfRule type="cellIs" dxfId="489" priority="364" operator="equal">
      <formula>"Guardian"</formula>
    </cfRule>
    <cfRule type="cellIs" dxfId="488" priority="365" operator="equal">
      <formula>"Survivor"</formula>
    </cfRule>
    <cfRule type="cellIs" dxfId="487" priority="366" operator="equal">
      <formula>"Mystic"</formula>
    </cfRule>
  </conditionalFormatting>
  <conditionalFormatting sqref="AL863 AL865:AL881 AL855:AL860">
    <cfRule type="cellIs" dxfId="486" priority="355" operator="equal">
      <formula>"Seeker"</formula>
    </cfRule>
    <cfRule type="cellIs" dxfId="485" priority="356" operator="equal">
      <formula>"Neutral"</formula>
    </cfRule>
    <cfRule type="cellIs" dxfId="484" priority="357" operator="equal">
      <formula>"Rogue"</formula>
    </cfRule>
    <cfRule type="cellIs" dxfId="483" priority="358" operator="equal">
      <formula>"Guardian"</formula>
    </cfRule>
    <cfRule type="cellIs" dxfId="482" priority="359" operator="equal">
      <formula>"Survivor"</formula>
    </cfRule>
    <cfRule type="cellIs" dxfId="481" priority="360" operator="equal">
      <formula>"Mystic"</formula>
    </cfRule>
  </conditionalFormatting>
  <conditionalFormatting sqref="K865:K883 K889 K855:K863">
    <cfRule type="cellIs" dxfId="480" priority="349" operator="equal">
      <formula>"seeker"</formula>
    </cfRule>
    <cfRule type="cellIs" dxfId="479" priority="350" operator="equal">
      <formula>"neutral"</formula>
    </cfRule>
    <cfRule type="cellIs" dxfId="478" priority="351" operator="equal">
      <formula>"rogue"</formula>
    </cfRule>
    <cfRule type="cellIs" dxfId="477" priority="352" operator="equal">
      <formula>"Guardian"</formula>
    </cfRule>
    <cfRule type="cellIs" dxfId="476" priority="353" operator="equal">
      <formula>"Survivor"</formula>
    </cfRule>
    <cfRule type="cellIs" dxfId="475" priority="354" operator="equal">
      <formula>"Mystic"</formula>
    </cfRule>
  </conditionalFormatting>
  <conditionalFormatting sqref="AM861:AM862">
    <cfRule type="cellIs" dxfId="474" priority="343" operator="equal">
      <formula>"seeker"</formula>
    </cfRule>
    <cfRule type="cellIs" dxfId="473" priority="344" operator="equal">
      <formula>"neutral"</formula>
    </cfRule>
    <cfRule type="cellIs" dxfId="472" priority="345" operator="equal">
      <formula>"rogue"</formula>
    </cfRule>
    <cfRule type="cellIs" dxfId="471" priority="346" operator="equal">
      <formula>"Guardian"</formula>
    </cfRule>
    <cfRule type="cellIs" dxfId="470" priority="347" operator="equal">
      <formula>"Survivor"</formula>
    </cfRule>
    <cfRule type="cellIs" dxfId="469" priority="348" operator="equal">
      <formula>"Mystic"</formula>
    </cfRule>
  </conditionalFormatting>
  <conditionalFormatting sqref="AL864">
    <cfRule type="cellIs" dxfId="468" priority="337" operator="equal">
      <formula>"Seeker"</formula>
    </cfRule>
    <cfRule type="cellIs" dxfId="467" priority="338" operator="equal">
      <formula>"Neutral"</formula>
    </cfRule>
    <cfRule type="cellIs" dxfId="466" priority="339" operator="equal">
      <formula>"Rogue"</formula>
    </cfRule>
    <cfRule type="cellIs" dxfId="465" priority="340" operator="equal">
      <formula>"Guardian"</formula>
    </cfRule>
    <cfRule type="cellIs" dxfId="464" priority="341" operator="equal">
      <formula>"Survivor"</formula>
    </cfRule>
    <cfRule type="cellIs" dxfId="463" priority="342" operator="equal">
      <formula>"Mystic"</formula>
    </cfRule>
  </conditionalFormatting>
  <conditionalFormatting sqref="K864">
    <cfRule type="cellIs" dxfId="462" priority="331" operator="equal">
      <formula>"seeker"</formula>
    </cfRule>
    <cfRule type="cellIs" dxfId="461" priority="332" operator="equal">
      <formula>"neutral"</formula>
    </cfRule>
    <cfRule type="cellIs" dxfId="460" priority="333" operator="equal">
      <formula>"rogue"</formula>
    </cfRule>
    <cfRule type="cellIs" dxfId="459" priority="334" operator="equal">
      <formula>"Guardian"</formula>
    </cfRule>
    <cfRule type="cellIs" dxfId="458" priority="335" operator="equal">
      <formula>"Survivor"</formula>
    </cfRule>
    <cfRule type="cellIs" dxfId="457" priority="336" operator="equal">
      <formula>"Mystic"</formula>
    </cfRule>
  </conditionalFormatting>
  <conditionalFormatting sqref="AM882:AM883 AM889">
    <cfRule type="cellIs" dxfId="456" priority="325" operator="equal">
      <formula>"seeker"</formula>
    </cfRule>
    <cfRule type="cellIs" dxfId="455" priority="326" operator="equal">
      <formula>"neutral"</formula>
    </cfRule>
    <cfRule type="cellIs" dxfId="454" priority="327" operator="equal">
      <formula>"rogue"</formula>
    </cfRule>
    <cfRule type="cellIs" dxfId="453" priority="328" operator="equal">
      <formula>"Guardian"</formula>
    </cfRule>
    <cfRule type="cellIs" dxfId="452" priority="329" operator="equal">
      <formula>"Survivor"</formula>
    </cfRule>
    <cfRule type="cellIs" dxfId="451" priority="330" operator="equal">
      <formula>"Mystic"</formula>
    </cfRule>
  </conditionalFormatting>
  <conditionalFormatting sqref="K884">
    <cfRule type="cellIs" dxfId="450" priority="319" operator="equal">
      <formula>"seeker"</formula>
    </cfRule>
    <cfRule type="cellIs" dxfId="449" priority="320" operator="equal">
      <formula>"neutral"</formula>
    </cfRule>
    <cfRule type="cellIs" dxfId="448" priority="321" operator="equal">
      <formula>"rogue"</formula>
    </cfRule>
    <cfRule type="cellIs" dxfId="447" priority="322" operator="equal">
      <formula>"Guardian"</formula>
    </cfRule>
    <cfRule type="cellIs" dxfId="446" priority="323" operator="equal">
      <formula>"Survivor"</formula>
    </cfRule>
    <cfRule type="cellIs" dxfId="445" priority="324" operator="equal">
      <formula>"Mystic"</formula>
    </cfRule>
  </conditionalFormatting>
  <conditionalFormatting sqref="AM884">
    <cfRule type="cellIs" dxfId="444" priority="313" operator="equal">
      <formula>"seeker"</formula>
    </cfRule>
    <cfRule type="cellIs" dxfId="443" priority="314" operator="equal">
      <formula>"neutral"</formula>
    </cfRule>
    <cfRule type="cellIs" dxfId="442" priority="315" operator="equal">
      <formula>"rogue"</formula>
    </cfRule>
    <cfRule type="cellIs" dxfId="441" priority="316" operator="equal">
      <formula>"Guardian"</formula>
    </cfRule>
    <cfRule type="cellIs" dxfId="440" priority="317" operator="equal">
      <formula>"Survivor"</formula>
    </cfRule>
    <cfRule type="cellIs" dxfId="439" priority="318" operator="equal">
      <formula>"Mystic"</formula>
    </cfRule>
  </conditionalFormatting>
  <conditionalFormatting sqref="K885">
    <cfRule type="cellIs" dxfId="438" priority="307" operator="equal">
      <formula>"seeker"</formula>
    </cfRule>
    <cfRule type="cellIs" dxfId="437" priority="308" operator="equal">
      <formula>"neutral"</formula>
    </cfRule>
    <cfRule type="cellIs" dxfId="436" priority="309" operator="equal">
      <formula>"rogue"</formula>
    </cfRule>
    <cfRule type="cellIs" dxfId="435" priority="310" operator="equal">
      <formula>"Guardian"</formula>
    </cfRule>
    <cfRule type="cellIs" dxfId="434" priority="311" operator="equal">
      <formula>"Survivor"</formula>
    </cfRule>
    <cfRule type="cellIs" dxfId="433" priority="312" operator="equal">
      <formula>"Mystic"</formula>
    </cfRule>
  </conditionalFormatting>
  <conditionalFormatting sqref="AM885">
    <cfRule type="cellIs" dxfId="432" priority="301" operator="equal">
      <formula>"seeker"</formula>
    </cfRule>
    <cfRule type="cellIs" dxfId="431" priority="302" operator="equal">
      <formula>"neutral"</formula>
    </cfRule>
    <cfRule type="cellIs" dxfId="430" priority="303" operator="equal">
      <formula>"rogue"</formula>
    </cfRule>
    <cfRule type="cellIs" dxfId="429" priority="304" operator="equal">
      <formula>"Guardian"</formula>
    </cfRule>
    <cfRule type="cellIs" dxfId="428" priority="305" operator="equal">
      <formula>"Survivor"</formula>
    </cfRule>
    <cfRule type="cellIs" dxfId="427" priority="306" operator="equal">
      <formula>"Mystic"</formula>
    </cfRule>
  </conditionalFormatting>
  <conditionalFormatting sqref="K886">
    <cfRule type="cellIs" dxfId="426" priority="295" operator="equal">
      <formula>"seeker"</formula>
    </cfRule>
    <cfRule type="cellIs" dxfId="425" priority="296" operator="equal">
      <formula>"neutral"</formula>
    </cfRule>
    <cfRule type="cellIs" dxfId="424" priority="297" operator="equal">
      <formula>"rogue"</formula>
    </cfRule>
    <cfRule type="cellIs" dxfId="423" priority="298" operator="equal">
      <formula>"Guardian"</formula>
    </cfRule>
    <cfRule type="cellIs" dxfId="422" priority="299" operator="equal">
      <formula>"Survivor"</formula>
    </cfRule>
    <cfRule type="cellIs" dxfId="421" priority="300" operator="equal">
      <formula>"Mystic"</formula>
    </cfRule>
  </conditionalFormatting>
  <conditionalFormatting sqref="AM886">
    <cfRule type="cellIs" dxfId="420" priority="289" operator="equal">
      <formula>"seeker"</formula>
    </cfRule>
    <cfRule type="cellIs" dxfId="419" priority="290" operator="equal">
      <formula>"neutral"</formula>
    </cfRule>
    <cfRule type="cellIs" dxfId="418" priority="291" operator="equal">
      <formula>"rogue"</formula>
    </cfRule>
    <cfRule type="cellIs" dxfId="417" priority="292" operator="equal">
      <formula>"Guardian"</formula>
    </cfRule>
    <cfRule type="cellIs" dxfId="416" priority="293" operator="equal">
      <formula>"Survivor"</formula>
    </cfRule>
    <cfRule type="cellIs" dxfId="415" priority="294" operator="equal">
      <formula>"Mystic"</formula>
    </cfRule>
  </conditionalFormatting>
  <conditionalFormatting sqref="K887">
    <cfRule type="cellIs" dxfId="414" priority="283" operator="equal">
      <formula>"seeker"</formula>
    </cfRule>
    <cfRule type="cellIs" dxfId="413" priority="284" operator="equal">
      <formula>"neutral"</formula>
    </cfRule>
    <cfRule type="cellIs" dxfId="412" priority="285" operator="equal">
      <formula>"rogue"</formula>
    </cfRule>
    <cfRule type="cellIs" dxfId="411" priority="286" operator="equal">
      <formula>"Guardian"</formula>
    </cfRule>
    <cfRule type="cellIs" dxfId="410" priority="287" operator="equal">
      <formula>"Survivor"</formula>
    </cfRule>
    <cfRule type="cellIs" dxfId="409" priority="288" operator="equal">
      <formula>"Mystic"</formula>
    </cfRule>
  </conditionalFormatting>
  <conditionalFormatting sqref="AM887">
    <cfRule type="cellIs" dxfId="408" priority="277" operator="equal">
      <formula>"seeker"</formula>
    </cfRule>
    <cfRule type="cellIs" dxfId="407" priority="278" operator="equal">
      <formula>"neutral"</formula>
    </cfRule>
    <cfRule type="cellIs" dxfId="406" priority="279" operator="equal">
      <formula>"rogue"</formula>
    </cfRule>
    <cfRule type="cellIs" dxfId="405" priority="280" operator="equal">
      <formula>"Guardian"</formula>
    </cfRule>
    <cfRule type="cellIs" dxfId="404" priority="281" operator="equal">
      <formula>"Survivor"</formula>
    </cfRule>
    <cfRule type="cellIs" dxfId="403" priority="282" operator="equal">
      <formula>"Mystic"</formula>
    </cfRule>
  </conditionalFormatting>
  <conditionalFormatting sqref="K888">
    <cfRule type="cellIs" dxfId="402" priority="271" operator="equal">
      <formula>"seeker"</formula>
    </cfRule>
    <cfRule type="cellIs" dxfId="401" priority="272" operator="equal">
      <formula>"neutral"</formula>
    </cfRule>
    <cfRule type="cellIs" dxfId="400" priority="273" operator="equal">
      <formula>"rogue"</formula>
    </cfRule>
    <cfRule type="cellIs" dxfId="399" priority="274" operator="equal">
      <formula>"Guardian"</formula>
    </cfRule>
    <cfRule type="cellIs" dxfId="398" priority="275" operator="equal">
      <formula>"Survivor"</formula>
    </cfRule>
    <cfRule type="cellIs" dxfId="397" priority="276" operator="equal">
      <formula>"Mystic"</formula>
    </cfRule>
  </conditionalFormatting>
  <conditionalFormatting sqref="AM888">
    <cfRule type="cellIs" dxfId="396" priority="265" operator="equal">
      <formula>"seeker"</formula>
    </cfRule>
    <cfRule type="cellIs" dxfId="395" priority="266" operator="equal">
      <formula>"neutral"</formula>
    </cfRule>
    <cfRule type="cellIs" dxfId="394" priority="267" operator="equal">
      <formula>"rogue"</formula>
    </cfRule>
    <cfRule type="cellIs" dxfId="393" priority="268" operator="equal">
      <formula>"Guardian"</formula>
    </cfRule>
    <cfRule type="cellIs" dxfId="392" priority="269" operator="equal">
      <formula>"Survivor"</formula>
    </cfRule>
    <cfRule type="cellIs" dxfId="391" priority="270" operator="equal">
      <formula>"Mystic"</formula>
    </cfRule>
  </conditionalFormatting>
  <conditionalFormatting sqref="AM955:AM960 K933:K957 K960 K963 AM963 AM965:AM977 K965:K977">
    <cfRule type="cellIs" dxfId="390" priority="223" operator="equal">
      <formula>"seeker"</formula>
    </cfRule>
    <cfRule type="cellIs" dxfId="389" priority="224" operator="equal">
      <formula>"neutral"</formula>
    </cfRule>
    <cfRule type="cellIs" dxfId="388" priority="225" operator="equal">
      <formula>"rogue"</formula>
    </cfRule>
    <cfRule type="cellIs" dxfId="387" priority="226" operator="equal">
      <formula>"Guardian"</formula>
    </cfRule>
    <cfRule type="cellIs" dxfId="386" priority="227" operator="equal">
      <formula>"Survivor"</formula>
    </cfRule>
    <cfRule type="cellIs" dxfId="385" priority="228" operator="equal">
      <formula>"Mystic"</formula>
    </cfRule>
  </conditionalFormatting>
  <conditionalFormatting sqref="AL937">
    <cfRule type="cellIs" dxfId="384" priority="193" operator="equal">
      <formula>"Seeker"</formula>
    </cfRule>
    <cfRule type="cellIs" dxfId="383" priority="194" operator="equal">
      <formula>"Neutral"</formula>
    </cfRule>
    <cfRule type="cellIs" dxfId="382" priority="195" operator="equal">
      <formula>"Rogue"</formula>
    </cfRule>
    <cfRule type="cellIs" dxfId="381" priority="196" operator="equal">
      <formula>"Guardian"</formula>
    </cfRule>
    <cfRule type="cellIs" dxfId="380" priority="197" operator="equal">
      <formula>"Survivor"</formula>
    </cfRule>
    <cfRule type="cellIs" dxfId="379" priority="198" operator="equal">
      <formula>"Mystic"</formula>
    </cfRule>
  </conditionalFormatting>
  <conditionalFormatting sqref="AL933 AL938:AL944">
    <cfRule type="cellIs" dxfId="378" priority="217" operator="equal">
      <formula>"Seeker"</formula>
    </cfRule>
    <cfRule type="cellIs" dxfId="377" priority="218" operator="equal">
      <formula>"Neutral"</formula>
    </cfRule>
    <cfRule type="cellIs" dxfId="376" priority="219" operator="equal">
      <formula>"Rogue"</formula>
    </cfRule>
    <cfRule type="cellIs" dxfId="375" priority="220" operator="equal">
      <formula>"Guardian"</formula>
    </cfRule>
    <cfRule type="cellIs" dxfId="374" priority="221" operator="equal">
      <formula>"Survivor"</formula>
    </cfRule>
    <cfRule type="cellIs" dxfId="373" priority="222" operator="equal">
      <formula>"Mystic"</formula>
    </cfRule>
  </conditionalFormatting>
  <conditionalFormatting sqref="AL934">
    <cfRule type="cellIs" dxfId="372" priority="211" operator="equal">
      <formula>"Seeker"</formula>
    </cfRule>
    <cfRule type="cellIs" dxfId="371" priority="212" operator="equal">
      <formula>"Neutral"</formula>
    </cfRule>
    <cfRule type="cellIs" dxfId="370" priority="213" operator="equal">
      <formula>"Rogue"</formula>
    </cfRule>
    <cfRule type="cellIs" dxfId="369" priority="214" operator="equal">
      <formula>"Guardian"</formula>
    </cfRule>
    <cfRule type="cellIs" dxfId="368" priority="215" operator="equal">
      <formula>"Survivor"</formula>
    </cfRule>
    <cfRule type="cellIs" dxfId="367" priority="216" operator="equal">
      <formula>"Mystic"</formula>
    </cfRule>
  </conditionalFormatting>
  <conditionalFormatting sqref="AL935">
    <cfRule type="cellIs" dxfId="366" priority="205" operator="equal">
      <formula>"Seeker"</formula>
    </cfRule>
    <cfRule type="cellIs" dxfId="365" priority="206" operator="equal">
      <formula>"Neutral"</formula>
    </cfRule>
    <cfRule type="cellIs" dxfId="364" priority="207" operator="equal">
      <formula>"Rogue"</formula>
    </cfRule>
    <cfRule type="cellIs" dxfId="363" priority="208" operator="equal">
      <formula>"Guardian"</formula>
    </cfRule>
    <cfRule type="cellIs" dxfId="362" priority="209" operator="equal">
      <formula>"Survivor"</formula>
    </cfRule>
    <cfRule type="cellIs" dxfId="361" priority="210" operator="equal">
      <formula>"Mystic"</formula>
    </cfRule>
  </conditionalFormatting>
  <conditionalFormatting sqref="AL936">
    <cfRule type="cellIs" dxfId="360" priority="199" operator="equal">
      <formula>"Seeker"</formula>
    </cfRule>
    <cfRule type="cellIs" dxfId="359" priority="200" operator="equal">
      <formula>"Neutral"</formula>
    </cfRule>
    <cfRule type="cellIs" dxfId="358" priority="201" operator="equal">
      <formula>"Rogue"</formula>
    </cfRule>
    <cfRule type="cellIs" dxfId="357" priority="202" operator="equal">
      <formula>"Guardian"</formula>
    </cfRule>
    <cfRule type="cellIs" dxfId="356" priority="203" operator="equal">
      <formula>"Survivor"</formula>
    </cfRule>
    <cfRule type="cellIs" dxfId="355" priority="204" operator="equal">
      <formula>"Mystic"</formula>
    </cfRule>
  </conditionalFormatting>
  <conditionalFormatting sqref="K958">
    <cfRule type="cellIs" dxfId="354" priority="187" operator="equal">
      <formula>"seeker"</formula>
    </cfRule>
    <cfRule type="cellIs" dxfId="353" priority="188" operator="equal">
      <formula>"neutral"</formula>
    </cfRule>
    <cfRule type="cellIs" dxfId="352" priority="189" operator="equal">
      <formula>"rogue"</formula>
    </cfRule>
    <cfRule type="cellIs" dxfId="351" priority="190" operator="equal">
      <formula>"Guardian"</formula>
    </cfRule>
    <cfRule type="cellIs" dxfId="350" priority="191" operator="equal">
      <formula>"Survivor"</formula>
    </cfRule>
    <cfRule type="cellIs" dxfId="349" priority="192" operator="equal">
      <formula>"Mystic"</formula>
    </cfRule>
  </conditionalFormatting>
  <conditionalFormatting sqref="K959">
    <cfRule type="cellIs" dxfId="348" priority="181" operator="equal">
      <formula>"seeker"</formula>
    </cfRule>
    <cfRule type="cellIs" dxfId="347" priority="182" operator="equal">
      <formula>"neutral"</formula>
    </cfRule>
    <cfRule type="cellIs" dxfId="346" priority="183" operator="equal">
      <formula>"rogue"</formula>
    </cfRule>
    <cfRule type="cellIs" dxfId="345" priority="184" operator="equal">
      <formula>"Guardian"</formula>
    </cfRule>
    <cfRule type="cellIs" dxfId="344" priority="185" operator="equal">
      <formula>"Survivor"</formula>
    </cfRule>
    <cfRule type="cellIs" dxfId="343" priority="186" operator="equal">
      <formula>"Mystic"</formula>
    </cfRule>
  </conditionalFormatting>
  <conditionalFormatting sqref="AM961 K961">
    <cfRule type="cellIs" dxfId="342" priority="175" operator="equal">
      <formula>"seeker"</formula>
    </cfRule>
    <cfRule type="cellIs" dxfId="341" priority="176" operator="equal">
      <formula>"neutral"</formula>
    </cfRule>
    <cfRule type="cellIs" dxfId="340" priority="177" operator="equal">
      <formula>"rogue"</formula>
    </cfRule>
    <cfRule type="cellIs" dxfId="339" priority="178" operator="equal">
      <formula>"Guardian"</formula>
    </cfRule>
    <cfRule type="cellIs" dxfId="338" priority="179" operator="equal">
      <formula>"Survivor"</formula>
    </cfRule>
    <cfRule type="cellIs" dxfId="337" priority="180" operator="equal">
      <formula>"Mystic"</formula>
    </cfRule>
  </conditionalFormatting>
  <conditionalFormatting sqref="AM962 K962">
    <cfRule type="cellIs" dxfId="336" priority="169" operator="equal">
      <formula>"seeker"</formula>
    </cfRule>
    <cfRule type="cellIs" dxfId="335" priority="170" operator="equal">
      <formula>"neutral"</formula>
    </cfRule>
    <cfRule type="cellIs" dxfId="334" priority="171" operator="equal">
      <formula>"rogue"</formula>
    </cfRule>
    <cfRule type="cellIs" dxfId="333" priority="172" operator="equal">
      <formula>"Guardian"</formula>
    </cfRule>
    <cfRule type="cellIs" dxfId="332" priority="173" operator="equal">
      <formula>"Survivor"</formula>
    </cfRule>
    <cfRule type="cellIs" dxfId="331" priority="174" operator="equal">
      <formula>"Mystic"</formula>
    </cfRule>
  </conditionalFormatting>
  <conditionalFormatting sqref="K964 AM964">
    <cfRule type="cellIs" dxfId="330" priority="163" operator="equal">
      <formula>"seeker"</formula>
    </cfRule>
    <cfRule type="cellIs" dxfId="329" priority="164" operator="equal">
      <formula>"neutral"</formula>
    </cfRule>
    <cfRule type="cellIs" dxfId="328" priority="165" operator="equal">
      <formula>"rogue"</formula>
    </cfRule>
    <cfRule type="cellIs" dxfId="327" priority="166" operator="equal">
      <formula>"Guardian"</formula>
    </cfRule>
    <cfRule type="cellIs" dxfId="326" priority="167" operator="equal">
      <formula>"Survivor"</formula>
    </cfRule>
    <cfRule type="cellIs" dxfId="325" priority="168" operator="equal">
      <formula>"Mystic"</formula>
    </cfRule>
  </conditionalFormatting>
  <conditionalFormatting sqref="AM1000:AM1005 AM1008 AM1010:AM1019 K979:K993 K998:K1002 K1010:K1019 AM1021:AM1030 K1021:K1030 AM1032:AM1079 K1032:K1079">
    <cfRule type="cellIs" dxfId="323" priority="157" operator="equal">
      <formula>"seeker"</formula>
    </cfRule>
    <cfRule type="cellIs" dxfId="322" priority="158" operator="equal">
      <formula>"neutral"</formula>
    </cfRule>
    <cfRule type="cellIs" dxfId="321" priority="159" operator="equal">
      <formula>"rogue"</formula>
    </cfRule>
    <cfRule type="cellIs" dxfId="320" priority="160" operator="equal">
      <formula>"Guardian"</formula>
    </cfRule>
    <cfRule type="cellIs" dxfId="319" priority="161" operator="equal">
      <formula>"Survivor"</formula>
    </cfRule>
    <cfRule type="cellIs" dxfId="318" priority="162" operator="equal">
      <formula>"Mystic"</formula>
    </cfRule>
  </conditionalFormatting>
  <conditionalFormatting sqref="AL983:AL989">
    <cfRule type="cellIs" dxfId="311" priority="151" operator="equal">
      <formula>"Seeker"</formula>
    </cfRule>
    <cfRule type="cellIs" dxfId="310" priority="152" operator="equal">
      <formula>"Neutral"</formula>
    </cfRule>
    <cfRule type="cellIs" dxfId="309" priority="153" operator="equal">
      <formula>"Rogue"</formula>
    </cfRule>
    <cfRule type="cellIs" dxfId="308" priority="154" operator="equal">
      <formula>"Guardian"</formula>
    </cfRule>
    <cfRule type="cellIs" dxfId="307" priority="155" operator="equal">
      <formula>"Survivor"</formula>
    </cfRule>
    <cfRule type="cellIs" dxfId="306" priority="156" operator="equal">
      <formula>"Mystic"</formula>
    </cfRule>
  </conditionalFormatting>
  <conditionalFormatting sqref="AM1006">
    <cfRule type="cellIs" dxfId="299" priority="145" operator="equal">
      <formula>"seeker"</formula>
    </cfRule>
    <cfRule type="cellIs" dxfId="298" priority="146" operator="equal">
      <formula>"neutral"</formula>
    </cfRule>
    <cfRule type="cellIs" dxfId="297" priority="147" operator="equal">
      <formula>"rogue"</formula>
    </cfRule>
    <cfRule type="cellIs" dxfId="296" priority="148" operator="equal">
      <formula>"Guardian"</formula>
    </cfRule>
    <cfRule type="cellIs" dxfId="295" priority="149" operator="equal">
      <formula>"Survivor"</formula>
    </cfRule>
    <cfRule type="cellIs" dxfId="294" priority="150" operator="equal">
      <formula>"Mystic"</formula>
    </cfRule>
  </conditionalFormatting>
  <conditionalFormatting sqref="AM1007">
    <cfRule type="cellIs" dxfId="287" priority="139" operator="equal">
      <formula>"seeker"</formula>
    </cfRule>
    <cfRule type="cellIs" dxfId="286" priority="140" operator="equal">
      <formula>"neutral"</formula>
    </cfRule>
    <cfRule type="cellIs" dxfId="285" priority="141" operator="equal">
      <formula>"rogue"</formula>
    </cfRule>
    <cfRule type="cellIs" dxfId="284" priority="142" operator="equal">
      <formula>"Guardian"</formula>
    </cfRule>
    <cfRule type="cellIs" dxfId="283" priority="143" operator="equal">
      <formula>"Survivor"</formula>
    </cfRule>
    <cfRule type="cellIs" dxfId="282" priority="144" operator="equal">
      <formula>"Mystic"</formula>
    </cfRule>
  </conditionalFormatting>
  <conditionalFormatting sqref="AM1009">
    <cfRule type="cellIs" dxfId="275" priority="133" operator="equal">
      <formula>"seeker"</formula>
    </cfRule>
    <cfRule type="cellIs" dxfId="274" priority="134" operator="equal">
      <formula>"neutral"</formula>
    </cfRule>
    <cfRule type="cellIs" dxfId="273" priority="135" operator="equal">
      <formula>"rogue"</formula>
    </cfRule>
    <cfRule type="cellIs" dxfId="272" priority="136" operator="equal">
      <formula>"Guardian"</formula>
    </cfRule>
    <cfRule type="cellIs" dxfId="271" priority="137" operator="equal">
      <formula>"Survivor"</formula>
    </cfRule>
    <cfRule type="cellIs" dxfId="270" priority="138" operator="equal">
      <formula>"Mystic"</formula>
    </cfRule>
  </conditionalFormatting>
  <conditionalFormatting sqref="K978">
    <cfRule type="cellIs" dxfId="263" priority="127" operator="equal">
      <formula>"Seeker"</formula>
    </cfRule>
    <cfRule type="cellIs" dxfId="262" priority="128" operator="equal">
      <formula>"Neutral"</formula>
    </cfRule>
    <cfRule type="cellIs" dxfId="261" priority="129" operator="equal">
      <formula>"Rogue"</formula>
    </cfRule>
    <cfRule type="cellIs" dxfId="260" priority="130" operator="equal">
      <formula>"Guardian"</formula>
    </cfRule>
    <cfRule type="cellIs" dxfId="259" priority="131" operator="equal">
      <formula>"Survivor"</formula>
    </cfRule>
    <cfRule type="cellIs" dxfId="258" priority="132" operator="equal">
      <formula>"Mystic"</formula>
    </cfRule>
  </conditionalFormatting>
  <conditionalFormatting sqref="AM979:AM982">
    <cfRule type="cellIs" dxfId="251" priority="121" operator="equal">
      <formula>"seeker"</formula>
    </cfRule>
    <cfRule type="cellIs" dxfId="250" priority="122" operator="equal">
      <formula>"neutral"</formula>
    </cfRule>
    <cfRule type="cellIs" dxfId="249" priority="123" operator="equal">
      <formula>"rogue"</formula>
    </cfRule>
    <cfRule type="cellIs" dxfId="248" priority="124" operator="equal">
      <formula>"Guardian"</formula>
    </cfRule>
    <cfRule type="cellIs" dxfId="247" priority="125" operator="equal">
      <formula>"Survivor"</formula>
    </cfRule>
    <cfRule type="cellIs" dxfId="246" priority="126" operator="equal">
      <formula>"Mystic"</formula>
    </cfRule>
  </conditionalFormatting>
  <conditionalFormatting sqref="AM978">
    <cfRule type="cellIs" dxfId="239" priority="115" operator="equal">
      <formula>"Seeker"</formula>
    </cfRule>
    <cfRule type="cellIs" dxfId="238" priority="116" operator="equal">
      <formula>"Neutral"</formula>
    </cfRule>
    <cfRule type="cellIs" dxfId="237" priority="117" operator="equal">
      <formula>"Rogue"</formula>
    </cfRule>
    <cfRule type="cellIs" dxfId="236" priority="118" operator="equal">
      <formula>"Guardian"</formula>
    </cfRule>
    <cfRule type="cellIs" dxfId="235" priority="119" operator="equal">
      <formula>"Survivor"</formula>
    </cfRule>
    <cfRule type="cellIs" dxfId="234" priority="120" operator="equal">
      <formula>"Mystic"</formula>
    </cfRule>
  </conditionalFormatting>
  <conditionalFormatting sqref="K994">
    <cfRule type="cellIs" dxfId="227" priority="109" operator="equal">
      <formula>"Seeker"</formula>
    </cfRule>
    <cfRule type="cellIs" dxfId="226" priority="110" operator="equal">
      <formula>"Neutral"</formula>
    </cfRule>
    <cfRule type="cellIs" dxfId="225" priority="111" operator="equal">
      <formula>"Rogue"</formula>
    </cfRule>
    <cfRule type="cellIs" dxfId="224" priority="112" operator="equal">
      <formula>"Guardian"</formula>
    </cfRule>
    <cfRule type="cellIs" dxfId="223" priority="113" operator="equal">
      <formula>"Survivor"</formula>
    </cfRule>
    <cfRule type="cellIs" dxfId="222" priority="114" operator="equal">
      <formula>"Mystic"</formula>
    </cfRule>
  </conditionalFormatting>
  <conditionalFormatting sqref="K995">
    <cfRule type="cellIs" dxfId="215" priority="103" operator="equal">
      <formula>"Seeker"</formula>
    </cfRule>
    <cfRule type="cellIs" dxfId="214" priority="104" operator="equal">
      <formula>"Neutral"</formula>
    </cfRule>
    <cfRule type="cellIs" dxfId="213" priority="105" operator="equal">
      <formula>"Rogue"</formula>
    </cfRule>
    <cfRule type="cellIs" dxfId="212" priority="106" operator="equal">
      <formula>"Guardian"</formula>
    </cfRule>
    <cfRule type="cellIs" dxfId="211" priority="107" operator="equal">
      <formula>"Survivor"</formula>
    </cfRule>
    <cfRule type="cellIs" dxfId="210" priority="108" operator="equal">
      <formula>"Mystic"</formula>
    </cfRule>
  </conditionalFormatting>
  <conditionalFormatting sqref="K996">
    <cfRule type="cellIs" dxfId="203" priority="97" operator="equal">
      <formula>"Seeker"</formula>
    </cfRule>
    <cfRule type="cellIs" dxfId="202" priority="98" operator="equal">
      <formula>"Neutral"</formula>
    </cfRule>
    <cfRule type="cellIs" dxfId="201" priority="99" operator="equal">
      <formula>"Rogue"</formula>
    </cfRule>
    <cfRule type="cellIs" dxfId="200" priority="100" operator="equal">
      <formula>"Guardian"</formula>
    </cfRule>
    <cfRule type="cellIs" dxfId="199" priority="101" operator="equal">
      <formula>"Survivor"</formula>
    </cfRule>
    <cfRule type="cellIs" dxfId="198" priority="102" operator="equal">
      <formula>"Mystic"</formula>
    </cfRule>
  </conditionalFormatting>
  <conditionalFormatting sqref="K997">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K1003">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K1004">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K1005">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006">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007">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008">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K1009">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AL1020">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K1020">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K1031">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L1031">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AM1081:AM1084">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M1080">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081:K1084">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1080">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32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2018-06-19T18:26:45Z</dcterms:modified>
</cp:coreProperties>
</file>