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150" yWindow="1560" windowWidth="19350" windowHeight="573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Data'!$A$1:$BF$5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calcMode="manual"/>
</workbook>
</file>

<file path=xl/calcChain.xml><?xml version="1.0" encoding="utf-8"?>
<calcChain xmlns="http://schemas.openxmlformats.org/spreadsheetml/2006/main">
  <c r="K4" i="2" l="1"/>
  <c r="J4" i="2" s="1"/>
  <c r="K3" i="2"/>
  <c r="J3" i="2" s="1"/>
  <c r="I3" i="2"/>
  <c r="I4" i="2"/>
  <c r="L4" i="2"/>
  <c r="L3"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<sst xmlns="http://schemas.openxmlformats.org/spreadsheetml/2006/main" count="5472" uniqueCount="4530">
  <si>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</si>
  <si>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</si>
  <si>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</si>
  <si>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</si>
  <si>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</si>
  <si>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</si>
  <si>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</si>
  <si>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</si>
  <si>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</si>
  <si>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</si>
  <si>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</si>
  <si>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</si>
  <si>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</si>
  <si>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</si>
  <si>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</si>
  <si>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</si>
  <si>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</si>
  <si>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</si>
  <si>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</si>
  <si>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</si>
  <si>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</si>
  <si>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</si>
  <si>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</si>
  <si>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</si>
  <si>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Hero</t>
  </si>
  <si>
    <t>Leadership</t>
  </si>
  <si>
    <t/>
  </si>
  <si>
    <t>Ally</t>
  </si>
  <si>
    <t>Lore</t>
  </si>
  <si>
    <t>Neutral</t>
  </si>
  <si>
    <t>Tactics</t>
  </si>
  <si>
    <t>Attachment</t>
  </si>
  <si>
    <t>Spirit</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</si>
  <si>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</si>
  <si>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</si>
  <si>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</si>
  <si>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</si>
  <si>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</si>
  <si>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</si>
  <si>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</si>
  <si>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</si>
  <si>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</si>
  <si>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</si>
  <si>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</si>
  <si>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</si>
  <si>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</si>
  <si>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</si>
  <si>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</si>
  <si>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</si>
  <si>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</si>
  <si>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</si>
  <si>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</si>
  <si>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</si>
  <si>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</si>
  <si>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</si>
  <si>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Campaign</t>
  </si>
  <si>
    <t>id</t>
  </si>
  <si>
    <t>Core Set</t>
  </si>
  <si>
    <t>Censored</t>
  </si>
  <si>
    <t>No</t>
  </si>
  <si>
    <t>Yes</t>
  </si>
  <si>
    <t>Dwarf</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</si>
  <si>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</si>
  <si>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</si>
  <si>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</si>
  <si>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</si>
  <si>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</si>
  <si>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</si>
  <si>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</si>
  <si>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</si>
  <si>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</si>
  <si>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</si>
  <si>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</si>
  <si>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</si>
  <si>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</si>
  <si>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</si>
  <si>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</si>
  <si>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</si>
  <si>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</si>
  <si>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</si>
  <si>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</si>
  <si>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</si>
  <si>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</si>
  <si>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</si>
  <si>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</si>
  <si>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</si>
  <si>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</si>
  <si>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</si>
  <si>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</si>
  <si>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</si>
  <si>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</si>
  <si>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</si>
  <si>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</si>
  <si>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</si>
  <si>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</si>
  <si>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</si>
  <si>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</si>
  <si>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</si>
  <si>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</si>
  <si>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</si>
  <si>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</si>
  <si>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</si>
  <si>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</si>
  <si>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</si>
  <si>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</si>
  <si>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</si>
  <si>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</si>
  <si>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</si>
  <si>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</si>
  <si>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</si>
  <si>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</si>
  <si>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</si>
  <si>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</si>
  <si>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</si>
  <si>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</si>
  <si>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</si>
  <si>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</si>
  <si>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</si>
  <si>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</si>
  <si>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</si>
  <si>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</si>
  <si>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</si>
  <si>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</si>
  <si>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</si>
  <si>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</si>
  <si>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</si>
  <si>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</si>
  <si>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</si>
  <si>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</si>
  <si>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</si>
  <si>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</si>
  <si>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</si>
  <si>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</si>
  <si>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</si>
  <si>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</si>
  <si>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</si>
  <si>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</si>
  <si>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</si>
  <si>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</si>
  <si>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</si>
  <si>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</si>
  <si>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</si>
  <si>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</si>
  <si>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</si>
  <si>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</si>
  <si>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</si>
  <si>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</si>
  <si>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</si>
  <si>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</si>
  <si>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</si>
  <si>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</si>
  <si>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</si>
  <si>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</si>
  <si>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</si>
  <si>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</si>
  <si>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Hobbit</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</si>
  <si>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</si>
  <si>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</si>
  <si>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</si>
  <si>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</si>
  <si>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</si>
  <si>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</si>
  <si>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</si>
  <si>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</si>
  <si>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</si>
  <si>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</si>
  <si>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</si>
  <si>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</si>
  <si>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</si>
  <si>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</si>
  <si>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</si>
  <si>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</si>
  <si>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</si>
  <si>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</si>
  <si>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</si>
  <si>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</si>
  <si>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</si>
  <si>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</si>
  <si>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</si>
  <si>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</si>
  <si>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</si>
  <si>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</si>
  <si>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</si>
  <si>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</si>
  <si>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</si>
  <si>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</si>
  <si>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</si>
  <si>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</si>
  <si>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</si>
  <si>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</si>
  <si>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</si>
  <si>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</si>
  <si>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</si>
  <si>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</si>
  <si>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</si>
  <si>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</si>
  <si>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</si>
  <si>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</si>
  <si>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</si>
  <si>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</si>
  <si>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</si>
  <si>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</si>
  <si>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</si>
  <si>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</si>
  <si>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</si>
  <si>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</si>
  <si>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</si>
  <si>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</si>
  <si>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</si>
  <si>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</si>
  <si>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</si>
  <si>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</si>
  <si>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</si>
  <si>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</si>
  <si>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</si>
  <si>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</si>
  <si>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</si>
  <si>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</si>
  <si>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</si>
  <si>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</si>
  <si>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</si>
  <si>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</si>
  <si>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</si>
  <si>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</si>
  <si>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</si>
  <si>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</si>
  <si>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</si>
  <si>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</si>
  <si>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</si>
  <si>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</si>
  <si>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</si>
  <si>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</si>
  <si>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</si>
  <si>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</si>
  <si>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</si>
  <si>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</si>
  <si>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</si>
  <si>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</si>
  <si>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</si>
  <si>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</si>
  <si>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</si>
  <si>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</si>
  <si>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</si>
  <si>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</si>
  <si>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</si>
  <si>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</si>
  <si>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</si>
  <si>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</si>
  <si>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</si>
  <si>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</si>
  <si>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</si>
  <si>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</si>
  <si>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</si>
  <si>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</si>
  <si>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</si>
  <si>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</si>
  <si>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</si>
  <si>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</si>
  <si>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</si>
  <si>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</si>
  <si>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</si>
  <si>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</si>
  <si>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</si>
  <si>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</si>
  <si>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</si>
  <si>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</si>
  <si>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</si>
  <si>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</si>
  <si>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</si>
  <si>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</si>
  <si>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</si>
  <si>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</si>
  <si>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</si>
  <si>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</si>
  <si>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</si>
  <si>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</si>
  <si>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</si>
  <si>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</si>
  <si>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</si>
  <si>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</si>
  <si>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</si>
  <si>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</si>
  <si>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</si>
  <si>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</si>
  <si>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</si>
  <si>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</si>
  <si>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</si>
  <si>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</si>
  <si>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</si>
  <si>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</si>
  <si>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</si>
  <si>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</si>
  <si>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</si>
  <si>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</si>
  <si>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</si>
  <si>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</si>
  <si>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</si>
  <si>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</si>
  <si>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</si>
  <si>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</si>
  <si>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</si>
  <si>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</si>
  <si>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</si>
  <si>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</si>
  <si>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</si>
  <si>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</si>
  <si>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</si>
  <si>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</si>
  <si>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</si>
  <si>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</si>
  <si>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</si>
  <si>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</si>
  <si>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</si>
  <si>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</si>
  <si>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</si>
  <si>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</si>
  <si>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</si>
  <si>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</si>
  <si>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</si>
  <si>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</si>
  <si>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</si>
  <si>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</si>
  <si>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</si>
  <si>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</si>
  <si>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</si>
  <si>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</si>
  <si>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</si>
  <si>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</si>
  <si>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</si>
  <si>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</si>
  <si>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</si>
  <si>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</si>
  <si>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</si>
  <si>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</si>
  <si>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</si>
  <si>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</si>
  <si>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</si>
  <si>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</si>
  <si>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</si>
  <si>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</si>
  <si>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</si>
  <si>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</si>
  <si>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</si>
  <si>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</si>
  <si>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</si>
  <si>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</si>
  <si>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</si>
  <si>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</si>
  <si>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</si>
  <si>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</si>
  <si>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</si>
  <si>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</si>
  <si>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</si>
  <si>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</si>
  <si>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</si>
  <si>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</si>
  <si>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</si>
  <si>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</si>
  <si>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</si>
  <si>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</si>
  <si>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</si>
  <si>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</si>
  <si>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</si>
  <si>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</si>
  <si>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</si>
  <si>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</si>
  <si>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</si>
  <si>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</si>
  <si>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</si>
  <si>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</si>
  <si>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</si>
  <si>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</si>
  <si>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</si>
  <si>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</si>
  <si>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</si>
  <si>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</si>
  <si>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</si>
  <si>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</si>
  <si>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</si>
  <si>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</si>
  <si>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</si>
  <si>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</si>
  <si>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</si>
  <si>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</si>
  <si>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</si>
  <si>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</si>
  <si>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</si>
  <si>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</si>
  <si>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</si>
  <si>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</si>
  <si>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</si>
  <si>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</si>
  <si>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</si>
  <si>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</si>
  <si>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</si>
  <si>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</si>
  <si>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</si>
  <si>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</si>
  <si>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</si>
  <si>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</si>
  <si>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</si>
  <si>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</si>
  <si>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</si>
  <si>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</si>
  <si>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</si>
  <si>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</si>
  <si>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</si>
  <si>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</si>
  <si>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</si>
  <si>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</si>
  <si>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</si>
  <si>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</si>
  <si>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</si>
  <si>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</si>
  <si>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</si>
  <si>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</si>
  <si>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</si>
  <si>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</si>
  <si>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</si>
  <si>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</si>
  <si>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</si>
  <si>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</si>
  <si>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</si>
  <si>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</si>
  <si>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</si>
  <si>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</si>
  <si>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</si>
  <si>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</si>
  <si>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</si>
  <si>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</si>
  <si>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</si>
  <si>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</si>
  <si>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</si>
  <si>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</si>
  <si>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</si>
  <si>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</si>
  <si>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</si>
  <si>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</si>
  <si>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</si>
  <si>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</si>
  <si>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</si>
  <si>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</si>
  <si>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</si>
  <si>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</si>
  <si>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</si>
  <si>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</si>
  <si>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</si>
  <si>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</si>
  <si>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</si>
  <si>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</si>
  <si>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</si>
  <si>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</si>
  <si>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</si>
  <si>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</si>
  <si>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</si>
  <si>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</si>
  <si>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</si>
  <si>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</si>
  <si>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</si>
  <si>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</si>
  <si>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</si>
  <si>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</si>
  <si>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</si>
  <si>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</si>
  <si>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</si>
  <si>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</si>
  <si>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</si>
  <si>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</si>
  <si>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</si>
  <si>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</si>
  <si>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</si>
  <si>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</si>
  <si>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</si>
  <si>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</si>
  <si>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</si>
  <si>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</si>
  <si>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</si>
  <si>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</si>
  <si>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</si>
  <si>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</si>
  <si>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</si>
  <si>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</si>
  <si>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</si>
  <si>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</si>
  <si>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</si>
  <si>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</si>
  <si>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</si>
  <si>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</si>
  <si>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</si>
  <si>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</si>
  <si>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</si>
  <si>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</si>
  <si>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</si>
  <si>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</si>
  <si>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</si>
  <si>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</si>
  <si>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</si>
  <si>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</si>
  <si>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</si>
  <si>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</si>
  <si>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</si>
  <si>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</si>
  <si>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</si>
  <si>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</si>
  <si>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</si>
  <si>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</si>
  <si>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</si>
  <si>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</si>
  <si>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</si>
  <si>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</si>
  <si>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</si>
  <si>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</si>
  <si>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</si>
  <si>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</si>
  <si>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</si>
  <si>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</si>
  <si>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</si>
  <si>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</si>
  <si>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</si>
  <si>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</si>
  <si>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</si>
  <si>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</si>
  <si>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</si>
  <si>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</si>
  <si>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</si>
  <si>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</si>
  <si>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</si>
  <si>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</si>
  <si>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</si>
  <si>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</si>
  <si>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</si>
  <si>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</si>
  <si>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</si>
  <si>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</si>
  <si>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</si>
  <si>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</si>
  <si>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</si>
  <si>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</si>
  <si>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</si>
  <si>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</si>
  <si>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</si>
  <si>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</si>
  <si>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</si>
  <si>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</si>
  <si>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</si>
  <si>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</si>
  <si>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</si>
  <si>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</si>
  <si>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</si>
  <si>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</si>
  <si>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</si>
  <si>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</si>
  <si>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</si>
  <si>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</si>
  <si>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</si>
  <si>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</si>
  <si>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</si>
  <si>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</si>
  <si>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</si>
  <si>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</si>
  <si>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</si>
  <si>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</si>
  <si>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</si>
  <si>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</si>
  <si>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</si>
  <si>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</si>
  <si>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</si>
  <si>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</si>
  <si>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</si>
  <si>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</si>
  <si>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</si>
  <si>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</si>
  <si>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</si>
  <si>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</si>
  <si>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</si>
  <si>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</si>
  <si>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</si>
  <si>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</si>
  <si>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</si>
  <si>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</si>
  <si>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</si>
  <si>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</si>
  <si>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</si>
  <si>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</si>
  <si>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</si>
  <si>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</si>
  <si>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</si>
  <si>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</si>
  <si>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</si>
  <si>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</si>
  <si>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</si>
  <si>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</si>
  <si>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</si>
  <si>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</si>
  <si>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</si>
  <si>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</si>
  <si>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</si>
  <si>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</si>
  <si>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</si>
  <si>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</si>
  <si>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</si>
  <si>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</si>
  <si>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</si>
  <si>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</si>
  <si>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</si>
  <si>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</si>
  <si>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</si>
  <si>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</si>
  <si>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</si>
  <si>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</si>
  <si>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</si>
  <si>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</si>
  <si>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</si>
  <si>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</si>
  <si>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</si>
  <si>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</si>
  <si>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</si>
  <si>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</si>
  <si>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</si>
  <si>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</si>
  <si>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</si>
  <si>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</si>
  <si>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</si>
  <si>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</si>
  <si>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</si>
  <si>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</si>
  <si>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</si>
  <si>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</si>
  <si>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</si>
  <si>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</si>
  <si>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</si>
  <si>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</si>
  <si>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</si>
  <si>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</si>
  <si>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</si>
  <si>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</si>
  <si>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</si>
  <si>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</si>
  <si>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</si>
  <si>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</si>
  <si>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</si>
  <si>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</si>
  <si>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</si>
  <si>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</si>
  <si>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</si>
  <si>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</si>
  <si>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</si>
  <si>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</si>
  <si>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</si>
  <si>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</si>
  <si>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</si>
  <si>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</si>
  <si>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</si>
  <si>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</si>
  <si>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</si>
  <si>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</si>
  <si>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</si>
  <si>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</si>
  <si>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</si>
  <si>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</si>
  <si>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</si>
  <si>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</si>
  <si>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</si>
  <si>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</si>
  <si>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</si>
  <si>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</si>
  <si>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</si>
  <si>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</si>
  <si>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</si>
  <si>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</si>
  <si>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</si>
  <si>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</si>
  <si>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</si>
  <si>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</si>
  <si>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</si>
  <si>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</si>
  <si>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</si>
  <si>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</si>
  <si>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</si>
  <si>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</si>
  <si>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</si>
  <si>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</si>
  <si>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</si>
  <si>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</si>
  <si>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</si>
  <si>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</si>
  <si>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</si>
  <si>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</si>
  <si>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</si>
  <si>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</si>
  <si>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</si>
  <si>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</si>
  <si>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</si>
  <si>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</si>
  <si>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</si>
  <si>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</si>
  <si>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</si>
  <si>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</si>
  <si>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</si>
  <si>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</si>
  <si>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</si>
  <si>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</si>
  <si>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</si>
  <si>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</si>
  <si>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</si>
  <si>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</si>
  <si>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</si>
  <si>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</si>
  <si>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</si>
  <si>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</si>
  <si>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</si>
  <si>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</si>
  <si>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</si>
  <si>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</si>
  <si>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</si>
  <si>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</si>
  <si>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</si>
  <si>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</si>
  <si>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</si>
  <si>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</si>
  <si>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</si>
  <si>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</si>
  <si>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</si>
  <si>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</si>
  <si>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</si>
  <si>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</si>
  <si>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</si>
  <si>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</si>
  <si>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</si>
  <si>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</si>
  <si>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</si>
  <si>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</si>
  <si>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</si>
  <si>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</si>
  <si>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</si>
  <si>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</si>
  <si>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</si>
  <si>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</si>
  <si>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</si>
  <si>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</si>
  <si>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</si>
  <si>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</si>
  <si>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</si>
  <si>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</si>
  <si>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</si>
  <si>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</si>
  <si>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</si>
  <si>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</si>
  <si>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</si>
  <si>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</si>
  <si>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</si>
  <si>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</si>
  <si>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</si>
  <si>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</si>
  <si>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</si>
  <si>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</si>
  <si>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</si>
  <si>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</si>
  <si>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</si>
  <si>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</si>
  <si>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</si>
  <si>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</si>
  <si>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</si>
  <si>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</si>
  <si>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</si>
  <si>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</si>
  <si>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</si>
  <si>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</si>
  <si>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</si>
  <si>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</si>
  <si>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</si>
  <si>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</si>
  <si>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</si>
  <si>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</si>
  <si>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</si>
  <si>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</si>
  <si>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</si>
  <si>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</si>
  <si>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</si>
  <si>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</si>
  <si>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</si>
  <si>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</si>
  <si>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</si>
  <si>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</si>
  <si>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</si>
  <si>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</si>
  <si>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</si>
  <si>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</si>
  <si>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</si>
  <si>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</si>
  <si>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</si>
  <si>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</si>
  <si>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</si>
  <si>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</si>
  <si>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</si>
  <si>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</si>
  <si>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</si>
  <si>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</si>
  <si>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</si>
  <si>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</si>
  <si>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</si>
  <si>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</si>
  <si>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</si>
  <si>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</si>
  <si>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</si>
  <si>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</si>
  <si>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</si>
  <si>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</si>
  <si>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</si>
  <si>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</si>
  <si>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</si>
  <si>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</si>
  <si>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</si>
  <si>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</si>
  <si>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</si>
  <si>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</si>
  <si>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</si>
  <si>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</si>
  <si>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</si>
  <si>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</si>
  <si>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</si>
  <si>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</si>
  <si>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</si>
  <si>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</si>
  <si>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</si>
  <si>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</si>
  <si>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</si>
  <si>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</si>
  <si>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</si>
  <si>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</si>
  <si>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</si>
  <si>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</si>
  <si>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</si>
  <si>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</si>
  <si>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</si>
  <si>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</si>
  <si>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</si>
  <si>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</si>
  <si>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</si>
  <si>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</si>
  <si>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</si>
  <si>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</si>
  <si>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</si>
  <si>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</si>
  <si>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</si>
  <si>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</si>
  <si>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</si>
  <si>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</si>
  <si>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</si>
  <si>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</si>
  <si>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</si>
  <si>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</si>
  <si>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</si>
  <si>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</si>
  <si>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</si>
  <si>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</si>
  <si>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</si>
  <si>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</si>
  <si>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</si>
  <si>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</si>
  <si>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</si>
  <si>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</si>
  <si>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</si>
  <si>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</si>
  <si>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</si>
  <si>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</si>
  <si>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</si>
  <si>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</si>
  <si>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</si>
  <si>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</si>
  <si>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</si>
  <si>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</si>
  <si>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</si>
  <si>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</si>
  <si>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</si>
  <si>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</si>
  <si>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</si>
  <si>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</si>
  <si>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</si>
  <si>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</si>
  <si>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</si>
  <si>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</si>
  <si>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</si>
  <si>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</si>
  <si>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</si>
  <si>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</si>
  <si>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</si>
  <si>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</si>
  <si>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</si>
  <si>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</si>
  <si>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</si>
  <si>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</si>
  <si>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</si>
  <si>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</si>
  <si>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</si>
  <si>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</si>
  <si>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</si>
  <si>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</si>
  <si>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</si>
  <si>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</si>
  <si>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</si>
  <si>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</si>
  <si>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</si>
  <si>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</si>
  <si>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</si>
  <si>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</si>
  <si>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</si>
  <si>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</si>
  <si>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</si>
  <si>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</si>
  <si>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</si>
  <si>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</si>
  <si>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</si>
  <si>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</si>
  <si>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</si>
  <si>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</si>
  <si>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</si>
  <si>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</si>
  <si>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</si>
  <si>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</si>
  <si>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</si>
  <si>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</si>
  <si>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</si>
  <si>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</si>
  <si>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</si>
  <si>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</si>
  <si>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</si>
  <si>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</si>
  <si>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</si>
  <si>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</si>
  <si>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</si>
  <si>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</si>
  <si>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</si>
  <si>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</si>
  <si>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</si>
  <si>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</si>
  <si>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</si>
  <si>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</si>
  <si>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</si>
  <si>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</si>
  <si>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</si>
  <si>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</si>
  <si>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</si>
  <si>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</si>
  <si>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</si>
  <si>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</si>
  <si>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</si>
  <si>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</si>
  <si>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</si>
  <si>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</si>
  <si>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</si>
  <si>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</si>
  <si>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</si>
  <si>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</si>
  <si>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</si>
  <si>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</si>
  <si>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</si>
  <si>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</si>
  <si>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</si>
  <si>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</si>
  <si>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</si>
  <si>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</si>
  <si>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</si>
  <si>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</si>
  <si>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</si>
  <si>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</si>
  <si>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</si>
  <si>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</si>
  <si>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</si>
  <si>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</si>
  <si>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</si>
  <si>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</si>
  <si>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</si>
  <si>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</si>
  <si>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</si>
  <si>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</si>
  <si>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</si>
  <si>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</si>
  <si>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</si>
  <si>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</si>
  <si>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</si>
  <si>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</si>
  <si>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</si>
  <si>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</si>
  <si>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</si>
  <si>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</si>
  <si>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</si>
  <si>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</si>
  <si>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</si>
  <si>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</si>
  <si>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</si>
  <si>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</si>
  <si>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</si>
  <si>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</si>
  <si>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</si>
  <si>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</si>
  <si>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</si>
  <si>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</si>
  <si>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</si>
  <si>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</si>
  <si>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</si>
  <si>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</si>
  <si>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</si>
  <si>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</si>
  <si>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</si>
  <si>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</si>
  <si>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</si>
  <si>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</si>
  <si>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</si>
  <si>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</si>
  <si>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</si>
  <si>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</si>
  <si>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</si>
  <si>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</si>
  <si>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</si>
  <si>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</si>
  <si>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</si>
  <si>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</si>
  <si>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</si>
  <si>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</si>
  <si>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</si>
  <si>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</si>
  <si>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</si>
  <si>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</si>
  <si>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</si>
  <si>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</si>
  <si>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</si>
  <si>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</si>
  <si>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</si>
  <si>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</si>
  <si>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</si>
  <si>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</si>
  <si>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</si>
  <si>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</si>
  <si>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</si>
  <si>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</si>
  <si>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</si>
  <si>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</si>
  <si>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</si>
  <si>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</si>
  <si>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</si>
  <si>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</si>
  <si>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</si>
  <si>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</si>
  <si>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</si>
  <si>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</si>
  <si>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</si>
  <si>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</si>
  <si>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</si>
  <si>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</si>
  <si>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</si>
  <si>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</si>
  <si>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</si>
  <si>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</si>
  <si>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</si>
  <si>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</si>
  <si>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</si>
  <si>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</si>
  <si>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</si>
  <si>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</si>
  <si>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</si>
  <si>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</si>
  <si>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</si>
  <si>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</si>
  <si>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</si>
  <si>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</si>
  <si>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</si>
  <si>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</si>
  <si>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</si>
  <si>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</si>
  <si>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</si>
  <si>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</si>
  <si>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</si>
  <si>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</si>
  <si>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</si>
  <si>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</si>
  <si>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</si>
  <si>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</si>
  <si>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</si>
  <si>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</si>
  <si>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</si>
  <si>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</si>
  <si>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</si>
  <si>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</si>
  <si>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</si>
  <si>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</si>
  <si>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</si>
  <si>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</si>
  <si>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</si>
  <si>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</si>
  <si>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</si>
  <si>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</si>
  <si>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</si>
  <si>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</si>
  <si>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</si>
  <si>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</si>
  <si>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</si>
  <si>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</si>
  <si>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</si>
  <si>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</si>
  <si>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</si>
  <si>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</si>
  <si>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</si>
  <si>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</si>
  <si>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</si>
  <si>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</si>
  <si>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</si>
  <si>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</si>
  <si>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</si>
  <si>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</si>
  <si>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</si>
  <si>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</si>
  <si>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</si>
  <si>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</si>
  <si>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</si>
  <si>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</si>
  <si>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</si>
  <si>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</si>
  <si>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</si>
  <si>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</si>
  <si>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</si>
  <si>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</si>
  <si>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</si>
  <si>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</si>
  <si>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</si>
  <si>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</si>
  <si>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</si>
  <si>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</si>
  <si>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</si>
  <si>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</si>
  <si>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</si>
  <si>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</si>
  <si>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</si>
  <si>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</si>
  <si>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</si>
  <si>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</si>
  <si>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</si>
  <si>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</si>
  <si>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</si>
  <si>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</si>
  <si>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</si>
  <si>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</si>
  <si>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</si>
  <si>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</si>
  <si>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</si>
  <si>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</si>
  <si>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</si>
  <si>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</si>
  <si>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</si>
  <si>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</si>
  <si>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</si>
  <si>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</si>
  <si>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</si>
  <si>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</si>
  <si>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</si>
  <si>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</si>
  <si>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</si>
  <si>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</si>
  <si>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</si>
  <si>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</si>
  <si>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</si>
  <si>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</si>
  <si>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</si>
  <si>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</si>
  <si>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</si>
  <si>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</si>
  <si>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</si>
  <si>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</si>
  <si>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</si>
  <si>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</si>
  <si>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</si>
  <si>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</si>
  <si>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</si>
  <si>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</si>
  <si>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</si>
  <si>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</si>
  <si>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</si>
  <si>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</si>
  <si>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</si>
  <si>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</si>
  <si>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</si>
  <si>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</si>
  <si>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</si>
  <si>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</si>
  <si>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</si>
  <si>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</si>
  <si>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</si>
  <si>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</si>
  <si>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</si>
  <si>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</si>
  <si>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</si>
  <si>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</si>
  <si>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</si>
  <si>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</si>
  <si>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</si>
  <si>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</si>
  <si>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</si>
  <si>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</si>
  <si>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</si>
  <si>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</si>
  <si>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</si>
  <si>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</si>
  <si>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</si>
  <si>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</si>
  <si>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</si>
  <si>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</si>
  <si>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</si>
  <si>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</si>
  <si>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</si>
  <si>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</si>
  <si>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</si>
  <si>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</si>
  <si>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</si>
  <si>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</si>
  <si>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</si>
  <si>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</si>
  <si>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</si>
  <si>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</si>
  <si>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</si>
  <si>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</si>
  <si>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</si>
  <si>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</si>
  <si>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</si>
  <si>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</si>
  <si>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</si>
  <si>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</si>
  <si>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</si>
  <si>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</si>
  <si>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</si>
  <si>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</si>
  <si>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</si>
  <si>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</si>
  <si>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</si>
  <si>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</si>
  <si>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</si>
  <si>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</si>
  <si>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</si>
  <si>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</si>
  <si>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</si>
  <si>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</si>
  <si>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</si>
  <si>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</si>
  <si>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</si>
  <si>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</si>
  <si>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</si>
  <si>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</si>
  <si>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</si>
  <si>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</si>
  <si>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</si>
  <si>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</si>
  <si>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</si>
  <si>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</si>
  <si>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</si>
  <si>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</si>
  <si>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</si>
  <si>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</si>
  <si>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</si>
  <si>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</si>
  <si>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</si>
  <si>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</si>
  <si>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</si>
  <si>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</si>
  <si>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</si>
  <si>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</si>
  <si>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</si>
  <si>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</si>
  <si>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</si>
  <si>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</si>
  <si>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</si>
  <si>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</si>
  <si>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</si>
  <si>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</si>
  <si>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</si>
  <si>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</si>
  <si>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</si>
  <si>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</si>
  <si>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</si>
  <si>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</si>
  <si>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</si>
  <si>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</si>
  <si>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</si>
  <si>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</si>
  <si>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</si>
  <si>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</si>
  <si>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</si>
  <si>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</si>
  <si>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</si>
  <si>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</si>
  <si>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</si>
  <si>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</si>
  <si>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</si>
  <si>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</si>
  <si>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</si>
  <si>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</si>
  <si>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</si>
  <si>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</si>
  <si>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</si>
  <si>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</si>
  <si>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</si>
  <si>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</si>
  <si>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</si>
  <si>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</si>
  <si>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</si>
  <si>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</si>
  <si>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</si>
  <si>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</si>
  <si>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</si>
  <si>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</si>
  <si>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</si>
  <si>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</si>
  <si>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</si>
  <si>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</si>
  <si>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</si>
  <si>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</si>
  <si>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</si>
  <si>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</si>
  <si>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</si>
  <si>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</si>
  <si>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</si>
  <si>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</si>
  <si>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</si>
  <si>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</si>
  <si>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</si>
  <si>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</si>
  <si>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</si>
  <si>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</si>
  <si>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</si>
  <si>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</si>
  <si>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</si>
  <si>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</si>
  <si>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</si>
  <si>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</si>
  <si>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</si>
  <si>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</si>
  <si>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</si>
  <si>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</si>
  <si>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</si>
  <si>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</si>
  <si>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</si>
  <si>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</si>
  <si>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</si>
  <si>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</si>
  <si>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</si>
  <si>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</si>
  <si>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</si>
  <si>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</si>
  <si>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</si>
  <si>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</si>
  <si>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</si>
  <si>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</si>
  <si>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</si>
  <si>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</si>
  <si>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</si>
  <si>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</si>
  <si>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</si>
  <si>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</si>
  <si>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</si>
  <si>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</si>
  <si>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</si>
  <si>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</si>
  <si>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</si>
  <si>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</si>
  <si>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</si>
  <si>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</si>
  <si>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</si>
  <si>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</si>
  <si>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</si>
  <si>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</si>
  <si>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</si>
  <si>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</si>
  <si>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</si>
  <si>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</si>
  <si>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</si>
  <si>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</si>
  <si>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</si>
  <si>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</si>
  <si>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</si>
  <si>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</si>
  <si>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</si>
  <si>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</si>
  <si>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</si>
  <si>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</si>
  <si>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</si>
  <si>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</si>
  <si>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</si>
  <si>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</si>
  <si>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</si>
  <si>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</si>
  <si>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</si>
  <si>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</si>
  <si>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</si>
  <si>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</si>
  <si>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</si>
  <si>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</si>
  <si>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</si>
  <si>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</si>
  <si>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</si>
  <si>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</si>
  <si>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</si>
  <si>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</si>
  <si>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</si>
  <si>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</si>
  <si>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</si>
  <si>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</si>
  <si>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</si>
  <si>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</si>
  <si>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</si>
  <si>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</si>
  <si>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</si>
  <si>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</si>
  <si>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</si>
  <si>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</si>
  <si>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</si>
  <si>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</si>
  <si>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</si>
  <si>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</si>
  <si>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</si>
  <si>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</si>
  <si>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</si>
  <si>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</si>
  <si>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</si>
  <si>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</si>
  <si>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</si>
  <si>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</si>
  <si>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</si>
  <si>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</si>
  <si>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</si>
  <si>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</si>
  <si>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</si>
  <si>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</si>
  <si>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</si>
  <si>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</si>
  <si>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</si>
  <si>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</si>
  <si>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</si>
  <si>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</si>
  <si>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</si>
  <si>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</si>
  <si>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</si>
  <si>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</si>
  <si>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</si>
  <si>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</si>
  <si>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</si>
  <si>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</si>
  <si>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</si>
  <si>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</si>
  <si>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</si>
  <si>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</si>
  <si>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</si>
  <si>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</si>
  <si>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</si>
  <si>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</si>
  <si>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</si>
  <si>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</si>
  <si>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</si>
  <si>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</si>
  <si>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</si>
  <si>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</si>
  <si>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</si>
  <si>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</si>
  <si>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</si>
  <si>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</si>
  <si>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</si>
  <si>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</si>
  <si>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</si>
  <si>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</si>
  <si>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</si>
  <si>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</si>
  <si>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</si>
  <si>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</si>
  <si>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</si>
  <si>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</si>
  <si>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</si>
  <si>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</si>
  <si>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</si>
  <si>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</si>
  <si>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</si>
  <si>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</si>
  <si>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</si>
  <si>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</si>
  <si>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</si>
  <si>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</si>
  <si>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</si>
  <si>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</si>
  <si>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</si>
  <si>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</si>
  <si>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</si>
  <si>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</si>
  <si>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</si>
  <si>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</si>
  <si>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</si>
  <si>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</si>
  <si>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</si>
  <si>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</si>
  <si>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</si>
  <si>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</si>
  <si>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</si>
  <si>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</si>
  <si>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</si>
  <si>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</si>
  <si>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</si>
  <si>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</si>
  <si>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</si>
  <si>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</si>
  <si>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</si>
  <si>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</si>
  <si>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</si>
  <si>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</si>
  <si>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</si>
  <si>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</si>
  <si>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</si>
  <si>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</si>
  <si>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</si>
  <si>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</si>
  <si>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</si>
  <si>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</si>
  <si>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</si>
  <si>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</si>
  <si>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</si>
  <si>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</si>
  <si>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</si>
  <si>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</si>
  <si>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</si>
  <si>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</si>
  <si>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</si>
  <si>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</si>
  <si>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</si>
  <si>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</si>
  <si>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</si>
  <si>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</si>
  <si>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</si>
  <si>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</si>
  <si>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</si>
  <si>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</si>
  <si>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</si>
  <si>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</si>
  <si>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</si>
  <si>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</si>
  <si>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</si>
  <si>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</si>
  <si>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</si>
  <si>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</si>
  <si>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</si>
  <si>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</si>
  <si>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</si>
  <si>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</si>
  <si>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</si>
  <si>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</si>
  <si>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</si>
  <si>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</si>
  <si>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</si>
  <si>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</si>
  <si>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</si>
  <si>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</si>
  <si>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</si>
  <si>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</si>
  <si>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</si>
  <si>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</si>
  <si>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</si>
  <si>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</si>
  <si>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</si>
  <si>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</si>
  <si>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</si>
  <si>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</si>
  <si>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</si>
  <si>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</si>
  <si>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</si>
  <si>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</si>
  <si>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</si>
  <si>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</si>
  <si>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</si>
  <si>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</si>
  <si>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</si>
  <si>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</si>
  <si>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</si>
  <si>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</si>
  <si>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</si>
  <si>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</si>
  <si>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</si>
  <si>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</si>
  <si>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</si>
  <si>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</si>
  <si>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</si>
  <si>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</si>
  <si>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</si>
  <si>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</si>
  <si>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</si>
  <si>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</si>
  <si>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</si>
  <si>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</si>
  <si>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</si>
  <si>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</si>
  <si>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</si>
  <si>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</si>
  <si>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</si>
  <si>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</si>
  <si>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</si>
  <si>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</si>
  <si>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</si>
  <si>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</si>
  <si>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</si>
  <si>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</si>
  <si>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</si>
  <si>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</si>
  <si>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</si>
  <si>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</si>
  <si>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</si>
  <si>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</si>
  <si>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</si>
  <si>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</si>
  <si>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</si>
  <si>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</si>
  <si>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</si>
  <si>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</si>
  <si>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</si>
  <si>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</si>
  <si>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</si>
  <si>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</si>
  <si>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</si>
  <si>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</si>
  <si>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</si>
  <si>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</si>
  <si>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</si>
  <si>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</si>
  <si>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</si>
  <si>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</si>
  <si>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</si>
  <si>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</si>
  <si>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</si>
  <si>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</si>
  <si>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</si>
  <si>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</si>
  <si>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</si>
  <si>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</si>
  <si>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</si>
  <si>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</si>
  <si>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</si>
  <si>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</si>
  <si>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</si>
  <si>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</si>
  <si>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</si>
  <si>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</si>
  <si>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</si>
  <si>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</si>
  <si>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</si>
  <si>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</si>
  <si>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</si>
  <si>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</si>
  <si>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</si>
  <si>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</si>
  <si>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</si>
  <si>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</si>
  <si>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</si>
  <si>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</si>
  <si>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</si>
  <si>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</si>
  <si>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</si>
  <si>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</si>
  <si>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</si>
  <si>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</si>
  <si>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</si>
  <si>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</si>
  <si>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</si>
  <si>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</si>
  <si>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</si>
  <si>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</si>
  <si>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</si>
  <si>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</si>
  <si>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</si>
  <si>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</si>
  <si>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</si>
  <si>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</si>
  <si>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</si>
  <si>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</si>
  <si>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</si>
  <si>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</si>
  <si>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</si>
  <si>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</si>
  <si>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</si>
  <si>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</si>
  <si>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</si>
  <si>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</si>
  <si>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</si>
  <si>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</si>
  <si>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</si>
  <si>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</si>
  <si>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</si>
  <si>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</si>
  <si>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</si>
  <si>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</si>
  <si>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</si>
  <si>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</si>
  <si>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</si>
  <si>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</si>
  <si>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</si>
  <si>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</si>
  <si>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</si>
  <si>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</si>
  <si>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</si>
  <si>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</si>
  <si>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</si>
  <si>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</si>
  <si>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</si>
  <si>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</si>
  <si>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</si>
  <si>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</si>
  <si>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</si>
  <si>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</si>
  <si>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</si>
  <si>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</si>
  <si>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</si>
  <si>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</si>
  <si>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</si>
  <si>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</si>
  <si>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</si>
  <si>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</si>
  <si>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</si>
  <si>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</si>
  <si>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</si>
  <si>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</si>
  <si>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</si>
  <si>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</si>
  <si>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</si>
  <si>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</si>
  <si>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</si>
  <si>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</si>
  <si>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</si>
  <si>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</si>
  <si>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</si>
  <si>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</si>
  <si>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</si>
  <si>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</si>
  <si>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</si>
  <si>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</si>
  <si>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</si>
  <si>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</si>
  <si>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</si>
  <si>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</si>
  <si>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</si>
  <si>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</si>
  <si>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</si>
  <si>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</si>
  <si>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</si>
  <si>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</si>
  <si>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</si>
  <si>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</si>
  <si>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</si>
  <si>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</si>
  <si>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</si>
  <si>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</si>
  <si>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</si>
  <si>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</si>
  <si>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</si>
  <si>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</si>
  <si>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</si>
  <si>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</si>
  <si>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</si>
  <si>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</si>
  <si>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</si>
  <si>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</si>
  <si>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</si>
  <si>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</si>
  <si>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</si>
  <si>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</si>
  <si>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</si>
  <si>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</si>
  <si>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</si>
  <si>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</si>
  <si>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</si>
  <si>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</si>
  <si>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</si>
  <si>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</si>
  <si>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</si>
  <si>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</si>
  <si>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</si>
  <si>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</si>
  <si>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</si>
  <si>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</si>
  <si>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</si>
  <si>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</si>
  <si>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</si>
  <si>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</si>
  <si>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</si>
  <si>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</si>
  <si>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</si>
  <si>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</si>
  <si>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</si>
  <si>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</si>
  <si>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</si>
  <si>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</si>
  <si>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</si>
  <si>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</si>
  <si>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</si>
  <si>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</si>
  <si>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</si>
  <si>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</si>
  <si>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</si>
  <si>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</si>
  <si>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</si>
  <si>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</si>
  <si>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</si>
  <si>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</si>
  <si>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</si>
  <si>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</si>
  <si>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</si>
  <si>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</si>
  <si>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</si>
  <si>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</si>
  <si>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</si>
  <si>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</si>
  <si>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</si>
  <si>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</si>
  <si>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</si>
  <si>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</si>
  <si>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</si>
  <si>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</si>
  <si>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</si>
  <si>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</si>
  <si>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</si>
  <si>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</si>
  <si>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</si>
  <si>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</si>
  <si>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</si>
  <si>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</si>
  <si>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</si>
  <si>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</si>
  <si>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</si>
  <si>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</si>
  <si>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</si>
  <si>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</si>
  <si>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</si>
  <si>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</si>
  <si>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</si>
  <si>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</si>
  <si>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</si>
  <si>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</si>
  <si>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</si>
  <si>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</si>
  <si>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</si>
  <si>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</si>
  <si>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</si>
  <si>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</si>
  <si>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</si>
  <si>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</si>
  <si>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</si>
  <si>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</si>
  <si>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</si>
  <si>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</si>
  <si>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</si>
  <si>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</si>
  <si>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</si>
  <si>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</si>
  <si>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</si>
  <si>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</si>
  <si>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</si>
  <si>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</si>
  <si>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</si>
  <si>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</si>
  <si>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</si>
  <si>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</si>
  <si>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</si>
  <si>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</si>
  <si>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</si>
  <si>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</si>
  <si>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</si>
  <si>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</si>
  <si>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</si>
  <si>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</si>
  <si>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</si>
  <si>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</si>
  <si>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</si>
  <si>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</si>
  <si>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</si>
  <si>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</si>
  <si>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</si>
  <si>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</si>
  <si>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</si>
  <si>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</si>
  <si>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</si>
  <si>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</si>
  <si>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</si>
  <si>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</si>
  <si>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</si>
  <si>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</si>
  <si>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</si>
  <si>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</si>
  <si>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</si>
  <si>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</si>
  <si>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</si>
  <si>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</si>
  <si>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</si>
  <si>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</si>
  <si>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</si>
  <si>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</si>
  <si>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</si>
  <si>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</si>
  <si>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</si>
  <si>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</si>
  <si>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</si>
  <si>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</si>
  <si>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</si>
  <si>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</si>
  <si>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</si>
  <si>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</si>
  <si>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</si>
  <si>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</si>
  <si>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</si>
  <si>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</si>
  <si>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</si>
  <si>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</si>
  <si>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</si>
  <si>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</si>
  <si>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</si>
  <si>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</si>
  <si>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</si>
  <si>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</si>
  <si>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</si>
  <si>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</si>
  <si>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</si>
  <si>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</si>
  <si>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</si>
  <si>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</si>
  <si>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</si>
  <si>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</si>
  <si>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</si>
  <si>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</si>
  <si>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</si>
  <si>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</si>
  <si>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</si>
  <si>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</si>
  <si>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</si>
  <si>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</si>
  <si>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</si>
  <si>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</si>
  <si>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</si>
  <si>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</si>
  <si>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</si>
  <si>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</si>
  <si>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</si>
  <si>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</si>
  <si>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</si>
  <si>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</si>
  <si>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</si>
  <si>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</si>
  <si>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</si>
  <si>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</si>
  <si>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</si>
  <si>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</si>
  <si>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</si>
  <si>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</si>
  <si>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</si>
  <si>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</si>
  <si>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</si>
  <si>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</si>
  <si>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</si>
  <si>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</si>
  <si>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</si>
  <si>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</si>
  <si>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</si>
  <si>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</si>
  <si>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</si>
  <si>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</si>
  <si>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</si>
  <si>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</si>
  <si>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</si>
  <si>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</si>
  <si>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</si>
  <si>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</si>
  <si>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</si>
  <si>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</si>
  <si>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</si>
  <si>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</si>
  <si>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</si>
  <si>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</si>
  <si>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</si>
  <si>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</si>
  <si>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</si>
  <si>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</si>
  <si>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</si>
  <si>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</si>
  <si>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</si>
  <si>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</si>
  <si>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</si>
  <si>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</si>
  <si>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</si>
  <si>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</si>
  <si>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</si>
  <si>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</si>
  <si>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</si>
  <si>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</si>
  <si>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</si>
  <si>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</si>
  <si>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</si>
  <si>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</si>
  <si>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</si>
  <si>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</si>
  <si>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</si>
  <si>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</si>
  <si>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</si>
  <si>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</si>
  <si>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</si>
  <si>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</si>
  <si>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</si>
  <si>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</si>
  <si>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</si>
  <si>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</si>
  <si>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</si>
  <si>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</si>
  <si>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</si>
  <si>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</si>
  <si>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</si>
  <si>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</si>
  <si>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</si>
  <si>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</si>
  <si>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</si>
  <si>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</si>
  <si>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</si>
  <si>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</si>
  <si>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</si>
  <si>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</si>
  <si>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</si>
  <si>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</si>
  <si>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</si>
  <si>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</si>
  <si>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</si>
  <si>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</si>
  <si>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</si>
  <si>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</si>
  <si>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</si>
  <si>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</si>
  <si>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</si>
  <si>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</si>
  <si>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</si>
  <si>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</si>
  <si>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</si>
  <si>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</si>
  <si>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</si>
  <si>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</si>
  <si>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</si>
  <si>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</si>
  <si>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</si>
  <si>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</si>
  <si>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</si>
  <si>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</si>
  <si>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</si>
  <si>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</si>
  <si>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</si>
  <si>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</si>
  <si>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</si>
  <si>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</si>
  <si>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</si>
  <si>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</si>
  <si>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</si>
  <si>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</si>
  <si>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</si>
  <si>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</si>
  <si>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</si>
  <si>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</si>
  <si>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</si>
  <si>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</si>
  <si>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</si>
  <si>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</si>
  <si>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</si>
  <si>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</si>
  <si>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</si>
  <si>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</si>
  <si>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</si>
  <si>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</si>
  <si>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</si>
  <si>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</si>
  <si>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</si>
  <si>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</si>
  <si>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</si>
  <si>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</si>
  <si>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</si>
  <si>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</si>
  <si>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</si>
  <si>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</si>
  <si>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</si>
  <si>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</si>
  <si>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</si>
  <si>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</si>
  <si>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</si>
  <si>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</si>
  <si>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</si>
  <si>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</si>
  <si>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</si>
  <si>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</si>
  <si>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</si>
  <si>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</si>
  <si>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</si>
  <si>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</si>
  <si>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</si>
  <si>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</si>
  <si>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</si>
  <si>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</si>
  <si>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</si>
  <si>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</si>
  <si>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</si>
  <si>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</si>
  <si>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</si>
  <si>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</si>
  <si>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</si>
  <si>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</si>
  <si>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</si>
  <si>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</si>
  <si>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</si>
  <si>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</si>
  <si>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</si>
  <si>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</si>
  <si>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</si>
  <si>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</si>
  <si>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</si>
  <si>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</si>
  <si>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</si>
  <si>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</si>
  <si>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</si>
  <si>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</si>
  <si>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</si>
  <si>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</si>
  <si>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</si>
  <si>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</si>
  <si>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</si>
  <si>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</si>
  <si>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</si>
  <si>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</si>
  <si>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</si>
  <si>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</si>
  <si>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</si>
  <si>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</si>
  <si>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</si>
  <si>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</si>
  <si>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</si>
  <si>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</si>
  <si>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</si>
  <si>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</si>
  <si>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</si>
  <si>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</si>
  <si>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</si>
  <si>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</si>
  <si>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</si>
  <si>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</si>
  <si>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</si>
  <si>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</si>
  <si>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</si>
  <si>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</si>
  <si>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</si>
  <si>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</si>
  <si>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</si>
  <si>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</si>
  <si>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</si>
  <si>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</si>
  <si>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</si>
  <si>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</si>
  <si>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</si>
  <si>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</si>
  <si>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</si>
  <si>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</si>
  <si>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</si>
  <si>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</si>
  <si>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</si>
  <si>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</si>
  <si>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</si>
  <si>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</si>
  <si>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</si>
  <si>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</si>
  <si>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</si>
  <si>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</si>
  <si>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</si>
  <si>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</si>
  <si>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</si>
  <si>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</si>
  <si>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</si>
  <si>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</si>
  <si>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</si>
  <si>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</si>
  <si>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</si>
  <si>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</si>
  <si>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</si>
  <si>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</si>
  <si>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</si>
  <si>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</si>
  <si>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</si>
  <si>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</si>
  <si>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</si>
  <si>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</si>
  <si>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</si>
  <si>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</si>
  <si>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</si>
  <si>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</si>
  <si>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</si>
  <si>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</si>
  <si>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</si>
  <si>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</si>
  <si>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</si>
  <si>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</si>
  <si>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</si>
  <si>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</si>
  <si>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</si>
  <si>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</si>
  <si>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</si>
  <si>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</si>
  <si>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</si>
  <si>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</si>
  <si>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</si>
  <si>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</si>
  <si>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</si>
  <si>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</si>
  <si>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</si>
  <si>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</si>
  <si>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</si>
  <si>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</si>
  <si>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</si>
  <si>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</si>
  <si>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</si>
  <si>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</si>
  <si>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</si>
  <si>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</si>
  <si>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</si>
  <si>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</si>
  <si>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</si>
  <si>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</si>
  <si>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</si>
  <si>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</si>
  <si>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</si>
  <si>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</si>
  <si>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</si>
  <si>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</si>
  <si>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</si>
  <si>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</si>
  <si>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</si>
  <si>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</si>
  <si>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</si>
  <si>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</si>
  <si>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</si>
  <si>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</si>
  <si>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</si>
  <si>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</si>
  <si>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</si>
  <si>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</si>
  <si>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</si>
  <si>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</si>
  <si>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</si>
  <si>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</si>
  <si>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</si>
  <si>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</si>
  <si>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</si>
  <si>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</si>
  <si>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</si>
  <si>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</si>
  <si>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</si>
  <si>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</si>
  <si>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</si>
  <si>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</si>
  <si>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</si>
  <si>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</si>
  <si>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</si>
  <si>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</si>
  <si>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</si>
  <si>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</si>
  <si>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</si>
  <si>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</si>
  <si>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</si>
  <si>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</si>
  <si>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</si>
  <si>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</si>
  <si>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</si>
  <si>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</si>
  <si>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</si>
  <si>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</si>
  <si>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</si>
  <si>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</si>
  <si>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</si>
  <si>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</si>
  <si>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</si>
  <si>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</si>
  <si>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</si>
  <si>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</si>
  <si>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</si>
  <si>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</si>
  <si>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</si>
  <si>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</si>
  <si>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</si>
  <si>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</si>
  <si>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</si>
  <si>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</si>
  <si>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</si>
  <si>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</si>
  <si>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</si>
  <si>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</si>
  <si>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</si>
  <si>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</si>
  <si>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</si>
  <si>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</si>
  <si>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</si>
  <si>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</si>
  <si>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</si>
  <si>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</si>
  <si>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</si>
  <si>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</si>
  <si>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</si>
  <si>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</si>
  <si>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</si>
  <si>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</si>
  <si>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</si>
  <si>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</si>
  <si>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</si>
  <si>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</si>
  <si>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</si>
  <si>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</si>
  <si>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</si>
  <si>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</si>
  <si>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</si>
  <si>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</si>
  <si>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</si>
  <si>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</si>
  <si>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</si>
  <si>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</si>
  <si>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</si>
  <si>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</si>
  <si>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</si>
  <si>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</si>
  <si>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</si>
  <si>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</si>
  <si>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</si>
  <si>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</si>
  <si>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</si>
  <si>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</si>
  <si>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</si>
  <si>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</si>
  <si>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</si>
  <si>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</si>
  <si>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</si>
  <si>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</si>
  <si>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</si>
  <si>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</si>
  <si>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</si>
  <si>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</si>
  <si>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</si>
  <si>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</si>
  <si>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</si>
  <si>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</si>
  <si>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</si>
  <si>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</si>
  <si>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</si>
  <si>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</si>
  <si>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</si>
  <si>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</si>
  <si>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</si>
  <si>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</si>
  <si>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</si>
  <si>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</si>
  <si>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</si>
  <si>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</si>
  <si>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</si>
  <si>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</si>
  <si>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</si>
  <si>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</si>
  <si>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</si>
  <si>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</si>
  <si>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</si>
  <si>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</si>
  <si>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</si>
  <si>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</si>
  <si>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</si>
  <si>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</si>
  <si>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</si>
  <si>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</si>
  <si>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</si>
  <si>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</si>
  <si>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</si>
  <si>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</si>
  <si>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</si>
  <si>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</si>
  <si>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</si>
  <si>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</si>
  <si>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</si>
  <si>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</si>
  <si>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</si>
  <si>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</si>
  <si>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</si>
  <si>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</si>
  <si>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</si>
  <si>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</si>
  <si>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</si>
  <si>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</si>
  <si>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</si>
  <si>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</si>
  <si>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</si>
  <si>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</si>
  <si>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</si>
  <si>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</si>
  <si>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</si>
  <si>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</si>
  <si>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</si>
  <si>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</si>
  <si>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</si>
  <si>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</si>
  <si>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</si>
  <si>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</si>
  <si>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</si>
  <si>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</si>
  <si>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</si>
  <si>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</si>
  <si>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</si>
  <si>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</si>
  <si>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</si>
  <si>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</si>
  <si>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</si>
  <si>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</si>
  <si>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</si>
  <si>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</si>
  <si>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</si>
  <si>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</si>
  <si>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</si>
  <si>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</si>
  <si>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</si>
  <si>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</si>
  <si>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</si>
  <si>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</si>
  <si>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</si>
  <si>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</si>
  <si>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</si>
  <si>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</si>
  <si>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</si>
  <si>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</si>
  <si>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</si>
  <si>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</si>
  <si>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</si>
  <si>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</si>
  <si>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</si>
  <si>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</si>
  <si>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</si>
  <si>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</si>
  <si>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</si>
  <si>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</si>
  <si>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</si>
  <si>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</si>
  <si>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</si>
  <si>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</si>
  <si>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</si>
  <si>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</si>
  <si>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</si>
  <si>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</si>
  <si>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</si>
  <si>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</si>
  <si>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</si>
  <si>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</si>
  <si>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</si>
  <si>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</si>
  <si>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</si>
  <si>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</si>
  <si>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</si>
  <si>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</si>
  <si>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</si>
  <si>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</si>
  <si>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</si>
  <si>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</si>
  <si>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</si>
  <si>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</si>
  <si>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</si>
  <si>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</si>
  <si>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</si>
  <si>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</si>
  <si>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</si>
  <si>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</si>
  <si>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</si>
  <si>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</si>
  <si>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</si>
  <si>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</si>
  <si>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</si>
  <si>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</si>
  <si>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</si>
  <si>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</si>
  <si>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</si>
  <si>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</si>
  <si>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</si>
  <si>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</si>
  <si>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</si>
  <si>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</si>
  <si>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</si>
  <si>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</si>
  <si>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</si>
  <si>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</si>
  <si>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</si>
  <si>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</si>
  <si>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</si>
  <si>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</si>
  <si>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</si>
  <si>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</si>
  <si>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</si>
  <si>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</si>
  <si>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</si>
  <si>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</si>
  <si>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</si>
  <si>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</si>
  <si>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</si>
  <si>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</si>
  <si>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</si>
  <si>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</si>
  <si>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</si>
  <si>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</si>
  <si>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</si>
  <si>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</si>
  <si>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</si>
  <si>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</si>
  <si>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</si>
  <si>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</si>
  <si>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</si>
  <si>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</si>
  <si>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</si>
  <si>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</si>
  <si>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</si>
  <si>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</si>
  <si>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</si>
  <si>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</si>
  <si>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</si>
  <si>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</si>
  <si>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</si>
  <si>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</si>
  <si>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</si>
  <si>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</si>
  <si>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</si>
  <si>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</si>
  <si>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</si>
  <si>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</si>
  <si>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</si>
  <si>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</si>
  <si>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</si>
  <si>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</si>
  <si>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</si>
  <si>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</si>
  <si>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</si>
  <si>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</si>
  <si>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</si>
  <si>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</si>
  <si>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</si>
  <si>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</si>
  <si>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</si>
  <si>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</si>
  <si>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</si>
  <si>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</si>
  <si>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</si>
  <si>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</si>
  <si>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</si>
  <si>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</si>
  <si>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</si>
  <si>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</si>
  <si>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</si>
  <si>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</si>
  <si>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</si>
  <si>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</si>
  <si>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</si>
  <si>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</si>
  <si>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</si>
  <si>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</si>
  <si>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</si>
  <si>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</si>
  <si>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</si>
  <si>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</si>
  <si>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</si>
  <si>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</si>
  <si>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</si>
  <si>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</si>
  <si>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</si>
  <si>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</si>
  <si>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</si>
  <si>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</si>
  <si>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</si>
  <si>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</si>
  <si>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</si>
  <si>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</si>
  <si>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</si>
  <si>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</si>
  <si>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</si>
  <si>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</si>
  <si>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</si>
  <si>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</si>
  <si>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</si>
  <si>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</si>
  <si>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</si>
  <si>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</si>
  <si>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</si>
  <si>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</si>
  <si>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</si>
  <si>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</si>
  <si>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</si>
  <si>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</si>
  <si>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</si>
  <si>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</si>
  <si>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</si>
  <si>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</si>
  <si>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</si>
  <si>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</si>
  <si>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</si>
  <si>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</si>
  <si>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</si>
  <si>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</si>
  <si>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</si>
  <si>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</si>
  <si>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</si>
  <si>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</si>
  <si>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</si>
  <si>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</si>
  <si>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</si>
  <si>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</si>
  <si>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</si>
  <si>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</si>
  <si>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</si>
  <si>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</si>
  <si>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</si>
  <si>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</si>
  <si>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</si>
  <si>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</si>
  <si>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</si>
  <si>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</si>
  <si>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</si>
  <si>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</si>
  <si>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</si>
  <si>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</si>
  <si>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</si>
  <si>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</si>
  <si>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</si>
  <si>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</si>
  <si>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</si>
  <si>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</si>
  <si>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</si>
  <si>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</si>
  <si>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</si>
  <si>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</si>
  <si>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</si>
  <si>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</si>
  <si>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</si>
  <si>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</si>
  <si>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</si>
  <si>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</si>
  <si>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</si>
  <si>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</si>
  <si>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</si>
  <si>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</si>
  <si>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</si>
  <si>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</si>
  <si>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</si>
  <si>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</si>
  <si>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</si>
  <si>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</si>
  <si>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</si>
  <si>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</si>
  <si>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</si>
  <si>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</si>
  <si>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</si>
  <si>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</si>
  <si>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</si>
  <si>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</si>
  <si>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</si>
  <si>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</si>
  <si>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</si>
  <si>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</si>
  <si>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</si>
  <si>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</si>
  <si>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</si>
  <si>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</si>
  <si>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</si>
  <si>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</si>
  <si>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</si>
  <si>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</si>
  <si>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</si>
  <si>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</si>
  <si>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</si>
  <si>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</si>
  <si>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</si>
  <si>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</si>
  <si>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</si>
  <si>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</si>
  <si>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</si>
  <si>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</si>
  <si>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</si>
  <si>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</si>
  <si>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</si>
  <si>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</si>
  <si>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</si>
  <si>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</si>
  <si>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</si>
  <si>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</si>
  <si>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</si>
  <si>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</si>
  <si>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</si>
  <si>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</si>
  <si>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</si>
  <si>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</si>
  <si>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</si>
  <si>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</si>
  <si>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</si>
  <si>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</si>
  <si>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</si>
  <si>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</si>
  <si>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</si>
  <si>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</si>
  <si>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</si>
  <si>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</si>
  <si>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</si>
  <si>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</si>
  <si>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</si>
  <si>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</si>
  <si>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</si>
  <si>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</si>
  <si>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</si>
  <si>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</si>
  <si>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</si>
  <si>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</si>
  <si>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</si>
  <si>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</si>
  <si>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</si>
  <si>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</si>
  <si>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</si>
  <si>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</si>
  <si>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</si>
  <si>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</si>
  <si>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</si>
  <si>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</si>
  <si>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</si>
  <si>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</si>
  <si>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</si>
  <si>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</si>
  <si>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</si>
  <si>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</si>
  <si>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</si>
  <si>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</si>
  <si>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</si>
  <si>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</si>
  <si>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</si>
  <si>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</si>
  <si>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</si>
  <si>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</si>
  <si>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</si>
  <si>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</si>
  <si>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</si>
  <si>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</si>
  <si>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</si>
  <si>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</si>
  <si>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</si>
  <si>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</si>
  <si>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</si>
  <si>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</si>
  <si>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</si>
  <si>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</si>
  <si>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</si>
  <si>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</si>
  <si>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</si>
  <si>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</si>
  <si>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</si>
  <si>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</si>
  <si>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</si>
  <si>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</si>
  <si>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</si>
  <si>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</si>
  <si>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</si>
  <si>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</si>
  <si>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</si>
  <si>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</si>
  <si>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</si>
  <si>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</si>
  <si>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</si>
  <si>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</si>
  <si>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</si>
  <si>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</si>
  <si>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</si>
  <si>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</si>
  <si>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</si>
  <si>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</si>
  <si>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</si>
  <si>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</si>
  <si>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</si>
  <si>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</si>
  <si>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</si>
  <si>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</si>
  <si>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</si>
  <si>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</si>
  <si>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</si>
  <si>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</si>
  <si>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</si>
  <si>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</si>
  <si>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</si>
  <si>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</si>
  <si>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</si>
  <si>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</si>
  <si>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</si>
  <si>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</si>
  <si>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</si>
  <si>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</si>
  <si>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</si>
  <si>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</si>
  <si>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</si>
  <si>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</si>
  <si>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</si>
  <si>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</si>
  <si>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</si>
  <si>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</si>
  <si>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</si>
  <si>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</si>
  <si>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</si>
  <si>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</si>
  <si>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</si>
  <si>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</si>
  <si>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</si>
  <si>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</si>
  <si>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</si>
  <si>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</si>
  <si>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</si>
  <si>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</si>
  <si>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</si>
  <si>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</si>
  <si>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</si>
  <si>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</si>
  <si>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</si>
  <si>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</si>
  <si>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</si>
  <si>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</si>
  <si>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</si>
  <si>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</si>
  <si>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</si>
  <si>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</si>
  <si>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</si>
  <si>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</si>
  <si>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</si>
  <si>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</si>
  <si>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</si>
  <si>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</si>
  <si>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</si>
  <si>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</si>
  <si>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</si>
  <si>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</si>
  <si>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</si>
  <si>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</si>
  <si>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</si>
  <si>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</si>
  <si>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</si>
  <si>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</si>
  <si>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</si>
  <si>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</si>
  <si>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</si>
  <si>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</si>
  <si>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</si>
  <si>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</si>
  <si>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</si>
  <si>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</si>
  <si>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</si>
  <si>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</si>
  <si>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</si>
  <si>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</si>
  <si>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</si>
  <si>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</si>
  <si>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</si>
  <si>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</si>
  <si>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</si>
  <si>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</si>
  <si>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</si>
  <si>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</si>
  <si>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</si>
  <si>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</si>
  <si>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</si>
  <si>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</si>
  <si>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</si>
  <si>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</si>
  <si>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</si>
  <si>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</si>
  <si>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</si>
  <si>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</si>
  <si>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</si>
  <si>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</si>
  <si>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</si>
  <si>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</si>
  <si>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</si>
  <si>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</si>
  <si>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</si>
  <si>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</si>
  <si>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</si>
  <si>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</si>
  <si>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</si>
  <si>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</si>
  <si>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</si>
  <si>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</si>
  <si>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</si>
  <si>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</si>
  <si>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</si>
  <si>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</si>
  <si>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</si>
  <si>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</si>
  <si>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</si>
  <si>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</si>
  <si>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</si>
  <si>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</si>
  <si>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</si>
  <si>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</si>
  <si>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</si>
  <si>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</si>
  <si>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</si>
  <si>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</si>
  <si>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</si>
  <si>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</si>
  <si>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</si>
  <si>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</si>
  <si>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</si>
  <si>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</si>
  <si>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</si>
  <si>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</si>
  <si>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</si>
  <si>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</si>
  <si>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</si>
  <si>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</si>
  <si>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</si>
  <si>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</si>
  <si>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</si>
  <si>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</si>
  <si>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</si>
  <si>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</si>
  <si>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</si>
  <si>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</si>
  <si>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</si>
  <si>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</si>
  <si>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</si>
  <si>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</si>
  <si>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</si>
  <si>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</si>
  <si>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</si>
  <si>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</si>
  <si>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</si>
  <si>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</si>
  <si>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</si>
  <si>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</si>
  <si>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</si>
  <si>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</si>
  <si>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</si>
  <si>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</si>
  <si>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</si>
  <si>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</si>
  <si>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</si>
  <si>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</si>
  <si>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</si>
  <si>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</si>
  <si>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</si>
  <si>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</si>
  <si>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</si>
  <si>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</si>
  <si>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</si>
  <si>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</si>
  <si>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</si>
  <si>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</si>
  <si>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</si>
  <si>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</si>
  <si>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</si>
  <si>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</si>
  <si>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</si>
  <si>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</si>
  <si>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</si>
  <si>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</si>
  <si>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</si>
  <si>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</si>
  <si>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</si>
  <si>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</si>
  <si>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</si>
  <si>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</si>
  <si>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</si>
  <si>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</si>
  <si>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</si>
  <si>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</si>
  <si>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</si>
  <si>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</si>
  <si>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</si>
  <si>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</si>
  <si>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</si>
  <si>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</si>
  <si>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</si>
  <si>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</si>
  <si>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</si>
  <si>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</si>
  <si>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</si>
  <si>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</si>
  <si>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</si>
  <si>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</si>
  <si>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</si>
  <si>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</si>
  <si>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</si>
  <si>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</si>
  <si>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</si>
  <si>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</si>
  <si>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</si>
  <si>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</si>
  <si>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</si>
  <si>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</si>
  <si>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</si>
  <si>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</si>
  <si>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</si>
  <si>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</si>
  <si>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</si>
  <si>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</si>
  <si>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</si>
  <si>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</si>
  <si>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</si>
  <si>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</si>
  <si>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</si>
  <si>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</si>
  <si>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</si>
  <si>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</si>
  <si>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</si>
  <si>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</si>
  <si>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</si>
  <si>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</si>
  <si>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</si>
  <si>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</si>
  <si>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</si>
  <si>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</si>
  <si>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</si>
  <si>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</si>
  <si>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</si>
  <si>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</si>
  <si>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</si>
  <si>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</si>
  <si>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</si>
  <si>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</si>
  <si>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</si>
  <si>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</si>
  <si>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</si>
  <si>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</si>
  <si>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</si>
  <si>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</si>
  <si>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</si>
  <si>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</si>
  <si>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</si>
  <si>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</si>
  <si>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</si>
  <si>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</si>
  <si>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</si>
  <si>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</si>
  <si>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</si>
  <si>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</si>
  <si>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</si>
  <si>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</si>
  <si>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</si>
  <si>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</si>
  <si>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</si>
  <si>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</si>
  <si>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</si>
  <si>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</si>
  <si>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</si>
  <si>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</si>
  <si>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</si>
  <si>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</si>
  <si>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</si>
  <si>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</si>
  <si>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</si>
  <si>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</si>
  <si>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</si>
  <si>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</si>
  <si>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</si>
  <si>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</si>
  <si>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</si>
  <si>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</si>
  <si>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</si>
  <si>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</si>
  <si>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</si>
  <si>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</si>
  <si>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</si>
  <si>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</si>
  <si>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</si>
  <si>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</si>
  <si>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</si>
  <si>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</si>
  <si>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</si>
  <si>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</si>
  <si>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</si>
  <si>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</si>
  <si>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</si>
  <si>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</si>
  <si>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</si>
  <si>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</si>
  <si>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</si>
  <si>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</si>
  <si>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</si>
  <si>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</si>
  <si>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</si>
  <si>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</si>
  <si>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</si>
  <si>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</si>
  <si>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</si>
  <si>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</si>
  <si>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</si>
  <si>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</si>
  <si>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</si>
  <si>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</si>
  <si>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</si>
  <si>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</si>
  <si>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</si>
  <si>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</si>
  <si>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</si>
  <si>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</si>
  <si>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</si>
  <si>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</si>
  <si>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</si>
  <si>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</si>
  <si>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</si>
  <si>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</si>
  <si>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</si>
  <si>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</si>
  <si>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</si>
  <si>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</si>
  <si>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</si>
  <si>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</si>
  <si>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</si>
  <si>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</si>
  <si>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</si>
  <si>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</si>
  <si>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</si>
  <si>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</si>
  <si>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</si>
  <si>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</si>
  <si>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</si>
  <si>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</si>
  <si>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</si>
  <si>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</si>
  <si>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</si>
  <si>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</si>
  <si>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</si>
  <si>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</si>
  <si>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</si>
  <si>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</si>
  <si>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</si>
  <si>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</si>
  <si>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</si>
  <si>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</si>
  <si>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</si>
  <si>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</si>
  <si>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</si>
  <si>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</si>
  <si>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</si>
  <si>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</si>
  <si>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</si>
  <si>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</si>
  <si>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</si>
  <si>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</si>
  <si>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</si>
  <si>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</si>
  <si>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</si>
  <si>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</si>
  <si>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</si>
  <si>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</si>
  <si>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</si>
  <si>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</si>
  <si>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</si>
  <si>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</si>
  <si>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</si>
  <si>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</si>
  <si>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</si>
  <si>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</si>
  <si>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</si>
  <si>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</si>
  <si>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</si>
  <si>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</si>
  <si>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</si>
  <si>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</si>
  <si>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</si>
  <si>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</si>
  <si>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</si>
  <si>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</si>
  <si>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</si>
  <si>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</si>
  <si>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</si>
  <si>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</si>
  <si>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</si>
  <si>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</si>
  <si>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</si>
  <si>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</si>
  <si>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</si>
  <si>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</si>
  <si>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</si>
  <si>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</si>
  <si>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</si>
  <si>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</si>
  <si>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</si>
  <si>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</si>
  <si>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</si>
  <si>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</si>
  <si>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</si>
  <si>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</si>
  <si>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</si>
  <si>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</si>
  <si>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</si>
  <si>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</si>
  <si>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</si>
  <si>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</si>
  <si>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</si>
  <si>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</si>
  <si>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</si>
  <si>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</si>
  <si>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</si>
  <si>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</si>
  <si>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</si>
  <si>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</si>
  <si>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</si>
  <si>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</si>
  <si>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</si>
  <si>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</si>
  <si>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</si>
  <si>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</si>
  <si>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</si>
  <si>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</si>
  <si>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</si>
  <si>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</si>
  <si>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</si>
  <si>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</si>
  <si>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</si>
  <si>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</si>
  <si>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</si>
  <si>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</si>
  <si>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</si>
  <si>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</si>
  <si>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</si>
  <si>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</si>
  <si>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</si>
  <si>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</si>
  <si>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</si>
  <si>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</si>
  <si>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</si>
  <si>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</si>
  <si>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</si>
  <si>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</si>
  <si>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</si>
  <si>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</si>
  <si>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</si>
  <si>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</si>
  <si>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</si>
  <si>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</si>
  <si>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</si>
  <si>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</si>
  <si>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</si>
  <si>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</si>
  <si>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</si>
  <si>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</si>
  <si>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</si>
  <si>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</si>
  <si>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</si>
  <si>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</si>
  <si>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</si>
  <si>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</si>
  <si>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</si>
  <si>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</si>
  <si>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</si>
  <si>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</si>
  <si>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</si>
  <si>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</si>
  <si>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</si>
  <si>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</si>
  <si>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</si>
  <si>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</si>
  <si>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</si>
  <si>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</si>
  <si>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</si>
  <si>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</si>
  <si>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</si>
  <si>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</si>
  <si>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</si>
  <si>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</si>
  <si>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</si>
  <si>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</si>
  <si>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</si>
  <si>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</si>
  <si>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</si>
  <si>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</si>
  <si>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</si>
  <si>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</si>
  <si>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</si>
  <si>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</si>
  <si>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</si>
  <si>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</si>
  <si>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</si>
  <si>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</si>
  <si>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</si>
  <si>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</si>
  <si>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</si>
  <si>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</si>
  <si>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</si>
  <si>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</si>
  <si>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</si>
  <si>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</si>
  <si>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</si>
  <si>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</si>
  <si>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</si>
  <si>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</si>
  <si>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</si>
  <si>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</si>
  <si>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</si>
  <si>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</si>
  <si>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</si>
  <si>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</si>
  <si>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</si>
  <si>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</si>
  <si>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</si>
  <si>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</si>
  <si>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</si>
  <si>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</si>
  <si>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</si>
  <si>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</si>
  <si>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</si>
  <si>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</si>
  <si>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</si>
  <si>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</si>
  <si>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</si>
  <si>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</si>
  <si>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</si>
  <si>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</si>
  <si>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</si>
  <si>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</si>
  <si>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</si>
  <si>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</si>
  <si>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</si>
  <si>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</si>
  <si>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</si>
  <si>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</si>
  <si>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</si>
  <si>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</si>
  <si>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</si>
  <si>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</si>
  <si>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</si>
  <si>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</si>
  <si>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</si>
  <si>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</si>
  <si>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</si>
  <si>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</si>
  <si>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</si>
  <si>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</si>
  <si>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</si>
  <si>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</si>
  <si>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</si>
  <si>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</si>
  <si>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</si>
  <si>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</si>
  <si>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</si>
  <si>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</si>
  <si>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</si>
  <si>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</si>
  <si>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</si>
  <si>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</si>
  <si>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</si>
  <si>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</si>
  <si>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</si>
  <si>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</si>
  <si>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</si>
  <si>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</si>
  <si>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</si>
  <si>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</si>
  <si>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</si>
  <si>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</si>
  <si>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</si>
  <si>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</si>
  <si>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</si>
  <si>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</si>
  <si>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</si>
  <si>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</si>
  <si>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</si>
  <si>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</si>
  <si>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</si>
  <si>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</si>
  <si>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</si>
  <si>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</si>
  <si>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</si>
  <si>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</si>
  <si>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</si>
  <si>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</si>
  <si>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</si>
  <si>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</si>
  <si>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</si>
  <si>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</si>
  <si>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</si>
  <si>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</si>
  <si>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</si>
  <si>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</si>
  <si>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</si>
  <si>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</si>
  <si>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</si>
  <si>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</si>
  <si>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</si>
  <si>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</si>
  <si>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</si>
  <si>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</si>
  <si>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</si>
  <si>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</si>
  <si>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</si>
  <si>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</si>
  <si>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</si>
  <si>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</si>
  <si>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</si>
  <si>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</si>
  <si>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</si>
  <si>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</si>
  <si>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</si>
  <si>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</si>
  <si>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</si>
  <si>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</si>
  <si>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</si>
  <si>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</si>
  <si>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</si>
  <si>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</si>
  <si>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</si>
  <si>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</si>
  <si>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</si>
  <si>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</si>
  <si>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</si>
  <si>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</si>
  <si>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</si>
  <si>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</si>
  <si>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</si>
  <si>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</si>
  <si>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</si>
  <si>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</si>
  <si>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</si>
  <si>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</si>
  <si>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</si>
  <si>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</si>
  <si>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</si>
  <si>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</si>
  <si>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</si>
  <si>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</si>
  <si>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</si>
  <si>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</si>
  <si>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</si>
  <si>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</si>
  <si>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</si>
  <si>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</si>
  <si>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</si>
  <si>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</si>
  <si>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</si>
  <si>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</si>
  <si>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</si>
  <si>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</si>
  <si>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</si>
  <si>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</si>
  <si>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</si>
  <si>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</si>
  <si>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</si>
  <si>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</si>
  <si>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</si>
  <si>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</si>
  <si>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</si>
  <si>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</si>
  <si>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</si>
  <si>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</si>
  <si>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</si>
  <si>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</si>
  <si>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</si>
  <si>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</si>
  <si>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</si>
  <si>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</si>
  <si>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</si>
  <si>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</si>
  <si>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</si>
  <si>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</si>
  <si>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</si>
  <si>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</si>
  <si>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</si>
  <si>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</si>
  <si>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</si>
  <si>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</si>
  <si>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</si>
  <si>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</si>
  <si>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</si>
  <si>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</si>
  <si>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</si>
  <si>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</si>
  <si>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</si>
  <si>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</si>
  <si>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</si>
  <si>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</si>
  <si>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</si>
  <si>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</si>
  <si>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</si>
  <si>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</si>
  <si>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</si>
  <si>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</si>
  <si>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</si>
  <si>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</si>
  <si>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</si>
  <si>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</si>
  <si>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</si>
  <si>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</si>
  <si>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</si>
  <si>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</si>
  <si>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</si>
  <si>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</si>
  <si>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</si>
  <si>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</si>
  <si>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</si>
  <si>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</si>
  <si>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</si>
  <si>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</si>
  <si>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</si>
  <si>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</si>
  <si>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</si>
  <si>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</si>
  <si>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</si>
  <si>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</si>
  <si>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</si>
  <si>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</si>
  <si>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</si>
  <si>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</si>
  <si>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</si>
  <si>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</si>
  <si>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</si>
  <si>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</si>
  <si>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</si>
  <si>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</si>
  <si>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</si>
  <si>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</si>
  <si>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</si>
  <si>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</si>
  <si>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</si>
  <si>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</si>
  <si>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</si>
  <si>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</si>
  <si>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</si>
  <si>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</si>
  <si>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</si>
  <si>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</si>
  <si>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</si>
  <si>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</si>
  <si>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</si>
  <si>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</si>
  <si>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</si>
  <si>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</si>
  <si>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</si>
  <si>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</si>
  <si>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</si>
  <si>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</si>
  <si>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</si>
  <si>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</si>
  <si>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</si>
  <si>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</si>
  <si>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</si>
  <si>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</si>
  <si>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</si>
  <si>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</si>
  <si>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</si>
  <si>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</si>
  <si>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</si>
  <si>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</si>
  <si>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</si>
  <si>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</si>
  <si>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</si>
  <si>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</si>
  <si>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</si>
  <si>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</si>
  <si>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</si>
  <si>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</si>
  <si>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</si>
  <si>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</si>
  <si>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</si>
  <si>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</si>
  <si>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</si>
  <si>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</si>
  <si>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</si>
  <si>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</si>
  <si>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</si>
  <si>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</si>
  <si>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</si>
  <si>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</si>
  <si>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</si>
  <si>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</si>
  <si>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</si>
  <si>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</si>
  <si>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</si>
  <si>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</si>
  <si>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</si>
  <si>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</si>
  <si>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</si>
  <si>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</si>
  <si>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</si>
  <si>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</si>
  <si>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</si>
  <si>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</si>
  <si>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</si>
  <si>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</si>
  <si>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</si>
  <si>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</si>
  <si>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</si>
  <si>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</si>
  <si>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</si>
  <si>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</si>
  <si>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</si>
  <si>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</si>
  <si>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</si>
  <si>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</si>
  <si>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</si>
  <si>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</si>
  <si>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</si>
  <si>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</si>
  <si>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</si>
  <si>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</si>
  <si>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</si>
  <si>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</si>
  <si>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</si>
  <si>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</si>
  <si>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</si>
  <si>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</si>
  <si>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</si>
  <si>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</si>
  <si>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</si>
  <si>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</si>
  <si>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</si>
  <si>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</si>
  <si>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</si>
  <si>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</si>
  <si>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</si>
  <si>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</si>
  <si>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</si>
  <si>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</si>
  <si>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</si>
  <si>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</si>
  <si>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</si>
  <si>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</si>
  <si>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</si>
  <si>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</si>
  <si>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</si>
  <si>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</si>
  <si>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</si>
  <si>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</si>
  <si>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</si>
  <si>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</si>
  <si>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</si>
  <si>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</si>
  <si>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</si>
  <si>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</si>
  <si>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</si>
  <si>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</si>
  <si>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</si>
  <si>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</si>
  <si>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</si>
  <si>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</si>
  <si>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</si>
  <si>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</si>
  <si>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</si>
  <si>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</si>
  <si>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</si>
  <si>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</si>
  <si>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</si>
  <si>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</si>
  <si>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</si>
  <si>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</si>
  <si>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</si>
  <si>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</si>
  <si>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</si>
  <si>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</si>
  <si>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</si>
  <si>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</si>
  <si>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</si>
  <si>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</si>
  <si>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</si>
  <si>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</si>
  <si>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</si>
  <si>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</si>
  <si>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</si>
  <si>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</si>
  <si>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</si>
  <si>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</si>
  <si>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</si>
  <si>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</si>
  <si>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</si>
  <si>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</si>
  <si>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</si>
  <si>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</si>
  <si>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</si>
  <si>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</si>
  <si>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</si>
  <si>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</si>
  <si>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</si>
  <si>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</si>
  <si>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</si>
  <si>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</si>
  <si>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</si>
  <si>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</si>
  <si>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</si>
  <si>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</si>
  <si>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</si>
  <si>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</si>
  <si>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</si>
  <si>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</si>
  <si>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</si>
  <si>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</si>
  <si>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</si>
  <si>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</si>
  <si>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</si>
  <si>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</si>
  <si>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</si>
  <si>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</si>
  <si>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</si>
  <si>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</si>
  <si>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</si>
  <si>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</si>
  <si>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</si>
  <si>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</si>
  <si>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</si>
  <si>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</si>
  <si>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</si>
  <si>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</si>
  <si>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</si>
  <si>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</si>
  <si>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</si>
  <si>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</si>
  <si>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</si>
  <si>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</si>
  <si>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</si>
  <si>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</si>
  <si>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</si>
  <si>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</si>
  <si>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</si>
  <si>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</si>
  <si>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</si>
  <si>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</si>
  <si>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</si>
  <si>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</si>
  <si>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</si>
  <si>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</si>
  <si>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</si>
  <si>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</si>
  <si>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</si>
  <si>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</si>
  <si>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</si>
  <si>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</si>
  <si>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</si>
  <si>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</si>
  <si>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</si>
  <si>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</si>
  <si>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</si>
  <si>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</si>
  <si>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</si>
  <si>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</si>
  <si>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</si>
  <si>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</si>
  <si>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</si>
  <si>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</si>
  <si>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</si>
  <si>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</si>
  <si>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</si>
  <si>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</si>
  <si>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</si>
  <si>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</si>
  <si>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</si>
  <si>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</si>
  <si>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</si>
  <si>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</si>
  <si>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</si>
  <si>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</si>
  <si>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</si>
  <si>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</si>
  <si>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</si>
  <si>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</si>
  <si>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</si>
  <si>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</si>
  <si>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</si>
  <si>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</si>
  <si>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</si>
  <si>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</si>
  <si>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</si>
  <si>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</si>
  <si>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</si>
  <si>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</si>
  <si>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</si>
  <si>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</si>
  <si>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</si>
  <si>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</si>
  <si>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</si>
  <si>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</si>
  <si>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</si>
  <si>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</si>
  <si>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</si>
  <si>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</si>
  <si>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</si>
  <si>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</si>
  <si>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</si>
  <si>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</si>
  <si>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</si>
  <si>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</si>
  <si>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</si>
  <si>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</si>
  <si>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</si>
  <si>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</si>
  <si>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</si>
  <si>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</si>
  <si>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</si>
  <si>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</si>
  <si>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</si>
  <si>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</si>
  <si>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</si>
  <si>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</si>
  <si>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</si>
  <si>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</si>
  <si>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</si>
  <si>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</si>
  <si>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</si>
  <si>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</si>
  <si>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</si>
  <si>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</si>
  <si>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</si>
  <si>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</si>
  <si>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</si>
  <si>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</si>
  <si>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</si>
  <si>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</si>
  <si>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</si>
  <si>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</si>
  <si>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</si>
  <si>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</si>
  <si>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</si>
  <si>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</si>
  <si>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</si>
  <si>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</si>
  <si>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</si>
  <si>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</si>
  <si>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</si>
  <si>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</si>
  <si>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</si>
  <si>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</si>
  <si>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</si>
  <si>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</si>
  <si>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</si>
  <si>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</si>
  <si>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</si>
  <si>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</si>
  <si>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</si>
  <si>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</si>
  <si>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</si>
  <si>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</si>
  <si>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</si>
  <si>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</si>
  <si>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</si>
  <si>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</si>
  <si>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</si>
  <si>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</si>
  <si>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</si>
  <si>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</si>
  <si>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</si>
  <si>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</si>
  <si>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</si>
  <si>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</si>
  <si>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</si>
  <si>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</si>
  <si>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</si>
  <si>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</si>
  <si>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</si>
  <si>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</si>
  <si>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</si>
  <si>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</si>
  <si>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</si>
  <si>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</si>
  <si>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</si>
  <si>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</si>
  <si>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</si>
  <si>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</si>
  <si>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</si>
  <si>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</si>
  <si>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</si>
  <si>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</si>
  <si>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</si>
  <si>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</si>
  <si>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</si>
  <si>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</si>
  <si>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</si>
  <si>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</si>
  <si>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</si>
  <si>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</si>
  <si>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</si>
  <si>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</si>
  <si>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</si>
  <si>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</si>
  <si>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</si>
  <si>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</si>
  <si>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</si>
  <si>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</si>
  <si>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</si>
  <si>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</si>
  <si>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</si>
  <si>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</si>
  <si>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</si>
  <si>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</si>
  <si>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</si>
  <si>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</si>
  <si>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</si>
  <si>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</si>
  <si>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</si>
  <si>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</si>
  <si>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</si>
  <si>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</si>
  <si>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</si>
  <si>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</si>
  <si>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</si>
  <si>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</si>
  <si>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</si>
  <si>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</si>
  <si>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</si>
  <si>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</si>
  <si>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</si>
  <si>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</si>
  <si>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</si>
  <si>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</si>
  <si>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</si>
  <si>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</si>
  <si>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</si>
  <si>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</si>
  <si>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</si>
  <si>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</si>
  <si>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</si>
  <si>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</si>
  <si>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</si>
  <si>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</si>
  <si>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</si>
  <si>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</si>
  <si>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</si>
  <si>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</si>
  <si>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</si>
  <si>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</si>
  <si>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</si>
  <si>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</si>
  <si>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</si>
  <si>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</si>
  <si>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</si>
  <si>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</si>
  <si>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</si>
  <si>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</si>
  <si>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</si>
  <si>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</si>
  <si>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</si>
  <si>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</si>
  <si>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</si>
  <si>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</si>
  <si>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</si>
  <si>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</si>
  <si>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</si>
  <si>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</si>
  <si>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</si>
  <si>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</si>
  <si>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</si>
  <si>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</si>
  <si>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</si>
  <si>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</si>
  <si>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</si>
  <si>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</si>
  <si>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</si>
  <si>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</si>
  <si>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</si>
  <si>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</si>
  <si>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</si>
  <si>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</si>
  <si>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</si>
  <si>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</si>
  <si>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</si>
  <si>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</si>
  <si>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</si>
  <si>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</si>
  <si>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</si>
  <si>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</si>
  <si>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</si>
  <si>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</si>
  <si>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</si>
  <si>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</si>
  <si>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</si>
  <si>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</si>
  <si>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</si>
  <si>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</si>
  <si>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</si>
  <si>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</si>
  <si>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</si>
  <si>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</si>
  <si>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</si>
  <si>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</si>
  <si>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</si>
  <si>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</si>
  <si>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</si>
  <si>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</si>
  <si>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</si>
  <si>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</si>
  <si>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</si>
  <si>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</si>
  <si>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</si>
  <si>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</si>
  <si>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</si>
  <si>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</si>
  <si>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</si>
  <si>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</si>
  <si>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</si>
  <si>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</si>
  <si>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</si>
  <si>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</si>
  <si>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</si>
  <si>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</si>
  <si>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</si>
  <si>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</si>
  <si>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</si>
  <si>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</si>
  <si>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</si>
  <si>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</si>
  <si>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</si>
  <si>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</si>
  <si>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</si>
  <si>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</si>
  <si>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</si>
  <si>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</si>
  <si>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</si>
  <si>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</si>
  <si>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</si>
  <si>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</si>
  <si>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</si>
  <si>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</si>
  <si>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</si>
  <si>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</si>
  <si>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</si>
  <si>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</si>
  <si>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</si>
  <si>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</si>
  <si>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</si>
  <si>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</si>
  <si>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</si>
  <si>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</si>
  <si>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</si>
  <si>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</si>
  <si>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</si>
  <si>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</si>
  <si>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</si>
  <si>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</si>
  <si>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</si>
  <si>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</si>
  <si>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</si>
  <si>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</si>
  <si>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</si>
  <si>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</si>
  <si>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</si>
  <si>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</si>
  <si>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</si>
  <si>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</si>
  <si>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</si>
  <si>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</si>
  <si>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</si>
  <si>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</si>
  <si>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</si>
  <si>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</si>
  <si>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</si>
  <si>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</si>
  <si>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</si>
  <si>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</si>
  <si>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</si>
  <si>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</si>
  <si>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</si>
  <si>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</si>
  <si>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</si>
  <si>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</si>
  <si>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</si>
  <si>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</si>
  <si>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</si>
  <si>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</si>
  <si>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</si>
  <si>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Investigators</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</si>
  <si>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</si>
  <si>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</si>
  <si>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</si>
  <si>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</si>
  <si>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</si>
  <si>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</si>
  <si>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</si>
  <si>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</si>
  <si>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</si>
  <si>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</si>
  <si>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</si>
  <si>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</si>
  <si>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</si>
  <si>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</si>
  <si>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</si>
  <si>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</si>
  <si>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</si>
  <si>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</si>
  <si>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</si>
  <si>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</si>
  <si>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</si>
  <si>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</si>
  <si>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</si>
  <si>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</si>
  <si>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</si>
  <si>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</si>
  <si>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</si>
  <si>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</si>
  <si>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</si>
  <si>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</si>
  <si>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</si>
  <si>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</si>
  <si>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</si>
  <si>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</si>
  <si>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</si>
  <si>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</si>
  <si>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</si>
  <si>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</si>
  <si>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</si>
  <si>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</si>
  <si>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</si>
  <si>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</si>
  <si>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</si>
  <si>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</si>
  <si>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</si>
  <si>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</si>
  <si>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</si>
  <si>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</si>
  <si>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</si>
  <si>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</si>
  <si>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</si>
  <si>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</si>
  <si>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</si>
  <si>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</si>
  <si>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</si>
  <si>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</si>
  <si>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</si>
  <si>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</si>
  <si>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</si>
  <si>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</si>
  <si>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</si>
  <si>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</si>
  <si>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</si>
  <si>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</si>
  <si>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</si>
  <si>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</si>
  <si>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</si>
  <si>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</si>
  <si>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</si>
  <si>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</si>
  <si>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</si>
  <si>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</si>
  <si>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</si>
  <si>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</si>
  <si>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</si>
  <si>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</si>
  <si>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</si>
  <si>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</si>
  <si>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</si>
  <si>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</si>
  <si>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</si>
  <si>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</si>
  <si>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</si>
  <si>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</si>
  <si>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</si>
  <si>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</si>
  <si>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</si>
  <si>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</si>
  <si>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</si>
  <si>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</si>
  <si>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</si>
  <si>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</si>
  <si>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</si>
  <si>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</si>
  <si>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</si>
  <si>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</si>
  <si>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</si>
  <si>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</si>
  <si>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</si>
  <si>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</si>
  <si>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</si>
  <si>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</si>
  <si>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</si>
  <si>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</si>
  <si>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</si>
  <si>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</si>
  <si>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</si>
  <si>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</si>
  <si>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</si>
  <si>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</si>
  <si>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</si>
  <si>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</si>
  <si>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</si>
  <si>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</si>
  <si>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</si>
  <si>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</si>
  <si>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</si>
  <si>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</si>
  <si>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</si>
  <si>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</si>
  <si>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</si>
  <si>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</si>
  <si>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</si>
  <si>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</si>
  <si>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</si>
  <si>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</si>
  <si>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</si>
  <si>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</si>
  <si>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</si>
  <si>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</si>
  <si>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</si>
  <si>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</si>
  <si>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</si>
  <si>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</si>
  <si>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</si>
  <si>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</si>
  <si>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</si>
  <si>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</si>
  <si>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</si>
  <si>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</si>
  <si>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</si>
  <si>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</si>
  <si>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</si>
  <si>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</si>
  <si>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</si>
  <si>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</si>
  <si>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</si>
  <si>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</si>
  <si>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</si>
  <si>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</si>
  <si>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</si>
  <si>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</si>
  <si>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</si>
  <si>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</si>
  <si>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</si>
  <si>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</si>
  <si>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</si>
  <si>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</si>
  <si>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</si>
  <si>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</si>
  <si>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</si>
  <si>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</si>
  <si>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</si>
  <si>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</si>
  <si>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</si>
  <si>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</si>
  <si>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</si>
  <si>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</si>
  <si>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</si>
  <si>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</si>
  <si>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</si>
  <si>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</si>
  <si>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</si>
  <si>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</si>
  <si>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</si>
  <si>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</si>
  <si>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</si>
  <si>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</si>
  <si>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</si>
  <si>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</si>
  <si>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</si>
  <si>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</si>
  <si>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</si>
  <si>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</si>
  <si>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</si>
  <si>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</si>
  <si>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</si>
  <si>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</si>
  <si>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</si>
  <si>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</si>
  <si>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&lt;Unlock Safe&gt;</t>
  </si>
  <si>
    <t>Uses (X charges)._x000D_
θ Exhaust &lt;Unlock Safe&gt; and take 1 horror: Move 1 charge from Unlock Safe to your resource pool as a resource.</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</si>
  <si>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</si>
  <si>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</si>
  <si>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</si>
  <si>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</si>
  <si>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</si>
  <si>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</si>
  <si>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</si>
  <si>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</si>
  <si>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</si>
  <si>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</si>
  <si>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</si>
  <si>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</si>
  <si>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</si>
  <si>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</si>
  <si>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</si>
  <si>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</si>
  <si>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</si>
  <si>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</si>
  <si>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</si>
  <si>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</si>
  <si>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</si>
  <si>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</si>
  <si>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</si>
  <si>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</si>
  <si>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</si>
  <si>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</si>
  <si>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</si>
  <si>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</si>
  <si>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</si>
  <si>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</si>
  <si>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</si>
  <si>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</si>
  <si>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</si>
  <si>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</si>
  <si>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</si>
  <si>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</si>
  <si>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</si>
  <si>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</si>
  <si>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</si>
  <si>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</si>
  <si>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</si>
  <si>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</si>
  <si>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</si>
  <si>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</si>
  <si>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</si>
  <si>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</si>
  <si>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</si>
  <si>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</si>
  <si>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</si>
  <si>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</si>
  <si>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</si>
  <si>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</si>
  <si>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</si>
  <si>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</si>
  <si>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</si>
  <si>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</si>
  <si>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</si>
  <si>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</si>
  <si>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</si>
  <si>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</si>
  <si>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</si>
  <si>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</si>
  <si>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</si>
  <si>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</si>
  <si>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</si>
  <si>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</si>
  <si>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</si>
  <si>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</si>
  <si>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Revelation - Add Hypochondria to your threat area._x000D_
Forced - After [...]: Take 1 direct [...]._x000D_
ηη: Discard 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</si>
  <si>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</si>
  <si>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</si>
  <si>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</si>
  <si>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</si>
  <si>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</si>
  <si>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</si>
  <si>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</si>
  <si>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</si>
  <si>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</si>
  <si>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</si>
  <si>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</si>
  <si>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</si>
  <si>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</si>
  <si>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</si>
  <si>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</si>
  <si>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</si>
  <si>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</si>
  <si>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</si>
  <si>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</si>
  <si>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</si>
  <si>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</si>
  <si>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</si>
  <si>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</si>
  <si>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</si>
  <si>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</si>
  <si>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</si>
  <si>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</si>
  <si>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</si>
  <si>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</si>
  <si>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</si>
  <si>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</si>
  <si>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</si>
  <si>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</si>
  <si>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</si>
  <si>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</si>
  <si>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</si>
  <si>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</si>
  <si>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</si>
  <si>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</si>
  <si>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</si>
  <si>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</si>
  <si>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</si>
  <si>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</si>
  <si>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</si>
  <si>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</si>
  <si>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</si>
  <si>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</si>
  <si>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Hunter._x000D_
While attempting to evade Hunting Nightgaunt, double the negative modifier of each revealed chaos token.</t>
  </si>
  <si>
    <t>Yithian Observer</t>
  </si>
  <si>
    <t>Monster. Yithian.</t>
  </si>
  <si>
    <t>[...] cards in hand._x000D_
When Yithian Observer attacks you: Discard [?] card at random from your hand. If you discarded a [?], Yithian Observer deals +1 damage and [?] this attack.</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</si>
  <si>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</si>
  <si>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</si>
  <si>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</si>
  <si>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</si>
  <si>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</si>
  <si>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</si>
  <si>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</si>
  <si>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</si>
  <si>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</si>
  <si>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</si>
  <si>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</si>
  <si>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</si>
  <si>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</si>
  <si>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</si>
  <si>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</si>
  <si>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</si>
  <si>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</si>
  <si>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</si>
  <si>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</si>
  <si>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</si>
  <si>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</si>
  <si>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</si>
  <si>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</si>
  <si>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</si>
  <si>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</si>
  <si>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</si>
  <si>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</si>
  <si>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</si>
  <si>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</si>
  <si>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</si>
  <si>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</si>
  <si>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</si>
  <si>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</si>
  <si>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</si>
  <si>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</si>
  <si>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</si>
  <si>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</si>
  <si>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</si>
  <si>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</si>
  <si>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</si>
  <si>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</si>
  <si>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</si>
  <si>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</si>
  <si>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</si>
  <si>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</si>
  <si>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</si>
  <si>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</si>
  <si>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</si>
  <si>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</si>
  <si>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</si>
  <si>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</si>
  <si>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</si>
  <si>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</si>
  <si>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</si>
  <si>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</si>
  <si>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</si>
  <si>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</si>
  <si>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</si>
  <si>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</si>
  <si>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</si>
  <si>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</si>
  <si>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</si>
  <si>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</si>
  <si>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</si>
  <si>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</si>
  <si>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</si>
  <si>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</si>
  <si>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</si>
  <si>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</si>
  <si>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</si>
  <si>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</si>
  <si>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</si>
  <si>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</si>
  <si>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</si>
  <si>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</si>
  <si>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</si>
  <si>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</si>
  <si>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</si>
  <si>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</si>
  <si>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</si>
  <si>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</si>
  <si>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</si>
  <si>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</si>
  <si>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</si>
  <si>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</si>
  <si>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</si>
  <si>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</si>
  <si>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</si>
  <si>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</si>
  <si>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</si>
  <si>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</si>
  <si>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</si>
  <si>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</si>
  <si>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</si>
  <si>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</si>
  <si>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</si>
  <si>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</si>
  <si>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</si>
  <si>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</si>
  <si>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</si>
  <si>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</si>
  <si>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</si>
  <si>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</si>
  <si>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</si>
  <si>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</si>
  <si>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</si>
  <si>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</si>
  <si>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</si>
  <si>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</si>
  <si>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</si>
  <si>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</si>
  <si>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</si>
  <si>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</si>
  <si>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</si>
  <si>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</si>
  <si>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</si>
  <si>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</si>
  <si>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</si>
  <si>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</si>
  <si>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</si>
  <si>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</si>
  <si>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</si>
  <si>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</si>
  <si>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</si>
  <si>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</si>
  <si>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</si>
  <si>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</si>
  <si>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</si>
  <si>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 xml:space="preserve">Easy / Standard_x000D_
α -X. X is the number of Ghoul enemies at your location._x000D_
β -1. If you fail, take 1 horror._x000D_
[thing] -2. If there is a Ghoul enemy at your location, take 1 damage._x000D_
</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</si>
  <si>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</si>
  <si>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</si>
  <si>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</si>
  <si>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</si>
  <si>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</si>
  <si>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</si>
  <si>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</si>
  <si>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</si>
  <si>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</si>
  <si>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</si>
  <si>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</si>
  <si>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</si>
  <si>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</si>
  <si>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η: Search the top 6 cards of your deck for a Tome card and add it to your hand. Shuffle your deck.</t>
  </si>
  <si>
    <t>Spawn - Northside._x000D_
η Spend 5 resources: Parlay. Add Victoria Devereux to the victory display.</t>
  </si>
  <si>
    <t>Spawn - St. Mary's Hospital._x000D_
Forced - After Ruth Turner is evaded: Add her to the victory display.</t>
  </si>
  <si>
    <t>Forced - When this agenda advances:_x000D_
∗ If the investigators are at Act 1, put the set-aside Ritual Site into play and spawn the set-aside Umôrdhoth there._x000D_
∗ If the investigators are at Act 2 or 3, discard all enemies at the Ritual Site and spawn the set-aside Umôrdhoth there.</t>
  </si>
  <si>
    <t>The Main Path is connected to each other Woods location._x000D_
η: Resign. "There's nothing we can do for them!" You flee from the woods, leaving [...] to its grisly fate.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</si>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</sst>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07">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cellXfs>
  <cellStyles count="1">
    <cellStyle name="Normal" xfId="0" builtinId="0"/>
  </cellStyles>
  <dxfs count="54">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 sqref="A2"/>
    </sheetView>
  </sheetViews>
  <sheetFormatPr defaultColWidth="9.125" defaultRowHeight="12" outlineLevelCol="1" x14ac:dyDescent="0.2"/>
  <cols>
    <col min="1" max="1" width="38" style="20" customWidth="1" outlineLevel="1"/>
    <col min="2" max="2" width="44.625" style="20" bestFit="1" customWidth="1"/>
    <col min="3" max="3" width="9.125" style="25" customWidth="1" outlineLevel="1"/>
    <col min="4" max="4" width="9.375" style="20" customWidth="1" outlineLevel="1"/>
    <col min="5" max="5" width="10.375" style="20" customWidth="1" outlineLevel="1"/>
    <col min="6" max="6" width="3.875" style="20" customWidth="1"/>
    <col min="7" max="7" width="10.875" style="20" bestFit="1" customWidth="1"/>
    <col min="8" max="8" width="10.125" style="20" bestFit="1" customWidth="1"/>
    <col min="9" max="9" width="9.75" style="20" bestFit="1" customWidth="1"/>
    <col min="10" max="10" width="12.25" style="20" bestFit="1" customWidth="1"/>
    <col min="11" max="12" width="8.625" style="20" customWidth="1"/>
    <col min="13" max="13" width="2.375" style="20" customWidth="1"/>
    <col min="14" max="15" width="8.625" style="20" customWidth="1"/>
    <col min="16" max="16" width="9.25" style="20" bestFit="1" customWidth="1"/>
    <col min="17" max="18" width="8.625" style="20" customWidth="1"/>
    <col min="19" max="19" width="6.875" style="20" bestFit="1" customWidth="1"/>
    <col min="20" max="20" width="8.625" style="20" customWidth="1"/>
    <col min="21" max="21" width="2.625" style="20" customWidth="1"/>
    <col min="22" max="26" width="8.625" style="20" customWidth="1"/>
    <col min="27" max="27" width="3.125" style="20" customWidth="1"/>
    <col min="28" max="32" width="8.625" style="20" customWidth="1"/>
    <col min="33" max="16384" width="9.125" style="20"/>
  </cols>
  <sheetData>
    <row r="1" spans="1:38" s="28" customFormat="1" ht="42.75" customHeight="1" x14ac:dyDescent="0.2">
      <c r="A1" s="28" t="s">
        <v>56</v>
      </c>
      <c r="B1" s="28" t="s">
        <v>2</v>
      </c>
      <c r="C1" s="29" t="s">
        <v>62</v>
      </c>
      <c r="D1" s="28" t="s">
        <v>58</v>
      </c>
      <c r="E1" s="28" t="s">
        <v>153</v>
      </c>
      <c r="G1" s="88" t="s">
        <v>3322</v>
      </c>
      <c r="H1" s="89"/>
      <c r="I1" s="89"/>
      <c r="J1" s="89"/>
      <c r="K1" s="90"/>
      <c r="L1" s="44"/>
      <c r="M1" s="39"/>
      <c r="N1" s="91" t="s">
        <v>4</v>
      </c>
      <c r="O1" s="91"/>
      <c r="P1" s="91"/>
      <c r="Q1" s="91"/>
      <c r="R1" s="91"/>
      <c r="S1" s="91"/>
      <c r="T1" s="91"/>
      <c r="U1" s="30"/>
      <c r="V1" s="91" t="s">
        <v>5</v>
      </c>
      <c r="W1" s="91"/>
      <c r="X1" s="91"/>
      <c r="Y1" s="91"/>
      <c r="Z1" s="91"/>
      <c r="AA1" s="30"/>
      <c r="AB1" s="91" t="s">
        <v>1971</v>
      </c>
      <c r="AC1" s="91"/>
      <c r="AD1" s="91"/>
      <c r="AE1" s="91"/>
      <c r="AF1" s="91"/>
      <c r="AG1" s="91"/>
      <c r="AH1" s="91"/>
      <c r="AI1" s="91"/>
      <c r="AJ1" s="91"/>
      <c r="AK1" s="91"/>
      <c r="AL1" s="91"/>
    </row>
    <row r="2" spans="1:38" ht="18.75" x14ac:dyDescent="0.3">
      <c r="A2" s="48" t="s">
        <v>4053</v>
      </c>
      <c r="B2" s="13" t="s">
        <v>4054</v>
      </c>
      <c r="C2" s="18" t="s">
        <v>4055</v>
      </c>
      <c r="D2" s="27"/>
      <c r="G2" s="26" t="s">
        <v>3323</v>
      </c>
      <c r="H2" s="26" t="s">
        <v>4057</v>
      </c>
      <c r="I2" s="26" t="s">
        <v>3324</v>
      </c>
      <c r="J2" s="26" t="s">
        <v>3325</v>
      </c>
      <c r="K2" s="26" t="s">
        <v>39</v>
      </c>
      <c r="L2" s="26" t="s">
        <v>55</v>
      </c>
      <c r="M2" s="26"/>
      <c r="N2" s="26" t="s">
        <v>24</v>
      </c>
      <c r="O2" s="26" t="s">
        <v>27</v>
      </c>
      <c r="P2" s="26" t="s">
        <v>31</v>
      </c>
      <c r="Q2" s="26" t="s">
        <v>33</v>
      </c>
      <c r="R2" s="26" t="s">
        <v>35</v>
      </c>
      <c r="S2" s="26" t="s">
        <v>37</v>
      </c>
      <c r="T2" s="26" t="s">
        <v>34</v>
      </c>
      <c r="U2" s="26"/>
      <c r="V2" s="26" t="s">
        <v>25</v>
      </c>
      <c r="W2" s="26" t="s">
        <v>30</v>
      </c>
      <c r="X2" s="26" t="s">
        <v>32</v>
      </c>
      <c r="Y2" s="26" t="s">
        <v>28</v>
      </c>
      <c r="Z2" s="26" t="s">
        <v>29</v>
      </c>
      <c r="AA2" s="26"/>
      <c r="AB2" s="26" t="s">
        <v>61</v>
      </c>
      <c r="AC2" s="26" t="s">
        <v>1962</v>
      </c>
      <c r="AD2" s="26" t="s">
        <v>1963</v>
      </c>
      <c r="AE2" s="26" t="s">
        <v>1964</v>
      </c>
      <c r="AF2" s="26" t="s">
        <v>155</v>
      </c>
      <c r="AG2" s="26" t="s">
        <v>1965</v>
      </c>
      <c r="AH2" s="26" t="s">
        <v>1966</v>
      </c>
      <c r="AI2" s="26" t="s">
        <v>1967</v>
      </c>
      <c r="AJ2" s="26" t="s">
        <v>1968</v>
      </c>
      <c r="AK2" s="26" t="s">
        <v>1969</v>
      </c>
      <c r="AL2" s="26" t="s">
        <v>1970</v>
      </c>
    </row>
    <row r="3" spans="1:38" s="41" customFormat="1" x14ac:dyDescent="0.2">
      <c r="A3" s="49" t="s">
        <v>4056</v>
      </c>
      <c r="B3" s="49" t="s">
        <v>57</v>
      </c>
      <c r="C3" s="50" t="s">
        <v>2126</v>
      </c>
      <c r="D3" s="49"/>
      <c r="E3" s="49" t="s">
        <v>154</v>
      </c>
      <c r="G3" s="40">
        <f>SUMIF('Card Data'!$A:$A,$A3,'Card Data'!$E:$E)</f>
        <v>144</v>
      </c>
      <c r="H3" s="40">
        <f>COUNTIFS('Card Data'!$J:$J,N$2,'Card Data'!$A:$A,$A3)</f>
        <v>0</v>
      </c>
      <c r="I3" s="40">
        <f>SUMIFS('Card Data'!$E:$E,'Card Data'!$A:$A,$A3,'Card Data'!$K:$K,"&lt;&gt;",'Card Data'!$K:$K,"&lt;&gt;Burden",'Card Data'!$J:$J,"&lt;&gt;Hero")</f>
        <v>102</v>
      </c>
      <c r="J3" s="40">
        <f>SUMIFS('Card Data'!$E:$E,'Card Data'!$A:$A,$A3,'Card Data'!$K:$K,"",'Card Data'!$J:$J,"&lt;&gt;Campaign")+SUMIFS('Card Data'!$E:$E,'Card Data'!$A:$A,$A3,'Card Data'!$K:$K,"Burden")-K3</f>
        <v>42</v>
      </c>
      <c r="K3" s="40">
        <f>SUMIFS('Card Data'!$E:$E,'Card Data'!$J:$J,K$2,'Card Data'!$A:$A,$A3,'Card Data'!$AC:$AC,"&lt;&gt;*Side Quest.*")</f>
        <v>0</v>
      </c>
      <c r="L3" s="40">
        <f>COUNTIFS('Card Data'!$J:$J,L$2,'Card Data'!$A:$A,$A3,'Card Data'!$AC:$AC,"&lt;&gt;*Side Quest.*")</f>
        <v>0</v>
      </c>
      <c r="M3" s="42"/>
      <c r="N3" s="40">
        <f>COUNTIFS('Card Data'!$J:$J,N$2,'Card Data'!$A:$A,$A3)</f>
        <v>0</v>
      </c>
      <c r="O3" s="40">
        <f>COUNTIFS('Card Data'!$J:$J,O$2,'Card Data'!$A:$A,$A3)</f>
        <v>0</v>
      </c>
      <c r="P3" s="40">
        <f>COUNTIFS('Card Data'!$J:$J,P$2,'Card Data'!$A:$A,$A3)</f>
        <v>0</v>
      </c>
      <c r="Q3" s="40">
        <f>COUNTIFS('Card Data'!$J:$J,Q$2,'Card Data'!$A:$A,$A3)</f>
        <v>22</v>
      </c>
      <c r="R3" s="40">
        <f>COUNTIFS('Card Data'!$J:$J,R$2,'Card Data'!$A:$A,$A3)</f>
        <v>11</v>
      </c>
      <c r="S3" s="40">
        <f>COUNTIFS('Card Data'!$J:$J,S$2,'Card Data'!$A:$A,$A3)</f>
        <v>8</v>
      </c>
      <c r="T3" s="40">
        <f>COUNTIFS('Card Data'!$J:$J,T$2,'Card Data'!$A:$A,$A3)</f>
        <v>15</v>
      </c>
      <c r="U3" s="42"/>
      <c r="V3" s="40">
        <f>COUNTIFS('Card Data'!$K:$K,V$2,'Card Data'!$A:$A,$A3)</f>
        <v>0</v>
      </c>
      <c r="W3" s="40">
        <f>COUNTIFS('Card Data'!$K:$K,W$2,'Card Data'!$A:$A,$A3)</f>
        <v>0</v>
      </c>
      <c r="X3" s="40">
        <f>COUNTIFS('Card Data'!$K:$K,X$2,'Card Data'!$A:$A,$A3)</f>
        <v>0</v>
      </c>
      <c r="Y3" s="40">
        <f>COUNTIFS('Card Data'!$K:$K,Y$2,'Card Data'!$A:$A,$A3)</f>
        <v>0</v>
      </c>
      <c r="Z3" s="40">
        <f>COUNTIFS('Card Data'!$K:$K,Z$2,'Card Data'!$A:$A,$A3)</f>
        <v>23</v>
      </c>
      <c r="AA3" s="42"/>
      <c r="AB3" s="40" t="str">
        <f>IF(COUNTIFS('Card Data'!$AC:$AC,"*"&amp;AB$2&amp;".*",'Card Data'!$A:$A,$A3)=0,"",IF(COUNTIFS('Card Data'!$AC:$AC,"*"&amp;AB$2&amp;".*",'Card Data'!$A:$A,$A3,'Card Data'!$J:$J,"Hero")=0,COUNTIFS('Card Data'!$AC:$AC,"*"&amp;AB$2&amp;".*",'Card Data'!$A:$A,$A3),COUNTIFS('Card Data'!$AC:$AC,"*"&amp;AB$2&amp;".*",'Card Data'!$A:$A,$A3)&amp;" ("&amp;COUNTIFS('Card Data'!$AC:$AC,"*"&amp;AB$2&amp;".*",'Card Data'!$A:$A,$A3,'Card Data'!$J:$J,"Hero")&amp;")"))</f>
        <v/>
      </c>
      <c r="AC3" s="40" t="str">
        <f>IF(COUNTIFS('Card Data'!$AC:$AC,"*"&amp;AC$2&amp;".*",'Card Data'!$A:$A,$A3)=0,"",IF(COUNTIFS('Card Data'!$AC:$AC,"*"&amp;AC$2&amp;".*",'Card Data'!$A:$A,$A3,'Card Data'!$J:$J,"Hero")=0,COUNTIFS('Card Data'!$AC:$AC,"*"&amp;AC$2&amp;".*",'Card Data'!$A:$A,$A3),COUNTIFS('Card Data'!$AC:$AC,"*"&amp;AC$2&amp;".*",'Card Data'!$A:$A,$A3)&amp;" ("&amp;COUNTIFS('Card Data'!$AC:$AC,"*"&amp;AC$2&amp;".*",'Card Data'!$A:$A,$A3,'Card Data'!$J:$J,"Hero")&amp;")"))</f>
        <v/>
      </c>
      <c r="AD3" s="40" t="str">
        <f>IF(COUNTIFS('Card Data'!$AC:$AC,"*"&amp;AD$2&amp;".*",'Card Data'!$A:$A,$A3)=0,"",IF(COUNTIFS('Card Data'!$AC:$AC,"*"&amp;AD$2&amp;".*",'Card Data'!$A:$A,$A3,'Card Data'!$J:$J,"Hero")=0,COUNTIFS('Card Data'!$AC:$AC,"*"&amp;AD$2&amp;".*",'Card Data'!$A:$A,$A3),COUNTIFS('Card Data'!$AC:$AC,"*"&amp;AD$2&amp;".*",'Card Data'!$A:$A,$A3)&amp;" ("&amp;COUNTIFS('Card Data'!$AC:$AC,"*"&amp;AD$2&amp;".*",'Card Data'!$A:$A,$A3,'Card Data'!$J:$J,"Hero")&amp;")"))</f>
        <v/>
      </c>
      <c r="AE3" s="40" t="str">
        <f>IF(COUNTIFS('Card Data'!$AC:$AC,"*"&amp;AE$2&amp;".*",'Card Data'!$A:$A,$A3)=0,"",IF(COUNTIFS('Card Data'!$AC:$AC,"*"&amp;AE$2&amp;".*",'Card Data'!$A:$A,$A3,'Card Data'!$J:$J,"Hero")=0,COUNTIFS('Card Data'!$AC:$AC,"*"&amp;AE$2&amp;".*",'Card Data'!$A:$A,$A3),COUNTIFS('Card Data'!$AC:$AC,"*"&amp;AE$2&amp;".*",'Card Data'!$A:$A,$A3)&amp;" ("&amp;COUNTIFS('Card Data'!$AC:$AC,"*"&amp;AE$2&amp;".*",'Card Data'!$A:$A,$A3,'Card Data'!$J:$J,"Hero")&amp;")"))</f>
        <v/>
      </c>
      <c r="AF3" s="40" t="str">
        <f>IF(COUNTIFS('Card Data'!$AC:$AC,"*"&amp;AF$2&amp;".*",'Card Data'!$A:$A,$A3)=0,"",IF(COUNTIFS('Card Data'!$AC:$AC,"*"&amp;AF$2&amp;".*",'Card Data'!$A:$A,$A3,'Card Data'!$J:$J,"Hero")=0,COUNTIFS('Card Data'!$AC:$AC,"*"&amp;AF$2&amp;".*",'Card Data'!$A:$A,$A3),COUNTIFS('Card Data'!$AC:$AC,"*"&amp;AF$2&amp;".*",'Card Data'!$A:$A,$A3)&amp;" ("&amp;COUNTIFS('Card Data'!$AC:$AC,"*"&amp;AF$2&amp;".*",'Card Data'!$A:$A,$A3,'Card Data'!$J:$J,"Hero")&amp;")"))</f>
        <v/>
      </c>
      <c r="AG3" s="40" t="str">
        <f>IF(COUNTIFS('Card Data'!$AC:$AC,"*"&amp;AG$2&amp;".*",'Card Data'!$A:$A,$A3)=0,"",IF(COUNTIFS('Card Data'!$AC:$AC,"*"&amp;AG$2&amp;".*",'Card Data'!$A:$A,$A3,'Card Data'!$J:$J,"Hero")=0,COUNTIFS('Card Data'!$AC:$AC,"*"&amp;AG$2&amp;".*",'Card Data'!$A:$A,$A3),COUNTIFS('Card Data'!$AC:$AC,"*"&amp;AG$2&amp;".*",'Card Data'!$A:$A,$A3)&amp;" ("&amp;COUNTIFS('Card Data'!$AC:$AC,"*"&amp;AG$2&amp;".*",'Card Data'!$A:$A,$A3,'Card Data'!$J:$J,"Hero")&amp;")"))</f>
        <v/>
      </c>
      <c r="AH3" s="40" t="str">
        <f>IF(COUNTIFS('Card Data'!$AC:$AC,"*"&amp;AH$2&amp;".*",'Card Data'!$A:$A,$A3)=0,"",IF(COUNTIFS('Card Data'!$AC:$AC,"*"&amp;AH$2&amp;".*",'Card Data'!$A:$A,$A3,'Card Data'!$J:$J,"Hero")=0,COUNTIFS('Card Data'!$AC:$AC,"*"&amp;AH$2&amp;".*",'Card Data'!$A:$A,$A3),COUNTIFS('Card Data'!$AC:$AC,"*"&amp;AH$2&amp;".*",'Card Data'!$A:$A,$A3)&amp;" ("&amp;COUNTIFS('Card Data'!$AC:$AC,"*"&amp;AH$2&amp;".*",'Card Data'!$A:$A,$A3,'Card Data'!$J:$J,"Hero")&amp;")"))</f>
        <v/>
      </c>
      <c r="AI3" s="40" t="str">
        <f>IF(COUNTIFS('Card Data'!$AC:$AC,"*"&amp;AI$2&amp;".*",'Card Data'!$A:$A,$A3)=0,"",IF(COUNTIFS('Card Data'!$AC:$AC,"*"&amp;AI$2&amp;".*",'Card Data'!$A:$A,$A3,'Card Data'!$J:$J,"Hero")=0,COUNTIFS('Card Data'!$AC:$AC,"*"&amp;AI$2&amp;".*",'Card Data'!$A:$A,$A3),COUNTIFS('Card Data'!$AC:$AC,"*"&amp;AI$2&amp;".*",'Card Data'!$A:$A,$A3)&amp;" ("&amp;COUNTIFS('Card Data'!$AC:$AC,"*"&amp;AI$2&amp;".*",'Card Data'!$A:$A,$A3,'Card Data'!$J:$J,"Hero")&amp;")"))</f>
        <v/>
      </c>
      <c r="AJ3" s="40" t="str">
        <f>IF(COUNTIFS('Card Data'!$AC:$AC,"*"&amp;AJ$2&amp;".*",'Card Data'!$A:$A,$A3)=0,"",IF(COUNTIFS('Card Data'!$AC:$AC,"*"&amp;AJ$2&amp;".*",'Card Data'!$A:$A,$A3,'Card Data'!$J:$J,"Hero")=0,COUNTIFS('Card Data'!$AC:$AC,"*"&amp;AJ$2&amp;".*",'Card Data'!$A:$A,$A3),COUNTIFS('Card Data'!$AC:$AC,"*"&amp;AJ$2&amp;".*",'Card Data'!$A:$A,$A3)&amp;" ("&amp;COUNTIFS('Card Data'!$AC:$AC,"*"&amp;AJ$2&amp;".*",'Card Data'!$A:$A,$A3,'Card Data'!$J:$J,"Hero")&amp;")"))</f>
        <v/>
      </c>
      <c r="AK3" s="40" t="str">
        <f>IF(COUNTIFS('Card Data'!$AC:$AC,"*"&amp;AK$2&amp;".*",'Card Data'!$A:$A,$A3)=0,"",IF(COUNTIFS('Card Data'!$AC:$AC,"*"&amp;AK$2&amp;".*",'Card Data'!$A:$A,$A3,'Card Data'!$J:$J,"Hero")=0,COUNTIFS('Card Data'!$AC:$AC,"*"&amp;AK$2&amp;".*",'Card Data'!$A:$A,$A3),COUNTIFS('Card Data'!$AC:$AC,"*"&amp;AK$2&amp;".*",'Card Data'!$A:$A,$A3)&amp;" ("&amp;COUNTIFS('Card Data'!$AC:$AC,"*"&amp;AK$2&amp;".*",'Card Data'!$A:$A,$A3,'Card Data'!$J:$J,"Hero")&amp;")"))</f>
        <v/>
      </c>
      <c r="AL3" s="40" t="str">
        <f>IF(COUNTIFS('Card Data'!$AC:$AC,"*"&amp;AL$2&amp;".*",'Card Data'!$A:$A,$A3)=0,"",IF(COUNTIFS('Card Data'!$AC:$AC,"*"&amp;AL$2&amp;".*",'Card Data'!$A:$A,$A3,'Card Data'!$J:$J,"Hero")=0,COUNTIFS('Card Data'!$AC:$AC,"*"&amp;AL$2&amp;".*",'Card Data'!$A:$A,$A3),COUNTIFS('Card Data'!$AC:$AC,"*"&amp;AL$2&amp;".*",'Card Data'!$A:$A,$A3)&amp;" ("&amp;COUNTIFS('Card Data'!$AC:$AC,"*"&amp;AL$2&amp;".*",'Card Data'!$A:$A,$A3,'Card Data'!$J:$J,"Hero")&amp;")"))</f>
        <v/>
      </c>
    </row>
    <row r="4" spans="1:38" x14ac:dyDescent="0.2">
      <c r="A4" s="19"/>
      <c r="B4" s="19"/>
      <c r="C4" s="21"/>
      <c r="D4" s="19"/>
      <c r="E4" s="22"/>
      <c r="F4" s="27"/>
      <c r="G4" s="40">
        <f>SUMIF('Card Data'!$A:$A,$A4,'Card Data'!$E:$E)</f>
        <v>0</v>
      </c>
      <c r="H4" s="40">
        <f>COUNTIFS('Card Data'!$J:$J,N$2,'Card Data'!$A:$A,$A4)</f>
        <v>0</v>
      </c>
      <c r="I4" s="40">
        <f>SUMIFS('Card Data'!$E:$E,'Card Data'!$A:$A,$A4,'Card Data'!$K:$K,"&lt;&gt;",'Card Data'!$K:$K,"&lt;&gt;Burden",'Card Data'!$J:$J,"&lt;&gt;Hero")</f>
        <v>0</v>
      </c>
      <c r="J4" s="40">
        <f>SUMIFS('Card Data'!$E:$E,'Card Data'!$A:$A,$A4,'Card Data'!$K:$K,"",'Card Data'!$J:$J,"&lt;&gt;Campaign")+SUMIFS('Card Data'!$E:$E,'Card Data'!$A:$A,$A4,'Card Data'!$K:$K,"Burden")-K4</f>
        <v>0</v>
      </c>
      <c r="K4" s="40">
        <f>SUMIFS('Card Data'!$E:$E,'Card Data'!$J:$J,K$2,'Card Data'!$A:$A,$A4,'Card Data'!$AC:$AC,"&lt;&gt;*Side Quest.*")</f>
        <v>0</v>
      </c>
      <c r="L4" s="40">
        <f>COUNTIFS('Card Data'!$J:$J,L$2,'Card Data'!$A:$A,$A4,'Card Data'!$AC:$AC,"&lt;&gt;*Side Quest.*")</f>
        <v>0</v>
      </c>
      <c r="M4" s="43"/>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3"/>
      <c r="V4" s="40">
        <f>COUNTIFS('Card Data'!$K:$K,V$2,'Card Data'!$A:$A,$A4)</f>
        <v>0</v>
      </c>
      <c r="W4" s="40">
        <f>COUNTIFS('Card Data'!$K:$K,W$2,'Card Data'!$A:$A,$A4)</f>
        <v>0</v>
      </c>
      <c r="X4" s="40">
        <f>COUNTIFS('Card Data'!$K:$K,X$2,'Card Data'!$A:$A,$A4)</f>
        <v>0</v>
      </c>
      <c r="Y4" s="40">
        <f>COUNTIFS('Card Data'!$K:$K,Y$2,'Card Data'!$A:$A,$A4)</f>
        <v>0</v>
      </c>
      <c r="Z4" s="40">
        <f>COUNTIFS('Card Data'!$K:$K,Z$2,'Card Data'!$A:$A,$A4)</f>
        <v>0</v>
      </c>
      <c r="AA4" s="43"/>
      <c r="AB4" s="40" t="str">
        <f>IF(COUNTIFS('Card Data'!$AC:$AC,"*"&amp;AB$2&amp;".*",'Card Data'!$A:$A,$A4)=0,"",IF(COUNTIFS('Card Data'!$AC:$AC,"*"&amp;AB$2&amp;".*",'Card Data'!$A:$A,$A4,'Card Data'!$J:$J,"Hero")=0,COUNTIFS('Card Data'!$AC:$AC,"*"&amp;AB$2&amp;".*",'Card Data'!$A:$A,$A4),COUNTIFS('Card Data'!$AC:$AC,"*"&amp;AB$2&amp;".*",'Card Data'!$A:$A,$A4)&amp;" ("&amp;COUNTIFS('Card Data'!$AC:$AC,"*"&amp;AB$2&amp;".*",'Card Data'!$A:$A,$A4,'Card Data'!$J:$J,"Hero")&amp;")"))</f>
        <v/>
      </c>
      <c r="AC4" s="40" t="str">
        <f>IF(COUNTIFS('Card Data'!$AC:$AC,"*"&amp;AC$2&amp;".*",'Card Data'!$A:$A,$A4)=0,"",IF(COUNTIFS('Card Data'!$AC:$AC,"*"&amp;AC$2&amp;".*",'Card Data'!$A:$A,$A4,'Card Data'!$J:$J,"Hero")=0,COUNTIFS('Card Data'!$AC:$AC,"*"&amp;AC$2&amp;".*",'Card Data'!$A:$A,$A4),COUNTIFS('Card Data'!$AC:$AC,"*"&amp;AC$2&amp;".*",'Card Data'!$A:$A,$A4)&amp;" ("&amp;COUNTIFS('Card Data'!$AC:$AC,"*"&amp;AC$2&amp;".*",'Card Data'!$A:$A,$A4,'Card Data'!$J:$J,"Hero")&amp;")"))</f>
        <v/>
      </c>
      <c r="AD4" s="40" t="str">
        <f>IF(COUNTIFS('Card Data'!$AC:$AC,"*"&amp;AD$2&amp;".*",'Card Data'!$A:$A,$A4)=0,"",IF(COUNTIFS('Card Data'!$AC:$AC,"*"&amp;AD$2&amp;".*",'Card Data'!$A:$A,$A4,'Card Data'!$J:$J,"Hero")=0,COUNTIFS('Card Data'!$AC:$AC,"*"&amp;AD$2&amp;".*",'Card Data'!$A:$A,$A4),COUNTIFS('Card Data'!$AC:$AC,"*"&amp;AD$2&amp;".*",'Card Data'!$A:$A,$A4)&amp;" ("&amp;COUNTIFS('Card Data'!$AC:$AC,"*"&amp;AD$2&amp;".*",'Card Data'!$A:$A,$A4,'Card Data'!$J:$J,"Hero")&amp;")"))</f>
        <v/>
      </c>
      <c r="AE4" s="40" t="str">
        <f>IF(COUNTIFS('Card Data'!$AC:$AC,"*"&amp;AE$2&amp;".*",'Card Data'!$A:$A,$A4)=0,"",IF(COUNTIFS('Card Data'!$AC:$AC,"*"&amp;AE$2&amp;".*",'Card Data'!$A:$A,$A4,'Card Data'!$J:$J,"Hero")=0,COUNTIFS('Card Data'!$AC:$AC,"*"&amp;AE$2&amp;".*",'Card Data'!$A:$A,$A4),COUNTIFS('Card Data'!$AC:$AC,"*"&amp;AE$2&amp;".*",'Card Data'!$A:$A,$A4)&amp;" ("&amp;COUNTIFS('Card Data'!$AC:$AC,"*"&amp;AE$2&amp;".*",'Card Data'!$A:$A,$A4,'Card Data'!$J:$J,"Hero")&amp;")"))</f>
        <v/>
      </c>
      <c r="AF4" s="40" t="str">
        <f>IF(COUNTIFS('Card Data'!$AC:$AC,"*"&amp;AF$2&amp;".*",'Card Data'!$A:$A,$A4)=0,"",IF(COUNTIFS('Card Data'!$AC:$AC,"*"&amp;AF$2&amp;".*",'Card Data'!$A:$A,$A4,'Card Data'!$J:$J,"Hero")=0,COUNTIFS('Card Data'!$AC:$AC,"*"&amp;AF$2&amp;".*",'Card Data'!$A:$A,$A4),COUNTIFS('Card Data'!$AC:$AC,"*"&amp;AF$2&amp;".*",'Card Data'!$A:$A,$A4)&amp;" ("&amp;COUNTIFS('Card Data'!$AC:$AC,"*"&amp;AF$2&amp;".*",'Card Data'!$A:$A,$A4,'Card Data'!$J:$J,"Hero")&amp;")"))</f>
        <v/>
      </c>
      <c r="AG4" s="40" t="str">
        <f>IF(COUNTIFS('Card Data'!$AC:$AC,"*"&amp;AG$2&amp;".*",'Card Data'!$A:$A,$A4)=0,"",IF(COUNTIFS('Card Data'!$AC:$AC,"*"&amp;AG$2&amp;".*",'Card Data'!$A:$A,$A4,'Card Data'!$J:$J,"Hero")=0,COUNTIFS('Card Data'!$AC:$AC,"*"&amp;AG$2&amp;".*",'Card Data'!$A:$A,$A4),COUNTIFS('Card Data'!$AC:$AC,"*"&amp;AG$2&amp;".*",'Card Data'!$A:$A,$A4)&amp;" ("&amp;COUNTIFS('Card Data'!$AC:$AC,"*"&amp;AG$2&amp;".*",'Card Data'!$A:$A,$A4,'Card Data'!$J:$J,"Hero")&amp;")"))</f>
        <v/>
      </c>
      <c r="AH4" s="40" t="str">
        <f>IF(COUNTIFS('Card Data'!$AC:$AC,"*"&amp;AH$2&amp;".*",'Card Data'!$A:$A,$A4)=0,"",IF(COUNTIFS('Card Data'!$AC:$AC,"*"&amp;AH$2&amp;".*",'Card Data'!$A:$A,$A4,'Card Data'!$J:$J,"Hero")=0,COUNTIFS('Card Data'!$AC:$AC,"*"&amp;AH$2&amp;".*",'Card Data'!$A:$A,$A4),COUNTIFS('Card Data'!$AC:$AC,"*"&amp;AH$2&amp;".*",'Card Data'!$A:$A,$A4)&amp;" ("&amp;COUNTIFS('Card Data'!$AC:$AC,"*"&amp;AH$2&amp;".*",'Card Data'!$A:$A,$A4,'Card Data'!$J:$J,"Hero")&amp;")"))</f>
        <v/>
      </c>
      <c r="AI4" s="40" t="str">
        <f>IF(COUNTIFS('Card Data'!$AC:$AC,"*"&amp;AI$2&amp;".*",'Card Data'!$A:$A,$A4)=0,"",IF(COUNTIFS('Card Data'!$AC:$AC,"*"&amp;AI$2&amp;".*",'Card Data'!$A:$A,$A4,'Card Data'!$J:$J,"Hero")=0,COUNTIFS('Card Data'!$AC:$AC,"*"&amp;AI$2&amp;".*",'Card Data'!$A:$A,$A4),COUNTIFS('Card Data'!$AC:$AC,"*"&amp;AI$2&amp;".*",'Card Data'!$A:$A,$A4)&amp;" ("&amp;COUNTIFS('Card Data'!$AC:$AC,"*"&amp;AI$2&amp;".*",'Card Data'!$A:$A,$A4,'Card Data'!$J:$J,"Hero")&amp;")"))</f>
        <v/>
      </c>
      <c r="AJ4" s="40" t="str">
        <f>IF(COUNTIFS('Card Data'!$AC:$AC,"*"&amp;AJ$2&amp;".*",'Card Data'!$A:$A,$A4)=0,"",IF(COUNTIFS('Card Data'!$AC:$AC,"*"&amp;AJ$2&amp;".*",'Card Data'!$A:$A,$A4,'Card Data'!$J:$J,"Hero")=0,COUNTIFS('Card Data'!$AC:$AC,"*"&amp;AJ$2&amp;".*",'Card Data'!$A:$A,$A4),COUNTIFS('Card Data'!$AC:$AC,"*"&amp;AJ$2&amp;".*",'Card Data'!$A:$A,$A4)&amp;" ("&amp;COUNTIFS('Card Data'!$AC:$AC,"*"&amp;AJ$2&amp;".*",'Card Data'!$A:$A,$A4,'Card Data'!$J:$J,"Hero")&amp;")"))</f>
        <v/>
      </c>
      <c r="AK4" s="40" t="str">
        <f>IF(COUNTIFS('Card Data'!$AC:$AC,"*"&amp;AK$2&amp;".*",'Card Data'!$A:$A,$A4)=0,"",IF(COUNTIFS('Card Data'!$AC:$AC,"*"&amp;AK$2&amp;".*",'Card Data'!$A:$A,$A4,'Card Data'!$J:$J,"Hero")=0,COUNTIFS('Card Data'!$AC:$AC,"*"&amp;AK$2&amp;".*",'Card Data'!$A:$A,$A4),COUNTIFS('Card Data'!$AC:$AC,"*"&amp;AK$2&amp;".*",'Card Data'!$A:$A,$A4)&amp;" ("&amp;COUNTIFS('Card Data'!$AC:$AC,"*"&amp;AK$2&amp;".*",'Card Data'!$A:$A,$A4,'Card Data'!$J:$J,"Hero")&amp;")"))</f>
        <v/>
      </c>
      <c r="AL4" s="40" t="str">
        <f>IF(COUNTIFS('Card Data'!$AC:$AC,"*"&amp;AL$2&amp;".*",'Card Data'!$A:$A,$A4)=0,"",IF(COUNTIFS('Card Data'!$AC:$AC,"*"&amp;AL$2&amp;".*",'Card Data'!$A:$A,$A4,'Card Data'!$J:$J,"Hero")=0,COUNTIFS('Card Data'!$AC:$AC,"*"&amp;AL$2&amp;".*",'Card Data'!$A:$A,$A4),COUNTIFS('Card Data'!$AC:$AC,"*"&amp;AL$2&amp;".*",'Card Data'!$A:$A,$A4)&amp;" ("&amp;COUNTIFS('Card Data'!$AC:$AC,"*"&amp;AL$2&amp;".*",'Card Data'!$A:$A,$A4,'Card Data'!$J:$J,"Hero")&amp;")"))</f>
        <v/>
      </c>
    </row>
    <row r="5" spans="1:38" s="23" customFormat="1" x14ac:dyDescent="0.2">
      <c r="C5" s="24"/>
    </row>
    <row r="6" spans="1:38" s="23" customFormat="1" x14ac:dyDescent="0.2">
      <c r="C6" s="24"/>
    </row>
  </sheetData>
  <mergeCells count="4">
    <mergeCell ref="G1:K1"/>
    <mergeCell ref="N1:T1"/>
    <mergeCell ref="V1:Z1"/>
    <mergeCell ref="AB1:AL1"/>
  </mergeCells>
  <conditionalFormatting sqref="V2">
    <cfRule type="cellIs" dxfId="53" priority="29" operator="equal">
      <formula>"Fellowship"</formula>
    </cfRule>
    <cfRule type="cellIs" dxfId="52" priority="30" operator="equal">
      <formula>"Neutral"</formula>
    </cfRule>
    <cfRule type="cellIs" dxfId="51" priority="31" operator="equal">
      <formula>"Baggins"</formula>
    </cfRule>
    <cfRule type="cellIs" dxfId="50" priority="32" operator="equal">
      <formula>"Lore"</formula>
    </cfRule>
    <cfRule type="cellIs" dxfId="49" priority="33" operator="equal">
      <formula>"Spirit"</formula>
    </cfRule>
    <cfRule type="cellIs" dxfId="48" priority="34" operator="equal">
      <formula>"Tactics"</formula>
    </cfRule>
    <cfRule type="cellIs" dxfId="47" priority="35" operator="equal">
      <formula>"Leadership"</formula>
    </cfRule>
  </conditionalFormatting>
  <conditionalFormatting sqref="W2">
    <cfRule type="cellIs" dxfId="46" priority="22" operator="equal">
      <formula>"Fellowship"</formula>
    </cfRule>
    <cfRule type="cellIs" dxfId="45" priority="23" operator="equal">
      <formula>"Neutral"</formula>
    </cfRule>
    <cfRule type="cellIs" dxfId="44" priority="24" operator="equal">
      <formula>"Baggins"</formula>
    </cfRule>
    <cfRule type="cellIs" dxfId="43" priority="25" operator="equal">
      <formula>"Lore"</formula>
    </cfRule>
    <cfRule type="cellIs" dxfId="42" priority="26" operator="equal">
      <formula>"Spirit"</formula>
    </cfRule>
    <cfRule type="cellIs" dxfId="41" priority="27" operator="equal">
      <formula>"Tactics"</formula>
    </cfRule>
    <cfRule type="cellIs" dxfId="40" priority="28" operator="equal">
      <formula>"Leadership"</formula>
    </cfRule>
  </conditionalFormatting>
  <conditionalFormatting sqref="X2">
    <cfRule type="cellIs" dxfId="39" priority="15" operator="equal">
      <formula>"Fellowship"</formula>
    </cfRule>
    <cfRule type="cellIs" dxfId="38" priority="16" operator="equal">
      <formula>"Neutral"</formula>
    </cfRule>
    <cfRule type="cellIs" dxfId="37" priority="17" operator="equal">
      <formula>"Baggins"</formula>
    </cfRule>
    <cfRule type="cellIs" dxfId="36" priority="18" operator="equal">
      <formula>"Lore"</formula>
    </cfRule>
    <cfRule type="cellIs" dxfId="35" priority="19" operator="equal">
      <formula>"Spirit"</formula>
    </cfRule>
    <cfRule type="cellIs" dxfId="34" priority="20" operator="equal">
      <formula>"Tactics"</formula>
    </cfRule>
    <cfRule type="cellIs" dxfId="33" priority="21" operator="equal">
      <formula>"Leadership"</formula>
    </cfRule>
  </conditionalFormatting>
  <conditionalFormatting sqref="Y2">
    <cfRule type="cellIs" dxfId="32" priority="8" operator="equal">
      <formula>"Fellowship"</formula>
    </cfRule>
    <cfRule type="cellIs" dxfId="31" priority="9" operator="equal">
      <formula>"Neutral"</formula>
    </cfRule>
    <cfRule type="cellIs" dxfId="30" priority="10" operator="equal">
      <formula>"Baggins"</formula>
    </cfRule>
    <cfRule type="cellIs" dxfId="29" priority="11" operator="equal">
      <formula>"Lore"</formula>
    </cfRule>
    <cfRule type="cellIs" dxfId="28" priority="12" operator="equal">
      <formula>"Spirit"</formula>
    </cfRule>
    <cfRule type="cellIs" dxfId="27" priority="13" operator="equal">
      <formula>"Tactics"</formula>
    </cfRule>
    <cfRule type="cellIs" dxfId="26" priority="14" operator="equal">
      <formula>"Leadership"</formula>
    </cfRule>
  </conditionalFormatting>
  <conditionalFormatting sqref="Z2">
    <cfRule type="cellIs" dxfId="25" priority="1" operator="equal">
      <formula>"Fellowship"</formula>
    </cfRule>
    <cfRule type="cellIs" dxfId="24" priority="2" operator="equal">
      <formula>"Neutral"</formula>
    </cfRule>
    <cfRule type="cellIs" dxfId="23" priority="3" operator="equal">
      <formula>"Baggins"</formula>
    </cfRule>
    <cfRule type="cellIs" dxfId="22" priority="4" operator="equal">
      <formula>"Lore"</formula>
    </cfRule>
    <cfRule type="cellIs" dxfId="21" priority="5" operator="equal">
      <formula>"Spirit"</formula>
    </cfRule>
    <cfRule type="cellIs" dxfId="20" priority="6" operator="equal">
      <formula>"Tactics"</formula>
    </cfRule>
    <cfRule type="cellIs" dxfId="1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H1131"/>
  <sheetViews>
    <sheetView workbookViewId="0">
      <pane xSplit="7" ySplit="1" topLeftCell="T11" activePane="bottomRight" state="frozen"/>
      <selection activeCell="E1" sqref="E1"/>
      <selection pane="topRight" activeCell="F1" sqref="F1"/>
      <selection pane="bottomLeft" activeCell="E2" sqref="E2"/>
      <selection pane="bottomRight" activeCell="B22" sqref="B22"/>
    </sheetView>
  </sheetViews>
  <sheetFormatPr defaultColWidth="9.125" defaultRowHeight="12" outlineLevelCol="1" x14ac:dyDescent="0.2"/>
  <cols>
    <col min="1" max="1" width="34" style="20" customWidth="1" outlineLevel="1"/>
    <col min="2" max="2" width="31.375" style="20" customWidth="1" outlineLevel="1"/>
    <col min="3" max="3" width="4.625" style="20" customWidth="1" outlineLevel="1"/>
    <col min="4" max="4" width="4" style="45" bestFit="1" customWidth="1"/>
    <col min="5" max="5" width="3.25" style="20" bestFit="1" customWidth="1"/>
    <col min="6" max="6" width="37.25" style="20" bestFit="1" customWidth="1"/>
    <col min="7" max="7" width="30.125" style="1" bestFit="1" customWidth="1"/>
    <col min="8" max="8" width="17" style="1" customWidth="1"/>
    <col min="9" max="9" width="3.125" style="1" bestFit="1" customWidth="1"/>
    <col min="10" max="10" width="10.375" style="1" bestFit="1" customWidth="1"/>
    <col min="11" max="11" width="9.625" style="1" bestFit="1" customWidth="1"/>
    <col min="12" max="12" width="5.625" style="1" bestFit="1" customWidth="1"/>
    <col min="13" max="13" width="8.125" style="1" bestFit="1" customWidth="1"/>
    <col min="14" max="14" width="3.125" style="16" bestFit="1" customWidth="1"/>
    <col min="15" max="15" width="3.125" style="36" bestFit="1" customWidth="1"/>
    <col min="16" max="16" width="3.125" style="34" bestFit="1" customWidth="1"/>
    <col min="17" max="17" width="3.125" style="35" bestFit="1" customWidth="1"/>
    <col min="18" max="18" width="3.125" style="38" bestFit="1" customWidth="1"/>
    <col min="19" max="19" width="3.125" style="37" bestFit="1" customWidth="1"/>
    <col min="20" max="20" width="3.125" style="36" bestFit="1" customWidth="1"/>
    <col min="21" max="21" width="3.125" style="84" bestFit="1" customWidth="1"/>
    <col min="22" max="22" width="3.125" style="85" bestFit="1" customWidth="1"/>
    <col min="23" max="23" width="3.125" style="33" bestFit="1" customWidth="1"/>
    <col min="24" max="24" width="3.125" style="38" bestFit="1" customWidth="1"/>
    <col min="25" max="25" width="3.125" style="37" bestFit="1" customWidth="1"/>
    <col min="26" max="26" width="3.125" style="32" bestFit="1" customWidth="1"/>
    <col min="27" max="27" width="9.375" style="1" bestFit="1" customWidth="1"/>
    <col min="28" max="28" width="8.75" style="1" customWidth="1"/>
    <col min="29" max="29" width="23.875" style="1" bestFit="1" customWidth="1"/>
    <col min="30" max="30" width="31.25" style="2" customWidth="1"/>
    <col min="31" max="31" width="49.625" style="3" customWidth="1"/>
    <col min="32" max="32" width="44.875" style="3" customWidth="1"/>
    <col min="33" max="33" width="7.625" style="1" bestFit="1" customWidth="1"/>
    <col min="34" max="35" width="30.125" style="1" bestFit="1" customWidth="1"/>
    <col min="36" max="36" width="3.125" style="1" bestFit="1" customWidth="1"/>
    <col min="37" max="37" width="10.375" style="1" bestFit="1" customWidth="1"/>
    <col min="38" max="38" width="9.625" style="1" bestFit="1" customWidth="1"/>
    <col min="39" max="39" width="5.625" style="1" bestFit="1" customWidth="1"/>
    <col min="40" max="40" width="8.125" style="1" bestFit="1" customWidth="1"/>
    <col min="41" max="41" width="3.125" style="16" bestFit="1" customWidth="1"/>
    <col min="42" max="42" width="3.125" style="36" bestFit="1" customWidth="1"/>
    <col min="43" max="43" width="3.125" style="34" bestFit="1" customWidth="1"/>
    <col min="44" max="44" width="3.125" style="35" bestFit="1" customWidth="1"/>
    <col min="45" max="45" width="3.125" style="105" bestFit="1" customWidth="1"/>
    <col min="46" max="46" width="3.125" style="37" bestFit="1" customWidth="1"/>
    <col min="47" max="47" width="3.125" style="36" bestFit="1" customWidth="1"/>
    <col min="48" max="48" width="3.125" style="84" bestFit="1" customWidth="1"/>
    <col min="49" max="49" width="3.125" style="85" bestFit="1" customWidth="1"/>
    <col min="50" max="50" width="3.125" style="33" bestFit="1" customWidth="1"/>
    <col min="51" max="51" width="3.125" style="105" bestFit="1" customWidth="1"/>
    <col min="52" max="52" width="3.125" style="37" bestFit="1" customWidth="1"/>
    <col min="53" max="53" width="3.125" style="32" bestFit="1" customWidth="1"/>
    <col min="54" max="54" width="20.75" style="1" customWidth="1"/>
    <col min="55" max="55" width="26.125" style="1" bestFit="1" customWidth="1"/>
    <col min="56" max="56" width="31.25" style="2" customWidth="1"/>
    <col min="57" max="57" width="49.625" style="3" customWidth="1"/>
    <col min="58" max="58" width="44.875" style="3" customWidth="1"/>
    <col min="59" max="59" width="7.625" style="1" bestFit="1" customWidth="1"/>
    <col min="60" max="60" width="13.25" style="1" bestFit="1" customWidth="1"/>
    <col min="61" max="16384" width="9.125" style="1"/>
  </cols>
  <sheetData>
    <row r="1" spans="1:60" s="17" customFormat="1" ht="99.75" customHeight="1" x14ac:dyDescent="0.2">
      <c r="A1" s="53" t="s">
        <v>0</v>
      </c>
      <c r="B1" s="53" t="s">
        <v>1</v>
      </c>
      <c r="C1" s="53" t="s">
        <v>63</v>
      </c>
      <c r="D1" s="54" t="s">
        <v>64</v>
      </c>
      <c r="E1" s="53" t="s">
        <v>19</v>
      </c>
      <c r="F1" s="55" t="s">
        <v>18</v>
      </c>
      <c r="G1" s="55" t="s">
        <v>2</v>
      </c>
      <c r="H1" s="55" t="s">
        <v>4100</v>
      </c>
      <c r="I1" s="53" t="s">
        <v>3</v>
      </c>
      <c r="J1" s="55" t="s">
        <v>4</v>
      </c>
      <c r="K1" s="55" t="s">
        <v>4099</v>
      </c>
      <c r="L1" s="55" t="s">
        <v>4103</v>
      </c>
      <c r="M1" s="55" t="s">
        <v>4107</v>
      </c>
      <c r="N1" s="57" t="s">
        <v>8</v>
      </c>
      <c r="O1" s="58" t="s">
        <v>11</v>
      </c>
      <c r="P1" s="58" t="s">
        <v>4105</v>
      </c>
      <c r="Q1" s="58" t="s">
        <v>3326</v>
      </c>
      <c r="R1" s="60" t="s">
        <v>4106</v>
      </c>
      <c r="S1" s="59" t="s">
        <v>14</v>
      </c>
      <c r="T1" s="58" t="s">
        <v>4108</v>
      </c>
      <c r="U1" s="58" t="s">
        <v>179</v>
      </c>
      <c r="V1" s="58" t="s">
        <v>4109</v>
      </c>
      <c r="W1" s="58" t="s">
        <v>4110</v>
      </c>
      <c r="X1" s="60" t="s">
        <v>4528</v>
      </c>
      <c r="Y1" s="59" t="s">
        <v>4111</v>
      </c>
      <c r="Z1" s="58" t="s">
        <v>20</v>
      </c>
      <c r="AA1" s="55" t="s">
        <v>4104</v>
      </c>
      <c r="AB1" s="55" t="s">
        <v>4527</v>
      </c>
      <c r="AC1" s="55" t="s">
        <v>6</v>
      </c>
      <c r="AD1" s="56" t="s">
        <v>7</v>
      </c>
      <c r="AE1" s="61" t="s">
        <v>15</v>
      </c>
      <c r="AF1" s="61" t="s">
        <v>4112</v>
      </c>
      <c r="AG1" s="55" t="s">
        <v>21</v>
      </c>
      <c r="AH1" s="62" t="s">
        <v>22</v>
      </c>
      <c r="AI1" s="62" t="s">
        <v>4100</v>
      </c>
      <c r="AJ1" s="63" t="s">
        <v>3</v>
      </c>
      <c r="AK1" s="62" t="s">
        <v>4</v>
      </c>
      <c r="AL1" s="62" t="s">
        <v>4099</v>
      </c>
      <c r="AM1" s="62" t="s">
        <v>4103</v>
      </c>
      <c r="AN1" s="62" t="s">
        <v>4107</v>
      </c>
      <c r="AO1" s="86" t="s">
        <v>8</v>
      </c>
      <c r="AP1" s="65" t="s">
        <v>11</v>
      </c>
      <c r="AQ1" s="65" t="s">
        <v>4105</v>
      </c>
      <c r="AR1" s="65" t="s">
        <v>3326</v>
      </c>
      <c r="AS1" s="104" t="s">
        <v>4106</v>
      </c>
      <c r="AT1" s="66" t="s">
        <v>14</v>
      </c>
      <c r="AU1" s="65" t="s">
        <v>4108</v>
      </c>
      <c r="AV1" s="65" t="s">
        <v>179</v>
      </c>
      <c r="AW1" s="65" t="s">
        <v>4109</v>
      </c>
      <c r="AX1" s="65" t="s">
        <v>4110</v>
      </c>
      <c r="AY1" s="104" t="s">
        <v>4528</v>
      </c>
      <c r="AZ1" s="66" t="s">
        <v>4111</v>
      </c>
      <c r="BA1" s="65" t="s">
        <v>20</v>
      </c>
      <c r="BB1" s="62" t="s">
        <v>4104</v>
      </c>
      <c r="BC1" s="62" t="s">
        <v>6</v>
      </c>
      <c r="BD1" s="87" t="s">
        <v>7</v>
      </c>
      <c r="BE1" s="64" t="s">
        <v>15</v>
      </c>
      <c r="BF1" s="64" t="s">
        <v>4112</v>
      </c>
      <c r="BG1" s="62" t="s">
        <v>21</v>
      </c>
      <c r="BH1" s="106" t="s">
        <v>4529</v>
      </c>
    </row>
    <row r="2" spans="1:60" ht="36.75" customHeight="1" x14ac:dyDescent="0.2">
      <c r="A2" s="67" t="s">
        <v>4056</v>
      </c>
      <c r="B2" s="67" t="s">
        <v>4373</v>
      </c>
      <c r="C2" s="67" t="s">
        <v>65</v>
      </c>
      <c r="D2" s="68">
        <v>1</v>
      </c>
      <c r="E2" s="67">
        <v>1</v>
      </c>
      <c r="F2" s="67"/>
      <c r="G2" s="67" t="s">
        <v>4058</v>
      </c>
      <c r="H2" s="81" t="s">
        <v>4101</v>
      </c>
      <c r="I2" s="69" t="s">
        <v>4097</v>
      </c>
      <c r="J2" s="70" t="s">
        <v>4077</v>
      </c>
      <c r="K2" s="70" t="s">
        <v>4072</v>
      </c>
      <c r="L2" s="70"/>
      <c r="M2" s="70"/>
      <c r="N2" s="72"/>
      <c r="O2" s="77">
        <v>3</v>
      </c>
      <c r="P2" s="75">
        <v>3</v>
      </c>
      <c r="Q2" s="76">
        <v>4</v>
      </c>
      <c r="R2" s="92">
        <v>2</v>
      </c>
      <c r="S2" s="78">
        <v>9</v>
      </c>
      <c r="T2" s="77">
        <v>5</v>
      </c>
      <c r="U2" s="82"/>
      <c r="V2" s="83"/>
      <c r="W2" s="74"/>
      <c r="X2" s="92"/>
      <c r="Y2" s="78"/>
      <c r="Z2" s="73"/>
      <c r="AA2" s="70"/>
      <c r="AB2" s="70"/>
      <c r="AC2" s="70" t="s">
        <v>4102</v>
      </c>
      <c r="AD2" s="71"/>
      <c r="AE2" s="79" t="s">
        <v>4113</v>
      </c>
      <c r="AF2" s="79"/>
      <c r="AG2" s="70"/>
      <c r="AH2" s="81"/>
      <c r="AI2" s="81"/>
      <c r="AJ2" s="70"/>
      <c r="AK2" s="70"/>
      <c r="AL2" s="70"/>
      <c r="AM2" s="70"/>
      <c r="AN2" s="72"/>
      <c r="AO2" s="72"/>
      <c r="AP2" s="77"/>
      <c r="AQ2" s="75"/>
      <c r="AR2" s="76"/>
      <c r="AS2" s="92"/>
      <c r="AT2" s="78"/>
      <c r="AU2" s="77"/>
      <c r="AV2" s="82"/>
      <c r="AW2" s="83"/>
      <c r="AX2" s="74"/>
      <c r="AY2" s="92"/>
      <c r="AZ2" s="78"/>
      <c r="BA2" s="73"/>
      <c r="BB2" s="70"/>
      <c r="BC2" s="71"/>
      <c r="BD2" s="79"/>
      <c r="BE2" s="79"/>
      <c r="BF2" s="70"/>
    </row>
    <row r="3" spans="1:60" ht="38.25" x14ac:dyDescent="0.2">
      <c r="A3" s="70" t="s">
        <v>4056</v>
      </c>
      <c r="B3" s="70" t="s">
        <v>4374</v>
      </c>
      <c r="C3" s="70" t="s">
        <v>65</v>
      </c>
      <c r="D3" s="80">
        <v>2</v>
      </c>
      <c r="E3" s="70">
        <v>1</v>
      </c>
      <c r="F3" s="70"/>
      <c r="G3" s="70" t="s">
        <v>4114</v>
      </c>
      <c r="H3" s="70" t="s">
        <v>4115</v>
      </c>
      <c r="I3" s="69" t="s">
        <v>4097</v>
      </c>
      <c r="J3" s="70" t="s">
        <v>4077</v>
      </c>
      <c r="K3" s="70" t="s">
        <v>4073</v>
      </c>
      <c r="L3" s="70"/>
      <c r="M3" s="70"/>
      <c r="N3" s="72"/>
      <c r="O3" s="77">
        <v>3</v>
      </c>
      <c r="P3" s="75">
        <v>5</v>
      </c>
      <c r="Q3" s="76">
        <v>2</v>
      </c>
      <c r="R3" s="92">
        <v>2</v>
      </c>
      <c r="S3" s="78">
        <v>5</v>
      </c>
      <c r="T3" s="77">
        <v>9</v>
      </c>
      <c r="U3" s="82"/>
      <c r="V3" s="83"/>
      <c r="W3" s="74"/>
      <c r="X3" s="92"/>
      <c r="Y3" s="78"/>
      <c r="Z3" s="73"/>
      <c r="AA3" s="70"/>
      <c r="AB3" s="70"/>
      <c r="AC3" s="70" t="s">
        <v>4116</v>
      </c>
      <c r="AD3" s="71"/>
      <c r="AE3" s="79" t="s">
        <v>4117</v>
      </c>
      <c r="AF3" s="79"/>
      <c r="AG3" s="70"/>
      <c r="AH3" s="70"/>
      <c r="AI3" s="70"/>
      <c r="AJ3" s="70"/>
      <c r="AK3" s="70"/>
      <c r="AL3" s="70"/>
      <c r="AM3" s="70"/>
      <c r="AN3" s="72"/>
      <c r="AO3" s="72"/>
      <c r="AP3" s="77"/>
      <c r="AQ3" s="75"/>
      <c r="AR3" s="76"/>
      <c r="AS3" s="92"/>
      <c r="AT3" s="78"/>
      <c r="AU3" s="77"/>
      <c r="AV3" s="82"/>
      <c r="AW3" s="83"/>
      <c r="AX3" s="74"/>
      <c r="AY3" s="92"/>
      <c r="AZ3" s="78"/>
      <c r="BA3" s="73"/>
      <c r="BB3" s="70"/>
      <c r="BC3" s="71"/>
      <c r="BD3" s="79"/>
      <c r="BE3" s="79"/>
      <c r="BF3" s="70"/>
    </row>
    <row r="4" spans="1:60" ht="38.25" x14ac:dyDescent="0.2">
      <c r="A4" s="70" t="s">
        <v>4056</v>
      </c>
      <c r="B4" s="70" t="s">
        <v>4375</v>
      </c>
      <c r="C4" s="70" t="s">
        <v>65</v>
      </c>
      <c r="D4" s="80">
        <v>3</v>
      </c>
      <c r="E4" s="70">
        <v>1</v>
      </c>
      <c r="F4" s="70"/>
      <c r="G4" s="70" t="s">
        <v>4118</v>
      </c>
      <c r="H4" s="70" t="s">
        <v>4119</v>
      </c>
      <c r="I4" s="69" t="s">
        <v>4097</v>
      </c>
      <c r="J4" s="70" t="s">
        <v>4077</v>
      </c>
      <c r="K4" s="70" t="s">
        <v>4075</v>
      </c>
      <c r="L4" s="70"/>
      <c r="M4" s="70"/>
      <c r="N4" s="72"/>
      <c r="O4" s="77">
        <v>2</v>
      </c>
      <c r="P4" s="75">
        <v>3</v>
      </c>
      <c r="Q4" s="76">
        <v>3</v>
      </c>
      <c r="R4" s="92">
        <v>4</v>
      </c>
      <c r="S4" s="78">
        <v>8</v>
      </c>
      <c r="T4" s="77">
        <v>6</v>
      </c>
      <c r="U4" s="82"/>
      <c r="V4" s="83"/>
      <c r="W4" s="74"/>
      <c r="X4" s="92"/>
      <c r="Y4" s="78"/>
      <c r="Z4" s="73"/>
      <c r="AA4" s="70"/>
      <c r="AB4" s="70"/>
      <c r="AC4" s="70" t="s">
        <v>4120</v>
      </c>
      <c r="AD4" s="71"/>
      <c r="AE4" s="79" t="s">
        <v>4121</v>
      </c>
      <c r="AF4" s="79"/>
      <c r="AG4" s="70"/>
      <c r="AH4" s="70"/>
      <c r="AI4" s="70"/>
      <c r="AJ4" s="70"/>
      <c r="AK4" s="70"/>
      <c r="AL4" s="70"/>
      <c r="AM4" s="70"/>
      <c r="AN4" s="72"/>
      <c r="AO4" s="72"/>
      <c r="AP4" s="77"/>
      <c r="AQ4" s="75"/>
      <c r="AR4" s="76"/>
      <c r="AS4" s="92"/>
      <c r="AT4" s="78"/>
      <c r="AU4" s="77"/>
      <c r="AV4" s="82"/>
      <c r="AW4" s="83"/>
      <c r="AX4" s="74"/>
      <c r="AY4" s="92"/>
      <c r="AZ4" s="78"/>
      <c r="BA4" s="73"/>
      <c r="BB4" s="70"/>
      <c r="BC4" s="71"/>
      <c r="BD4" s="79"/>
      <c r="BE4" s="79"/>
      <c r="BF4" s="70"/>
    </row>
    <row r="5" spans="1:60" ht="38.25" x14ac:dyDescent="0.2">
      <c r="A5" s="70" t="s">
        <v>4056</v>
      </c>
      <c r="B5" s="70" t="s">
        <v>4376</v>
      </c>
      <c r="C5" s="70" t="s">
        <v>65</v>
      </c>
      <c r="D5" s="80">
        <v>4</v>
      </c>
      <c r="E5" s="70">
        <v>1</v>
      </c>
      <c r="F5" s="70"/>
      <c r="G5" s="70" t="s">
        <v>4122</v>
      </c>
      <c r="H5" s="70" t="s">
        <v>4123</v>
      </c>
      <c r="I5" s="69" t="s">
        <v>4097</v>
      </c>
      <c r="J5" s="70" t="s">
        <v>4077</v>
      </c>
      <c r="K5" s="70" t="s">
        <v>4074</v>
      </c>
      <c r="L5" s="70"/>
      <c r="M5" s="70"/>
      <c r="N5" s="72"/>
      <c r="O5" s="77">
        <v>5</v>
      </c>
      <c r="P5" s="75">
        <v>2</v>
      </c>
      <c r="Q5" s="76">
        <v>2</v>
      </c>
      <c r="R5" s="92">
        <v>3</v>
      </c>
      <c r="S5" s="78">
        <v>6</v>
      </c>
      <c r="T5" s="77">
        <v>8</v>
      </c>
      <c r="U5" s="82"/>
      <c r="V5" s="83"/>
      <c r="W5" s="74"/>
      <c r="X5" s="92"/>
      <c r="Y5" s="78"/>
      <c r="Z5" s="73"/>
      <c r="AA5" s="70"/>
      <c r="AB5" s="70"/>
      <c r="AC5" s="70" t="s">
        <v>4124</v>
      </c>
      <c r="AD5" s="71"/>
      <c r="AE5" s="79" t="s">
        <v>4125</v>
      </c>
      <c r="AF5" s="79"/>
      <c r="AG5" s="70"/>
      <c r="AH5" s="70"/>
      <c r="AI5" s="70"/>
      <c r="AJ5" s="70"/>
      <c r="AK5" s="70"/>
      <c r="AL5" s="70"/>
      <c r="AM5" s="70"/>
      <c r="AN5" s="72"/>
      <c r="AO5" s="72"/>
      <c r="AP5" s="77"/>
      <c r="AQ5" s="75"/>
      <c r="AR5" s="76"/>
      <c r="AS5" s="92"/>
      <c r="AT5" s="78"/>
      <c r="AU5" s="77"/>
      <c r="AV5" s="82"/>
      <c r="AW5" s="83"/>
      <c r="AX5" s="74"/>
      <c r="AY5" s="92"/>
      <c r="AZ5" s="78"/>
      <c r="BA5" s="73"/>
      <c r="BB5" s="70"/>
      <c r="BC5" s="71"/>
      <c r="BD5" s="79"/>
      <c r="BE5" s="79"/>
      <c r="BF5" s="70"/>
    </row>
    <row r="6" spans="1:60" ht="63.75" x14ac:dyDescent="0.2">
      <c r="A6" s="70" t="s">
        <v>4056</v>
      </c>
      <c r="B6" s="70" t="s">
        <v>4377</v>
      </c>
      <c r="C6" s="70" t="s">
        <v>65</v>
      </c>
      <c r="D6" s="70">
        <v>5</v>
      </c>
      <c r="E6" s="70">
        <v>1</v>
      </c>
      <c r="F6" s="70"/>
      <c r="G6" s="70" t="s">
        <v>4126</v>
      </c>
      <c r="H6" s="70" t="s">
        <v>4127</v>
      </c>
      <c r="I6" s="69" t="s">
        <v>4097</v>
      </c>
      <c r="J6" s="70" t="s">
        <v>4077</v>
      </c>
      <c r="K6" s="70" t="s">
        <v>4076</v>
      </c>
      <c r="L6" s="70"/>
      <c r="M6" s="70"/>
      <c r="N6" s="69"/>
      <c r="O6" s="77">
        <v>4</v>
      </c>
      <c r="P6" s="75">
        <v>3</v>
      </c>
      <c r="Q6" s="76">
        <v>1</v>
      </c>
      <c r="R6" s="92">
        <v>4</v>
      </c>
      <c r="S6" s="78">
        <v>7</v>
      </c>
      <c r="T6" s="77">
        <v>7</v>
      </c>
      <c r="U6" s="82"/>
      <c r="V6" s="83"/>
      <c r="W6" s="74"/>
      <c r="X6" s="92"/>
      <c r="Y6" s="78"/>
      <c r="Z6" s="73"/>
      <c r="AA6" s="70"/>
      <c r="AB6" s="70"/>
      <c r="AC6" s="70" t="s">
        <v>4128</v>
      </c>
      <c r="AD6" s="70"/>
      <c r="AE6" s="79" t="s">
        <v>4129</v>
      </c>
      <c r="AF6" s="70"/>
      <c r="AG6" s="70"/>
      <c r="AH6" s="70"/>
      <c r="AI6" s="70"/>
      <c r="AJ6" s="70"/>
      <c r="AK6" s="70"/>
      <c r="AL6" s="70"/>
      <c r="AM6" s="70"/>
      <c r="AN6" s="72"/>
      <c r="AO6" s="70"/>
      <c r="AP6" s="77"/>
      <c r="AQ6" s="75"/>
      <c r="AR6" s="76"/>
      <c r="AS6" s="92"/>
      <c r="AT6" s="78"/>
      <c r="AU6" s="77"/>
      <c r="AV6" s="82"/>
      <c r="AW6" s="83"/>
      <c r="AX6" s="74"/>
      <c r="AY6" s="92"/>
      <c r="AZ6" s="78"/>
      <c r="BA6" s="73"/>
      <c r="BB6" s="70"/>
      <c r="BC6" s="71"/>
      <c r="BD6" s="79"/>
      <c r="BE6" s="79"/>
      <c r="BF6" s="70"/>
    </row>
    <row r="7" spans="1:60" ht="63.75" x14ac:dyDescent="0.2">
      <c r="A7" s="70" t="s">
        <v>4056</v>
      </c>
      <c r="B7" s="70" t="s">
        <v>4378</v>
      </c>
      <c r="C7" s="70" t="s">
        <v>65</v>
      </c>
      <c r="D7" s="70">
        <v>6</v>
      </c>
      <c r="E7" s="70">
        <v>1</v>
      </c>
      <c r="F7" s="70"/>
      <c r="G7" s="70" t="s">
        <v>4130</v>
      </c>
      <c r="H7" s="70"/>
      <c r="I7" s="69" t="s">
        <v>4097</v>
      </c>
      <c r="J7" s="70" t="s">
        <v>4131</v>
      </c>
      <c r="K7" s="70" t="s">
        <v>29</v>
      </c>
      <c r="L7" s="70"/>
      <c r="M7" s="70"/>
      <c r="N7" s="69">
        <v>3</v>
      </c>
      <c r="O7" s="77"/>
      <c r="P7" s="75"/>
      <c r="Q7" s="76">
        <v>1</v>
      </c>
      <c r="R7" s="92">
        <v>1</v>
      </c>
      <c r="S7" s="78"/>
      <c r="T7" s="77"/>
      <c r="U7" s="82"/>
      <c r="V7" s="83"/>
      <c r="W7" s="74"/>
      <c r="X7" s="92"/>
      <c r="Y7" s="78"/>
      <c r="Z7" s="73"/>
      <c r="AA7" s="70"/>
      <c r="AB7" s="70" t="s">
        <v>4132</v>
      </c>
      <c r="AC7" s="70" t="s">
        <v>4133</v>
      </c>
      <c r="AD7" s="70"/>
      <c r="AE7" s="79" t="s">
        <v>4134</v>
      </c>
      <c r="AF7" s="70"/>
      <c r="AG7" s="70"/>
      <c r="AH7" s="70"/>
      <c r="AI7" s="70"/>
      <c r="AJ7" s="70"/>
      <c r="AK7" s="70"/>
      <c r="AL7" s="70"/>
      <c r="AM7" s="70"/>
      <c r="AN7" s="72"/>
      <c r="AO7" s="70"/>
      <c r="AP7" s="77"/>
      <c r="AQ7" s="75"/>
      <c r="AR7" s="76"/>
      <c r="AS7" s="92"/>
      <c r="AT7" s="78"/>
      <c r="AU7" s="77"/>
      <c r="AV7" s="82"/>
      <c r="AW7" s="83"/>
      <c r="AX7" s="74"/>
      <c r="AY7" s="92"/>
      <c r="AZ7" s="78"/>
      <c r="BA7" s="73"/>
      <c r="BB7" s="70"/>
      <c r="BC7" s="71"/>
      <c r="BD7" s="79"/>
      <c r="BE7" s="79"/>
      <c r="BF7" s="70"/>
    </row>
    <row r="8" spans="1:60" ht="76.5" x14ac:dyDescent="0.2">
      <c r="A8" s="70" t="s">
        <v>4056</v>
      </c>
      <c r="B8" s="70" t="s">
        <v>4379</v>
      </c>
      <c r="C8" s="70" t="s">
        <v>65</v>
      </c>
      <c r="D8" s="70">
        <v>7</v>
      </c>
      <c r="E8" s="70">
        <v>1</v>
      </c>
      <c r="F8" s="70"/>
      <c r="G8" s="70" t="s">
        <v>4135</v>
      </c>
      <c r="H8" s="70"/>
      <c r="I8" s="69"/>
      <c r="J8" s="70" t="s">
        <v>34</v>
      </c>
      <c r="K8" s="70" t="s">
        <v>29</v>
      </c>
      <c r="L8" s="70"/>
      <c r="M8" s="70"/>
      <c r="N8" s="69"/>
      <c r="O8" s="77"/>
      <c r="P8" s="75"/>
      <c r="Q8" s="76"/>
      <c r="R8" s="92"/>
      <c r="S8" s="78"/>
      <c r="T8" s="77"/>
      <c r="U8" s="82"/>
      <c r="V8" s="83"/>
      <c r="W8" s="74"/>
      <c r="X8" s="92"/>
      <c r="Y8" s="78"/>
      <c r="Z8" s="73"/>
      <c r="AA8" s="70"/>
      <c r="AB8" s="70"/>
      <c r="AC8" s="70" t="s">
        <v>4136</v>
      </c>
      <c r="AD8" s="70"/>
      <c r="AE8" s="79" t="s">
        <v>4137</v>
      </c>
      <c r="AF8" s="70"/>
      <c r="AG8" s="70"/>
      <c r="AH8" s="70"/>
      <c r="AI8" s="70"/>
      <c r="AJ8" s="70"/>
      <c r="AK8" s="70"/>
      <c r="AL8" s="70"/>
      <c r="AM8" s="70"/>
      <c r="AN8" s="72"/>
      <c r="AO8" s="70"/>
      <c r="AP8" s="77"/>
      <c r="AQ8" s="75"/>
      <c r="AR8" s="76"/>
      <c r="AS8" s="92"/>
      <c r="AT8" s="78"/>
      <c r="AU8" s="77"/>
      <c r="AV8" s="82"/>
      <c r="AW8" s="83"/>
      <c r="AX8" s="74"/>
      <c r="AY8" s="92"/>
      <c r="AZ8" s="78"/>
      <c r="BA8" s="73"/>
      <c r="BB8" s="70"/>
      <c r="BC8" s="71"/>
      <c r="BD8" s="79"/>
      <c r="BE8" s="79"/>
      <c r="BF8" s="70"/>
    </row>
    <row r="9" spans="1:60" ht="38.25" x14ac:dyDescent="0.2">
      <c r="A9" s="70" t="s">
        <v>4056</v>
      </c>
      <c r="B9" s="70" t="s">
        <v>4380</v>
      </c>
      <c r="C9" s="70" t="s">
        <v>65</v>
      </c>
      <c r="D9" s="70">
        <v>8</v>
      </c>
      <c r="E9" s="70">
        <v>1</v>
      </c>
      <c r="F9" s="70"/>
      <c r="G9" s="70" t="s">
        <v>4138</v>
      </c>
      <c r="H9" s="70"/>
      <c r="I9" s="69" t="s">
        <v>4097</v>
      </c>
      <c r="J9" s="70" t="s">
        <v>4131</v>
      </c>
      <c r="K9" s="70" t="s">
        <v>29</v>
      </c>
      <c r="L9" s="70"/>
      <c r="M9" s="70"/>
      <c r="N9" s="69">
        <v>2</v>
      </c>
      <c r="O9" s="77">
        <v>1</v>
      </c>
      <c r="P9" s="75">
        <v>1</v>
      </c>
      <c r="Q9" s="76"/>
      <c r="R9" s="92"/>
      <c r="S9" s="78"/>
      <c r="T9" s="77"/>
      <c r="U9" s="82"/>
      <c r="V9" s="83"/>
      <c r="W9" s="74"/>
      <c r="X9" s="92"/>
      <c r="Y9" s="78"/>
      <c r="Z9" s="73"/>
      <c r="AA9" s="70"/>
      <c r="AB9" s="70"/>
      <c r="AC9" s="70" t="s">
        <v>4139</v>
      </c>
      <c r="AD9" s="70"/>
      <c r="AE9" s="79" t="s">
        <v>4140</v>
      </c>
      <c r="AF9" s="70"/>
      <c r="AG9" s="70"/>
      <c r="AH9" s="70"/>
      <c r="AI9" s="70"/>
      <c r="AJ9" s="70"/>
      <c r="AK9" s="70"/>
      <c r="AL9" s="70"/>
      <c r="AM9" s="70"/>
      <c r="AN9" s="72"/>
      <c r="AO9" s="70"/>
      <c r="AP9" s="77"/>
      <c r="AQ9" s="75"/>
      <c r="AR9" s="76"/>
      <c r="AS9" s="92"/>
      <c r="AT9" s="78"/>
      <c r="AU9" s="77"/>
      <c r="AV9" s="82"/>
      <c r="AW9" s="83"/>
      <c r="AX9" s="74"/>
      <c r="AY9" s="92"/>
      <c r="AZ9" s="78"/>
      <c r="BA9" s="73"/>
      <c r="BB9" s="70"/>
      <c r="BC9" s="71"/>
      <c r="BD9" s="79"/>
      <c r="BE9" s="79"/>
      <c r="BF9" s="70"/>
    </row>
    <row r="10" spans="1:60" ht="76.5" x14ac:dyDescent="0.2">
      <c r="A10" s="70" t="s">
        <v>4056</v>
      </c>
      <c r="B10" s="70" t="s">
        <v>4381</v>
      </c>
      <c r="C10" s="70" t="s">
        <v>65</v>
      </c>
      <c r="D10" s="70">
        <v>9</v>
      </c>
      <c r="E10" s="70">
        <v>1</v>
      </c>
      <c r="F10" s="70"/>
      <c r="G10" s="70" t="s">
        <v>4141</v>
      </c>
      <c r="H10" s="70" t="s">
        <v>4142</v>
      </c>
      <c r="I10" s="69"/>
      <c r="J10" s="70" t="s">
        <v>4131</v>
      </c>
      <c r="K10" s="70" t="s">
        <v>29</v>
      </c>
      <c r="L10" s="70"/>
      <c r="M10" s="70"/>
      <c r="N10" s="69"/>
      <c r="O10" s="77"/>
      <c r="P10" s="75"/>
      <c r="Q10" s="76"/>
      <c r="R10" s="92"/>
      <c r="S10" s="78"/>
      <c r="T10" s="77"/>
      <c r="U10" s="82"/>
      <c r="V10" s="83"/>
      <c r="W10" s="74"/>
      <c r="X10" s="92"/>
      <c r="Y10" s="78"/>
      <c r="Z10" s="73"/>
      <c r="AA10" s="70"/>
      <c r="AB10" s="70" t="s">
        <v>4132</v>
      </c>
      <c r="AC10" s="70" t="s">
        <v>4143</v>
      </c>
      <c r="AD10" s="70"/>
      <c r="AE10" s="79" t="s">
        <v>4144</v>
      </c>
      <c r="AF10" s="70"/>
      <c r="AG10" s="70"/>
      <c r="AH10" s="70"/>
      <c r="AI10" s="70"/>
      <c r="AJ10" s="70"/>
      <c r="AK10" s="70"/>
      <c r="AL10" s="70"/>
      <c r="AM10" s="70"/>
      <c r="AN10" s="72"/>
      <c r="AO10" s="70"/>
      <c r="AP10" s="77"/>
      <c r="AQ10" s="75"/>
      <c r="AR10" s="76"/>
      <c r="AS10" s="92"/>
      <c r="AT10" s="78"/>
      <c r="AU10" s="77"/>
      <c r="AV10" s="82"/>
      <c r="AW10" s="83"/>
      <c r="AX10" s="74"/>
      <c r="AY10" s="92"/>
      <c r="AZ10" s="78"/>
      <c r="BA10" s="73"/>
      <c r="BB10" s="70"/>
      <c r="BC10" s="71"/>
      <c r="BD10" s="79"/>
      <c r="BE10" s="79"/>
      <c r="BF10" s="70"/>
    </row>
    <row r="11" spans="1:60" ht="63.75" x14ac:dyDescent="0.2">
      <c r="A11" s="70" t="s">
        <v>4056</v>
      </c>
      <c r="B11" s="70" t="s">
        <v>4382</v>
      </c>
      <c r="C11" s="70" t="s">
        <v>65</v>
      </c>
      <c r="D11" s="70">
        <v>11</v>
      </c>
      <c r="E11" s="70">
        <v>1</v>
      </c>
      <c r="F11" s="70"/>
      <c r="G11" s="70" t="s">
        <v>4145</v>
      </c>
      <c r="H11" s="70"/>
      <c r="I11" s="69"/>
      <c r="J11" s="70" t="s">
        <v>34</v>
      </c>
      <c r="K11" s="70" t="s">
        <v>29</v>
      </c>
      <c r="L11" s="70"/>
      <c r="M11" s="70"/>
      <c r="N11" s="69"/>
      <c r="O11" s="77"/>
      <c r="P11" s="75"/>
      <c r="Q11" s="76"/>
      <c r="R11" s="92"/>
      <c r="S11" s="78"/>
      <c r="T11" s="77"/>
      <c r="U11" s="82"/>
      <c r="V11" s="83"/>
      <c r="W11" s="74"/>
      <c r="X11" s="92"/>
      <c r="Y11" s="78"/>
      <c r="Z11" s="73"/>
      <c r="AA11" s="70"/>
      <c r="AB11" s="70"/>
      <c r="AC11" s="70" t="s">
        <v>4136</v>
      </c>
      <c r="AD11" s="70"/>
      <c r="AE11" s="79" t="s">
        <v>4146</v>
      </c>
      <c r="AF11" s="70"/>
      <c r="AG11" s="70"/>
      <c r="AH11" s="70"/>
      <c r="AI11" s="70"/>
      <c r="AJ11" s="70"/>
      <c r="AK11" s="70"/>
      <c r="AL11" s="70"/>
      <c r="AM11" s="70"/>
      <c r="AN11" s="72"/>
      <c r="AO11" s="70"/>
      <c r="AP11" s="77"/>
      <c r="AQ11" s="75"/>
      <c r="AR11" s="76"/>
      <c r="AS11" s="92"/>
      <c r="AT11" s="78"/>
      <c r="AU11" s="77"/>
      <c r="AV11" s="82"/>
      <c r="AW11" s="83"/>
      <c r="AX11" s="74"/>
      <c r="AY11" s="92"/>
      <c r="AZ11" s="78"/>
      <c r="BA11" s="73"/>
      <c r="BB11" s="70"/>
      <c r="BC11" s="71"/>
      <c r="BD11" s="79"/>
      <c r="BE11" s="79"/>
      <c r="BF11" s="70"/>
    </row>
    <row r="12" spans="1:60" ht="25.5" x14ac:dyDescent="0.2">
      <c r="A12" s="70" t="s">
        <v>4056</v>
      </c>
      <c r="B12" s="70" t="s">
        <v>4383</v>
      </c>
      <c r="C12" s="70" t="s">
        <v>65</v>
      </c>
      <c r="D12" s="70">
        <v>12</v>
      </c>
      <c r="E12" s="70">
        <v>1</v>
      </c>
      <c r="F12" s="70"/>
      <c r="G12" s="70" t="s">
        <v>4147</v>
      </c>
      <c r="H12" s="70" t="s">
        <v>4148</v>
      </c>
      <c r="I12" s="69" t="s">
        <v>4097</v>
      </c>
      <c r="J12" s="70" t="s">
        <v>4131</v>
      </c>
      <c r="K12" s="70" t="s">
        <v>29</v>
      </c>
      <c r="L12" s="70"/>
      <c r="M12" s="70"/>
      <c r="N12" s="69">
        <v>3</v>
      </c>
      <c r="O12" s="77">
        <v>1</v>
      </c>
      <c r="P12" s="75"/>
      <c r="Q12" s="76">
        <v>1</v>
      </c>
      <c r="R12" s="92"/>
      <c r="S12" s="78"/>
      <c r="T12" s="77"/>
      <c r="U12" s="82"/>
      <c r="V12" s="83"/>
      <c r="W12" s="74"/>
      <c r="X12" s="92"/>
      <c r="Y12" s="78"/>
      <c r="Z12" s="73"/>
      <c r="AA12" s="70"/>
      <c r="AB12" s="70" t="s">
        <v>4149</v>
      </c>
      <c r="AC12" s="70" t="s">
        <v>4150</v>
      </c>
      <c r="AD12" s="70"/>
      <c r="AE12" s="79" t="s">
        <v>4151</v>
      </c>
      <c r="AF12" s="70"/>
      <c r="AG12" s="70"/>
      <c r="AH12" s="70"/>
      <c r="AI12" s="70"/>
      <c r="AJ12" s="70"/>
      <c r="AK12" s="70"/>
      <c r="AL12" s="70"/>
      <c r="AM12" s="70"/>
      <c r="AN12" s="72"/>
      <c r="AO12" s="70"/>
      <c r="AP12" s="77"/>
      <c r="AQ12" s="75"/>
      <c r="AR12" s="76"/>
      <c r="AS12" s="92"/>
      <c r="AT12" s="78"/>
      <c r="AU12" s="77"/>
      <c r="AV12" s="82"/>
      <c r="AW12" s="83"/>
      <c r="AX12" s="74"/>
      <c r="AY12" s="92"/>
      <c r="AZ12" s="78"/>
      <c r="BA12" s="73"/>
      <c r="BB12" s="70"/>
      <c r="BC12" s="71"/>
      <c r="BD12" s="79"/>
      <c r="BE12" s="79"/>
      <c r="BF12" s="70"/>
    </row>
    <row r="13" spans="1:60" ht="51" x14ac:dyDescent="0.2">
      <c r="A13" s="70" t="s">
        <v>4056</v>
      </c>
      <c r="B13" s="70" t="s">
        <v>4384</v>
      </c>
      <c r="C13" s="70" t="s">
        <v>65</v>
      </c>
      <c r="D13" s="70">
        <v>13</v>
      </c>
      <c r="E13" s="70">
        <v>1</v>
      </c>
      <c r="F13" s="70"/>
      <c r="G13" s="70" t="s">
        <v>4152</v>
      </c>
      <c r="H13" s="70"/>
      <c r="I13" s="69"/>
      <c r="J13" s="70" t="s">
        <v>33</v>
      </c>
      <c r="K13" s="70" t="s">
        <v>29</v>
      </c>
      <c r="L13" s="70"/>
      <c r="M13" s="70"/>
      <c r="N13" s="69">
        <v>2</v>
      </c>
      <c r="O13" s="77"/>
      <c r="P13" s="75"/>
      <c r="Q13" s="76"/>
      <c r="R13" s="92"/>
      <c r="S13" s="78"/>
      <c r="T13" s="77"/>
      <c r="U13" s="82"/>
      <c r="V13" s="83"/>
      <c r="W13" s="74"/>
      <c r="X13" s="92"/>
      <c r="Y13" s="78"/>
      <c r="Z13" s="73"/>
      <c r="AA13" s="70"/>
      <c r="AB13" s="70"/>
      <c r="AC13" s="70" t="s">
        <v>4153</v>
      </c>
      <c r="AD13" s="70"/>
      <c r="AE13" s="79" t="s">
        <v>4154</v>
      </c>
      <c r="AF13" s="70"/>
      <c r="AG13" s="70"/>
      <c r="AH13" s="70"/>
      <c r="AI13" s="70"/>
      <c r="AJ13" s="70"/>
      <c r="AK13" s="70"/>
      <c r="AL13" s="70"/>
      <c r="AM13" s="70"/>
      <c r="AN13" s="72"/>
      <c r="AO13" s="70"/>
      <c r="AP13" s="77"/>
      <c r="AQ13" s="75"/>
      <c r="AR13" s="76"/>
      <c r="AS13" s="92"/>
      <c r="AT13" s="78"/>
      <c r="AU13" s="77"/>
      <c r="AV13" s="82"/>
      <c r="AW13" s="83"/>
      <c r="AX13" s="74"/>
      <c r="AY13" s="92"/>
      <c r="AZ13" s="78"/>
      <c r="BA13" s="73"/>
      <c r="BB13" s="70"/>
      <c r="BC13" s="71"/>
      <c r="BD13" s="79"/>
      <c r="BE13" s="79"/>
      <c r="BF13" s="70"/>
    </row>
    <row r="14" spans="1:60" ht="63.75" x14ac:dyDescent="0.2">
      <c r="A14" s="70" t="s">
        <v>4056</v>
      </c>
      <c r="B14" s="70" t="s">
        <v>4385</v>
      </c>
      <c r="C14" s="70" t="s">
        <v>65</v>
      </c>
      <c r="D14" s="70">
        <v>14</v>
      </c>
      <c r="E14" s="70">
        <v>1</v>
      </c>
      <c r="F14" s="70"/>
      <c r="G14" s="70" t="s">
        <v>4155</v>
      </c>
      <c r="H14" s="70"/>
      <c r="I14" s="69" t="s">
        <v>4097</v>
      </c>
      <c r="J14" s="70" t="s">
        <v>4131</v>
      </c>
      <c r="K14" s="70" t="s">
        <v>29</v>
      </c>
      <c r="L14" s="70"/>
      <c r="M14" s="70"/>
      <c r="N14" s="69">
        <v>2</v>
      </c>
      <c r="O14" s="77"/>
      <c r="P14" s="75"/>
      <c r="Q14" s="76"/>
      <c r="R14" s="92"/>
      <c r="S14" s="78"/>
      <c r="T14" s="77"/>
      <c r="U14" s="82"/>
      <c r="V14" s="83"/>
      <c r="W14" s="74"/>
      <c r="X14" s="92"/>
      <c r="Y14" s="78"/>
      <c r="Z14" s="73"/>
      <c r="AA14" s="70"/>
      <c r="AB14" s="70" t="s">
        <v>4149</v>
      </c>
      <c r="AC14" s="70" t="s">
        <v>4150</v>
      </c>
      <c r="AD14" s="70"/>
      <c r="AE14" s="79" t="s">
        <v>4156</v>
      </c>
      <c r="AF14" s="70"/>
      <c r="AG14" s="70"/>
      <c r="AH14" s="70"/>
      <c r="AI14" s="70"/>
      <c r="AJ14" s="70"/>
      <c r="AK14" s="70"/>
      <c r="AL14" s="70"/>
      <c r="AM14" s="70"/>
      <c r="AN14" s="72"/>
      <c r="AO14" s="70"/>
      <c r="AP14" s="77"/>
      <c r="AQ14" s="75"/>
      <c r="AR14" s="76"/>
      <c r="AS14" s="92"/>
      <c r="AT14" s="78"/>
      <c r="AU14" s="77"/>
      <c r="AV14" s="82"/>
      <c r="AW14" s="83"/>
      <c r="AX14" s="74"/>
      <c r="AY14" s="92"/>
      <c r="AZ14" s="78"/>
      <c r="BA14" s="73"/>
      <c r="BB14" s="70"/>
      <c r="BC14" s="71"/>
      <c r="BD14" s="79"/>
      <c r="BE14" s="79"/>
      <c r="BF14" s="70"/>
    </row>
    <row r="15" spans="1:60" ht="25.5" x14ac:dyDescent="0.2">
      <c r="A15" s="70" t="s">
        <v>4056</v>
      </c>
      <c r="B15" s="70" t="s">
        <v>4386</v>
      </c>
      <c r="C15" s="70" t="s">
        <v>65</v>
      </c>
      <c r="D15" s="70">
        <v>15</v>
      </c>
      <c r="E15" s="70">
        <v>1</v>
      </c>
      <c r="F15" s="70"/>
      <c r="G15" s="70" t="s">
        <v>4157</v>
      </c>
      <c r="H15" s="70"/>
      <c r="I15" s="69"/>
      <c r="J15" s="70" t="s">
        <v>34</v>
      </c>
      <c r="K15" s="70" t="s">
        <v>29</v>
      </c>
      <c r="L15" s="70"/>
      <c r="M15" s="70"/>
      <c r="N15" s="69"/>
      <c r="O15" s="77"/>
      <c r="P15" s="75"/>
      <c r="Q15" s="76"/>
      <c r="R15" s="92"/>
      <c r="S15" s="78"/>
      <c r="T15" s="77"/>
      <c r="U15" s="82"/>
      <c r="V15" s="83"/>
      <c r="W15" s="74"/>
      <c r="X15" s="92"/>
      <c r="Y15" s="78"/>
      <c r="Z15" s="73"/>
      <c r="AA15" s="70"/>
      <c r="AB15" s="70"/>
      <c r="AC15" s="70" t="s">
        <v>4158</v>
      </c>
      <c r="AD15" s="70"/>
      <c r="AE15" s="79" t="s">
        <v>4159</v>
      </c>
      <c r="AF15" s="70"/>
      <c r="AG15" s="70"/>
      <c r="AH15" s="70"/>
      <c r="AI15" s="70"/>
      <c r="AJ15" s="70"/>
      <c r="AK15" s="70"/>
      <c r="AL15" s="70"/>
      <c r="AM15" s="70"/>
      <c r="AN15" s="72"/>
      <c r="AO15" s="70"/>
      <c r="AP15" s="77"/>
      <c r="AQ15" s="75"/>
      <c r="AR15" s="76"/>
      <c r="AS15" s="92"/>
      <c r="AT15" s="78"/>
      <c r="AU15" s="77"/>
      <c r="AV15" s="82"/>
      <c r="AW15" s="83"/>
      <c r="AX15" s="74"/>
      <c r="AY15" s="92"/>
      <c r="AZ15" s="78"/>
      <c r="BA15" s="73"/>
      <c r="BB15" s="70"/>
      <c r="BC15" s="71"/>
      <c r="BD15" s="79"/>
      <c r="BE15" s="79"/>
      <c r="BF15" s="70"/>
    </row>
    <row r="16" spans="1:60" ht="38.25" x14ac:dyDescent="0.2">
      <c r="A16" s="70" t="s">
        <v>4056</v>
      </c>
      <c r="B16" s="70" t="s">
        <v>4387</v>
      </c>
      <c r="C16" s="70" t="s">
        <v>65</v>
      </c>
      <c r="D16" s="70">
        <v>16</v>
      </c>
      <c r="E16" s="70">
        <v>1</v>
      </c>
      <c r="F16" s="70"/>
      <c r="G16" s="70" t="s">
        <v>4160</v>
      </c>
      <c r="H16" s="70"/>
      <c r="I16" s="69"/>
      <c r="J16" s="70" t="s">
        <v>4131</v>
      </c>
      <c r="K16" s="70" t="s">
        <v>4072</v>
      </c>
      <c r="L16" s="70"/>
      <c r="M16" s="70"/>
      <c r="N16" s="69">
        <v>4</v>
      </c>
      <c r="O16" s="77"/>
      <c r="P16" s="75"/>
      <c r="Q16" s="76"/>
      <c r="R16" s="92">
        <v>1</v>
      </c>
      <c r="S16" s="78"/>
      <c r="T16" s="77"/>
      <c r="U16" s="82"/>
      <c r="V16" s="83"/>
      <c r="W16" s="74"/>
      <c r="X16" s="92"/>
      <c r="Y16" s="78"/>
      <c r="Z16" s="73"/>
      <c r="AA16" s="70"/>
      <c r="AB16" s="70" t="s">
        <v>4132</v>
      </c>
      <c r="AC16" s="70" t="s">
        <v>4133</v>
      </c>
      <c r="AD16" s="70"/>
      <c r="AE16" s="79" t="s">
        <v>4161</v>
      </c>
      <c r="AF16" s="70"/>
      <c r="AG16" s="70"/>
      <c r="AH16" s="70"/>
      <c r="AI16" s="70"/>
      <c r="AJ16" s="70"/>
      <c r="AK16" s="70"/>
      <c r="AL16" s="70"/>
      <c r="AM16" s="70"/>
      <c r="AN16" s="72"/>
      <c r="AO16" s="70"/>
      <c r="AP16" s="77"/>
      <c r="AQ16" s="75"/>
      <c r="AR16" s="76"/>
      <c r="AS16" s="92"/>
      <c r="AT16" s="78"/>
      <c r="AU16" s="77"/>
      <c r="AV16" s="82"/>
      <c r="AW16" s="83"/>
      <c r="AX16" s="74"/>
      <c r="AY16" s="92"/>
      <c r="AZ16" s="78"/>
      <c r="BA16" s="73"/>
      <c r="BB16" s="70"/>
      <c r="BC16" s="71"/>
      <c r="BD16" s="79"/>
      <c r="BE16" s="79"/>
      <c r="BF16" s="70"/>
    </row>
    <row r="17" spans="1:58" ht="25.5" x14ac:dyDescent="0.2">
      <c r="A17" s="70" t="s">
        <v>4056</v>
      </c>
      <c r="B17" s="70" t="s">
        <v>4388</v>
      </c>
      <c r="C17" s="70" t="s">
        <v>65</v>
      </c>
      <c r="D17" s="70">
        <v>17</v>
      </c>
      <c r="E17" s="70">
        <v>1</v>
      </c>
      <c r="F17" s="70"/>
      <c r="G17" s="70" t="s">
        <v>4162</v>
      </c>
      <c r="H17" s="70"/>
      <c r="I17" s="69"/>
      <c r="J17" s="70" t="s">
        <v>4131</v>
      </c>
      <c r="K17" s="70" t="s">
        <v>4072</v>
      </c>
      <c r="L17" s="70"/>
      <c r="M17" s="70"/>
      <c r="N17" s="69">
        <v>2</v>
      </c>
      <c r="O17" s="77">
        <v>1</v>
      </c>
      <c r="P17" s="75"/>
      <c r="Q17" s="76">
        <v>1</v>
      </c>
      <c r="R17" s="92"/>
      <c r="S17" s="78"/>
      <c r="T17" s="77"/>
      <c r="U17" s="82"/>
      <c r="V17" s="83"/>
      <c r="W17" s="74"/>
      <c r="X17" s="92"/>
      <c r="Y17" s="78"/>
      <c r="Z17" s="73"/>
      <c r="AA17" s="70"/>
      <c r="AB17" s="70"/>
      <c r="AC17" s="70" t="s">
        <v>4163</v>
      </c>
      <c r="AD17" s="70"/>
      <c r="AE17" s="79" t="s">
        <v>4164</v>
      </c>
      <c r="AF17" s="70"/>
      <c r="AG17" s="70"/>
      <c r="AH17" s="70"/>
      <c r="AI17" s="70"/>
      <c r="AJ17" s="70"/>
      <c r="AK17" s="70"/>
      <c r="AL17" s="70"/>
      <c r="AM17" s="70"/>
      <c r="AN17" s="72"/>
      <c r="AO17" s="70"/>
      <c r="AP17" s="77"/>
      <c r="AQ17" s="75"/>
      <c r="AR17" s="76"/>
      <c r="AS17" s="92"/>
      <c r="AT17" s="78"/>
      <c r="AU17" s="77"/>
      <c r="AV17" s="82"/>
      <c r="AW17" s="83"/>
      <c r="AX17" s="74"/>
      <c r="AY17" s="92"/>
      <c r="AZ17" s="78"/>
      <c r="BA17" s="73"/>
      <c r="BB17" s="70"/>
      <c r="BC17" s="71"/>
      <c r="BD17" s="79"/>
      <c r="BE17" s="79"/>
      <c r="BF17" s="70"/>
    </row>
    <row r="18" spans="1:58" ht="25.5" x14ac:dyDescent="0.2">
      <c r="A18" s="70" t="s">
        <v>4056</v>
      </c>
      <c r="B18" s="70" t="s">
        <v>4389</v>
      </c>
      <c r="C18" s="70" t="s">
        <v>65</v>
      </c>
      <c r="D18" s="70">
        <v>18</v>
      </c>
      <c r="E18" s="70">
        <v>1</v>
      </c>
      <c r="F18" s="70"/>
      <c r="G18" s="70" t="s">
        <v>4165</v>
      </c>
      <c r="H18" s="70"/>
      <c r="I18" s="69"/>
      <c r="J18" s="70" t="s">
        <v>4131</v>
      </c>
      <c r="K18" s="70" t="s">
        <v>4072</v>
      </c>
      <c r="L18" s="70"/>
      <c r="M18" s="70"/>
      <c r="N18" s="69">
        <v>4</v>
      </c>
      <c r="O18" s="77"/>
      <c r="P18" s="75"/>
      <c r="Q18" s="76">
        <v>1</v>
      </c>
      <c r="R18" s="92"/>
      <c r="S18" s="78">
        <v>2</v>
      </c>
      <c r="T18" s="77">
        <v>2</v>
      </c>
      <c r="U18" s="82"/>
      <c r="V18" s="83"/>
      <c r="W18" s="74"/>
      <c r="X18" s="92"/>
      <c r="Y18" s="78"/>
      <c r="Z18" s="73"/>
      <c r="AA18" s="70"/>
      <c r="AB18" s="70" t="s">
        <v>27</v>
      </c>
      <c r="AC18" s="70" t="s">
        <v>4166</v>
      </c>
      <c r="AD18" s="70"/>
      <c r="AE18" s="79" t="s">
        <v>4167</v>
      </c>
      <c r="AF18" s="70"/>
      <c r="AG18" s="70"/>
      <c r="AH18" s="70"/>
      <c r="AI18" s="70"/>
      <c r="AJ18" s="70"/>
      <c r="AK18" s="70"/>
      <c r="AL18" s="70"/>
      <c r="AM18" s="70"/>
      <c r="AN18" s="72"/>
      <c r="AO18" s="70"/>
      <c r="AP18" s="77"/>
      <c r="AQ18" s="75"/>
      <c r="AR18" s="76"/>
      <c r="AS18" s="92"/>
      <c r="AT18" s="78"/>
      <c r="AU18" s="77"/>
      <c r="AV18" s="82"/>
      <c r="AW18" s="83"/>
      <c r="AX18" s="74"/>
      <c r="AY18" s="92"/>
      <c r="AZ18" s="78"/>
      <c r="BA18" s="73"/>
      <c r="BB18" s="70"/>
      <c r="BC18" s="71"/>
      <c r="BD18" s="79"/>
      <c r="BE18" s="79"/>
      <c r="BF18" s="70"/>
    </row>
    <row r="19" spans="1:58" ht="38.25" x14ac:dyDescent="0.2">
      <c r="A19" s="70" t="s">
        <v>4056</v>
      </c>
      <c r="B19" s="70" t="s">
        <v>4390</v>
      </c>
      <c r="C19" s="70" t="s">
        <v>65</v>
      </c>
      <c r="D19" s="70">
        <v>19</v>
      </c>
      <c r="E19" s="70">
        <v>1</v>
      </c>
      <c r="F19" s="70"/>
      <c r="G19" s="70" t="s">
        <v>4168</v>
      </c>
      <c r="H19" s="70"/>
      <c r="I19" s="69"/>
      <c r="J19" s="70" t="s">
        <v>4131</v>
      </c>
      <c r="K19" s="70" t="s">
        <v>4072</v>
      </c>
      <c r="L19" s="70"/>
      <c r="M19" s="70"/>
      <c r="N19" s="69">
        <v>2</v>
      </c>
      <c r="O19" s="77">
        <v>1</v>
      </c>
      <c r="P19" s="75"/>
      <c r="Q19" s="76"/>
      <c r="R19" s="92"/>
      <c r="S19" s="78"/>
      <c r="T19" s="77"/>
      <c r="U19" s="82"/>
      <c r="V19" s="83"/>
      <c r="W19" s="74"/>
      <c r="X19" s="92"/>
      <c r="Y19" s="78"/>
      <c r="Z19" s="73"/>
      <c r="AA19" s="70"/>
      <c r="AB19" s="70"/>
      <c r="AC19" s="70" t="s">
        <v>4169</v>
      </c>
      <c r="AD19" s="70"/>
      <c r="AE19" s="79" t="s">
        <v>4170</v>
      </c>
      <c r="AF19" s="70"/>
      <c r="AG19" s="70"/>
      <c r="AH19" s="70"/>
      <c r="AI19" s="70"/>
      <c r="AJ19" s="70"/>
      <c r="AK19" s="70"/>
      <c r="AL19" s="70"/>
      <c r="AM19" s="70"/>
      <c r="AN19" s="72"/>
      <c r="AO19" s="70"/>
      <c r="AP19" s="77"/>
      <c r="AQ19" s="75"/>
      <c r="AR19" s="76"/>
      <c r="AS19" s="92"/>
      <c r="AT19" s="78"/>
      <c r="AU19" s="77"/>
      <c r="AV19" s="82"/>
      <c r="AW19" s="83"/>
      <c r="AX19" s="74"/>
      <c r="AY19" s="92"/>
      <c r="AZ19" s="78"/>
      <c r="BA19" s="73"/>
      <c r="BB19" s="70"/>
      <c r="BC19" s="71"/>
      <c r="BD19" s="79"/>
      <c r="BE19" s="79"/>
      <c r="BF19" s="70"/>
    </row>
    <row r="20" spans="1:58" ht="25.5" x14ac:dyDescent="0.2">
      <c r="A20" s="70" t="s">
        <v>4056</v>
      </c>
      <c r="B20" s="70" t="s">
        <v>4391</v>
      </c>
      <c r="C20" s="70" t="s">
        <v>65</v>
      </c>
      <c r="D20" s="70">
        <v>20</v>
      </c>
      <c r="E20" s="70">
        <v>1</v>
      </c>
      <c r="F20" s="70"/>
      <c r="G20" s="70" t="s">
        <v>4171</v>
      </c>
      <c r="H20" s="70"/>
      <c r="I20" s="69"/>
      <c r="J20" s="70" t="s">
        <v>4131</v>
      </c>
      <c r="K20" s="70" t="s">
        <v>4072</v>
      </c>
      <c r="L20" s="70"/>
      <c r="M20" s="70"/>
      <c r="N20" s="69">
        <v>3</v>
      </c>
      <c r="O20" s="77"/>
      <c r="P20" s="75"/>
      <c r="Q20" s="76">
        <v>1</v>
      </c>
      <c r="R20" s="92"/>
      <c r="S20" s="78"/>
      <c r="T20" s="77"/>
      <c r="U20" s="82"/>
      <c r="V20" s="83"/>
      <c r="W20" s="74"/>
      <c r="X20" s="92"/>
      <c r="Y20" s="78"/>
      <c r="Z20" s="73"/>
      <c r="AA20" s="70"/>
      <c r="AB20" s="70" t="s">
        <v>4132</v>
      </c>
      <c r="AC20" s="70" t="s">
        <v>4172</v>
      </c>
      <c r="AD20" s="70"/>
      <c r="AE20" s="79" t="s">
        <v>4173</v>
      </c>
      <c r="AF20" s="70"/>
      <c r="AG20" s="70"/>
      <c r="AH20" s="70"/>
      <c r="AI20" s="70"/>
      <c r="AJ20" s="70"/>
      <c r="AK20" s="70"/>
      <c r="AL20" s="70"/>
      <c r="AM20" s="70"/>
      <c r="AN20" s="72"/>
      <c r="AO20" s="70"/>
      <c r="AP20" s="77"/>
      <c r="AQ20" s="75"/>
      <c r="AR20" s="76"/>
      <c r="AS20" s="92"/>
      <c r="AT20" s="78"/>
      <c r="AU20" s="77"/>
      <c r="AV20" s="82"/>
      <c r="AW20" s="83"/>
      <c r="AX20" s="74"/>
      <c r="AY20" s="92"/>
      <c r="AZ20" s="78"/>
      <c r="BA20" s="73"/>
      <c r="BB20" s="70"/>
      <c r="BC20" s="71"/>
      <c r="BD20" s="79"/>
      <c r="BE20" s="79"/>
      <c r="BF20" s="70"/>
    </row>
    <row r="21" spans="1:58" ht="25.5" x14ac:dyDescent="0.2">
      <c r="A21" s="70" t="s">
        <v>4056</v>
      </c>
      <c r="B21" s="70" t="s">
        <v>4392</v>
      </c>
      <c r="C21" s="70" t="s">
        <v>65</v>
      </c>
      <c r="D21" s="70">
        <v>21</v>
      </c>
      <c r="E21" s="70">
        <v>1</v>
      </c>
      <c r="F21" s="70"/>
      <c r="G21" s="70" t="s">
        <v>4174</v>
      </c>
      <c r="H21" s="70"/>
      <c r="I21" s="69"/>
      <c r="J21" s="70" t="s">
        <v>4131</v>
      </c>
      <c r="K21" s="70" t="s">
        <v>4072</v>
      </c>
      <c r="L21" s="70"/>
      <c r="M21" s="70"/>
      <c r="N21" s="69">
        <v>3</v>
      </c>
      <c r="O21" s="77"/>
      <c r="P21" s="75"/>
      <c r="Q21" s="76">
        <v>1</v>
      </c>
      <c r="R21" s="92"/>
      <c r="S21" s="78">
        <v>3</v>
      </c>
      <c r="T21" s="77">
        <v>1</v>
      </c>
      <c r="U21" s="82"/>
      <c r="V21" s="83"/>
      <c r="W21" s="74"/>
      <c r="X21" s="92"/>
      <c r="Y21" s="78"/>
      <c r="Z21" s="73"/>
      <c r="AA21" s="70"/>
      <c r="AB21" s="70" t="s">
        <v>27</v>
      </c>
      <c r="AC21" s="70" t="s">
        <v>4175</v>
      </c>
      <c r="AD21" s="70"/>
      <c r="AE21" s="79" t="s">
        <v>4176</v>
      </c>
      <c r="AF21" s="70"/>
      <c r="AG21" s="70"/>
      <c r="AH21" s="70"/>
      <c r="AI21" s="70"/>
      <c r="AJ21" s="70"/>
      <c r="AK21" s="70"/>
      <c r="AL21" s="70"/>
      <c r="AM21" s="70"/>
      <c r="AN21" s="72"/>
      <c r="AO21" s="70"/>
      <c r="AP21" s="77"/>
      <c r="AQ21" s="75"/>
      <c r="AR21" s="76"/>
      <c r="AS21" s="92"/>
      <c r="AT21" s="78"/>
      <c r="AU21" s="77"/>
      <c r="AV21" s="82"/>
      <c r="AW21" s="83"/>
      <c r="AX21" s="74"/>
      <c r="AY21" s="92"/>
      <c r="AZ21" s="78"/>
      <c r="BA21" s="73"/>
      <c r="BB21" s="70"/>
      <c r="BC21" s="71"/>
      <c r="BD21" s="79"/>
      <c r="BE21" s="79"/>
      <c r="BF21" s="70"/>
    </row>
    <row r="22" spans="1:58" ht="25.5" x14ac:dyDescent="0.2">
      <c r="A22" s="70" t="s">
        <v>4056</v>
      </c>
      <c r="B22" s="70" t="s">
        <v>4393</v>
      </c>
      <c r="C22" s="70" t="s">
        <v>65</v>
      </c>
      <c r="D22" s="70">
        <v>22</v>
      </c>
      <c r="E22" s="70">
        <v>1</v>
      </c>
      <c r="F22" s="70"/>
      <c r="G22" s="70" t="s">
        <v>4177</v>
      </c>
      <c r="H22" s="70"/>
      <c r="I22" s="69"/>
      <c r="J22" s="70" t="s">
        <v>33</v>
      </c>
      <c r="K22" s="70" t="s">
        <v>4072</v>
      </c>
      <c r="L22" s="70"/>
      <c r="M22" s="70"/>
      <c r="N22" s="69">
        <v>1</v>
      </c>
      <c r="O22" s="77"/>
      <c r="P22" s="75">
        <v>2</v>
      </c>
      <c r="Q22" s="76"/>
      <c r="R22" s="92"/>
      <c r="S22" s="78"/>
      <c r="T22" s="77"/>
      <c r="U22" s="82"/>
      <c r="V22" s="83"/>
      <c r="W22" s="74"/>
      <c r="X22" s="92"/>
      <c r="Y22" s="78"/>
      <c r="Z22" s="73"/>
      <c r="AA22" s="70"/>
      <c r="AB22" s="70"/>
      <c r="AC22" s="70" t="s">
        <v>4178</v>
      </c>
      <c r="AD22" s="70"/>
      <c r="AE22" s="79" t="s">
        <v>4179</v>
      </c>
      <c r="AF22" s="70"/>
      <c r="AG22" s="70"/>
      <c r="AH22" s="70"/>
      <c r="AI22" s="70"/>
      <c r="AJ22" s="70"/>
      <c r="AK22" s="70"/>
      <c r="AL22" s="70"/>
      <c r="AM22" s="70"/>
      <c r="AN22" s="72"/>
      <c r="AO22" s="70"/>
      <c r="AP22" s="77"/>
      <c r="AQ22" s="75"/>
      <c r="AR22" s="76"/>
      <c r="AS22" s="92"/>
      <c r="AT22" s="78"/>
      <c r="AU22" s="77"/>
      <c r="AV22" s="82"/>
      <c r="AW22" s="83"/>
      <c r="AX22" s="74"/>
      <c r="AY22" s="92"/>
      <c r="AZ22" s="78"/>
      <c r="BA22" s="73"/>
      <c r="BB22" s="70"/>
      <c r="BC22" s="71"/>
      <c r="BD22" s="79"/>
      <c r="BE22" s="79"/>
      <c r="BF22" s="70"/>
    </row>
    <row r="23" spans="1:58" ht="25.5" x14ac:dyDescent="0.2">
      <c r="A23" s="70" t="s">
        <v>4056</v>
      </c>
      <c r="B23" s="70" t="s">
        <v>4394</v>
      </c>
      <c r="C23" s="70" t="s">
        <v>65</v>
      </c>
      <c r="D23" s="70">
        <v>23</v>
      </c>
      <c r="E23" s="70">
        <v>1</v>
      </c>
      <c r="F23" s="70"/>
      <c r="G23" s="70" t="s">
        <v>4180</v>
      </c>
      <c r="H23" s="70"/>
      <c r="I23" s="69"/>
      <c r="J23" s="70" t="s">
        <v>33</v>
      </c>
      <c r="K23" s="70" t="s">
        <v>4072</v>
      </c>
      <c r="L23" s="70"/>
      <c r="M23" s="70"/>
      <c r="N23" s="69">
        <v>1</v>
      </c>
      <c r="O23" s="77">
        <v>1</v>
      </c>
      <c r="P23" s="75"/>
      <c r="Q23" s="76"/>
      <c r="R23" s="92">
        <v>1</v>
      </c>
      <c r="S23" s="78"/>
      <c r="T23" s="77"/>
      <c r="U23" s="82"/>
      <c r="V23" s="83"/>
      <c r="W23" s="74"/>
      <c r="X23" s="92"/>
      <c r="Y23" s="78"/>
      <c r="Z23" s="73"/>
      <c r="AA23" s="70"/>
      <c r="AB23" s="70"/>
      <c r="AC23" s="70" t="s">
        <v>4181</v>
      </c>
      <c r="AD23" s="70"/>
      <c r="AE23" s="79" t="s">
        <v>4182</v>
      </c>
      <c r="AF23" s="70"/>
      <c r="AG23" s="70"/>
      <c r="AH23" s="70"/>
      <c r="AI23" s="70"/>
      <c r="AJ23" s="70"/>
      <c r="AK23" s="70"/>
      <c r="AL23" s="70"/>
      <c r="AM23" s="70"/>
      <c r="AN23" s="72"/>
      <c r="AO23" s="70"/>
      <c r="AP23" s="77"/>
      <c r="AQ23" s="75"/>
      <c r="AR23" s="76"/>
      <c r="AS23" s="92"/>
      <c r="AT23" s="78"/>
      <c r="AU23" s="77"/>
      <c r="AV23" s="82"/>
      <c r="AW23" s="83"/>
      <c r="AX23" s="74"/>
      <c r="AY23" s="92"/>
      <c r="AZ23" s="78"/>
      <c r="BA23" s="73"/>
      <c r="BB23" s="70"/>
      <c r="BC23" s="71"/>
      <c r="BD23" s="79"/>
      <c r="BE23" s="79"/>
      <c r="BF23" s="70"/>
    </row>
    <row r="24" spans="1:58" ht="12.75" x14ac:dyDescent="0.2">
      <c r="A24" s="70" t="s">
        <v>4056</v>
      </c>
      <c r="B24" s="70" t="s">
        <v>4395</v>
      </c>
      <c r="C24" s="70" t="s">
        <v>65</v>
      </c>
      <c r="D24" s="70">
        <v>24</v>
      </c>
      <c r="E24" s="70">
        <v>1</v>
      </c>
      <c r="F24" s="70"/>
      <c r="G24" s="70" t="s">
        <v>4183</v>
      </c>
      <c r="H24" s="70"/>
      <c r="I24" s="69"/>
      <c r="J24" s="70" t="s">
        <v>33</v>
      </c>
      <c r="K24" s="70" t="s">
        <v>4072</v>
      </c>
      <c r="L24" s="70"/>
      <c r="M24" s="70"/>
      <c r="N24" s="69">
        <v>5</v>
      </c>
      <c r="O24" s="77">
        <v>1</v>
      </c>
      <c r="P24" s="75"/>
      <c r="Q24" s="76"/>
      <c r="R24" s="92"/>
      <c r="S24" s="78"/>
      <c r="T24" s="77"/>
      <c r="U24" s="82"/>
      <c r="V24" s="83"/>
      <c r="W24" s="74"/>
      <c r="X24" s="92"/>
      <c r="Y24" s="78"/>
      <c r="Z24" s="73"/>
      <c r="AA24" s="70"/>
      <c r="AB24" s="70"/>
      <c r="AC24" s="70" t="s">
        <v>4181</v>
      </c>
      <c r="AD24" s="70"/>
      <c r="AE24" s="70" t="s">
        <v>4184</v>
      </c>
      <c r="AF24" s="70"/>
      <c r="AG24" s="70"/>
      <c r="AH24" s="70"/>
      <c r="AI24" s="70"/>
      <c r="AJ24" s="70"/>
      <c r="AK24" s="70"/>
      <c r="AL24" s="70"/>
      <c r="AM24" s="70"/>
      <c r="AN24" s="72"/>
      <c r="AO24" s="70"/>
      <c r="AP24" s="77"/>
      <c r="AQ24" s="75"/>
      <c r="AR24" s="76"/>
      <c r="AS24" s="92"/>
      <c r="AT24" s="78"/>
      <c r="AU24" s="77"/>
      <c r="AV24" s="82"/>
      <c r="AW24" s="83"/>
      <c r="AX24" s="74"/>
      <c r="AY24" s="92"/>
      <c r="AZ24" s="78"/>
      <c r="BA24" s="73"/>
      <c r="BB24" s="70"/>
      <c r="BC24" s="71"/>
      <c r="BD24" s="79"/>
      <c r="BE24" s="79"/>
      <c r="BF24" s="70"/>
    </row>
    <row r="25" spans="1:58" ht="12.75" x14ac:dyDescent="0.2">
      <c r="A25" s="70" t="s">
        <v>4056</v>
      </c>
      <c r="B25" s="70" t="s">
        <v>4396</v>
      </c>
      <c r="C25" s="70" t="s">
        <v>65</v>
      </c>
      <c r="D25" s="70">
        <v>25</v>
      </c>
      <c r="E25" s="70">
        <v>1</v>
      </c>
      <c r="F25" s="70"/>
      <c r="G25" s="70" t="s">
        <v>4185</v>
      </c>
      <c r="H25" s="70"/>
      <c r="I25" s="69"/>
      <c r="J25" s="70" t="s">
        <v>4186</v>
      </c>
      <c r="K25" s="70" t="s">
        <v>4072</v>
      </c>
      <c r="L25" s="70"/>
      <c r="M25" s="70"/>
      <c r="N25" s="69"/>
      <c r="O25" s="77"/>
      <c r="P25" s="75"/>
      <c r="Q25" s="76">
        <v>1</v>
      </c>
      <c r="R25" s="92"/>
      <c r="S25" s="78"/>
      <c r="T25" s="77"/>
      <c r="U25" s="82"/>
      <c r="V25" s="83"/>
      <c r="W25" s="74"/>
      <c r="X25" s="92"/>
      <c r="Y25" s="78"/>
      <c r="Z25" s="73"/>
      <c r="AA25" s="70"/>
      <c r="AB25" s="70"/>
      <c r="AC25" s="70" t="s">
        <v>4187</v>
      </c>
      <c r="AD25" s="70"/>
      <c r="AE25" s="70" t="s">
        <v>4188</v>
      </c>
      <c r="AF25" s="70"/>
      <c r="AG25" s="70"/>
      <c r="AH25" s="70"/>
      <c r="AI25" s="70"/>
      <c r="AJ25" s="70"/>
      <c r="AK25" s="70"/>
      <c r="AL25" s="70"/>
      <c r="AM25" s="70"/>
      <c r="AN25" s="72"/>
      <c r="AO25" s="70"/>
      <c r="AP25" s="77"/>
      <c r="AQ25" s="75"/>
      <c r="AR25" s="76"/>
      <c r="AS25" s="92"/>
      <c r="AT25" s="78"/>
      <c r="AU25" s="77"/>
      <c r="AV25" s="82"/>
      <c r="AW25" s="83"/>
      <c r="AX25" s="74"/>
      <c r="AY25" s="92"/>
      <c r="AZ25" s="78"/>
      <c r="BA25" s="73"/>
      <c r="BB25" s="70"/>
      <c r="BC25" s="71"/>
      <c r="BD25" s="79"/>
      <c r="BE25" s="79"/>
      <c r="BF25" s="70"/>
    </row>
    <row r="26" spans="1:58" ht="12.75" x14ac:dyDescent="0.2">
      <c r="A26" s="70" t="s">
        <v>4056</v>
      </c>
      <c r="B26" s="70" t="s">
        <v>4397</v>
      </c>
      <c r="C26" s="70" t="s">
        <v>65</v>
      </c>
      <c r="D26" s="70">
        <v>26</v>
      </c>
      <c r="E26" s="70">
        <v>1</v>
      </c>
      <c r="F26" s="70"/>
      <c r="G26" s="70" t="s">
        <v>4189</v>
      </c>
      <c r="H26" s="70"/>
      <c r="I26" s="69"/>
      <c r="J26" s="70" t="s">
        <v>33</v>
      </c>
      <c r="K26" s="70" t="s">
        <v>4072</v>
      </c>
      <c r="L26" s="70">
        <v>1</v>
      </c>
      <c r="M26" s="70"/>
      <c r="N26" s="69">
        <v>2</v>
      </c>
      <c r="O26" s="77"/>
      <c r="P26" s="75">
        <v>1</v>
      </c>
      <c r="Q26" s="76"/>
      <c r="R26" s="92"/>
      <c r="S26" s="78"/>
      <c r="T26" s="77"/>
      <c r="U26" s="82"/>
      <c r="V26" s="83"/>
      <c r="W26" s="74"/>
      <c r="X26" s="92"/>
      <c r="Y26" s="78"/>
      <c r="Z26" s="73"/>
      <c r="AA26" s="70"/>
      <c r="AB26" s="70"/>
      <c r="AC26" s="70" t="s">
        <v>4190</v>
      </c>
      <c r="AD26" s="70"/>
      <c r="AE26" s="70" t="s">
        <v>4191</v>
      </c>
      <c r="AF26" s="70"/>
      <c r="AG26" s="70"/>
      <c r="AH26" s="70"/>
      <c r="AI26" s="70"/>
      <c r="AJ26" s="70"/>
      <c r="AK26" s="70"/>
      <c r="AL26" s="70"/>
      <c r="AM26" s="70"/>
      <c r="AN26" s="72"/>
      <c r="AO26" s="70"/>
      <c r="AP26" s="77"/>
      <c r="AQ26" s="75"/>
      <c r="AR26" s="76"/>
      <c r="AS26" s="92"/>
      <c r="AT26" s="78"/>
      <c r="AU26" s="77"/>
      <c r="AV26" s="82"/>
      <c r="AW26" s="83"/>
      <c r="AX26" s="74"/>
      <c r="AY26" s="92"/>
      <c r="AZ26" s="78"/>
      <c r="BA26" s="73"/>
      <c r="BB26" s="70"/>
      <c r="BC26" s="71"/>
      <c r="BD26" s="79"/>
      <c r="BE26" s="79"/>
      <c r="BF26" s="70"/>
    </row>
    <row r="27" spans="1:58" ht="51" x14ac:dyDescent="0.2">
      <c r="A27" s="70" t="s">
        <v>4056</v>
      </c>
      <c r="B27" s="70" t="s">
        <v>4398</v>
      </c>
      <c r="C27" s="70" t="s">
        <v>65</v>
      </c>
      <c r="D27" s="70">
        <v>27</v>
      </c>
      <c r="E27" s="70">
        <v>1</v>
      </c>
      <c r="F27" s="70"/>
      <c r="G27" s="70" t="s">
        <v>4192</v>
      </c>
      <c r="H27" s="70"/>
      <c r="I27" s="69"/>
      <c r="J27" s="70" t="s">
        <v>4131</v>
      </c>
      <c r="K27" s="70" t="s">
        <v>4072</v>
      </c>
      <c r="L27" s="70">
        <v>2</v>
      </c>
      <c r="M27" s="70"/>
      <c r="N27" s="69">
        <v>3</v>
      </c>
      <c r="O27" s="77">
        <v>1</v>
      </c>
      <c r="P27" s="75"/>
      <c r="Q27" s="76"/>
      <c r="R27" s="92"/>
      <c r="S27" s="78"/>
      <c r="T27" s="77"/>
      <c r="U27" s="82"/>
      <c r="V27" s="83"/>
      <c r="W27" s="74"/>
      <c r="X27" s="92"/>
      <c r="Y27" s="78"/>
      <c r="Z27" s="73"/>
      <c r="AA27" s="70"/>
      <c r="AB27" s="70" t="s">
        <v>4149</v>
      </c>
      <c r="AC27" s="70" t="s">
        <v>4139</v>
      </c>
      <c r="AD27" s="70"/>
      <c r="AE27" s="79" t="s">
        <v>4193</v>
      </c>
      <c r="AF27" s="70"/>
      <c r="AG27" s="70"/>
      <c r="AH27" s="70"/>
      <c r="AI27" s="70"/>
      <c r="AJ27" s="70"/>
      <c r="AK27" s="70"/>
      <c r="AL27" s="70"/>
      <c r="AM27" s="70"/>
      <c r="AN27" s="72"/>
      <c r="AO27" s="70"/>
      <c r="AP27" s="77"/>
      <c r="AQ27" s="75"/>
      <c r="AR27" s="76"/>
      <c r="AS27" s="92"/>
      <c r="AT27" s="78"/>
      <c r="AU27" s="77"/>
      <c r="AV27" s="82"/>
      <c r="AW27" s="83"/>
      <c r="AX27" s="74"/>
      <c r="AY27" s="92"/>
      <c r="AZ27" s="78"/>
      <c r="BA27" s="73"/>
      <c r="BB27" s="70"/>
      <c r="BC27" s="71"/>
      <c r="BD27" s="79"/>
      <c r="BE27" s="79"/>
      <c r="BF27" s="70"/>
    </row>
    <row r="28" spans="1:58" ht="38.25" x14ac:dyDescent="0.2">
      <c r="A28" s="70" t="s">
        <v>4056</v>
      </c>
      <c r="B28" s="70" t="s">
        <v>4399</v>
      </c>
      <c r="C28" s="70" t="s">
        <v>65</v>
      </c>
      <c r="D28" s="70">
        <v>28</v>
      </c>
      <c r="E28" s="70">
        <v>1</v>
      </c>
      <c r="F28" s="70"/>
      <c r="G28" s="70" t="s">
        <v>4165</v>
      </c>
      <c r="H28" s="70"/>
      <c r="I28" s="69"/>
      <c r="J28" s="70" t="s">
        <v>4131</v>
      </c>
      <c r="K28" s="70" t="s">
        <v>4072</v>
      </c>
      <c r="L28" s="70">
        <v>2</v>
      </c>
      <c r="M28" s="70"/>
      <c r="N28" s="69">
        <v>4</v>
      </c>
      <c r="O28" s="77"/>
      <c r="P28" s="75"/>
      <c r="Q28" s="76">
        <v>1</v>
      </c>
      <c r="R28" s="92">
        <v>1</v>
      </c>
      <c r="S28" s="78">
        <v>3</v>
      </c>
      <c r="T28" s="77">
        <v>2</v>
      </c>
      <c r="U28" s="82"/>
      <c r="V28" s="83"/>
      <c r="W28" s="74"/>
      <c r="X28" s="92"/>
      <c r="Y28" s="78"/>
      <c r="Z28" s="73"/>
      <c r="AA28" s="70"/>
      <c r="AB28" s="70" t="s">
        <v>27</v>
      </c>
      <c r="AC28" s="70" t="s">
        <v>4166</v>
      </c>
      <c r="AD28" s="70"/>
      <c r="AE28" s="79" t="s">
        <v>4194</v>
      </c>
      <c r="AF28" s="70"/>
      <c r="AG28" s="70"/>
      <c r="AH28" s="70"/>
      <c r="AI28" s="70"/>
      <c r="AJ28" s="70"/>
      <c r="AK28" s="70"/>
      <c r="AL28" s="70"/>
      <c r="AM28" s="70"/>
      <c r="AN28" s="72"/>
      <c r="AO28" s="70"/>
      <c r="AP28" s="77"/>
      <c r="AQ28" s="75"/>
      <c r="AR28" s="76"/>
      <c r="AS28" s="92"/>
      <c r="AT28" s="78"/>
      <c r="AU28" s="77"/>
      <c r="AV28" s="82"/>
      <c r="AW28" s="83"/>
      <c r="AX28" s="74"/>
      <c r="AY28" s="92"/>
      <c r="AZ28" s="78"/>
      <c r="BA28" s="73"/>
      <c r="BB28" s="70"/>
      <c r="BC28" s="71"/>
      <c r="BD28" s="79"/>
      <c r="BE28" s="79"/>
      <c r="BF28" s="70"/>
    </row>
    <row r="29" spans="1:58" ht="76.5" x14ac:dyDescent="0.2">
      <c r="A29" s="70" t="s">
        <v>4056</v>
      </c>
      <c r="B29" s="70" t="s">
        <v>4400</v>
      </c>
      <c r="C29" s="70" t="s">
        <v>65</v>
      </c>
      <c r="D29" s="70">
        <v>29</v>
      </c>
      <c r="E29" s="70">
        <v>1</v>
      </c>
      <c r="F29" s="70"/>
      <c r="G29" s="70" t="s">
        <v>4195</v>
      </c>
      <c r="H29" s="70"/>
      <c r="I29" s="69"/>
      <c r="J29" s="70" t="s">
        <v>4131</v>
      </c>
      <c r="K29" s="70" t="s">
        <v>4072</v>
      </c>
      <c r="L29" s="70">
        <v>4</v>
      </c>
      <c r="M29" s="70"/>
      <c r="N29" s="69">
        <v>5</v>
      </c>
      <c r="O29" s="77"/>
      <c r="P29" s="75"/>
      <c r="Q29" s="76">
        <v>2</v>
      </c>
      <c r="R29" s="92"/>
      <c r="S29" s="78"/>
      <c r="T29" s="77"/>
      <c r="U29" s="82"/>
      <c r="V29" s="83"/>
      <c r="W29" s="74"/>
      <c r="X29" s="92"/>
      <c r="Y29" s="78"/>
      <c r="Z29" s="73"/>
      <c r="AA29" s="70"/>
      <c r="AB29" s="70" t="s">
        <v>4196</v>
      </c>
      <c r="AC29" s="70" t="s">
        <v>4133</v>
      </c>
      <c r="AD29" s="70"/>
      <c r="AE29" s="79" t="s">
        <v>4197</v>
      </c>
      <c r="AF29" s="70"/>
      <c r="AG29" s="70"/>
      <c r="AH29" s="70"/>
      <c r="AI29" s="70"/>
      <c r="AJ29" s="70"/>
      <c r="AK29" s="70"/>
      <c r="AL29" s="70"/>
      <c r="AM29" s="70"/>
      <c r="AN29" s="72"/>
      <c r="AO29" s="70"/>
      <c r="AP29" s="77"/>
      <c r="AQ29" s="75"/>
      <c r="AR29" s="76"/>
      <c r="AS29" s="92"/>
      <c r="AT29" s="78"/>
      <c r="AU29" s="77"/>
      <c r="AV29" s="82"/>
      <c r="AW29" s="83"/>
      <c r="AX29" s="74"/>
      <c r="AY29" s="92"/>
      <c r="AZ29" s="78"/>
      <c r="BA29" s="73"/>
      <c r="BB29" s="70"/>
      <c r="BC29" s="71"/>
      <c r="BD29" s="79"/>
      <c r="BE29" s="79"/>
      <c r="BF29" s="70"/>
    </row>
    <row r="30" spans="1:58" ht="25.5" x14ac:dyDescent="0.2">
      <c r="A30" s="70" t="s">
        <v>4056</v>
      </c>
      <c r="B30" s="70" t="s">
        <v>4401</v>
      </c>
      <c r="C30" s="70" t="s">
        <v>65</v>
      </c>
      <c r="D30" s="70">
        <v>30</v>
      </c>
      <c r="E30" s="70">
        <v>1</v>
      </c>
      <c r="F30" s="70"/>
      <c r="G30" s="70" t="s">
        <v>4198</v>
      </c>
      <c r="H30" s="70"/>
      <c r="I30" s="69"/>
      <c r="J30" s="70" t="s">
        <v>4131</v>
      </c>
      <c r="K30" s="70" t="s">
        <v>4073</v>
      </c>
      <c r="L30" s="70"/>
      <c r="M30" s="70"/>
      <c r="N30" s="69">
        <v>1</v>
      </c>
      <c r="O30" s="77"/>
      <c r="P30" s="75">
        <v>1</v>
      </c>
      <c r="Q30" s="76"/>
      <c r="R30" s="92"/>
      <c r="S30" s="78"/>
      <c r="T30" s="77"/>
      <c r="U30" s="82"/>
      <c r="V30" s="83"/>
      <c r="W30" s="74"/>
      <c r="X30" s="92"/>
      <c r="Y30" s="78"/>
      <c r="Z30" s="73"/>
      <c r="AA30" s="70"/>
      <c r="AB30" s="70" t="s">
        <v>4132</v>
      </c>
      <c r="AC30" s="70" t="s">
        <v>4199</v>
      </c>
      <c r="AD30" s="70"/>
      <c r="AE30" s="79" t="s">
        <v>4200</v>
      </c>
      <c r="AF30" s="70"/>
      <c r="AG30" s="70"/>
      <c r="AH30" s="70"/>
      <c r="AI30" s="70"/>
      <c r="AJ30" s="70"/>
      <c r="AK30" s="70"/>
      <c r="AL30" s="70"/>
      <c r="AM30" s="70"/>
      <c r="AN30" s="72"/>
      <c r="AO30" s="70"/>
      <c r="AP30" s="77"/>
      <c r="AQ30" s="75"/>
      <c r="AR30" s="76"/>
      <c r="AS30" s="92"/>
      <c r="AT30" s="78"/>
      <c r="AU30" s="77"/>
      <c r="AV30" s="82"/>
      <c r="AW30" s="83"/>
      <c r="AX30" s="74"/>
      <c r="AY30" s="92"/>
      <c r="AZ30" s="78"/>
      <c r="BA30" s="73"/>
      <c r="BB30" s="70"/>
      <c r="BC30" s="71"/>
      <c r="BD30" s="79"/>
      <c r="BE30" s="79"/>
      <c r="BF30" s="70"/>
    </row>
    <row r="31" spans="1:58" ht="51" x14ac:dyDescent="0.2">
      <c r="A31" s="70" t="s">
        <v>4056</v>
      </c>
      <c r="B31" s="70" t="s">
        <v>4402</v>
      </c>
      <c r="C31" s="70" t="s">
        <v>65</v>
      </c>
      <c r="D31" s="70">
        <v>31</v>
      </c>
      <c r="E31" s="70">
        <v>1</v>
      </c>
      <c r="F31" s="70"/>
      <c r="G31" s="70" t="s">
        <v>4201</v>
      </c>
      <c r="H31" s="70"/>
      <c r="I31" s="69"/>
      <c r="J31" s="70" t="s">
        <v>4131</v>
      </c>
      <c r="K31" s="70" t="s">
        <v>4073</v>
      </c>
      <c r="L31" s="70"/>
      <c r="M31" s="70"/>
      <c r="N31" s="69">
        <v>3</v>
      </c>
      <c r="O31" s="77">
        <v>1</v>
      </c>
      <c r="P31" s="75"/>
      <c r="Q31" s="76"/>
      <c r="R31" s="92"/>
      <c r="S31" s="78"/>
      <c r="T31" s="77"/>
      <c r="U31" s="82"/>
      <c r="V31" s="83"/>
      <c r="W31" s="74"/>
      <c r="X31" s="92"/>
      <c r="Y31" s="78"/>
      <c r="Z31" s="73"/>
      <c r="AA31" s="70"/>
      <c r="AB31" s="70" t="s">
        <v>4132</v>
      </c>
      <c r="AC31" s="70" t="s">
        <v>4143</v>
      </c>
      <c r="AD31" s="70"/>
      <c r="AE31" s="79" t="s">
        <v>4202</v>
      </c>
      <c r="AF31" s="70"/>
      <c r="AG31" s="70"/>
      <c r="AH31" s="70"/>
      <c r="AI31" s="70"/>
      <c r="AJ31" s="70"/>
      <c r="AK31" s="70"/>
      <c r="AL31" s="70"/>
      <c r="AM31" s="70"/>
      <c r="AN31" s="72"/>
      <c r="AO31" s="70"/>
      <c r="AP31" s="77"/>
      <c r="AQ31" s="75"/>
      <c r="AR31" s="76"/>
      <c r="AS31" s="92"/>
      <c r="AT31" s="78"/>
      <c r="AU31" s="77"/>
      <c r="AV31" s="82"/>
      <c r="AW31" s="83"/>
      <c r="AX31" s="74"/>
      <c r="AY31" s="92"/>
      <c r="AZ31" s="78"/>
      <c r="BA31" s="73"/>
      <c r="BB31" s="70"/>
      <c r="BC31" s="71"/>
      <c r="BD31" s="79"/>
      <c r="BE31" s="79"/>
      <c r="BF31" s="70"/>
    </row>
    <row r="32" spans="1:58" ht="25.5" x14ac:dyDescent="0.2">
      <c r="A32" s="70" t="s">
        <v>4056</v>
      </c>
      <c r="B32" s="70" t="s">
        <v>4403</v>
      </c>
      <c r="C32" s="70" t="s">
        <v>65</v>
      </c>
      <c r="D32" s="70">
        <v>32</v>
      </c>
      <c r="E32" s="70">
        <v>1</v>
      </c>
      <c r="F32" s="70"/>
      <c r="G32" s="70" t="s">
        <v>4203</v>
      </c>
      <c r="H32" s="70"/>
      <c r="I32" s="69"/>
      <c r="J32" s="70" t="s">
        <v>4131</v>
      </c>
      <c r="K32" s="70" t="s">
        <v>4073</v>
      </c>
      <c r="L32" s="70"/>
      <c r="M32" s="70"/>
      <c r="N32" s="69">
        <v>2</v>
      </c>
      <c r="O32" s="77"/>
      <c r="P32" s="75"/>
      <c r="Q32" s="76"/>
      <c r="R32" s="92">
        <v>1</v>
      </c>
      <c r="S32" s="78">
        <v>1</v>
      </c>
      <c r="T32" s="77">
        <v>1</v>
      </c>
      <c r="U32" s="82"/>
      <c r="V32" s="83"/>
      <c r="W32" s="74"/>
      <c r="X32" s="92"/>
      <c r="Y32" s="78"/>
      <c r="Z32" s="73"/>
      <c r="AA32" s="70"/>
      <c r="AB32" s="70" t="s">
        <v>27</v>
      </c>
      <c r="AC32" s="70" t="s">
        <v>4204</v>
      </c>
      <c r="AD32" s="70"/>
      <c r="AE32" s="79" t="s">
        <v>4205</v>
      </c>
      <c r="AF32" s="70"/>
      <c r="AG32" s="70"/>
      <c r="AH32" s="70"/>
      <c r="AI32" s="70"/>
      <c r="AJ32" s="70"/>
      <c r="AK32" s="70"/>
      <c r="AL32" s="70"/>
      <c r="AM32" s="70"/>
      <c r="AN32" s="72"/>
      <c r="AO32" s="70"/>
      <c r="AP32" s="77"/>
      <c r="AQ32" s="75"/>
      <c r="AR32" s="76"/>
      <c r="AS32" s="92"/>
      <c r="AT32" s="78"/>
      <c r="AU32" s="77"/>
      <c r="AV32" s="82"/>
      <c r="AW32" s="83"/>
      <c r="AX32" s="74"/>
      <c r="AY32" s="92"/>
      <c r="AZ32" s="78"/>
      <c r="BA32" s="73"/>
      <c r="BB32" s="70"/>
      <c r="BC32" s="71"/>
      <c r="BD32" s="79"/>
      <c r="BE32" s="79"/>
      <c r="BF32" s="70"/>
    </row>
    <row r="33" spans="1:58" ht="25.5" x14ac:dyDescent="0.2">
      <c r="A33" s="70" t="s">
        <v>4056</v>
      </c>
      <c r="B33" s="70" t="s">
        <v>4404</v>
      </c>
      <c r="C33" s="70" t="s">
        <v>65</v>
      </c>
      <c r="D33" s="70">
        <v>33</v>
      </c>
      <c r="E33" s="70">
        <v>1</v>
      </c>
      <c r="F33" s="70"/>
      <c r="G33" s="70" t="s">
        <v>4206</v>
      </c>
      <c r="H33" s="70" t="s">
        <v>4207</v>
      </c>
      <c r="I33" s="69" t="s">
        <v>4097</v>
      </c>
      <c r="J33" s="70" t="s">
        <v>4131</v>
      </c>
      <c r="K33" s="70" t="s">
        <v>4073</v>
      </c>
      <c r="L33" s="70"/>
      <c r="M33" s="70"/>
      <c r="N33" s="69">
        <v>4</v>
      </c>
      <c r="O33" s="77"/>
      <c r="P33" s="75">
        <v>1</v>
      </c>
      <c r="Q33" s="76"/>
      <c r="R33" s="92"/>
      <c r="S33" s="78">
        <v>1</v>
      </c>
      <c r="T33" s="77">
        <v>2</v>
      </c>
      <c r="U33" s="82"/>
      <c r="V33" s="83"/>
      <c r="W33" s="74"/>
      <c r="X33" s="92"/>
      <c r="Y33" s="78"/>
      <c r="Z33" s="73"/>
      <c r="AA33" s="70"/>
      <c r="AB33" s="70" t="s">
        <v>27</v>
      </c>
      <c r="AC33" s="70" t="s">
        <v>4204</v>
      </c>
      <c r="AD33" s="70"/>
      <c r="AE33" s="79" t="s">
        <v>4208</v>
      </c>
      <c r="AF33" s="70"/>
      <c r="AG33" s="70"/>
      <c r="AH33" s="70"/>
      <c r="AI33" s="70"/>
      <c r="AJ33" s="70"/>
      <c r="AK33" s="70"/>
      <c r="AL33" s="70"/>
      <c r="AM33" s="70"/>
      <c r="AN33" s="72"/>
      <c r="AO33" s="70"/>
      <c r="AP33" s="77"/>
      <c r="AQ33" s="75"/>
      <c r="AR33" s="76"/>
      <c r="AS33" s="92"/>
      <c r="AT33" s="78"/>
      <c r="AU33" s="77"/>
      <c r="AV33" s="82"/>
      <c r="AW33" s="83"/>
      <c r="AX33" s="74"/>
      <c r="AY33" s="92"/>
      <c r="AZ33" s="78"/>
      <c r="BA33" s="73"/>
      <c r="BB33" s="70"/>
      <c r="BC33" s="71"/>
      <c r="BD33" s="79"/>
      <c r="BE33" s="79"/>
      <c r="BF33" s="70"/>
    </row>
    <row r="34" spans="1:58" ht="25.5" x14ac:dyDescent="0.2">
      <c r="A34" s="70" t="s">
        <v>4056</v>
      </c>
      <c r="B34" s="70" t="s">
        <v>4405</v>
      </c>
      <c r="C34" s="70" t="s">
        <v>65</v>
      </c>
      <c r="D34" s="70">
        <v>34</v>
      </c>
      <c r="E34" s="70">
        <v>1</v>
      </c>
      <c r="F34" s="70"/>
      <c r="G34" s="70" t="s">
        <v>4209</v>
      </c>
      <c r="H34" s="70"/>
      <c r="I34" s="69"/>
      <c r="J34" s="70" t="s">
        <v>4131</v>
      </c>
      <c r="K34" s="70" t="s">
        <v>4073</v>
      </c>
      <c r="L34" s="70"/>
      <c r="M34" s="70"/>
      <c r="N34" s="69">
        <v>2</v>
      </c>
      <c r="O34" s="77"/>
      <c r="P34" s="75">
        <v>1</v>
      </c>
      <c r="Q34" s="76"/>
      <c r="R34" s="92">
        <v>1</v>
      </c>
      <c r="S34" s="78"/>
      <c r="T34" s="77"/>
      <c r="U34" s="82"/>
      <c r="V34" s="83"/>
      <c r="W34" s="74"/>
      <c r="X34" s="92"/>
      <c r="Y34" s="78"/>
      <c r="Z34" s="73"/>
      <c r="AA34" s="70"/>
      <c r="AB34" s="70"/>
      <c r="AC34" s="70" t="s">
        <v>4163</v>
      </c>
      <c r="AD34" s="70"/>
      <c r="AE34" s="79" t="s">
        <v>4210</v>
      </c>
      <c r="AF34" s="70"/>
      <c r="AG34" s="70"/>
      <c r="AH34" s="70"/>
      <c r="AI34" s="70"/>
      <c r="AJ34" s="70"/>
      <c r="AK34" s="70"/>
      <c r="AL34" s="70"/>
      <c r="AM34" s="70"/>
      <c r="AN34" s="72"/>
      <c r="AO34" s="70"/>
      <c r="AP34" s="77"/>
      <c r="AQ34" s="75"/>
      <c r="AR34" s="76"/>
      <c r="AS34" s="92"/>
      <c r="AT34" s="78"/>
      <c r="AU34" s="77"/>
      <c r="AV34" s="82"/>
      <c r="AW34" s="83"/>
      <c r="AX34" s="74"/>
      <c r="AY34" s="92"/>
      <c r="AZ34" s="78"/>
      <c r="BA34" s="73"/>
      <c r="BB34" s="70"/>
      <c r="BC34" s="71"/>
      <c r="BD34" s="79"/>
      <c r="BE34" s="79"/>
      <c r="BF34" s="70"/>
    </row>
    <row r="35" spans="1:58" ht="38.25" x14ac:dyDescent="0.2">
      <c r="A35" s="70" t="s">
        <v>4056</v>
      </c>
      <c r="B35" s="70" t="s">
        <v>4406</v>
      </c>
      <c r="C35" s="70" t="s">
        <v>65</v>
      </c>
      <c r="D35" s="70">
        <v>35</v>
      </c>
      <c r="E35" s="70">
        <v>1</v>
      </c>
      <c r="F35" s="70"/>
      <c r="G35" s="70" t="s">
        <v>4211</v>
      </c>
      <c r="H35" s="70"/>
      <c r="I35" s="69"/>
      <c r="J35" s="70" t="s">
        <v>4131</v>
      </c>
      <c r="K35" s="70" t="s">
        <v>4073</v>
      </c>
      <c r="L35" s="70"/>
      <c r="M35" s="70"/>
      <c r="N35" s="69">
        <v>2</v>
      </c>
      <c r="O35" s="77"/>
      <c r="P35" s="75"/>
      <c r="Q35" s="76">
        <v>1</v>
      </c>
      <c r="R35" s="92"/>
      <c r="S35" s="78"/>
      <c r="T35" s="77"/>
      <c r="U35" s="82"/>
      <c r="V35" s="83"/>
      <c r="W35" s="74"/>
      <c r="X35" s="92"/>
      <c r="Y35" s="78"/>
      <c r="Z35" s="73"/>
      <c r="AA35" s="70"/>
      <c r="AB35" s="70" t="s">
        <v>4132</v>
      </c>
      <c r="AC35" s="70" t="s">
        <v>4143</v>
      </c>
      <c r="AD35" s="70"/>
      <c r="AE35" s="79" t="s">
        <v>4212</v>
      </c>
      <c r="AF35" s="70"/>
      <c r="AG35" s="70"/>
      <c r="AH35" s="70"/>
      <c r="AI35" s="70"/>
      <c r="AJ35" s="70"/>
      <c r="AK35" s="70"/>
      <c r="AL35" s="70"/>
      <c r="AM35" s="70"/>
      <c r="AN35" s="72"/>
      <c r="AO35" s="70"/>
      <c r="AP35" s="77"/>
      <c r="AQ35" s="75"/>
      <c r="AR35" s="76"/>
      <c r="AS35" s="92"/>
      <c r="AT35" s="78"/>
      <c r="AU35" s="77"/>
      <c r="AV35" s="82"/>
      <c r="AW35" s="83"/>
      <c r="AX35" s="74"/>
      <c r="AY35" s="92"/>
      <c r="AZ35" s="78"/>
      <c r="BA35" s="73"/>
      <c r="BB35" s="70"/>
      <c r="BC35" s="71"/>
      <c r="BD35" s="79"/>
      <c r="BE35" s="79"/>
      <c r="BF35" s="70"/>
    </row>
    <row r="36" spans="1:58" ht="38.25" x14ac:dyDescent="0.2">
      <c r="A36" s="70" t="s">
        <v>4056</v>
      </c>
      <c r="B36" s="102" t="s">
        <v>4407</v>
      </c>
      <c r="C36" s="70" t="s">
        <v>65</v>
      </c>
      <c r="D36" s="70">
        <v>36</v>
      </c>
      <c r="E36" s="70">
        <v>1</v>
      </c>
      <c r="F36" s="70"/>
      <c r="G36" s="70" t="s">
        <v>4213</v>
      </c>
      <c r="H36" s="70"/>
      <c r="I36" s="69"/>
      <c r="J36" s="70" t="s">
        <v>33</v>
      </c>
      <c r="K36" s="70" t="s">
        <v>4073</v>
      </c>
      <c r="L36" s="70"/>
      <c r="M36" s="70"/>
      <c r="N36" s="69">
        <v>1</v>
      </c>
      <c r="O36" s="77"/>
      <c r="P36" s="75"/>
      <c r="Q36" s="76">
        <v>1</v>
      </c>
      <c r="R36" s="92">
        <v>1</v>
      </c>
      <c r="S36" s="78"/>
      <c r="T36" s="77"/>
      <c r="U36" s="82"/>
      <c r="V36" s="83"/>
      <c r="W36" s="74"/>
      <c r="X36" s="92"/>
      <c r="Y36" s="78"/>
      <c r="Z36" s="73"/>
      <c r="AA36" s="70"/>
      <c r="AB36" s="70"/>
      <c r="AC36" s="70" t="s">
        <v>4214</v>
      </c>
      <c r="AD36" s="70"/>
      <c r="AE36" s="79" t="s">
        <v>4215</v>
      </c>
      <c r="AF36" s="70"/>
      <c r="AG36" s="70"/>
      <c r="AH36" s="70"/>
      <c r="AI36" s="70"/>
      <c r="AJ36" s="70"/>
      <c r="AK36" s="70"/>
      <c r="AL36" s="70"/>
      <c r="AM36" s="70"/>
      <c r="AN36" s="72"/>
      <c r="AO36" s="70"/>
      <c r="AP36" s="77"/>
      <c r="AQ36" s="75"/>
      <c r="AR36" s="76"/>
      <c r="AS36" s="92"/>
      <c r="AT36" s="78"/>
      <c r="AU36" s="77"/>
      <c r="AV36" s="82"/>
      <c r="AW36" s="83"/>
      <c r="AX36" s="74"/>
      <c r="AY36" s="92"/>
      <c r="AZ36" s="78"/>
      <c r="BA36" s="73"/>
      <c r="BB36" s="70"/>
      <c r="BC36" s="71"/>
      <c r="BD36" s="79"/>
      <c r="BE36" s="79"/>
      <c r="BF36" s="70"/>
    </row>
    <row r="37" spans="1:58" ht="12.75" x14ac:dyDescent="0.2">
      <c r="A37" s="70" t="s">
        <v>4056</v>
      </c>
      <c r="B37" s="70" t="s">
        <v>4408</v>
      </c>
      <c r="C37" s="70" t="s">
        <v>65</v>
      </c>
      <c r="D37" s="70">
        <v>37</v>
      </c>
      <c r="E37" s="70">
        <v>1</v>
      </c>
      <c r="F37" s="70"/>
      <c r="G37" s="70" t="s">
        <v>4216</v>
      </c>
      <c r="H37" s="70"/>
      <c r="I37" s="69"/>
      <c r="J37" s="70" t="s">
        <v>33</v>
      </c>
      <c r="K37" s="70" t="s">
        <v>4073</v>
      </c>
      <c r="L37" s="70"/>
      <c r="M37" s="70"/>
      <c r="N37" s="69"/>
      <c r="O37" s="93"/>
      <c r="P37" s="94"/>
      <c r="Q37" s="95"/>
      <c r="R37" s="92"/>
      <c r="S37" s="96"/>
      <c r="T37" s="93"/>
      <c r="U37" s="97"/>
      <c r="V37" s="98"/>
      <c r="W37" s="99"/>
      <c r="X37" s="92"/>
      <c r="Y37" s="96"/>
      <c r="Z37" s="100"/>
      <c r="AA37" s="70"/>
      <c r="AB37" s="70"/>
      <c r="AC37" s="70"/>
      <c r="AD37" s="70"/>
      <c r="AE37" s="79"/>
      <c r="AF37" s="70"/>
      <c r="AG37" s="70"/>
      <c r="AH37" s="70"/>
      <c r="AI37" s="70"/>
      <c r="AJ37" s="70"/>
      <c r="AK37" s="70"/>
      <c r="AL37" s="70"/>
      <c r="AM37" s="70"/>
      <c r="AN37" s="72"/>
      <c r="AO37" s="70"/>
      <c r="AP37" s="93"/>
      <c r="AQ37" s="94"/>
      <c r="AR37" s="95"/>
      <c r="AS37" s="92"/>
      <c r="AT37" s="96"/>
      <c r="AU37" s="93"/>
      <c r="AV37" s="97"/>
      <c r="AW37" s="98"/>
      <c r="AX37" s="99"/>
      <c r="AY37" s="92"/>
      <c r="AZ37" s="96"/>
      <c r="BA37" s="100"/>
      <c r="BB37" s="70"/>
      <c r="BC37" s="71"/>
      <c r="BD37" s="79"/>
      <c r="BE37" s="79"/>
      <c r="BF37" s="70"/>
    </row>
    <row r="38" spans="1:58" ht="51" x14ac:dyDescent="0.2">
      <c r="A38" s="70" t="s">
        <v>4056</v>
      </c>
      <c r="B38" s="70" t="s">
        <v>4409</v>
      </c>
      <c r="C38" s="70" t="s">
        <v>65</v>
      </c>
      <c r="D38" s="70">
        <v>38</v>
      </c>
      <c r="E38" s="70">
        <v>1</v>
      </c>
      <c r="F38" s="70"/>
      <c r="G38" s="70" t="s">
        <v>4217</v>
      </c>
      <c r="H38" s="70"/>
      <c r="I38" s="69"/>
      <c r="J38" s="70" t="s">
        <v>33</v>
      </c>
      <c r="K38" s="70" t="s">
        <v>4073</v>
      </c>
      <c r="L38" s="70"/>
      <c r="M38" s="70"/>
      <c r="N38" s="69">
        <v>0</v>
      </c>
      <c r="O38" s="93">
        <v>1</v>
      </c>
      <c r="P38" s="94">
        <v>1</v>
      </c>
      <c r="Q38" s="95"/>
      <c r="R38" s="92">
        <v>1</v>
      </c>
      <c r="S38" s="96"/>
      <c r="T38" s="93"/>
      <c r="U38" s="97"/>
      <c r="V38" s="98"/>
      <c r="W38" s="99"/>
      <c r="X38" s="92"/>
      <c r="Y38" s="96"/>
      <c r="Z38" s="100"/>
      <c r="AA38" s="70"/>
      <c r="AB38" s="70"/>
      <c r="AC38" s="70" t="s">
        <v>4218</v>
      </c>
      <c r="AD38" s="70"/>
      <c r="AE38" s="79" t="s">
        <v>4219</v>
      </c>
      <c r="AF38" s="70"/>
      <c r="AG38" s="70"/>
      <c r="AH38" s="70"/>
      <c r="AI38" s="70"/>
      <c r="AJ38" s="70"/>
      <c r="AK38" s="70"/>
      <c r="AL38" s="70"/>
      <c r="AM38" s="70"/>
      <c r="AN38" s="72"/>
      <c r="AO38" s="70"/>
      <c r="AP38" s="93"/>
      <c r="AQ38" s="94"/>
      <c r="AR38" s="95"/>
      <c r="AS38" s="92"/>
      <c r="AT38" s="96"/>
      <c r="AU38" s="93"/>
      <c r="AV38" s="97"/>
      <c r="AW38" s="98"/>
      <c r="AX38" s="99"/>
      <c r="AY38" s="92"/>
      <c r="AZ38" s="96"/>
      <c r="BA38" s="100"/>
      <c r="BB38" s="70"/>
      <c r="BC38" s="71"/>
      <c r="BD38" s="79"/>
      <c r="BE38" s="79"/>
      <c r="BF38" s="70"/>
    </row>
    <row r="39" spans="1:58" ht="12.75" x14ac:dyDescent="0.2">
      <c r="A39" s="70" t="s">
        <v>4056</v>
      </c>
      <c r="B39" s="70" t="s">
        <v>4410</v>
      </c>
      <c r="C39" s="70" t="s">
        <v>65</v>
      </c>
      <c r="D39" s="70">
        <v>39</v>
      </c>
      <c r="E39" s="70">
        <v>1</v>
      </c>
      <c r="F39" s="70"/>
      <c r="G39" s="70" t="s">
        <v>4220</v>
      </c>
      <c r="H39" s="70"/>
      <c r="I39" s="69"/>
      <c r="J39" s="70" t="s">
        <v>4186</v>
      </c>
      <c r="K39" s="70" t="s">
        <v>4073</v>
      </c>
      <c r="L39" s="70"/>
      <c r="M39" s="70"/>
      <c r="N39" s="69"/>
      <c r="O39" s="93"/>
      <c r="P39" s="94">
        <v>1</v>
      </c>
      <c r="Q39" s="95"/>
      <c r="R39" s="92"/>
      <c r="S39" s="96"/>
      <c r="T39" s="93"/>
      <c r="U39" s="97"/>
      <c r="V39" s="98"/>
      <c r="W39" s="99"/>
      <c r="X39" s="92"/>
      <c r="Y39" s="96"/>
      <c r="Z39" s="100"/>
      <c r="AA39" s="70"/>
      <c r="AB39" s="70"/>
      <c r="AC39" s="70" t="s">
        <v>4187</v>
      </c>
      <c r="AD39" s="70"/>
      <c r="AE39" s="70" t="s">
        <v>4221</v>
      </c>
      <c r="AF39" s="70"/>
      <c r="AG39" s="70"/>
      <c r="AH39" s="70"/>
      <c r="AI39" s="70"/>
      <c r="AJ39" s="70"/>
      <c r="AK39" s="70"/>
      <c r="AL39" s="70"/>
      <c r="AM39" s="70"/>
      <c r="AN39" s="72"/>
      <c r="AO39" s="70"/>
      <c r="AP39" s="93"/>
      <c r="AQ39" s="94"/>
      <c r="AR39" s="95"/>
      <c r="AS39" s="92"/>
      <c r="AT39" s="96"/>
      <c r="AU39" s="93"/>
      <c r="AV39" s="97"/>
      <c r="AW39" s="98"/>
      <c r="AX39" s="99"/>
      <c r="AY39" s="92"/>
      <c r="AZ39" s="96"/>
      <c r="BA39" s="100"/>
      <c r="BB39" s="70"/>
      <c r="BC39" s="71"/>
      <c r="BD39" s="79"/>
      <c r="BE39" s="79"/>
      <c r="BF39" s="70"/>
    </row>
    <row r="40" spans="1:58" ht="51" x14ac:dyDescent="0.2">
      <c r="A40" s="70" t="s">
        <v>4056</v>
      </c>
      <c r="B40" s="70" t="s">
        <v>4411</v>
      </c>
      <c r="C40" s="70" t="s">
        <v>65</v>
      </c>
      <c r="D40" s="70">
        <v>40</v>
      </c>
      <c r="E40" s="70">
        <v>1</v>
      </c>
      <c r="F40" s="70"/>
      <c r="G40" s="70" t="s">
        <v>4198</v>
      </c>
      <c r="H40" s="70"/>
      <c r="I40" s="69"/>
      <c r="J40" s="70" t="s">
        <v>4131</v>
      </c>
      <c r="K40" s="70" t="s">
        <v>4073</v>
      </c>
      <c r="L40" s="70">
        <v>1</v>
      </c>
      <c r="M40" s="70"/>
      <c r="N40" s="69">
        <v>0</v>
      </c>
      <c r="O40" s="93"/>
      <c r="P40" s="94">
        <v>1</v>
      </c>
      <c r="Q40" s="95"/>
      <c r="R40" s="92"/>
      <c r="S40" s="96"/>
      <c r="T40" s="93"/>
      <c r="U40" s="97"/>
      <c r="V40" s="98"/>
      <c r="W40" s="99"/>
      <c r="X40" s="92"/>
      <c r="Y40" s="96"/>
      <c r="Z40" s="100"/>
      <c r="AA40" s="70"/>
      <c r="AB40" s="70" t="s">
        <v>4132</v>
      </c>
      <c r="AC40" s="70" t="s">
        <v>4199</v>
      </c>
      <c r="AD40" s="70"/>
      <c r="AE40" s="79" t="s">
        <v>4222</v>
      </c>
      <c r="AF40" s="70"/>
      <c r="AG40" s="70"/>
      <c r="AH40" s="70"/>
      <c r="AI40" s="70"/>
      <c r="AJ40" s="70"/>
      <c r="AK40" s="70"/>
      <c r="AL40" s="70"/>
      <c r="AM40" s="70"/>
      <c r="AN40" s="72"/>
      <c r="AO40" s="70"/>
      <c r="AP40" s="93"/>
      <c r="AQ40" s="94"/>
      <c r="AR40" s="95"/>
      <c r="AS40" s="92"/>
      <c r="AT40" s="96"/>
      <c r="AU40" s="93"/>
      <c r="AV40" s="97"/>
      <c r="AW40" s="98"/>
      <c r="AX40" s="99"/>
      <c r="AY40" s="92"/>
      <c r="AZ40" s="96"/>
      <c r="BA40" s="100"/>
      <c r="BB40" s="70"/>
      <c r="BC40" s="71"/>
      <c r="BD40" s="79"/>
      <c r="BE40" s="79"/>
      <c r="BF40" s="70"/>
    </row>
    <row r="41" spans="1:58" ht="12.75" x14ac:dyDescent="0.2">
      <c r="A41" s="70" t="s">
        <v>4056</v>
      </c>
      <c r="B41" s="70" t="s">
        <v>4412</v>
      </c>
      <c r="C41" s="70" t="s">
        <v>65</v>
      </c>
      <c r="D41" s="70">
        <v>42</v>
      </c>
      <c r="E41" s="70">
        <v>1</v>
      </c>
      <c r="F41" s="70"/>
      <c r="G41" s="70" t="s">
        <v>4223</v>
      </c>
      <c r="H41" s="70"/>
      <c r="I41" s="69"/>
      <c r="J41" s="70" t="s">
        <v>4131</v>
      </c>
      <c r="K41" s="70" t="s">
        <v>4073</v>
      </c>
      <c r="L41" s="70">
        <v>2</v>
      </c>
      <c r="M41" s="70"/>
      <c r="N41" s="69">
        <v>2</v>
      </c>
      <c r="O41" s="93"/>
      <c r="P41" s="94"/>
      <c r="Q41" s="95"/>
      <c r="R41" s="92"/>
      <c r="S41" s="96"/>
      <c r="T41" s="93"/>
      <c r="U41" s="97"/>
      <c r="V41" s="98"/>
      <c r="W41" s="99"/>
      <c r="X41" s="92"/>
      <c r="Y41" s="96"/>
      <c r="Z41" s="100"/>
      <c r="AA41" s="70"/>
      <c r="AB41" s="70" t="s">
        <v>4132</v>
      </c>
      <c r="AC41" s="70" t="s">
        <v>4143</v>
      </c>
      <c r="AD41" s="70"/>
      <c r="AE41" s="70" t="s">
        <v>4224</v>
      </c>
      <c r="AF41" s="70"/>
      <c r="AG41" s="70"/>
      <c r="AH41" s="70"/>
      <c r="AI41" s="70"/>
      <c r="AJ41" s="70"/>
      <c r="AK41" s="70"/>
      <c r="AL41" s="70"/>
      <c r="AM41" s="70"/>
      <c r="AN41" s="72"/>
      <c r="AO41" s="70"/>
      <c r="AP41" s="93"/>
      <c r="AQ41" s="94"/>
      <c r="AR41" s="95"/>
      <c r="AS41" s="92"/>
      <c r="AT41" s="96"/>
      <c r="AU41" s="93"/>
      <c r="AV41" s="97"/>
      <c r="AW41" s="98"/>
      <c r="AX41" s="99"/>
      <c r="AY41" s="92"/>
      <c r="AZ41" s="96"/>
      <c r="BA41" s="100"/>
      <c r="BB41" s="70"/>
      <c r="BC41" s="71"/>
      <c r="BD41" s="79"/>
      <c r="BE41" s="79"/>
      <c r="BF41" s="70"/>
    </row>
    <row r="42" spans="1:58" ht="25.5" x14ac:dyDescent="0.2">
      <c r="A42" s="70" t="s">
        <v>4056</v>
      </c>
      <c r="B42" s="70" t="s">
        <v>4413</v>
      </c>
      <c r="C42" s="70" t="s">
        <v>65</v>
      </c>
      <c r="D42" s="70">
        <v>44</v>
      </c>
      <c r="E42" s="70">
        <v>1</v>
      </c>
      <c r="F42" s="70"/>
      <c r="G42" s="70" t="s">
        <v>4225</v>
      </c>
      <c r="H42" s="70"/>
      <c r="I42" s="69"/>
      <c r="J42" s="70" t="s">
        <v>4131</v>
      </c>
      <c r="K42" s="70" t="s">
        <v>4075</v>
      </c>
      <c r="L42" s="70"/>
      <c r="M42" s="70"/>
      <c r="N42" s="69">
        <v>1</v>
      </c>
      <c r="O42" s="93"/>
      <c r="P42" s="94"/>
      <c r="Q42" s="95"/>
      <c r="R42" s="92">
        <v>1</v>
      </c>
      <c r="S42" s="96"/>
      <c r="T42" s="93"/>
      <c r="U42" s="97"/>
      <c r="V42" s="98"/>
      <c r="W42" s="99"/>
      <c r="X42" s="92"/>
      <c r="Y42" s="96"/>
      <c r="Z42" s="100"/>
      <c r="AA42" s="70"/>
      <c r="AB42" s="70" t="s">
        <v>4132</v>
      </c>
      <c r="AC42" s="70" t="s">
        <v>4226</v>
      </c>
      <c r="AD42" s="70"/>
      <c r="AE42" s="79" t="s">
        <v>4227</v>
      </c>
      <c r="AF42" s="70"/>
      <c r="AG42" s="70"/>
      <c r="AH42" s="70"/>
      <c r="AI42" s="70"/>
      <c r="AJ42" s="70"/>
      <c r="AK42" s="70"/>
      <c r="AL42" s="70"/>
      <c r="AM42" s="70"/>
      <c r="AN42" s="72"/>
      <c r="AO42" s="70"/>
      <c r="AP42" s="93"/>
      <c r="AQ42" s="94"/>
      <c r="AR42" s="95"/>
      <c r="AS42" s="92"/>
      <c r="AT42" s="96"/>
      <c r="AU42" s="93"/>
      <c r="AV42" s="97"/>
      <c r="AW42" s="98"/>
      <c r="AX42" s="99"/>
      <c r="AY42" s="92"/>
      <c r="AZ42" s="96"/>
      <c r="BA42" s="100"/>
      <c r="BB42" s="70"/>
      <c r="BC42" s="71"/>
      <c r="BD42" s="79"/>
      <c r="BE42" s="79"/>
      <c r="BF42" s="70"/>
    </row>
    <row r="43" spans="1:58" ht="12.75" x14ac:dyDescent="0.2">
      <c r="A43" s="70" t="s">
        <v>4056</v>
      </c>
      <c r="B43" s="70" t="s">
        <v>4414</v>
      </c>
      <c r="C43" s="70" t="s">
        <v>65</v>
      </c>
      <c r="D43" s="70">
        <v>45</v>
      </c>
      <c r="E43" s="70">
        <v>1</v>
      </c>
      <c r="F43" s="70"/>
      <c r="G43" s="70" t="s">
        <v>4228</v>
      </c>
      <c r="H43" s="70"/>
      <c r="I43" s="69"/>
      <c r="J43" s="70" t="s">
        <v>4131</v>
      </c>
      <c r="K43" s="70" t="s">
        <v>4075</v>
      </c>
      <c r="L43" s="70"/>
      <c r="M43" s="70"/>
      <c r="N43" s="69">
        <v>1</v>
      </c>
      <c r="O43" s="93"/>
      <c r="P43" s="94">
        <v>1</v>
      </c>
      <c r="Q43" s="95"/>
      <c r="R43" s="92"/>
      <c r="S43" s="96"/>
      <c r="T43" s="93"/>
      <c r="U43" s="97"/>
      <c r="V43" s="98"/>
      <c r="W43" s="99"/>
      <c r="X43" s="92"/>
      <c r="Y43" s="96"/>
      <c r="Z43" s="100"/>
      <c r="AA43" s="70"/>
      <c r="AB43" s="70"/>
      <c r="AC43" s="70" t="s">
        <v>4229</v>
      </c>
      <c r="AD43" s="70"/>
      <c r="AE43" s="70" t="s">
        <v>4230</v>
      </c>
      <c r="AF43" s="70"/>
      <c r="AG43" s="70"/>
      <c r="AH43" s="70"/>
      <c r="AI43" s="70"/>
      <c r="AJ43" s="70"/>
      <c r="AK43" s="70"/>
      <c r="AL43" s="70"/>
      <c r="AM43" s="70"/>
      <c r="AN43" s="72"/>
      <c r="AO43" s="70"/>
      <c r="AP43" s="93"/>
      <c r="AQ43" s="94"/>
      <c r="AR43" s="95"/>
      <c r="AS43" s="92"/>
      <c r="AT43" s="96"/>
      <c r="AU43" s="93"/>
      <c r="AV43" s="97"/>
      <c r="AW43" s="98"/>
      <c r="AX43" s="99"/>
      <c r="AY43" s="92"/>
      <c r="AZ43" s="96"/>
      <c r="BA43" s="100"/>
      <c r="BB43" s="70"/>
      <c r="BC43" s="71"/>
      <c r="BD43" s="79"/>
      <c r="BE43" s="79"/>
      <c r="BF43" s="70"/>
    </row>
    <row r="44" spans="1:58" ht="12.75" x14ac:dyDescent="0.2">
      <c r="A44" s="70" t="s">
        <v>4056</v>
      </c>
      <c r="B44" s="70" t="s">
        <v>4415</v>
      </c>
      <c r="C44" s="70" t="s">
        <v>65</v>
      </c>
      <c r="D44" s="70">
        <v>46</v>
      </c>
      <c r="E44" s="70">
        <v>1</v>
      </c>
      <c r="F44" s="70"/>
      <c r="G44" s="70" t="s">
        <v>4231</v>
      </c>
      <c r="H44" s="70"/>
      <c r="I44" s="69"/>
      <c r="J44" s="70" t="s">
        <v>4131</v>
      </c>
      <c r="K44" s="70" t="s">
        <v>4075</v>
      </c>
      <c r="L44" s="70"/>
      <c r="M44" s="70"/>
      <c r="N44" s="69">
        <v>2</v>
      </c>
      <c r="O44" s="93"/>
      <c r="P44" s="94"/>
      <c r="Q44" s="95"/>
      <c r="R44" s="92">
        <v>1</v>
      </c>
      <c r="S44" s="96"/>
      <c r="T44" s="93"/>
      <c r="U44" s="97"/>
      <c r="V44" s="98"/>
      <c r="W44" s="99"/>
      <c r="X44" s="92"/>
      <c r="Y44" s="96"/>
      <c r="Z44" s="100"/>
      <c r="AA44" s="70"/>
      <c r="AB44" s="70"/>
      <c r="AC44" s="70" t="s">
        <v>4229</v>
      </c>
      <c r="AD44" s="70"/>
      <c r="AE44" s="70" t="s">
        <v>4232</v>
      </c>
      <c r="AF44" s="70"/>
      <c r="AG44" s="70"/>
      <c r="AH44" s="70"/>
      <c r="AI44" s="70"/>
      <c r="AJ44" s="70"/>
      <c r="AK44" s="70"/>
      <c r="AL44" s="70"/>
      <c r="AM44" s="70"/>
      <c r="AN44" s="72"/>
      <c r="AO44" s="70"/>
      <c r="AP44" s="93"/>
      <c r="AQ44" s="94"/>
      <c r="AR44" s="95"/>
      <c r="AS44" s="92"/>
      <c r="AT44" s="96"/>
      <c r="AU44" s="93"/>
      <c r="AV44" s="97"/>
      <c r="AW44" s="98"/>
      <c r="AX44" s="99"/>
      <c r="AY44" s="92"/>
      <c r="AZ44" s="96"/>
      <c r="BA44" s="100"/>
      <c r="BB44" s="70"/>
      <c r="BC44" s="71"/>
      <c r="BD44" s="79"/>
      <c r="BE44" s="79"/>
      <c r="BF44" s="70"/>
    </row>
    <row r="45" spans="1:58" ht="12.75" x14ac:dyDescent="0.2">
      <c r="A45" s="70" t="s">
        <v>4056</v>
      </c>
      <c r="B45" s="70" t="s">
        <v>4416</v>
      </c>
      <c r="C45" s="70" t="s">
        <v>65</v>
      </c>
      <c r="D45" s="70">
        <v>47</v>
      </c>
      <c r="E45" s="70">
        <v>1</v>
      </c>
      <c r="F45" s="70"/>
      <c r="G45" s="70" t="s">
        <v>4233</v>
      </c>
      <c r="H45" s="70"/>
      <c r="I45" s="69"/>
      <c r="J45" s="70" t="s">
        <v>4131</v>
      </c>
      <c r="K45" s="70" t="s">
        <v>4075</v>
      </c>
      <c r="L45" s="70"/>
      <c r="M45" s="70"/>
      <c r="N45" s="69"/>
      <c r="O45" s="93"/>
      <c r="P45" s="94"/>
      <c r="Q45" s="95"/>
      <c r="R45" s="92"/>
      <c r="S45" s="96"/>
      <c r="T45" s="93"/>
      <c r="U45" s="97"/>
      <c r="V45" s="98"/>
      <c r="W45" s="99"/>
      <c r="X45" s="92"/>
      <c r="Y45" s="96"/>
      <c r="Z45" s="100"/>
      <c r="AA45" s="70"/>
      <c r="AB45" s="70"/>
      <c r="AC45" s="70" t="s">
        <v>4133</v>
      </c>
      <c r="AD45" s="70"/>
      <c r="AE45" s="70"/>
      <c r="AF45" s="70"/>
      <c r="AG45" s="70"/>
      <c r="AH45" s="70"/>
      <c r="AI45" s="70"/>
      <c r="AJ45" s="70"/>
      <c r="AK45" s="70"/>
      <c r="AL45" s="70"/>
      <c r="AM45" s="70"/>
      <c r="AN45" s="72"/>
      <c r="AO45" s="70"/>
      <c r="AP45" s="93"/>
      <c r="AQ45" s="94"/>
      <c r="AR45" s="95"/>
      <c r="AS45" s="92"/>
      <c r="AT45" s="96"/>
      <c r="AU45" s="93"/>
      <c r="AV45" s="97"/>
      <c r="AW45" s="98"/>
      <c r="AX45" s="99"/>
      <c r="AY45" s="92"/>
      <c r="AZ45" s="96"/>
      <c r="BA45" s="100"/>
      <c r="BB45" s="70"/>
      <c r="BC45" s="71"/>
      <c r="BD45" s="79"/>
      <c r="BE45" s="79"/>
      <c r="BF45" s="70"/>
    </row>
    <row r="46" spans="1:58" ht="12.75" x14ac:dyDescent="0.2">
      <c r="A46" s="70" t="s">
        <v>4056</v>
      </c>
      <c r="B46" s="70" t="s">
        <v>4417</v>
      </c>
      <c r="C46" s="70" t="s">
        <v>65</v>
      </c>
      <c r="D46" s="70">
        <v>48</v>
      </c>
      <c r="E46" s="70">
        <v>1</v>
      </c>
      <c r="F46" s="70"/>
      <c r="G46" s="70" t="s">
        <v>4234</v>
      </c>
      <c r="H46" s="70" t="s">
        <v>4235</v>
      </c>
      <c r="I46" s="69" t="s">
        <v>4097</v>
      </c>
      <c r="J46" s="70" t="s">
        <v>4131</v>
      </c>
      <c r="K46" s="70" t="s">
        <v>4075</v>
      </c>
      <c r="L46" s="70"/>
      <c r="M46" s="70"/>
      <c r="N46" s="69">
        <v>6</v>
      </c>
      <c r="O46" s="93"/>
      <c r="P46" s="94">
        <v>1</v>
      </c>
      <c r="Q46" s="95"/>
      <c r="R46" s="92"/>
      <c r="S46" s="96">
        <v>2</v>
      </c>
      <c r="T46" s="93">
        <v>2</v>
      </c>
      <c r="U46" s="97"/>
      <c r="V46" s="98"/>
      <c r="W46" s="99"/>
      <c r="X46" s="92"/>
      <c r="Y46" s="96"/>
      <c r="Z46" s="100"/>
      <c r="AA46" s="70"/>
      <c r="AB46" s="70" t="s">
        <v>27</v>
      </c>
      <c r="AC46" s="70" t="s">
        <v>4236</v>
      </c>
      <c r="AD46" s="70"/>
      <c r="AE46" s="70" t="s">
        <v>4237</v>
      </c>
      <c r="AF46" s="70"/>
      <c r="AG46" s="70"/>
      <c r="AH46" s="70"/>
      <c r="AI46" s="70"/>
      <c r="AJ46" s="70"/>
      <c r="AK46" s="70"/>
      <c r="AL46" s="70"/>
      <c r="AM46" s="70"/>
      <c r="AN46" s="72"/>
      <c r="AO46" s="70"/>
      <c r="AP46" s="93"/>
      <c r="AQ46" s="94"/>
      <c r="AR46" s="95"/>
      <c r="AS46" s="92"/>
      <c r="AT46" s="96"/>
      <c r="AU46" s="93"/>
      <c r="AV46" s="97"/>
      <c r="AW46" s="98"/>
      <c r="AX46" s="99"/>
      <c r="AY46" s="92"/>
      <c r="AZ46" s="96"/>
      <c r="BA46" s="100"/>
      <c r="BB46" s="70"/>
      <c r="BC46" s="71"/>
      <c r="BD46" s="79"/>
      <c r="BE46" s="79"/>
      <c r="BF46" s="70"/>
    </row>
    <row r="47" spans="1:58" ht="25.5" x14ac:dyDescent="0.2">
      <c r="A47" s="70" t="s">
        <v>4056</v>
      </c>
      <c r="B47" s="70" t="s">
        <v>4418</v>
      </c>
      <c r="C47" s="70" t="s">
        <v>65</v>
      </c>
      <c r="D47" s="70">
        <v>49</v>
      </c>
      <c r="E47" s="70">
        <v>1</v>
      </c>
      <c r="F47" s="70"/>
      <c r="G47" s="70" t="s">
        <v>4238</v>
      </c>
      <c r="H47" s="70"/>
      <c r="I47" s="69"/>
      <c r="J47" s="70" t="s">
        <v>4131</v>
      </c>
      <c r="K47" s="70" t="s">
        <v>4075</v>
      </c>
      <c r="L47" s="70"/>
      <c r="M47" s="70"/>
      <c r="N47" s="69">
        <v>2</v>
      </c>
      <c r="O47" s="93"/>
      <c r="P47" s="94"/>
      <c r="Q47" s="95">
        <v>1</v>
      </c>
      <c r="R47" s="92">
        <v>1</v>
      </c>
      <c r="S47" s="96"/>
      <c r="T47" s="93"/>
      <c r="U47" s="97"/>
      <c r="V47" s="98"/>
      <c r="W47" s="99"/>
      <c r="X47" s="92"/>
      <c r="Y47" s="96"/>
      <c r="Z47" s="100"/>
      <c r="AA47" s="70"/>
      <c r="AB47" s="70"/>
      <c r="AC47" s="70" t="s">
        <v>4163</v>
      </c>
      <c r="AD47" s="70"/>
      <c r="AE47" s="79" t="s">
        <v>4239</v>
      </c>
      <c r="AF47" s="70"/>
      <c r="AG47" s="70"/>
      <c r="AH47" s="70"/>
      <c r="AI47" s="70"/>
      <c r="AJ47" s="70"/>
      <c r="AK47" s="70"/>
      <c r="AL47" s="70"/>
      <c r="AM47" s="70"/>
      <c r="AN47" s="72"/>
      <c r="AO47" s="70"/>
      <c r="AP47" s="93"/>
      <c r="AQ47" s="94"/>
      <c r="AR47" s="95"/>
      <c r="AS47" s="92"/>
      <c r="AT47" s="96"/>
      <c r="AU47" s="93"/>
      <c r="AV47" s="97"/>
      <c r="AW47" s="98"/>
      <c r="AX47" s="99"/>
      <c r="AY47" s="92"/>
      <c r="AZ47" s="96"/>
      <c r="BA47" s="100"/>
      <c r="BB47" s="70"/>
      <c r="BC47" s="71"/>
      <c r="BD47" s="79"/>
      <c r="BE47" s="79"/>
      <c r="BF47" s="70"/>
    </row>
    <row r="48" spans="1:58" ht="12.75" x14ac:dyDescent="0.2">
      <c r="A48" s="70" t="s">
        <v>4056</v>
      </c>
      <c r="B48" s="70" t="s">
        <v>4419</v>
      </c>
      <c r="C48" s="70" t="s">
        <v>65</v>
      </c>
      <c r="D48" s="70">
        <v>50</v>
      </c>
      <c r="E48" s="70">
        <v>1</v>
      </c>
      <c r="F48" s="70"/>
      <c r="G48" s="70" t="s">
        <v>4240</v>
      </c>
      <c r="H48" s="70"/>
      <c r="I48" s="69"/>
      <c r="J48" s="70" t="s">
        <v>33</v>
      </c>
      <c r="K48" s="70" t="s">
        <v>4075</v>
      </c>
      <c r="L48" s="70"/>
      <c r="M48" s="70"/>
      <c r="N48" s="69"/>
      <c r="O48" s="93"/>
      <c r="P48" s="94"/>
      <c r="Q48" s="95"/>
      <c r="R48" s="92"/>
      <c r="S48" s="96"/>
      <c r="T48" s="93"/>
      <c r="U48" s="97"/>
      <c r="V48" s="98"/>
      <c r="W48" s="99"/>
      <c r="X48" s="92"/>
      <c r="Y48" s="96"/>
      <c r="Z48" s="100"/>
      <c r="AA48" s="70"/>
      <c r="AB48" s="70"/>
      <c r="AC48" s="70"/>
      <c r="AD48" s="70"/>
      <c r="AE48" s="70"/>
      <c r="AF48" s="70"/>
      <c r="AG48" s="70"/>
      <c r="AH48" s="70"/>
      <c r="AI48" s="70"/>
      <c r="AJ48" s="70"/>
      <c r="AK48" s="70"/>
      <c r="AL48" s="70"/>
      <c r="AM48" s="70"/>
      <c r="AN48" s="72"/>
      <c r="AO48" s="70"/>
      <c r="AP48" s="93"/>
      <c r="AQ48" s="94"/>
      <c r="AR48" s="95"/>
      <c r="AS48" s="92"/>
      <c r="AT48" s="96"/>
      <c r="AU48" s="93"/>
      <c r="AV48" s="97"/>
      <c r="AW48" s="98"/>
      <c r="AX48" s="99"/>
      <c r="AY48" s="92"/>
      <c r="AZ48" s="96"/>
      <c r="BA48" s="100"/>
      <c r="BB48" s="70"/>
      <c r="BC48" s="71"/>
      <c r="BD48" s="79"/>
      <c r="BE48" s="79"/>
      <c r="BF48" s="70"/>
    </row>
    <row r="49" spans="1:58" ht="12.75" x14ac:dyDescent="0.2">
      <c r="A49" s="70" t="s">
        <v>4056</v>
      </c>
      <c r="B49" s="70" t="s">
        <v>4420</v>
      </c>
      <c r="C49" s="70" t="s">
        <v>65</v>
      </c>
      <c r="D49" s="70">
        <v>51</v>
      </c>
      <c r="E49" s="70">
        <v>1</v>
      </c>
      <c r="F49" s="70"/>
      <c r="G49" s="70" t="s">
        <v>4241</v>
      </c>
      <c r="H49" s="70"/>
      <c r="I49" s="69"/>
      <c r="J49" s="70" t="s">
        <v>33</v>
      </c>
      <c r="K49" s="70" t="s">
        <v>4075</v>
      </c>
      <c r="L49" s="70"/>
      <c r="M49" s="70"/>
      <c r="N49" s="69">
        <v>3</v>
      </c>
      <c r="O49" s="93"/>
      <c r="P49" s="94"/>
      <c r="Q49" s="95">
        <v>1</v>
      </c>
      <c r="R49" s="92">
        <v>1</v>
      </c>
      <c r="S49" s="96"/>
      <c r="T49" s="93"/>
      <c r="U49" s="97"/>
      <c r="V49" s="98"/>
      <c r="W49" s="99"/>
      <c r="X49" s="92"/>
      <c r="Y49" s="96"/>
      <c r="Z49" s="100"/>
      <c r="AA49" s="70"/>
      <c r="AB49" s="70"/>
      <c r="AC49" s="70" t="s">
        <v>4181</v>
      </c>
      <c r="AD49" s="70"/>
      <c r="AE49" s="70" t="s">
        <v>4242</v>
      </c>
      <c r="AF49" s="70"/>
      <c r="AG49" s="70"/>
      <c r="AH49" s="70"/>
      <c r="AI49" s="70"/>
      <c r="AJ49" s="70"/>
      <c r="AK49" s="70"/>
      <c r="AL49" s="70"/>
      <c r="AM49" s="70"/>
      <c r="AN49" s="72"/>
      <c r="AO49" s="70"/>
      <c r="AP49" s="93"/>
      <c r="AQ49" s="94"/>
      <c r="AR49" s="95"/>
      <c r="AS49" s="92"/>
      <c r="AT49" s="96"/>
      <c r="AU49" s="93"/>
      <c r="AV49" s="97"/>
      <c r="AW49" s="98"/>
      <c r="AX49" s="99"/>
      <c r="AY49" s="92"/>
      <c r="AZ49" s="96"/>
      <c r="BA49" s="100"/>
      <c r="BB49" s="70"/>
      <c r="BC49" s="71"/>
      <c r="BD49" s="79"/>
      <c r="BE49" s="79"/>
      <c r="BF49" s="70"/>
    </row>
    <row r="50" spans="1:58" ht="12.75" x14ac:dyDescent="0.2">
      <c r="A50" s="70" t="s">
        <v>4056</v>
      </c>
      <c r="B50" s="70" t="s">
        <v>4421</v>
      </c>
      <c r="C50" s="70" t="s">
        <v>65</v>
      </c>
      <c r="D50" s="70">
        <v>52</v>
      </c>
      <c r="E50" s="70">
        <v>1</v>
      </c>
      <c r="F50" s="70"/>
      <c r="G50" s="70" t="s">
        <v>4243</v>
      </c>
      <c r="H50" s="70"/>
      <c r="I50" s="69"/>
      <c r="J50" s="70" t="s">
        <v>33</v>
      </c>
      <c r="K50" s="70" t="s">
        <v>4075</v>
      </c>
      <c r="L50" s="70"/>
      <c r="M50" s="70"/>
      <c r="N50" s="69"/>
      <c r="O50" s="93"/>
      <c r="P50" s="94"/>
      <c r="Q50" s="95"/>
      <c r="R50" s="92"/>
      <c r="S50" s="96"/>
      <c r="T50" s="93"/>
      <c r="U50" s="97"/>
      <c r="V50" s="98"/>
      <c r="W50" s="99"/>
      <c r="X50" s="92"/>
      <c r="Y50" s="96"/>
      <c r="Z50" s="100"/>
      <c r="AA50" s="70"/>
      <c r="AB50" s="70"/>
      <c r="AC50" s="70"/>
      <c r="AD50" s="70"/>
      <c r="AE50" s="70"/>
      <c r="AF50" s="70"/>
      <c r="AG50" s="70"/>
      <c r="AH50" s="70"/>
      <c r="AI50" s="70"/>
      <c r="AJ50" s="70"/>
      <c r="AK50" s="70"/>
      <c r="AL50" s="70"/>
      <c r="AM50" s="70"/>
      <c r="AN50" s="72"/>
      <c r="AO50" s="70"/>
      <c r="AP50" s="93"/>
      <c r="AQ50" s="94"/>
      <c r="AR50" s="95"/>
      <c r="AS50" s="92"/>
      <c r="AT50" s="96"/>
      <c r="AU50" s="93"/>
      <c r="AV50" s="97"/>
      <c r="AW50" s="98"/>
      <c r="AX50" s="99"/>
      <c r="AY50" s="92"/>
      <c r="AZ50" s="96"/>
      <c r="BA50" s="100"/>
      <c r="BB50" s="70"/>
      <c r="BC50" s="71"/>
      <c r="BD50" s="79"/>
      <c r="BE50" s="79"/>
      <c r="BF50" s="70"/>
    </row>
    <row r="51" spans="1:58" ht="12.75" x14ac:dyDescent="0.2">
      <c r="A51" s="70" t="s">
        <v>4056</v>
      </c>
      <c r="B51" s="70" t="s">
        <v>4422</v>
      </c>
      <c r="C51" s="70" t="s">
        <v>65</v>
      </c>
      <c r="D51" s="70">
        <v>53</v>
      </c>
      <c r="E51" s="70">
        <v>1</v>
      </c>
      <c r="F51" s="70"/>
      <c r="G51" s="70" t="s">
        <v>4244</v>
      </c>
      <c r="H51" s="70"/>
      <c r="I51" s="69"/>
      <c r="J51" s="70" t="s">
        <v>4186</v>
      </c>
      <c r="K51" s="70" t="s">
        <v>4075</v>
      </c>
      <c r="L51" s="70"/>
      <c r="M51" s="70"/>
      <c r="N51" s="69"/>
      <c r="O51" s="93"/>
      <c r="P51" s="94"/>
      <c r="Q51" s="95"/>
      <c r="R51" s="92"/>
      <c r="S51" s="96"/>
      <c r="T51" s="93"/>
      <c r="U51" s="97"/>
      <c r="V51" s="98"/>
      <c r="W51" s="99"/>
      <c r="X51" s="92"/>
      <c r="Y51" s="96"/>
      <c r="Z51" s="100"/>
      <c r="AA51" s="70"/>
      <c r="AB51" s="70"/>
      <c r="AC51" s="70"/>
      <c r="AD51" s="70"/>
      <c r="AE51" s="70"/>
      <c r="AF51" s="70"/>
      <c r="AG51" s="70"/>
      <c r="AH51" s="70"/>
      <c r="AI51" s="70"/>
      <c r="AJ51" s="70"/>
      <c r="AK51" s="70"/>
      <c r="AL51" s="70"/>
      <c r="AM51" s="70"/>
      <c r="AN51" s="72"/>
      <c r="AO51" s="70"/>
      <c r="AP51" s="93"/>
      <c r="AQ51" s="94"/>
      <c r="AR51" s="95"/>
      <c r="AS51" s="92"/>
      <c r="AT51" s="96"/>
      <c r="AU51" s="93"/>
      <c r="AV51" s="97"/>
      <c r="AW51" s="98"/>
      <c r="AX51" s="99"/>
      <c r="AY51" s="92"/>
      <c r="AZ51" s="96"/>
      <c r="BA51" s="100"/>
      <c r="BB51" s="70"/>
      <c r="BC51" s="71"/>
      <c r="BD51" s="79"/>
      <c r="BE51" s="79"/>
      <c r="BF51" s="70"/>
    </row>
    <row r="52" spans="1:58" ht="12.75" x14ac:dyDescent="0.2">
      <c r="A52" s="70" t="s">
        <v>4056</v>
      </c>
      <c r="B52" s="70" t="s">
        <v>4423</v>
      </c>
      <c r="C52" s="70" t="s">
        <v>65</v>
      </c>
      <c r="D52" s="70">
        <v>54</v>
      </c>
      <c r="E52" s="70">
        <v>1</v>
      </c>
      <c r="F52" s="70"/>
      <c r="G52" s="70" t="s">
        <v>4234</v>
      </c>
      <c r="H52" s="70" t="s">
        <v>4235</v>
      </c>
      <c r="I52" s="69" t="s">
        <v>4097</v>
      </c>
      <c r="J52" s="70" t="s">
        <v>4131</v>
      </c>
      <c r="K52" s="70" t="s">
        <v>4075</v>
      </c>
      <c r="L52" s="70">
        <v>1</v>
      </c>
      <c r="M52" s="70"/>
      <c r="N52" s="69">
        <v>5</v>
      </c>
      <c r="O52" s="93"/>
      <c r="P52" s="94">
        <v>1</v>
      </c>
      <c r="Q52" s="95"/>
      <c r="R52" s="92"/>
      <c r="S52" s="96">
        <v>2</v>
      </c>
      <c r="T52" s="93">
        <v>2</v>
      </c>
      <c r="U52" s="97"/>
      <c r="V52" s="98"/>
      <c r="W52" s="99"/>
      <c r="X52" s="92"/>
      <c r="Y52" s="96"/>
      <c r="Z52" s="100"/>
      <c r="AA52" s="70"/>
      <c r="AB52" s="70" t="s">
        <v>27</v>
      </c>
      <c r="AC52" s="70" t="s">
        <v>4236</v>
      </c>
      <c r="AD52" s="70"/>
      <c r="AE52" s="70" t="s">
        <v>4237</v>
      </c>
      <c r="AF52" s="70"/>
      <c r="AG52" s="70"/>
      <c r="AH52" s="70"/>
      <c r="AI52" s="70"/>
      <c r="AJ52" s="70"/>
      <c r="AK52" s="70"/>
      <c r="AL52" s="70"/>
      <c r="AM52" s="70"/>
      <c r="AN52" s="72"/>
      <c r="AO52" s="70"/>
      <c r="AP52" s="93"/>
      <c r="AQ52" s="94"/>
      <c r="AR52" s="95"/>
      <c r="AS52" s="92"/>
      <c r="AT52" s="96"/>
      <c r="AU52" s="93"/>
      <c r="AV52" s="97"/>
      <c r="AW52" s="98"/>
      <c r="AX52" s="99"/>
      <c r="AY52" s="92"/>
      <c r="AZ52" s="96"/>
      <c r="BA52" s="100"/>
      <c r="BB52" s="70"/>
      <c r="BC52" s="71"/>
      <c r="BD52" s="79"/>
      <c r="BE52" s="79"/>
      <c r="BF52" s="70"/>
    </row>
    <row r="53" spans="1:58" ht="12.75" x14ac:dyDescent="0.2">
      <c r="A53" s="70" t="s">
        <v>4056</v>
      </c>
      <c r="B53" s="70" t="s">
        <v>4424</v>
      </c>
      <c r="C53" s="70" t="s">
        <v>65</v>
      </c>
      <c r="D53" s="70">
        <v>57</v>
      </c>
      <c r="E53" s="70">
        <v>1</v>
      </c>
      <c r="F53" s="70"/>
      <c r="G53" s="70" t="s">
        <v>4245</v>
      </c>
      <c r="H53" s="70"/>
      <c r="I53" s="69"/>
      <c r="J53" s="70" t="s">
        <v>33</v>
      </c>
      <c r="K53" s="70" t="s">
        <v>4075</v>
      </c>
      <c r="L53" s="70">
        <v>4</v>
      </c>
      <c r="M53" s="70"/>
      <c r="N53" s="69">
        <v>3</v>
      </c>
      <c r="O53" s="93"/>
      <c r="P53" s="94"/>
      <c r="Q53" s="95"/>
      <c r="R53" s="92"/>
      <c r="S53" s="96"/>
      <c r="T53" s="93"/>
      <c r="U53" s="97"/>
      <c r="V53" s="98"/>
      <c r="W53" s="99"/>
      <c r="X53" s="92"/>
      <c r="Y53" s="96"/>
      <c r="Z53" s="100"/>
      <c r="AA53" s="70"/>
      <c r="AB53" s="70"/>
      <c r="AC53" s="70" t="s">
        <v>4246</v>
      </c>
      <c r="AD53" s="70"/>
      <c r="AE53" s="70" t="s">
        <v>4247</v>
      </c>
      <c r="AF53" s="70"/>
      <c r="AG53" s="70"/>
      <c r="AH53" s="70"/>
      <c r="AI53" s="70"/>
      <c r="AJ53" s="70"/>
      <c r="AK53" s="70"/>
      <c r="AL53" s="70"/>
      <c r="AM53" s="70"/>
      <c r="AN53" s="72"/>
      <c r="AO53" s="70"/>
      <c r="AP53" s="93"/>
      <c r="AQ53" s="94"/>
      <c r="AR53" s="95"/>
      <c r="AS53" s="92"/>
      <c r="AT53" s="96"/>
      <c r="AU53" s="93"/>
      <c r="AV53" s="97"/>
      <c r="AW53" s="98"/>
      <c r="AX53" s="99"/>
      <c r="AY53" s="92"/>
      <c r="AZ53" s="96"/>
      <c r="BA53" s="100"/>
      <c r="BB53" s="70"/>
      <c r="BC53" s="71"/>
      <c r="BD53" s="79"/>
      <c r="BE53" s="79"/>
      <c r="BF53" s="70"/>
    </row>
    <row r="54" spans="1:58" ht="38.25" x14ac:dyDescent="0.2">
      <c r="A54" s="70" t="s">
        <v>4056</v>
      </c>
      <c r="B54" s="70" t="s">
        <v>4425</v>
      </c>
      <c r="C54" s="70" t="s">
        <v>65</v>
      </c>
      <c r="D54" s="70">
        <v>58</v>
      </c>
      <c r="E54" s="70">
        <v>1</v>
      </c>
      <c r="F54" s="70"/>
      <c r="G54" s="70" t="s">
        <v>4248</v>
      </c>
      <c r="H54" s="70"/>
      <c r="I54" s="69"/>
      <c r="J54" s="70" t="s">
        <v>4131</v>
      </c>
      <c r="K54" s="70" t="s">
        <v>4074</v>
      </c>
      <c r="L54" s="70"/>
      <c r="M54" s="70"/>
      <c r="N54" s="69"/>
      <c r="O54" s="93"/>
      <c r="P54" s="94">
        <v>1</v>
      </c>
      <c r="Q54" s="95"/>
      <c r="R54" s="92"/>
      <c r="S54" s="96"/>
      <c r="T54" s="93"/>
      <c r="U54" s="97"/>
      <c r="V54" s="98"/>
      <c r="W54" s="99"/>
      <c r="X54" s="92"/>
      <c r="Y54" s="96"/>
      <c r="Z54" s="100"/>
      <c r="AA54" s="70"/>
      <c r="AB54" s="70"/>
      <c r="AC54" s="70" t="s">
        <v>4163</v>
      </c>
      <c r="AD54" s="70"/>
      <c r="AE54" s="79" t="s">
        <v>4249</v>
      </c>
      <c r="AF54" s="70"/>
      <c r="AG54" s="70"/>
      <c r="AH54" s="70"/>
      <c r="AI54" s="70"/>
      <c r="AJ54" s="70"/>
      <c r="AK54" s="70"/>
      <c r="AL54" s="70"/>
      <c r="AM54" s="70"/>
      <c r="AN54" s="72"/>
      <c r="AO54" s="70"/>
      <c r="AP54" s="93"/>
      <c r="AQ54" s="94"/>
      <c r="AR54" s="95"/>
      <c r="AS54" s="92"/>
      <c r="AT54" s="96"/>
      <c r="AU54" s="93"/>
      <c r="AV54" s="97"/>
      <c r="AW54" s="98"/>
      <c r="AX54" s="99"/>
      <c r="AY54" s="92"/>
      <c r="AZ54" s="96"/>
      <c r="BA54" s="100"/>
      <c r="BB54" s="70"/>
      <c r="BC54" s="71"/>
      <c r="BD54" s="79"/>
      <c r="BE54" s="79"/>
      <c r="BF54" s="70"/>
    </row>
    <row r="55" spans="1:58" ht="12.75" x14ac:dyDescent="0.2">
      <c r="A55" s="70" t="s">
        <v>4056</v>
      </c>
      <c r="B55" s="70" t="s">
        <v>4426</v>
      </c>
      <c r="C55" s="70" t="s">
        <v>65</v>
      </c>
      <c r="D55" s="70">
        <v>59</v>
      </c>
      <c r="E55" s="70">
        <v>1</v>
      </c>
      <c r="F55" s="70"/>
      <c r="G55" s="70" t="s">
        <v>4250</v>
      </c>
      <c r="H55" s="70"/>
      <c r="I55" s="69"/>
      <c r="J55" s="70" t="s">
        <v>4131</v>
      </c>
      <c r="K55" s="70" t="s">
        <v>4074</v>
      </c>
      <c r="L55" s="70"/>
      <c r="M55" s="70"/>
      <c r="N55" s="69">
        <v>2</v>
      </c>
      <c r="O55" s="93">
        <v>1</v>
      </c>
      <c r="P55" s="94"/>
      <c r="Q55" s="95"/>
      <c r="R55" s="92"/>
      <c r="S55" s="96"/>
      <c r="T55" s="93"/>
      <c r="U55" s="97"/>
      <c r="V55" s="98"/>
      <c r="W55" s="99"/>
      <c r="X55" s="92"/>
      <c r="Y55" s="96"/>
      <c r="Z55" s="100"/>
      <c r="AA55" s="70"/>
      <c r="AB55" s="70" t="s">
        <v>4149</v>
      </c>
      <c r="AC55" s="70" t="s">
        <v>4251</v>
      </c>
      <c r="AD55" s="70"/>
      <c r="AE55" s="70" t="s">
        <v>4252</v>
      </c>
      <c r="AF55" s="70"/>
      <c r="AG55" s="70"/>
      <c r="AH55" s="70"/>
      <c r="AI55" s="70"/>
      <c r="AJ55" s="70"/>
      <c r="AK55" s="70"/>
      <c r="AL55" s="70"/>
      <c r="AM55" s="70"/>
      <c r="AN55" s="72"/>
      <c r="AO55" s="70"/>
      <c r="AP55" s="93"/>
      <c r="AQ55" s="94"/>
      <c r="AR55" s="95"/>
      <c r="AS55" s="92"/>
      <c r="AT55" s="96"/>
      <c r="AU55" s="93"/>
      <c r="AV55" s="97"/>
      <c r="AW55" s="98"/>
      <c r="AX55" s="99"/>
      <c r="AY55" s="92"/>
      <c r="AZ55" s="96"/>
      <c r="BA55" s="100"/>
      <c r="BB55" s="70"/>
      <c r="BC55" s="71"/>
      <c r="BD55" s="79"/>
      <c r="BE55" s="79"/>
      <c r="BF55" s="70"/>
    </row>
    <row r="56" spans="1:58" ht="51" x14ac:dyDescent="0.2">
      <c r="A56" s="70" t="s">
        <v>4056</v>
      </c>
      <c r="B56" s="70" t="s">
        <v>4427</v>
      </c>
      <c r="C56" s="70" t="s">
        <v>65</v>
      </c>
      <c r="D56" s="70">
        <v>60</v>
      </c>
      <c r="E56" s="70">
        <v>1</v>
      </c>
      <c r="F56" s="70"/>
      <c r="G56" s="70" t="s">
        <v>4253</v>
      </c>
      <c r="H56" s="70"/>
      <c r="I56" s="69"/>
      <c r="J56" s="70" t="s">
        <v>4131</v>
      </c>
      <c r="K56" s="70" t="s">
        <v>4074</v>
      </c>
      <c r="L56" s="70"/>
      <c r="M56" s="70"/>
      <c r="N56" s="69">
        <v>3</v>
      </c>
      <c r="O56" s="93"/>
      <c r="P56" s="94"/>
      <c r="Q56" s="95">
        <v>1</v>
      </c>
      <c r="R56" s="92"/>
      <c r="S56" s="96"/>
      <c r="T56" s="93"/>
      <c r="U56" s="97"/>
      <c r="V56" s="98"/>
      <c r="W56" s="99"/>
      <c r="X56" s="92"/>
      <c r="Y56" s="96"/>
      <c r="Z56" s="100"/>
      <c r="AA56" s="70"/>
      <c r="AB56" s="70" t="s">
        <v>4254</v>
      </c>
      <c r="AC56" s="70" t="s">
        <v>4153</v>
      </c>
      <c r="AD56" s="70"/>
      <c r="AE56" s="79" t="s">
        <v>4255</v>
      </c>
      <c r="AF56" s="70"/>
      <c r="AG56" s="70"/>
      <c r="AH56" s="70"/>
      <c r="AI56" s="70"/>
      <c r="AJ56" s="70"/>
      <c r="AK56" s="70"/>
      <c r="AL56" s="70"/>
      <c r="AM56" s="70"/>
      <c r="AN56" s="72"/>
      <c r="AO56" s="70"/>
      <c r="AP56" s="93"/>
      <c r="AQ56" s="94"/>
      <c r="AR56" s="95"/>
      <c r="AS56" s="92"/>
      <c r="AT56" s="96"/>
      <c r="AU56" s="93"/>
      <c r="AV56" s="97"/>
      <c r="AW56" s="98"/>
      <c r="AX56" s="99"/>
      <c r="AY56" s="92"/>
      <c r="AZ56" s="96"/>
      <c r="BA56" s="100"/>
      <c r="BB56" s="70"/>
      <c r="BC56" s="71"/>
      <c r="BD56" s="79"/>
      <c r="BE56" s="79"/>
      <c r="BF56" s="70"/>
    </row>
    <row r="57" spans="1:58" ht="51" x14ac:dyDescent="0.2">
      <c r="A57" s="70" t="s">
        <v>4056</v>
      </c>
      <c r="B57" s="70" t="s">
        <v>4428</v>
      </c>
      <c r="C57" s="70" t="s">
        <v>65</v>
      </c>
      <c r="D57" s="70">
        <v>61</v>
      </c>
      <c r="E57" s="70">
        <v>1</v>
      </c>
      <c r="F57" s="70"/>
      <c r="G57" s="70" t="s">
        <v>4256</v>
      </c>
      <c r="H57" s="70"/>
      <c r="I57" s="69"/>
      <c r="J57" s="70" t="s">
        <v>4131</v>
      </c>
      <c r="K57" s="70" t="s">
        <v>4074</v>
      </c>
      <c r="L57" s="70"/>
      <c r="M57" s="70"/>
      <c r="N57" s="69">
        <v>1</v>
      </c>
      <c r="O57" s="93"/>
      <c r="P57" s="94">
        <v>1</v>
      </c>
      <c r="Q57" s="95"/>
      <c r="R57" s="92"/>
      <c r="S57" s="96"/>
      <c r="T57" s="93"/>
      <c r="U57" s="97"/>
      <c r="V57" s="98"/>
      <c r="W57" s="99"/>
      <c r="X57" s="92"/>
      <c r="Y57" s="96"/>
      <c r="Z57" s="100"/>
      <c r="AA57" s="70"/>
      <c r="AB57" s="70" t="s">
        <v>4254</v>
      </c>
      <c r="AC57" s="70" t="s">
        <v>4153</v>
      </c>
      <c r="AD57" s="70"/>
      <c r="AE57" s="79" t="s">
        <v>4257</v>
      </c>
      <c r="AF57" s="70"/>
      <c r="AG57" s="70"/>
      <c r="AH57" s="70"/>
      <c r="AI57" s="70"/>
      <c r="AJ57" s="70"/>
      <c r="AK57" s="70"/>
      <c r="AL57" s="70"/>
      <c r="AM57" s="70"/>
      <c r="AN57" s="72"/>
      <c r="AO57" s="70"/>
      <c r="AP57" s="93"/>
      <c r="AQ57" s="94"/>
      <c r="AR57" s="95"/>
      <c r="AS57" s="92"/>
      <c r="AT57" s="96"/>
      <c r="AU57" s="93"/>
      <c r="AV57" s="97"/>
      <c r="AW57" s="98"/>
      <c r="AX57" s="99"/>
      <c r="AY57" s="92"/>
      <c r="AZ57" s="96"/>
      <c r="BA57" s="100"/>
      <c r="BB57" s="70"/>
      <c r="BC57" s="71"/>
      <c r="BD57" s="79"/>
      <c r="BE57" s="79"/>
      <c r="BF57" s="70"/>
    </row>
    <row r="58" spans="1:58" ht="25.5" x14ac:dyDescent="0.2">
      <c r="A58" s="70" t="s">
        <v>4056</v>
      </c>
      <c r="B58" s="70" t="s">
        <v>4429</v>
      </c>
      <c r="C58" s="70" t="s">
        <v>65</v>
      </c>
      <c r="D58" s="70">
        <v>62</v>
      </c>
      <c r="E58" s="70">
        <v>1</v>
      </c>
      <c r="F58" s="70"/>
      <c r="G58" s="70" t="s">
        <v>4258</v>
      </c>
      <c r="H58" s="70"/>
      <c r="I58" s="69"/>
      <c r="J58" s="70" t="s">
        <v>4131</v>
      </c>
      <c r="K58" s="70" t="s">
        <v>4074</v>
      </c>
      <c r="L58" s="70"/>
      <c r="M58" s="70"/>
      <c r="N58" s="69">
        <v>2</v>
      </c>
      <c r="O58" s="93">
        <v>1</v>
      </c>
      <c r="P58" s="94">
        <v>1</v>
      </c>
      <c r="Q58" s="95"/>
      <c r="R58" s="92"/>
      <c r="S58" s="96"/>
      <c r="T58" s="93"/>
      <c r="U58" s="97"/>
      <c r="V58" s="98"/>
      <c r="W58" s="99"/>
      <c r="X58" s="92"/>
      <c r="Y58" s="96"/>
      <c r="Z58" s="100"/>
      <c r="AA58" s="70"/>
      <c r="AB58" s="70"/>
      <c r="AC58" s="70" t="s">
        <v>4163</v>
      </c>
      <c r="AD58" s="70"/>
      <c r="AE58" s="79" t="s">
        <v>4259</v>
      </c>
      <c r="AF58" s="70"/>
      <c r="AG58" s="70"/>
      <c r="AH58" s="70"/>
      <c r="AI58" s="70"/>
      <c r="AJ58" s="70"/>
      <c r="AK58" s="70"/>
      <c r="AL58" s="70"/>
      <c r="AM58" s="70"/>
      <c r="AN58" s="72"/>
      <c r="AO58" s="70"/>
      <c r="AP58" s="93"/>
      <c r="AQ58" s="94"/>
      <c r="AR58" s="95"/>
      <c r="AS58" s="92"/>
      <c r="AT58" s="96"/>
      <c r="AU58" s="93"/>
      <c r="AV58" s="97"/>
      <c r="AW58" s="98"/>
      <c r="AX58" s="99"/>
      <c r="AY58" s="92"/>
      <c r="AZ58" s="96"/>
      <c r="BA58" s="100"/>
      <c r="BB58" s="70"/>
      <c r="BC58" s="71"/>
      <c r="BD58" s="79"/>
      <c r="BE58" s="79"/>
      <c r="BF58" s="70"/>
    </row>
    <row r="59" spans="1:58" ht="12.75" x14ac:dyDescent="0.2">
      <c r="A59" s="70" t="s">
        <v>4056</v>
      </c>
      <c r="B59" s="70" t="s">
        <v>4430</v>
      </c>
      <c r="C59" s="70" t="s">
        <v>65</v>
      </c>
      <c r="D59" s="70">
        <v>64</v>
      </c>
      <c r="E59" s="70">
        <v>1</v>
      </c>
      <c r="F59" s="70"/>
      <c r="G59" s="70" t="s">
        <v>4260</v>
      </c>
      <c r="H59" s="70"/>
      <c r="I59" s="69"/>
      <c r="J59" s="70" t="s">
        <v>33</v>
      </c>
      <c r="K59" s="70" t="s">
        <v>4074</v>
      </c>
      <c r="L59" s="70"/>
      <c r="M59" s="70"/>
      <c r="N59" s="69">
        <v>0</v>
      </c>
      <c r="O59" s="93">
        <v>1</v>
      </c>
      <c r="P59" s="94">
        <v>1</v>
      </c>
      <c r="Q59" s="95"/>
      <c r="R59" s="92"/>
      <c r="S59" s="96"/>
      <c r="T59" s="93"/>
      <c r="U59" s="97"/>
      <c r="V59" s="98"/>
      <c r="W59" s="99"/>
      <c r="X59" s="92"/>
      <c r="Y59" s="96"/>
      <c r="Z59" s="100"/>
      <c r="AA59" s="70"/>
      <c r="AB59" s="70"/>
      <c r="AC59" s="70" t="s">
        <v>4178</v>
      </c>
      <c r="AD59" s="70"/>
      <c r="AE59" s="70" t="s">
        <v>4261</v>
      </c>
      <c r="AF59" s="70"/>
      <c r="AG59" s="70"/>
      <c r="AH59" s="70"/>
      <c r="AI59" s="70"/>
      <c r="AJ59" s="70"/>
      <c r="AK59" s="70"/>
      <c r="AL59" s="70"/>
      <c r="AM59" s="70"/>
      <c r="AN59" s="72"/>
      <c r="AO59" s="70"/>
      <c r="AP59" s="93"/>
      <c r="AQ59" s="94"/>
      <c r="AR59" s="95"/>
      <c r="AS59" s="92"/>
      <c r="AT59" s="96"/>
      <c r="AU59" s="93"/>
      <c r="AV59" s="97"/>
      <c r="AW59" s="98"/>
      <c r="AX59" s="99"/>
      <c r="AY59" s="92"/>
      <c r="AZ59" s="96"/>
      <c r="BA59" s="100"/>
      <c r="BB59" s="70"/>
      <c r="BC59" s="71"/>
      <c r="BD59" s="79"/>
      <c r="BE59" s="79"/>
      <c r="BF59" s="70"/>
    </row>
    <row r="60" spans="1:58" ht="12.75" x14ac:dyDescent="0.2">
      <c r="A60" s="70" t="s">
        <v>4056</v>
      </c>
      <c r="B60" s="70" t="s">
        <v>4431</v>
      </c>
      <c r="C60" s="70" t="s">
        <v>65</v>
      </c>
      <c r="D60" s="70">
        <v>66</v>
      </c>
      <c r="E60" s="70">
        <v>1</v>
      </c>
      <c r="F60" s="70"/>
      <c r="G60" s="70" t="s">
        <v>4262</v>
      </c>
      <c r="H60" s="70"/>
      <c r="I60" s="69"/>
      <c r="J60" s="70" t="s">
        <v>33</v>
      </c>
      <c r="K60" s="70" t="s">
        <v>4074</v>
      </c>
      <c r="L60" s="70"/>
      <c r="M60" s="70"/>
      <c r="N60" s="69">
        <v>2</v>
      </c>
      <c r="O60" s="93">
        <v>1</v>
      </c>
      <c r="P60" s="94"/>
      <c r="Q60" s="95"/>
      <c r="R60" s="92">
        <v>1</v>
      </c>
      <c r="S60" s="96"/>
      <c r="T60" s="93"/>
      <c r="U60" s="97"/>
      <c r="V60" s="98"/>
      <c r="W60" s="99"/>
      <c r="X60" s="92"/>
      <c r="Y60" s="96"/>
      <c r="Z60" s="100"/>
      <c r="AA60" s="70"/>
      <c r="AB60" s="70"/>
      <c r="AC60" s="70" t="s">
        <v>4263</v>
      </c>
      <c r="AD60" s="70"/>
      <c r="AE60" s="70" t="s">
        <v>4264</v>
      </c>
      <c r="AF60" s="70"/>
      <c r="AG60" s="70"/>
      <c r="AH60" s="70"/>
      <c r="AI60" s="70"/>
      <c r="AJ60" s="70"/>
      <c r="AK60" s="70"/>
      <c r="AL60" s="70"/>
      <c r="AM60" s="70"/>
      <c r="AN60" s="72"/>
      <c r="AO60" s="70"/>
      <c r="AP60" s="93"/>
      <c r="AQ60" s="94"/>
      <c r="AR60" s="95"/>
      <c r="AS60" s="92"/>
      <c r="AT60" s="96"/>
      <c r="AU60" s="93"/>
      <c r="AV60" s="97"/>
      <c r="AW60" s="98"/>
      <c r="AX60" s="99"/>
      <c r="AY60" s="92"/>
      <c r="AZ60" s="96"/>
      <c r="BA60" s="100"/>
      <c r="BB60" s="70"/>
      <c r="BC60" s="71"/>
      <c r="BD60" s="79"/>
      <c r="BE60" s="79"/>
      <c r="BF60" s="70"/>
    </row>
    <row r="61" spans="1:58" ht="12.75" x14ac:dyDescent="0.2">
      <c r="A61" s="70" t="s">
        <v>4056</v>
      </c>
      <c r="B61" s="70" t="s">
        <v>4432</v>
      </c>
      <c r="C61" s="70" t="s">
        <v>65</v>
      </c>
      <c r="D61" s="70">
        <v>69</v>
      </c>
      <c r="E61" s="70">
        <v>1</v>
      </c>
      <c r="F61" s="70"/>
      <c r="G61" s="70" t="s">
        <v>4262</v>
      </c>
      <c r="H61" s="70"/>
      <c r="I61" s="69"/>
      <c r="J61" s="70" t="s">
        <v>33</v>
      </c>
      <c r="K61" s="70" t="s">
        <v>4074</v>
      </c>
      <c r="L61" s="70">
        <v>2</v>
      </c>
      <c r="M61" s="70"/>
      <c r="N61" s="69">
        <v>1</v>
      </c>
      <c r="O61" s="93">
        <v>1</v>
      </c>
      <c r="P61" s="94"/>
      <c r="Q61" s="95"/>
      <c r="R61" s="92">
        <v>1</v>
      </c>
      <c r="S61" s="96"/>
      <c r="T61" s="93"/>
      <c r="U61" s="97"/>
      <c r="V61" s="98"/>
      <c r="W61" s="99"/>
      <c r="X61" s="92"/>
      <c r="Y61" s="96"/>
      <c r="Z61" s="100"/>
      <c r="AA61" s="70"/>
      <c r="AB61" s="70"/>
      <c r="AC61" s="70" t="s">
        <v>4263</v>
      </c>
      <c r="AD61" s="70"/>
      <c r="AE61" s="70" t="s">
        <v>4265</v>
      </c>
      <c r="AF61" s="70"/>
      <c r="AG61" s="70"/>
      <c r="AH61" s="70"/>
      <c r="AI61" s="70"/>
      <c r="AJ61" s="70"/>
      <c r="AK61" s="70"/>
      <c r="AL61" s="70"/>
      <c r="AM61" s="70"/>
      <c r="AN61" s="72"/>
      <c r="AO61" s="70"/>
      <c r="AP61" s="93"/>
      <c r="AQ61" s="94"/>
      <c r="AR61" s="95"/>
      <c r="AS61" s="92"/>
      <c r="AT61" s="96"/>
      <c r="AU61" s="93"/>
      <c r="AV61" s="97"/>
      <c r="AW61" s="98"/>
      <c r="AX61" s="99"/>
      <c r="AY61" s="92"/>
      <c r="AZ61" s="96"/>
      <c r="BA61" s="100"/>
      <c r="BB61" s="70"/>
      <c r="BC61" s="71"/>
      <c r="BD61" s="79"/>
      <c r="BE61" s="79"/>
      <c r="BF61" s="70"/>
    </row>
    <row r="62" spans="1:58" ht="51" x14ac:dyDescent="0.2">
      <c r="A62" s="70" t="s">
        <v>4056</v>
      </c>
      <c r="B62" s="70" t="s">
        <v>4433</v>
      </c>
      <c r="C62" s="70" t="s">
        <v>65</v>
      </c>
      <c r="D62" s="70">
        <v>71</v>
      </c>
      <c r="E62" s="70">
        <v>1</v>
      </c>
      <c r="F62" s="70"/>
      <c r="G62" s="70" t="s">
        <v>4266</v>
      </c>
      <c r="H62" s="70"/>
      <c r="I62" s="69"/>
      <c r="J62" s="70" t="s">
        <v>4131</v>
      </c>
      <c r="K62" s="70" t="s">
        <v>4074</v>
      </c>
      <c r="L62" s="70">
        <v>4</v>
      </c>
      <c r="M62" s="70"/>
      <c r="N62" s="69">
        <v>2</v>
      </c>
      <c r="O62" s="93"/>
      <c r="P62" s="94"/>
      <c r="Q62" s="95"/>
      <c r="R62" s="92"/>
      <c r="S62" s="96"/>
      <c r="T62" s="93"/>
      <c r="U62" s="97"/>
      <c r="V62" s="98"/>
      <c r="W62" s="99"/>
      <c r="X62" s="92"/>
      <c r="Y62" s="96"/>
      <c r="Z62" s="100"/>
      <c r="AA62" s="70"/>
      <c r="AB62" s="70" t="s">
        <v>4132</v>
      </c>
      <c r="AC62" s="70" t="s">
        <v>4150</v>
      </c>
      <c r="AD62" s="70"/>
      <c r="AE62" s="79" t="s">
        <v>4267</v>
      </c>
      <c r="AF62" s="70"/>
      <c r="AG62" s="70"/>
      <c r="AH62" s="70"/>
      <c r="AI62" s="70"/>
      <c r="AJ62" s="70"/>
      <c r="AK62" s="70"/>
      <c r="AL62" s="70"/>
      <c r="AM62" s="70"/>
      <c r="AN62" s="72"/>
      <c r="AO62" s="70"/>
      <c r="AP62" s="93"/>
      <c r="AQ62" s="94"/>
      <c r="AR62" s="95"/>
      <c r="AS62" s="92"/>
      <c r="AT62" s="96"/>
      <c r="AU62" s="93"/>
      <c r="AV62" s="97"/>
      <c r="AW62" s="98"/>
      <c r="AX62" s="99"/>
      <c r="AY62" s="92"/>
      <c r="AZ62" s="96"/>
      <c r="BA62" s="100"/>
      <c r="BB62" s="70"/>
      <c r="BC62" s="71"/>
      <c r="BD62" s="79"/>
      <c r="BE62" s="79"/>
      <c r="BF62" s="70"/>
    </row>
    <row r="63" spans="1:58" ht="12.75" x14ac:dyDescent="0.2">
      <c r="A63" s="70" t="s">
        <v>4056</v>
      </c>
      <c r="B63" s="70" t="s">
        <v>4434</v>
      </c>
      <c r="C63" s="70" t="s">
        <v>65</v>
      </c>
      <c r="D63" s="70">
        <v>72</v>
      </c>
      <c r="E63" s="70">
        <v>1</v>
      </c>
      <c r="F63" s="70"/>
      <c r="G63" s="70" t="s">
        <v>4268</v>
      </c>
      <c r="H63" s="70"/>
      <c r="I63" s="69"/>
      <c r="J63" s="70" t="s">
        <v>4131</v>
      </c>
      <c r="K63" s="70" t="s">
        <v>4076</v>
      </c>
      <c r="L63" s="70"/>
      <c r="M63" s="70"/>
      <c r="N63" s="69">
        <v>0</v>
      </c>
      <c r="O63" s="93"/>
      <c r="P63" s="94"/>
      <c r="Q63" s="95">
        <v>1</v>
      </c>
      <c r="R63" s="92"/>
      <c r="S63" s="96"/>
      <c r="T63" s="93"/>
      <c r="U63" s="97"/>
      <c r="V63" s="98"/>
      <c r="W63" s="99"/>
      <c r="X63" s="92"/>
      <c r="Y63" s="96"/>
      <c r="Z63" s="100"/>
      <c r="AA63" s="70"/>
      <c r="AB63" s="70" t="s">
        <v>4269</v>
      </c>
      <c r="AC63" s="70" t="s">
        <v>4270</v>
      </c>
      <c r="AD63" s="70"/>
      <c r="AE63" s="70"/>
      <c r="AF63" s="70"/>
      <c r="AG63" s="70"/>
      <c r="AH63" s="70"/>
      <c r="AI63" s="70"/>
      <c r="AJ63" s="70"/>
      <c r="AK63" s="70"/>
      <c r="AL63" s="70"/>
      <c r="AM63" s="70"/>
      <c r="AN63" s="72"/>
      <c r="AO63" s="70"/>
      <c r="AP63" s="93"/>
      <c r="AQ63" s="94"/>
      <c r="AR63" s="95"/>
      <c r="AS63" s="92"/>
      <c r="AT63" s="96"/>
      <c r="AU63" s="93"/>
      <c r="AV63" s="97"/>
      <c r="AW63" s="98"/>
      <c r="AX63" s="99"/>
      <c r="AY63" s="92"/>
      <c r="AZ63" s="96"/>
      <c r="BA63" s="100"/>
      <c r="BB63" s="70"/>
      <c r="BC63" s="71"/>
      <c r="BD63" s="79"/>
      <c r="BE63" s="79"/>
      <c r="BF63" s="70"/>
    </row>
    <row r="64" spans="1:58" ht="12.75" x14ac:dyDescent="0.2">
      <c r="A64" s="70" t="s">
        <v>4056</v>
      </c>
      <c r="B64" s="70" t="s">
        <v>4435</v>
      </c>
      <c r="C64" s="70" t="s">
        <v>65</v>
      </c>
      <c r="D64" s="70">
        <v>73</v>
      </c>
      <c r="E64" s="70">
        <v>1</v>
      </c>
      <c r="F64" s="70"/>
      <c r="G64" s="70" t="s">
        <v>4271</v>
      </c>
      <c r="H64" s="70"/>
      <c r="I64" s="69"/>
      <c r="J64" s="70" t="s">
        <v>4131</v>
      </c>
      <c r="K64" s="70" t="s">
        <v>4076</v>
      </c>
      <c r="L64" s="70"/>
      <c r="M64" s="70"/>
      <c r="N64" s="69">
        <v>1</v>
      </c>
      <c r="O64" s="93"/>
      <c r="P64" s="94">
        <v>1</v>
      </c>
      <c r="Q64" s="95"/>
      <c r="R64" s="92"/>
      <c r="S64" s="96"/>
      <c r="T64" s="93"/>
      <c r="U64" s="97"/>
      <c r="V64" s="98"/>
      <c r="W64" s="99"/>
      <c r="X64" s="92"/>
      <c r="Y64" s="96"/>
      <c r="Z64" s="100"/>
      <c r="AA64" s="70"/>
      <c r="AB64" s="70"/>
      <c r="AC64" s="70" t="s">
        <v>4163</v>
      </c>
      <c r="AD64" s="70"/>
      <c r="AE64" s="70" t="s">
        <v>4272</v>
      </c>
      <c r="AF64" s="70"/>
      <c r="AG64" s="70"/>
      <c r="AH64" s="70"/>
      <c r="AI64" s="70"/>
      <c r="AJ64" s="70"/>
      <c r="AK64" s="70"/>
      <c r="AL64" s="70"/>
      <c r="AM64" s="70"/>
      <c r="AN64" s="72"/>
      <c r="AO64" s="70"/>
      <c r="AP64" s="93"/>
      <c r="AQ64" s="94"/>
      <c r="AR64" s="95"/>
      <c r="AS64" s="92"/>
      <c r="AT64" s="96"/>
      <c r="AU64" s="93"/>
      <c r="AV64" s="97"/>
      <c r="AW64" s="98"/>
      <c r="AX64" s="99"/>
      <c r="AY64" s="92"/>
      <c r="AZ64" s="96"/>
      <c r="BA64" s="100"/>
      <c r="BB64" s="70"/>
      <c r="BC64" s="71"/>
      <c r="BD64" s="79"/>
      <c r="BE64" s="79"/>
      <c r="BF64" s="70"/>
    </row>
    <row r="65" spans="1:58" ht="12.75" x14ac:dyDescent="0.2">
      <c r="A65" s="70" t="s">
        <v>4056</v>
      </c>
      <c r="B65" s="70" t="s">
        <v>4436</v>
      </c>
      <c r="C65" s="70" t="s">
        <v>65</v>
      </c>
      <c r="D65" s="70">
        <v>74</v>
      </c>
      <c r="E65" s="70">
        <v>1</v>
      </c>
      <c r="F65" s="70"/>
      <c r="G65" s="70" t="s">
        <v>4273</v>
      </c>
      <c r="H65" s="70"/>
      <c r="I65" s="69"/>
      <c r="J65" s="70" t="s">
        <v>4131</v>
      </c>
      <c r="K65" s="70" t="s">
        <v>4076</v>
      </c>
      <c r="L65" s="70"/>
      <c r="M65" s="70"/>
      <c r="N65" s="69">
        <v>2</v>
      </c>
      <c r="O65" s="93"/>
      <c r="P65" s="94"/>
      <c r="Q65" s="95">
        <v>1</v>
      </c>
      <c r="R65" s="92"/>
      <c r="S65" s="96"/>
      <c r="T65" s="93"/>
      <c r="U65" s="97"/>
      <c r="V65" s="98"/>
      <c r="W65" s="99"/>
      <c r="X65" s="92"/>
      <c r="Y65" s="96"/>
      <c r="Z65" s="100"/>
      <c r="AA65" s="70"/>
      <c r="AB65" s="70" t="s">
        <v>4196</v>
      </c>
      <c r="AC65" s="70" t="s">
        <v>4172</v>
      </c>
      <c r="AD65" s="70"/>
      <c r="AE65" s="70" t="s">
        <v>4274</v>
      </c>
      <c r="AF65" s="70"/>
      <c r="AG65" s="70"/>
      <c r="AH65" s="70"/>
      <c r="AI65" s="70"/>
      <c r="AJ65" s="70"/>
      <c r="AK65" s="70"/>
      <c r="AL65" s="70"/>
      <c r="AM65" s="70"/>
      <c r="AN65" s="72"/>
      <c r="AO65" s="70"/>
      <c r="AP65" s="93"/>
      <c r="AQ65" s="94"/>
      <c r="AR65" s="95"/>
      <c r="AS65" s="92"/>
      <c r="AT65" s="96"/>
      <c r="AU65" s="93"/>
      <c r="AV65" s="97"/>
      <c r="AW65" s="98"/>
      <c r="AX65" s="99"/>
      <c r="AY65" s="92"/>
      <c r="AZ65" s="96"/>
      <c r="BA65" s="100"/>
      <c r="BB65" s="70"/>
      <c r="BC65" s="71"/>
      <c r="BD65" s="79"/>
      <c r="BE65" s="79"/>
      <c r="BF65" s="70"/>
    </row>
    <row r="66" spans="1:58" ht="12.75" x14ac:dyDescent="0.2">
      <c r="A66" s="70" t="s">
        <v>4056</v>
      </c>
      <c r="B66" s="70" t="s">
        <v>4437</v>
      </c>
      <c r="C66" s="70" t="s">
        <v>65</v>
      </c>
      <c r="D66" s="70">
        <v>75</v>
      </c>
      <c r="E66" s="70">
        <v>1</v>
      </c>
      <c r="F66" s="70"/>
      <c r="G66" s="70" t="s">
        <v>4275</v>
      </c>
      <c r="H66" s="70"/>
      <c r="I66" s="69"/>
      <c r="J66" s="70" t="s">
        <v>4131</v>
      </c>
      <c r="K66" s="70" t="s">
        <v>4076</v>
      </c>
      <c r="L66" s="70"/>
      <c r="M66" s="70"/>
      <c r="N66" s="69">
        <v>1</v>
      </c>
      <c r="O66" s="93"/>
      <c r="P66" s="94"/>
      <c r="Q66" s="95"/>
      <c r="R66" s="92"/>
      <c r="S66" s="96"/>
      <c r="T66" s="93"/>
      <c r="U66" s="97"/>
      <c r="V66" s="98"/>
      <c r="W66" s="99"/>
      <c r="X66" s="92"/>
      <c r="Y66" s="96"/>
      <c r="Z66" s="100"/>
      <c r="AA66" s="70"/>
      <c r="AB66" s="70" t="s">
        <v>4149</v>
      </c>
      <c r="AC66" s="70" t="s">
        <v>4251</v>
      </c>
      <c r="AD66" s="70"/>
      <c r="AE66" s="70" t="s">
        <v>4276</v>
      </c>
      <c r="AF66" s="70"/>
      <c r="AG66" s="70"/>
      <c r="AH66" s="70"/>
      <c r="AI66" s="70"/>
      <c r="AJ66" s="70"/>
      <c r="AK66" s="70"/>
      <c r="AL66" s="70"/>
      <c r="AM66" s="70"/>
      <c r="AN66" s="72"/>
      <c r="AO66" s="70"/>
      <c r="AP66" s="93"/>
      <c r="AQ66" s="94"/>
      <c r="AR66" s="95"/>
      <c r="AS66" s="92"/>
      <c r="AT66" s="96"/>
      <c r="AU66" s="93"/>
      <c r="AV66" s="97"/>
      <c r="AW66" s="98"/>
      <c r="AX66" s="99"/>
      <c r="AY66" s="92"/>
      <c r="AZ66" s="96"/>
      <c r="BA66" s="100"/>
      <c r="BB66" s="70"/>
      <c r="BC66" s="71"/>
      <c r="BD66" s="79"/>
      <c r="BE66" s="79"/>
      <c r="BF66" s="70"/>
    </row>
    <row r="67" spans="1:58" ht="12.75" x14ac:dyDescent="0.2">
      <c r="A67" s="70" t="s">
        <v>4056</v>
      </c>
      <c r="B67" s="70" t="s">
        <v>4438</v>
      </c>
      <c r="C67" s="70" t="s">
        <v>65</v>
      </c>
      <c r="D67" s="70">
        <v>76</v>
      </c>
      <c r="E67" s="70">
        <v>1</v>
      </c>
      <c r="F67" s="70"/>
      <c r="G67" s="70" t="s">
        <v>4277</v>
      </c>
      <c r="H67" s="70"/>
      <c r="I67" s="69"/>
      <c r="J67" s="70" t="s">
        <v>4131</v>
      </c>
      <c r="K67" s="70" t="s">
        <v>4076</v>
      </c>
      <c r="L67" s="70"/>
      <c r="M67" s="70"/>
      <c r="N67" s="69">
        <v>1</v>
      </c>
      <c r="O67" s="93"/>
      <c r="P67" s="94"/>
      <c r="Q67" s="95"/>
      <c r="R67" s="92">
        <v>1</v>
      </c>
      <c r="S67" s="96">
        <v>1</v>
      </c>
      <c r="T67" s="93"/>
      <c r="U67" s="97"/>
      <c r="V67" s="98"/>
      <c r="W67" s="99"/>
      <c r="X67" s="92"/>
      <c r="Y67" s="96"/>
      <c r="Z67" s="100"/>
      <c r="AA67" s="70"/>
      <c r="AB67" s="70" t="s">
        <v>27</v>
      </c>
      <c r="AC67" s="70" t="s">
        <v>4175</v>
      </c>
      <c r="AD67" s="70"/>
      <c r="AE67" s="70" t="s">
        <v>4278</v>
      </c>
      <c r="AF67" s="70"/>
      <c r="AG67" s="70"/>
      <c r="AH67" s="70"/>
      <c r="AI67" s="70"/>
      <c r="AJ67" s="70"/>
      <c r="AK67" s="70"/>
      <c r="AL67" s="70"/>
      <c r="AM67" s="70"/>
      <c r="AN67" s="72"/>
      <c r="AO67" s="70"/>
      <c r="AP67" s="93"/>
      <c r="AQ67" s="94"/>
      <c r="AR67" s="95"/>
      <c r="AS67" s="92"/>
      <c r="AT67" s="96"/>
      <c r="AU67" s="93"/>
      <c r="AV67" s="97"/>
      <c r="AW67" s="98"/>
      <c r="AX67" s="99"/>
      <c r="AY67" s="92"/>
      <c r="AZ67" s="96"/>
      <c r="BA67" s="100"/>
      <c r="BB67" s="70"/>
      <c r="BC67" s="71"/>
      <c r="BD67" s="79"/>
      <c r="BE67" s="79"/>
      <c r="BF67" s="70"/>
    </row>
    <row r="68" spans="1:58" ht="25.5" x14ac:dyDescent="0.2">
      <c r="A68" s="70" t="s">
        <v>4056</v>
      </c>
      <c r="B68" s="70" t="s">
        <v>4439</v>
      </c>
      <c r="C68" s="70" t="s">
        <v>65</v>
      </c>
      <c r="D68" s="70">
        <v>77</v>
      </c>
      <c r="E68" s="70">
        <v>1</v>
      </c>
      <c r="F68" s="70"/>
      <c r="G68" s="70" t="s">
        <v>4279</v>
      </c>
      <c r="H68" s="70"/>
      <c r="I68" s="69"/>
      <c r="J68" s="70" t="s">
        <v>4131</v>
      </c>
      <c r="K68" s="70" t="s">
        <v>4076</v>
      </c>
      <c r="L68" s="70"/>
      <c r="M68" s="70"/>
      <c r="N68" s="69">
        <v>2</v>
      </c>
      <c r="O68" s="93">
        <v>1</v>
      </c>
      <c r="P68" s="94"/>
      <c r="Q68" s="95"/>
      <c r="R68" s="92">
        <v>1</v>
      </c>
      <c r="S68" s="96"/>
      <c r="T68" s="93"/>
      <c r="U68" s="97"/>
      <c r="V68" s="98"/>
      <c r="W68" s="99"/>
      <c r="X68" s="92"/>
      <c r="Y68" s="96"/>
      <c r="Z68" s="100"/>
      <c r="AA68" s="70"/>
      <c r="AB68" s="70"/>
      <c r="AC68" s="70" t="s">
        <v>4163</v>
      </c>
      <c r="AD68" s="70"/>
      <c r="AE68" s="79" t="s">
        <v>4280</v>
      </c>
      <c r="AF68" s="70"/>
      <c r="AG68" s="70"/>
      <c r="AH68" s="70"/>
      <c r="AI68" s="70"/>
      <c r="AJ68" s="70"/>
      <c r="AK68" s="70"/>
      <c r="AL68" s="70"/>
      <c r="AM68" s="70"/>
      <c r="AN68" s="72"/>
      <c r="AO68" s="70"/>
      <c r="AP68" s="93"/>
      <c r="AQ68" s="94"/>
      <c r="AR68" s="95"/>
      <c r="AS68" s="92"/>
      <c r="AT68" s="96"/>
      <c r="AU68" s="93"/>
      <c r="AV68" s="97"/>
      <c r="AW68" s="98"/>
      <c r="AX68" s="99"/>
      <c r="AY68" s="92"/>
      <c r="AZ68" s="96"/>
      <c r="BA68" s="100"/>
      <c r="BB68" s="70"/>
      <c r="BC68" s="71"/>
      <c r="BD68" s="79"/>
      <c r="BE68" s="79"/>
      <c r="BF68" s="70"/>
    </row>
    <row r="69" spans="1:58" ht="12.75" x14ac:dyDescent="0.2">
      <c r="A69" s="70" t="s">
        <v>4056</v>
      </c>
      <c r="B69" s="70" t="s">
        <v>4440</v>
      </c>
      <c r="C69" s="70" t="s">
        <v>65</v>
      </c>
      <c r="D69" s="70">
        <v>78</v>
      </c>
      <c r="E69" s="70">
        <v>1</v>
      </c>
      <c r="F69" s="70"/>
      <c r="G69" s="70" t="s">
        <v>4281</v>
      </c>
      <c r="H69" s="70"/>
      <c r="I69" s="69"/>
      <c r="J69" s="70" t="s">
        <v>33</v>
      </c>
      <c r="K69" s="70" t="s">
        <v>4076</v>
      </c>
      <c r="L69" s="70"/>
      <c r="M69" s="70"/>
      <c r="N69" s="69">
        <v>5</v>
      </c>
      <c r="O69" s="93">
        <v>1</v>
      </c>
      <c r="P69" s="94"/>
      <c r="Q69" s="95"/>
      <c r="R69" s="92"/>
      <c r="S69" s="96"/>
      <c r="T69" s="93"/>
      <c r="U69" s="97"/>
      <c r="V69" s="98"/>
      <c r="W69" s="99"/>
      <c r="X69" s="92"/>
      <c r="Y69" s="96"/>
      <c r="Z69" s="100"/>
      <c r="AA69" s="70"/>
      <c r="AB69" s="70"/>
      <c r="AC69" s="70" t="s">
        <v>4181</v>
      </c>
      <c r="AD69" s="70"/>
      <c r="AE69" s="70" t="s">
        <v>4282</v>
      </c>
      <c r="AF69" s="70"/>
      <c r="AG69" s="70"/>
      <c r="AH69" s="70"/>
      <c r="AI69" s="70"/>
      <c r="AJ69" s="70"/>
      <c r="AK69" s="70"/>
      <c r="AL69" s="70"/>
      <c r="AM69" s="70"/>
      <c r="AN69" s="72"/>
      <c r="AO69" s="70"/>
      <c r="AP69" s="93"/>
      <c r="AQ69" s="94"/>
      <c r="AR69" s="95"/>
      <c r="AS69" s="92"/>
      <c r="AT69" s="96"/>
      <c r="AU69" s="93"/>
      <c r="AV69" s="97"/>
      <c r="AW69" s="98"/>
      <c r="AX69" s="99"/>
      <c r="AY69" s="92"/>
      <c r="AZ69" s="96"/>
      <c r="BA69" s="100"/>
      <c r="BB69" s="70"/>
      <c r="BC69" s="71"/>
      <c r="BD69" s="79"/>
      <c r="BE69" s="79"/>
      <c r="BF69" s="70"/>
    </row>
    <row r="70" spans="1:58" ht="25.5" x14ac:dyDescent="0.2">
      <c r="A70" s="70" t="s">
        <v>4056</v>
      </c>
      <c r="B70" s="70" t="s">
        <v>4441</v>
      </c>
      <c r="C70" s="70" t="s">
        <v>65</v>
      </c>
      <c r="D70" s="70">
        <v>79</v>
      </c>
      <c r="E70" s="70">
        <v>1</v>
      </c>
      <c r="F70" s="70"/>
      <c r="G70" s="70" t="s">
        <v>4283</v>
      </c>
      <c r="H70" s="70"/>
      <c r="I70" s="69"/>
      <c r="J70" s="70" t="s">
        <v>33</v>
      </c>
      <c r="K70" s="70" t="s">
        <v>4076</v>
      </c>
      <c r="L70" s="70"/>
      <c r="M70" s="70"/>
      <c r="N70" s="69">
        <v>2</v>
      </c>
      <c r="O70" s="93"/>
      <c r="P70" s="94">
        <v>2</v>
      </c>
      <c r="Q70" s="95"/>
      <c r="R70" s="92"/>
      <c r="S70" s="96"/>
      <c r="T70" s="93"/>
      <c r="U70" s="97"/>
      <c r="V70" s="98"/>
      <c r="W70" s="99"/>
      <c r="X70" s="92"/>
      <c r="Y70" s="96"/>
      <c r="Z70" s="100"/>
      <c r="AA70" s="70"/>
      <c r="AB70" s="70"/>
      <c r="AC70" s="70" t="s">
        <v>4246</v>
      </c>
      <c r="AD70" s="70"/>
      <c r="AE70" s="79" t="s">
        <v>4284</v>
      </c>
      <c r="AF70" s="70"/>
      <c r="AG70" s="70"/>
      <c r="AH70" s="70"/>
      <c r="AI70" s="70"/>
      <c r="AJ70" s="70"/>
      <c r="AK70" s="70"/>
      <c r="AL70" s="70"/>
      <c r="AM70" s="70"/>
      <c r="AN70" s="72"/>
      <c r="AO70" s="70"/>
      <c r="AP70" s="93"/>
      <c r="AQ70" s="94"/>
      <c r="AR70" s="95"/>
      <c r="AS70" s="92"/>
      <c r="AT70" s="96"/>
      <c r="AU70" s="93"/>
      <c r="AV70" s="97"/>
      <c r="AW70" s="98"/>
      <c r="AX70" s="99"/>
      <c r="AY70" s="92"/>
      <c r="AZ70" s="96"/>
      <c r="BA70" s="100"/>
      <c r="BB70" s="70"/>
      <c r="BC70" s="71"/>
      <c r="BD70" s="79"/>
      <c r="BE70" s="79"/>
      <c r="BF70" s="70"/>
    </row>
    <row r="71" spans="1:58" ht="25.5" x14ac:dyDescent="0.2">
      <c r="A71" s="70" t="s">
        <v>4056</v>
      </c>
      <c r="B71" s="70" t="s">
        <v>4442</v>
      </c>
      <c r="C71" s="70" t="s">
        <v>65</v>
      </c>
      <c r="D71" s="70">
        <v>80</v>
      </c>
      <c r="E71" s="70">
        <v>1</v>
      </c>
      <c r="F71" s="70"/>
      <c r="G71" s="70" t="s">
        <v>4285</v>
      </c>
      <c r="H71" s="70"/>
      <c r="I71" s="69"/>
      <c r="J71" s="70" t="s">
        <v>33</v>
      </c>
      <c r="K71" s="70" t="s">
        <v>4076</v>
      </c>
      <c r="L71" s="70"/>
      <c r="M71" s="70"/>
      <c r="N71" s="69">
        <v>1</v>
      </c>
      <c r="O71" s="93"/>
      <c r="P71" s="94"/>
      <c r="Q71" s="95"/>
      <c r="R71" s="92"/>
      <c r="S71" s="96"/>
      <c r="T71" s="93"/>
      <c r="U71" s="97"/>
      <c r="V71" s="98"/>
      <c r="W71" s="99"/>
      <c r="X71" s="92"/>
      <c r="Y71" s="96"/>
      <c r="Z71" s="100"/>
      <c r="AA71" s="70"/>
      <c r="AB71" s="70"/>
      <c r="AC71" s="70" t="s">
        <v>4246</v>
      </c>
      <c r="AD71" s="70"/>
      <c r="AE71" s="79" t="s">
        <v>4286</v>
      </c>
      <c r="AF71" s="70"/>
      <c r="AG71" s="70"/>
      <c r="AH71" s="70"/>
      <c r="AI71" s="70"/>
      <c r="AJ71" s="70"/>
      <c r="AK71" s="70"/>
      <c r="AL71" s="70"/>
      <c r="AM71" s="70"/>
      <c r="AN71" s="72"/>
      <c r="AO71" s="70"/>
      <c r="AP71" s="93"/>
      <c r="AQ71" s="94"/>
      <c r="AR71" s="95"/>
      <c r="AS71" s="92"/>
      <c r="AT71" s="96"/>
      <c r="AU71" s="93"/>
      <c r="AV71" s="97"/>
      <c r="AW71" s="98"/>
      <c r="AX71" s="99"/>
      <c r="AY71" s="92"/>
      <c r="AZ71" s="96"/>
      <c r="BA71" s="100"/>
      <c r="BB71" s="70"/>
      <c r="BC71" s="71"/>
      <c r="BD71" s="79"/>
      <c r="BE71" s="79"/>
      <c r="BF71" s="70"/>
    </row>
    <row r="72" spans="1:58" ht="12.75" x14ac:dyDescent="0.2">
      <c r="A72" s="70" t="s">
        <v>4056</v>
      </c>
      <c r="B72" s="70" t="s">
        <v>4443</v>
      </c>
      <c r="C72" s="70" t="s">
        <v>65</v>
      </c>
      <c r="D72" s="70">
        <v>81</v>
      </c>
      <c r="E72" s="70">
        <v>1</v>
      </c>
      <c r="F72" s="70"/>
      <c r="G72" s="70" t="s">
        <v>4287</v>
      </c>
      <c r="H72" s="70"/>
      <c r="I72" s="69"/>
      <c r="J72" s="70" t="s">
        <v>4186</v>
      </c>
      <c r="K72" s="70" t="s">
        <v>4076</v>
      </c>
      <c r="L72" s="70"/>
      <c r="M72" s="70"/>
      <c r="N72" s="69"/>
      <c r="O72" s="93"/>
      <c r="P72" s="94"/>
      <c r="Q72" s="95"/>
      <c r="R72" s="92">
        <v>1</v>
      </c>
      <c r="S72" s="96"/>
      <c r="T72" s="93"/>
      <c r="U72" s="97"/>
      <c r="V72" s="98"/>
      <c r="W72" s="99"/>
      <c r="X72" s="92"/>
      <c r="Y72" s="96"/>
      <c r="Z72" s="100"/>
      <c r="AA72" s="70"/>
      <c r="AB72" s="70"/>
      <c r="AC72" s="70" t="s">
        <v>4288</v>
      </c>
      <c r="AD72" s="70"/>
      <c r="AE72" s="70" t="s">
        <v>4289</v>
      </c>
      <c r="AF72" s="70"/>
      <c r="AG72" s="70"/>
      <c r="AH72" s="70"/>
      <c r="AI72" s="70"/>
      <c r="AJ72" s="70"/>
      <c r="AK72" s="70"/>
      <c r="AL72" s="70"/>
      <c r="AM72" s="70"/>
      <c r="AN72" s="72"/>
      <c r="AO72" s="70"/>
      <c r="AP72" s="93"/>
      <c r="AQ72" s="94"/>
      <c r="AR72" s="95"/>
      <c r="AS72" s="92"/>
      <c r="AT72" s="96"/>
      <c r="AU72" s="93"/>
      <c r="AV72" s="97"/>
      <c r="AW72" s="98"/>
      <c r="AX72" s="99"/>
      <c r="AY72" s="92"/>
      <c r="AZ72" s="96"/>
      <c r="BA72" s="100"/>
      <c r="BB72" s="70"/>
      <c r="BC72" s="71"/>
      <c r="BD72" s="79"/>
      <c r="BE72" s="79"/>
      <c r="BF72" s="70"/>
    </row>
    <row r="73" spans="1:58" ht="38.25" x14ac:dyDescent="0.2">
      <c r="A73" s="70" t="s">
        <v>4056</v>
      </c>
      <c r="B73" s="70" t="s">
        <v>4444</v>
      </c>
      <c r="C73" s="70" t="s">
        <v>65</v>
      </c>
      <c r="D73" s="70">
        <v>83</v>
      </c>
      <c r="E73" s="70">
        <v>1</v>
      </c>
      <c r="F73" s="70"/>
      <c r="G73" s="70" t="s">
        <v>4290</v>
      </c>
      <c r="H73" s="70"/>
      <c r="I73" s="69"/>
      <c r="J73" s="70" t="s">
        <v>33</v>
      </c>
      <c r="K73" s="70" t="s">
        <v>4076</v>
      </c>
      <c r="L73" s="70">
        <v>2</v>
      </c>
      <c r="M73" s="70"/>
      <c r="N73" s="69">
        <v>2</v>
      </c>
      <c r="O73" s="93"/>
      <c r="P73" s="94"/>
      <c r="Q73" s="95">
        <v>1</v>
      </c>
      <c r="R73" s="92">
        <v>1</v>
      </c>
      <c r="S73" s="96"/>
      <c r="T73" s="93"/>
      <c r="U73" s="97"/>
      <c r="V73" s="98"/>
      <c r="W73" s="99"/>
      <c r="X73" s="92"/>
      <c r="Y73" s="96"/>
      <c r="Z73" s="100"/>
      <c r="AA73" s="70"/>
      <c r="AB73" s="70"/>
      <c r="AC73" s="70" t="s">
        <v>4246</v>
      </c>
      <c r="AD73" s="70"/>
      <c r="AE73" s="79" t="s">
        <v>4291</v>
      </c>
      <c r="AF73" s="70"/>
      <c r="AG73" s="70"/>
      <c r="AH73" s="70"/>
      <c r="AI73" s="70"/>
      <c r="AJ73" s="70"/>
      <c r="AK73" s="70"/>
      <c r="AL73" s="70"/>
      <c r="AM73" s="70"/>
      <c r="AN73" s="72"/>
      <c r="AO73" s="70"/>
      <c r="AP73" s="93"/>
      <c r="AQ73" s="94"/>
      <c r="AR73" s="95"/>
      <c r="AS73" s="92"/>
      <c r="AT73" s="96"/>
      <c r="AU73" s="93"/>
      <c r="AV73" s="97"/>
      <c r="AW73" s="98"/>
      <c r="AX73" s="99"/>
      <c r="AY73" s="92"/>
      <c r="AZ73" s="96"/>
      <c r="BA73" s="100"/>
      <c r="BB73" s="70"/>
      <c r="BC73" s="71"/>
      <c r="BD73" s="79"/>
      <c r="BE73" s="79"/>
      <c r="BF73" s="70"/>
    </row>
    <row r="74" spans="1:58" ht="25.5" x14ac:dyDescent="0.2">
      <c r="A74" s="70" t="s">
        <v>4056</v>
      </c>
      <c r="B74" s="70" t="s">
        <v>4445</v>
      </c>
      <c r="C74" s="70" t="s">
        <v>65</v>
      </c>
      <c r="D74" s="70">
        <v>84</v>
      </c>
      <c r="E74" s="70">
        <v>1</v>
      </c>
      <c r="F74" s="70"/>
      <c r="G74" s="70" t="s">
        <v>4285</v>
      </c>
      <c r="H74" s="70"/>
      <c r="I74" s="69"/>
      <c r="J74" s="70" t="s">
        <v>33</v>
      </c>
      <c r="K74" s="70" t="s">
        <v>4076</v>
      </c>
      <c r="L74" s="70">
        <v>2</v>
      </c>
      <c r="M74" s="70"/>
      <c r="N74" s="69">
        <v>1</v>
      </c>
      <c r="O74" s="93"/>
      <c r="P74" s="94"/>
      <c r="Q74" s="95"/>
      <c r="R74" s="92"/>
      <c r="S74" s="96"/>
      <c r="T74" s="93"/>
      <c r="U74" s="97"/>
      <c r="V74" s="98"/>
      <c r="W74" s="99"/>
      <c r="X74" s="92"/>
      <c r="Y74" s="96"/>
      <c r="Z74" s="100"/>
      <c r="AA74" s="70"/>
      <c r="AB74" s="70"/>
      <c r="AC74" s="70" t="s">
        <v>4246</v>
      </c>
      <c r="AD74" s="70"/>
      <c r="AE74" s="79" t="s">
        <v>4292</v>
      </c>
      <c r="AF74" s="70"/>
      <c r="AG74" s="70"/>
      <c r="AH74" s="70"/>
      <c r="AI74" s="70"/>
      <c r="AJ74" s="70"/>
      <c r="AK74" s="70"/>
      <c r="AL74" s="70"/>
      <c r="AM74" s="70"/>
      <c r="AN74" s="72"/>
      <c r="AO74" s="70"/>
      <c r="AP74" s="93"/>
      <c r="AQ74" s="94"/>
      <c r="AR74" s="95"/>
      <c r="AS74" s="92"/>
      <c r="AT74" s="96"/>
      <c r="AU74" s="93"/>
      <c r="AV74" s="97"/>
      <c r="AW74" s="98"/>
      <c r="AX74" s="99"/>
      <c r="AY74" s="92"/>
      <c r="AZ74" s="96"/>
      <c r="BA74" s="100"/>
      <c r="BB74" s="70"/>
      <c r="BC74" s="71"/>
      <c r="BD74" s="79"/>
      <c r="BE74" s="79"/>
      <c r="BF74" s="70"/>
    </row>
    <row r="75" spans="1:58" ht="25.5" x14ac:dyDescent="0.2">
      <c r="A75" s="70" t="s">
        <v>4056</v>
      </c>
      <c r="B75" s="70" t="s">
        <v>4446</v>
      </c>
      <c r="C75" s="70" t="s">
        <v>65</v>
      </c>
      <c r="D75" s="70">
        <v>85</v>
      </c>
      <c r="E75" s="70">
        <v>1</v>
      </c>
      <c r="F75" s="70"/>
      <c r="G75" s="70" t="s">
        <v>4293</v>
      </c>
      <c r="H75" s="70"/>
      <c r="I75" s="69"/>
      <c r="J75" s="70" t="s">
        <v>33</v>
      </c>
      <c r="K75" s="70" t="s">
        <v>4076</v>
      </c>
      <c r="L75" s="70">
        <v>4</v>
      </c>
      <c r="M75" s="70"/>
      <c r="N75" s="69">
        <v>2</v>
      </c>
      <c r="O75" s="93"/>
      <c r="P75" s="94"/>
      <c r="Q75" s="95">
        <v>1</v>
      </c>
      <c r="R75" s="92"/>
      <c r="S75" s="96"/>
      <c r="T75" s="93"/>
      <c r="U75" s="97"/>
      <c r="V75" s="98"/>
      <c r="W75" s="99"/>
      <c r="X75" s="92"/>
      <c r="Y75" s="96"/>
      <c r="Z75" s="100"/>
      <c r="AA75" s="70"/>
      <c r="AB75" s="70"/>
      <c r="AC75" s="70" t="s">
        <v>4246</v>
      </c>
      <c r="AD75" s="70"/>
      <c r="AE75" s="79" t="s">
        <v>4294</v>
      </c>
      <c r="AF75" s="70"/>
      <c r="AG75" s="70"/>
      <c r="AH75" s="70"/>
      <c r="AI75" s="70"/>
      <c r="AJ75" s="70"/>
      <c r="AK75" s="70"/>
      <c r="AL75" s="70"/>
      <c r="AM75" s="70"/>
      <c r="AN75" s="72"/>
      <c r="AO75" s="70"/>
      <c r="AP75" s="93"/>
      <c r="AQ75" s="94"/>
      <c r="AR75" s="95"/>
      <c r="AS75" s="92"/>
      <c r="AT75" s="96"/>
      <c r="AU75" s="93"/>
      <c r="AV75" s="97"/>
      <c r="AW75" s="98"/>
      <c r="AX75" s="99"/>
      <c r="AY75" s="92"/>
      <c r="AZ75" s="96"/>
      <c r="BA75" s="100"/>
      <c r="BB75" s="70"/>
      <c r="BC75" s="71"/>
      <c r="BD75" s="79"/>
      <c r="BE75" s="79"/>
      <c r="BF75" s="70"/>
    </row>
    <row r="76" spans="1:58" ht="38.25" x14ac:dyDescent="0.2">
      <c r="A76" s="70" t="s">
        <v>4056</v>
      </c>
      <c r="B76" s="70" t="s">
        <v>4447</v>
      </c>
      <c r="C76" s="70" t="s">
        <v>65</v>
      </c>
      <c r="D76" s="70">
        <v>86</v>
      </c>
      <c r="E76" s="70">
        <v>4</v>
      </c>
      <c r="F76" s="70"/>
      <c r="G76" s="70" t="s">
        <v>4295</v>
      </c>
      <c r="H76" s="70"/>
      <c r="I76" s="69"/>
      <c r="J76" s="70" t="s">
        <v>4131</v>
      </c>
      <c r="K76" s="70" t="s">
        <v>29</v>
      </c>
      <c r="L76" s="70"/>
      <c r="M76" s="70"/>
      <c r="N76" s="69">
        <v>1</v>
      </c>
      <c r="O76" s="93"/>
      <c r="P76" s="94"/>
      <c r="Q76" s="95">
        <v>1</v>
      </c>
      <c r="R76" s="92"/>
      <c r="S76" s="96"/>
      <c r="T76" s="93"/>
      <c r="U76" s="97"/>
      <c r="V76" s="98"/>
      <c r="W76" s="99"/>
      <c r="X76" s="92"/>
      <c r="Y76" s="96"/>
      <c r="Z76" s="100"/>
      <c r="AA76" s="70"/>
      <c r="AB76" s="70" t="s">
        <v>4132</v>
      </c>
      <c r="AC76" s="70" t="s">
        <v>4172</v>
      </c>
      <c r="AD76" s="70"/>
      <c r="AE76" s="79" t="s">
        <v>4296</v>
      </c>
      <c r="AF76" s="70"/>
      <c r="AG76" s="70"/>
      <c r="AH76" s="70"/>
      <c r="AI76" s="70"/>
      <c r="AJ76" s="70"/>
      <c r="AK76" s="70"/>
      <c r="AL76" s="70"/>
      <c r="AM76" s="70"/>
      <c r="AN76" s="72"/>
      <c r="AO76" s="70"/>
      <c r="AP76" s="93"/>
      <c r="AQ76" s="94"/>
      <c r="AR76" s="95"/>
      <c r="AS76" s="92"/>
      <c r="AT76" s="96"/>
      <c r="AU76" s="93"/>
      <c r="AV76" s="97"/>
      <c r="AW76" s="98"/>
      <c r="AX76" s="99"/>
      <c r="AY76" s="92"/>
      <c r="AZ76" s="96"/>
      <c r="BA76" s="100"/>
      <c r="BB76" s="70"/>
      <c r="BC76" s="71"/>
      <c r="BD76" s="79"/>
      <c r="BE76" s="79"/>
      <c r="BF76" s="70"/>
    </row>
    <row r="77" spans="1:58" ht="38.25" x14ac:dyDescent="0.2">
      <c r="A77" s="70" t="s">
        <v>4056</v>
      </c>
      <c r="B77" s="70" t="s">
        <v>4448</v>
      </c>
      <c r="C77" s="70" t="s">
        <v>65</v>
      </c>
      <c r="D77" s="70">
        <v>87</v>
      </c>
      <c r="E77" s="70">
        <v>4</v>
      </c>
      <c r="F77" s="70"/>
      <c r="G77" s="70" t="s">
        <v>4297</v>
      </c>
      <c r="H77" s="70"/>
      <c r="I77" s="69"/>
      <c r="J77" s="70" t="s">
        <v>4131</v>
      </c>
      <c r="K77" s="70" t="s">
        <v>29</v>
      </c>
      <c r="L77" s="70"/>
      <c r="M77" s="70"/>
      <c r="N77" s="69">
        <v>2</v>
      </c>
      <c r="O77" s="93"/>
      <c r="P77" s="94">
        <v>1</v>
      </c>
      <c r="Q77" s="95"/>
      <c r="R77" s="92"/>
      <c r="S77" s="96"/>
      <c r="T77" s="93"/>
      <c r="U77" s="97"/>
      <c r="V77" s="98"/>
      <c r="W77" s="99"/>
      <c r="X77" s="92"/>
      <c r="Y77" s="96"/>
      <c r="Z77" s="100"/>
      <c r="AA77" s="70"/>
      <c r="AB77" s="70" t="s">
        <v>4132</v>
      </c>
      <c r="AC77" s="70" t="s">
        <v>4199</v>
      </c>
      <c r="AD77" s="70"/>
      <c r="AE77" s="79" t="s">
        <v>4298</v>
      </c>
      <c r="AF77" s="70"/>
      <c r="AG77" s="70"/>
      <c r="AH77" s="70"/>
      <c r="AI77" s="70"/>
      <c r="AJ77" s="70"/>
      <c r="AK77" s="70"/>
      <c r="AL77" s="70"/>
      <c r="AM77" s="70"/>
      <c r="AN77" s="72"/>
      <c r="AO77" s="70"/>
      <c r="AP77" s="93"/>
      <c r="AQ77" s="94"/>
      <c r="AR77" s="95"/>
      <c r="AS77" s="92"/>
      <c r="AT77" s="96"/>
      <c r="AU77" s="93"/>
      <c r="AV77" s="97"/>
      <c r="AW77" s="98"/>
      <c r="AX77" s="99"/>
      <c r="AY77" s="92"/>
      <c r="AZ77" s="96"/>
      <c r="BA77" s="100"/>
      <c r="BB77" s="70"/>
      <c r="BC77" s="71"/>
      <c r="BD77" s="79"/>
      <c r="BE77" s="79"/>
      <c r="BF77" s="70"/>
    </row>
    <row r="78" spans="1:58" ht="12.75" x14ac:dyDescent="0.2">
      <c r="A78" s="70" t="s">
        <v>4056</v>
      </c>
      <c r="B78" s="70" t="s">
        <v>4449</v>
      </c>
      <c r="C78" s="70" t="s">
        <v>65</v>
      </c>
      <c r="D78" s="70">
        <v>88</v>
      </c>
      <c r="E78" s="70">
        <v>4</v>
      </c>
      <c r="F78" s="70"/>
      <c r="G78" s="70" t="s">
        <v>4299</v>
      </c>
      <c r="H78" s="70"/>
      <c r="I78" s="69"/>
      <c r="J78" s="70" t="s">
        <v>33</v>
      </c>
      <c r="K78" s="70" t="s">
        <v>29</v>
      </c>
      <c r="L78" s="70"/>
      <c r="M78" s="70"/>
      <c r="N78" s="69">
        <v>0</v>
      </c>
      <c r="O78" s="93"/>
      <c r="P78" s="94"/>
      <c r="Q78" s="95"/>
      <c r="R78" s="92"/>
      <c r="S78" s="96"/>
      <c r="T78" s="93"/>
      <c r="U78" s="97"/>
      <c r="V78" s="98"/>
      <c r="W78" s="99"/>
      <c r="X78" s="92"/>
      <c r="Y78" s="96"/>
      <c r="Z78" s="100"/>
      <c r="AA78" s="70"/>
      <c r="AB78" s="70"/>
      <c r="AC78" s="70" t="s">
        <v>4190</v>
      </c>
      <c r="AD78" s="70"/>
      <c r="AE78" s="70" t="s">
        <v>4300</v>
      </c>
      <c r="AF78" s="70"/>
      <c r="AG78" s="70"/>
      <c r="AH78" s="70"/>
      <c r="AI78" s="70"/>
      <c r="AJ78" s="70"/>
      <c r="AK78" s="70"/>
      <c r="AL78" s="70"/>
      <c r="AM78" s="70"/>
      <c r="AN78" s="72"/>
      <c r="AO78" s="70"/>
      <c r="AP78" s="93"/>
      <c r="AQ78" s="94"/>
      <c r="AR78" s="95"/>
      <c r="AS78" s="92"/>
      <c r="AT78" s="96"/>
      <c r="AU78" s="93"/>
      <c r="AV78" s="97"/>
      <c r="AW78" s="98"/>
      <c r="AX78" s="99"/>
      <c r="AY78" s="92"/>
      <c r="AZ78" s="96"/>
      <c r="BA78" s="100"/>
      <c r="BB78" s="70"/>
      <c r="BC78" s="71"/>
      <c r="BD78" s="79"/>
      <c r="BE78" s="79"/>
      <c r="BF78" s="70"/>
    </row>
    <row r="79" spans="1:58" ht="25.5" x14ac:dyDescent="0.2">
      <c r="A79" s="70" t="s">
        <v>4056</v>
      </c>
      <c r="B79" s="70" t="s">
        <v>4450</v>
      </c>
      <c r="C79" s="70" t="s">
        <v>65</v>
      </c>
      <c r="D79" s="70">
        <v>89</v>
      </c>
      <c r="E79" s="70">
        <v>2</v>
      </c>
      <c r="F79" s="70"/>
      <c r="G79" s="70" t="s">
        <v>4301</v>
      </c>
      <c r="H79" s="70"/>
      <c r="I79" s="69"/>
      <c r="J79" s="70" t="s">
        <v>4186</v>
      </c>
      <c r="K79" s="70" t="s">
        <v>29</v>
      </c>
      <c r="L79" s="70"/>
      <c r="M79" s="70"/>
      <c r="N79" s="69"/>
      <c r="O79" s="93">
        <v>2</v>
      </c>
      <c r="P79" s="94"/>
      <c r="Q79" s="95"/>
      <c r="R79" s="92"/>
      <c r="S79" s="96"/>
      <c r="T79" s="93"/>
      <c r="U79" s="97"/>
      <c r="V79" s="98"/>
      <c r="W79" s="99"/>
      <c r="X79" s="92"/>
      <c r="Y79" s="96"/>
      <c r="Z79" s="100"/>
      <c r="AA79" s="70"/>
      <c r="AB79" s="70"/>
      <c r="AC79" s="70" t="s">
        <v>4288</v>
      </c>
      <c r="AD79" s="70"/>
      <c r="AE79" s="79" t="s">
        <v>4302</v>
      </c>
      <c r="AF79" s="70"/>
      <c r="AG79" s="70"/>
      <c r="AH79" s="70"/>
      <c r="AI79" s="70"/>
      <c r="AJ79" s="70"/>
      <c r="AK79" s="70"/>
      <c r="AL79" s="70"/>
      <c r="AM79" s="70"/>
      <c r="AN79" s="72"/>
      <c r="AO79" s="70"/>
      <c r="AP79" s="93"/>
      <c r="AQ79" s="94"/>
      <c r="AR79" s="95"/>
      <c r="AS79" s="92"/>
      <c r="AT79" s="96"/>
      <c r="AU79" s="93"/>
      <c r="AV79" s="97"/>
      <c r="AW79" s="98"/>
      <c r="AX79" s="99"/>
      <c r="AY79" s="92"/>
      <c r="AZ79" s="96"/>
      <c r="BA79" s="100"/>
      <c r="BB79" s="70"/>
      <c r="BC79" s="71"/>
      <c r="BD79" s="79"/>
      <c r="BE79" s="79"/>
      <c r="BF79" s="70"/>
    </row>
    <row r="80" spans="1:58" ht="25.5" x14ac:dyDescent="0.2">
      <c r="A80" s="70" t="s">
        <v>4056</v>
      </c>
      <c r="B80" s="70" t="s">
        <v>4451</v>
      </c>
      <c r="C80" s="70" t="s">
        <v>65</v>
      </c>
      <c r="D80" s="70">
        <v>90</v>
      </c>
      <c r="E80" s="70">
        <v>2</v>
      </c>
      <c r="F80" s="70"/>
      <c r="G80" s="70" t="s">
        <v>4303</v>
      </c>
      <c r="H80" s="70"/>
      <c r="I80" s="69"/>
      <c r="J80" s="70" t="s">
        <v>4186</v>
      </c>
      <c r="K80" s="70" t="s">
        <v>29</v>
      </c>
      <c r="L80" s="70"/>
      <c r="M80" s="70"/>
      <c r="N80" s="69"/>
      <c r="O80" s="93"/>
      <c r="P80" s="94">
        <v>2</v>
      </c>
      <c r="Q80" s="95"/>
      <c r="R80" s="92"/>
      <c r="S80" s="96"/>
      <c r="T80" s="93"/>
      <c r="U80" s="97"/>
      <c r="V80" s="98"/>
      <c r="W80" s="99"/>
      <c r="X80" s="92"/>
      <c r="Y80" s="96"/>
      <c r="Z80" s="100"/>
      <c r="AA80" s="70"/>
      <c r="AB80" s="70"/>
      <c r="AC80" s="70" t="s">
        <v>4187</v>
      </c>
      <c r="AD80" s="70"/>
      <c r="AE80" s="79" t="s">
        <v>4302</v>
      </c>
      <c r="AF80" s="70"/>
      <c r="AG80" s="70"/>
      <c r="AH80" s="70"/>
      <c r="AI80" s="70"/>
      <c r="AJ80" s="70"/>
      <c r="AK80" s="70"/>
      <c r="AL80" s="70"/>
      <c r="AM80" s="70"/>
      <c r="AN80" s="72"/>
      <c r="AO80" s="70"/>
      <c r="AP80" s="93"/>
      <c r="AQ80" s="94"/>
      <c r="AR80" s="95"/>
      <c r="AS80" s="92"/>
      <c r="AT80" s="96"/>
      <c r="AU80" s="93"/>
      <c r="AV80" s="97"/>
      <c r="AW80" s="98"/>
      <c r="AX80" s="99"/>
      <c r="AY80" s="92"/>
      <c r="AZ80" s="96"/>
      <c r="BA80" s="100"/>
      <c r="BB80" s="70"/>
      <c r="BC80" s="71"/>
      <c r="BD80" s="79"/>
      <c r="BE80" s="79"/>
      <c r="BF80" s="70"/>
    </row>
    <row r="81" spans="1:58" ht="25.5" x14ac:dyDescent="0.2">
      <c r="A81" s="70" t="s">
        <v>4056</v>
      </c>
      <c r="B81" s="70" t="s">
        <v>4452</v>
      </c>
      <c r="C81" s="70" t="s">
        <v>65</v>
      </c>
      <c r="D81" s="70">
        <v>91</v>
      </c>
      <c r="E81" s="70">
        <v>2</v>
      </c>
      <c r="F81" s="70"/>
      <c r="G81" s="70" t="s">
        <v>4304</v>
      </c>
      <c r="H81" s="70"/>
      <c r="I81" s="69"/>
      <c r="J81" s="70" t="s">
        <v>4186</v>
      </c>
      <c r="K81" s="70" t="s">
        <v>29</v>
      </c>
      <c r="L81" s="70"/>
      <c r="M81" s="70"/>
      <c r="N81" s="69"/>
      <c r="O81" s="93"/>
      <c r="P81" s="94"/>
      <c r="Q81" s="95">
        <v>2</v>
      </c>
      <c r="R81" s="92"/>
      <c r="S81" s="96"/>
      <c r="T81" s="93"/>
      <c r="U81" s="97"/>
      <c r="V81" s="98"/>
      <c r="W81" s="99"/>
      <c r="X81" s="92"/>
      <c r="Y81" s="96"/>
      <c r="Z81" s="100"/>
      <c r="AA81" s="70"/>
      <c r="AB81" s="70"/>
      <c r="AC81" s="70" t="s">
        <v>4187</v>
      </c>
      <c r="AD81" s="70"/>
      <c r="AE81" s="79" t="s">
        <v>4302</v>
      </c>
      <c r="AF81" s="70"/>
      <c r="AG81" s="70"/>
      <c r="AH81" s="70"/>
      <c r="AI81" s="70"/>
      <c r="AJ81" s="70"/>
      <c r="AK81" s="70"/>
      <c r="AL81" s="70"/>
      <c r="AM81" s="70"/>
      <c r="AN81" s="72"/>
      <c r="AO81" s="70"/>
      <c r="AP81" s="93"/>
      <c r="AQ81" s="94"/>
      <c r="AR81" s="95"/>
      <c r="AS81" s="92"/>
      <c r="AT81" s="96"/>
      <c r="AU81" s="93"/>
      <c r="AV81" s="97"/>
      <c r="AW81" s="98"/>
      <c r="AX81" s="99"/>
      <c r="AY81" s="92"/>
      <c r="AZ81" s="96"/>
      <c r="BA81" s="100"/>
      <c r="BB81" s="70"/>
      <c r="BC81" s="71"/>
      <c r="BD81" s="79"/>
      <c r="BE81" s="79"/>
      <c r="BF81" s="70"/>
    </row>
    <row r="82" spans="1:58" ht="25.5" x14ac:dyDescent="0.2">
      <c r="A82" s="70" t="s">
        <v>4056</v>
      </c>
      <c r="B82" s="70" t="s">
        <v>4453</v>
      </c>
      <c r="C82" s="70" t="s">
        <v>65</v>
      </c>
      <c r="D82" s="70">
        <v>92</v>
      </c>
      <c r="E82" s="70">
        <v>2</v>
      </c>
      <c r="F82" s="70"/>
      <c r="G82" s="70" t="s">
        <v>4305</v>
      </c>
      <c r="H82" s="70"/>
      <c r="I82" s="69"/>
      <c r="J82" s="70" t="s">
        <v>4186</v>
      </c>
      <c r="K82" s="70" t="s">
        <v>29</v>
      </c>
      <c r="L82" s="70"/>
      <c r="M82" s="70"/>
      <c r="N82" s="69"/>
      <c r="O82" s="93"/>
      <c r="P82" s="94"/>
      <c r="Q82" s="95"/>
      <c r="R82" s="92">
        <v>2</v>
      </c>
      <c r="S82" s="96"/>
      <c r="T82" s="93"/>
      <c r="U82" s="97"/>
      <c r="V82" s="98"/>
      <c r="W82" s="99"/>
      <c r="X82" s="92"/>
      <c r="Y82" s="96"/>
      <c r="Z82" s="100"/>
      <c r="AA82" s="70"/>
      <c r="AB82" s="70"/>
      <c r="AC82" s="70" t="s">
        <v>4288</v>
      </c>
      <c r="AD82" s="70"/>
      <c r="AE82" s="79" t="s">
        <v>4302</v>
      </c>
      <c r="AF82" s="70"/>
      <c r="AG82" s="70"/>
      <c r="AH82" s="70"/>
      <c r="AI82" s="70"/>
      <c r="AJ82" s="70"/>
      <c r="AK82" s="70"/>
      <c r="AL82" s="70"/>
      <c r="AM82" s="70"/>
      <c r="AN82" s="72"/>
      <c r="AO82" s="70"/>
      <c r="AP82" s="93"/>
      <c r="AQ82" s="94"/>
      <c r="AR82" s="95"/>
      <c r="AS82" s="92"/>
      <c r="AT82" s="96"/>
      <c r="AU82" s="93"/>
      <c r="AV82" s="97"/>
      <c r="AW82" s="98"/>
      <c r="AX82" s="99"/>
      <c r="AY82" s="92"/>
      <c r="AZ82" s="96"/>
      <c r="BA82" s="100"/>
      <c r="BB82" s="70"/>
      <c r="BC82" s="71"/>
      <c r="BD82" s="79"/>
      <c r="BE82" s="79"/>
      <c r="BF82" s="70"/>
    </row>
    <row r="83" spans="1:58" ht="12.75" x14ac:dyDescent="0.2">
      <c r="A83" s="70" t="s">
        <v>4056</v>
      </c>
      <c r="B83" s="70" t="s">
        <v>4454</v>
      </c>
      <c r="C83" s="70" t="s">
        <v>65</v>
      </c>
      <c r="D83" s="70">
        <v>93</v>
      </c>
      <c r="E83" s="70">
        <v>2</v>
      </c>
      <c r="F83" s="70"/>
      <c r="G83" s="70" t="s">
        <v>4306</v>
      </c>
      <c r="H83" s="70"/>
      <c r="I83" s="69"/>
      <c r="J83" s="70" t="s">
        <v>4186</v>
      </c>
      <c r="K83" s="70" t="s">
        <v>29</v>
      </c>
      <c r="L83" s="70"/>
      <c r="M83" s="70"/>
      <c r="N83" s="69"/>
      <c r="O83" s="93"/>
      <c r="P83" s="94"/>
      <c r="Q83" s="95"/>
      <c r="R83" s="92"/>
      <c r="S83" s="96"/>
      <c r="T83" s="93"/>
      <c r="U83" s="97"/>
      <c r="V83" s="98"/>
      <c r="W83" s="99"/>
      <c r="X83" s="92"/>
      <c r="Y83" s="96"/>
      <c r="Z83" s="100"/>
      <c r="AA83" s="70"/>
      <c r="AB83" s="70"/>
      <c r="AC83" s="70" t="s">
        <v>4288</v>
      </c>
      <c r="AD83" s="70"/>
      <c r="AE83" s="70" t="s">
        <v>4307</v>
      </c>
      <c r="AF83" s="70"/>
      <c r="AG83" s="70"/>
      <c r="AH83" s="70"/>
      <c r="AI83" s="70"/>
      <c r="AJ83" s="70"/>
      <c r="AK83" s="70"/>
      <c r="AL83" s="70"/>
      <c r="AM83" s="70"/>
      <c r="AN83" s="72"/>
      <c r="AO83" s="70"/>
      <c r="AP83" s="93"/>
      <c r="AQ83" s="94"/>
      <c r="AR83" s="95"/>
      <c r="AS83" s="92"/>
      <c r="AT83" s="96"/>
      <c r="AU83" s="93"/>
      <c r="AV83" s="97"/>
      <c r="AW83" s="98"/>
      <c r="AX83" s="99"/>
      <c r="AY83" s="92"/>
      <c r="AZ83" s="96"/>
      <c r="BA83" s="100"/>
      <c r="BB83" s="70"/>
      <c r="BC83" s="71"/>
      <c r="BD83" s="79"/>
      <c r="BE83" s="79"/>
      <c r="BF83" s="70"/>
    </row>
    <row r="84" spans="1:58" ht="12.75" x14ac:dyDescent="0.2">
      <c r="A84" s="70" t="s">
        <v>4056</v>
      </c>
      <c r="B84" s="70" t="s">
        <v>4455</v>
      </c>
      <c r="C84" s="70" t="s">
        <v>65</v>
      </c>
      <c r="D84" s="70">
        <v>94</v>
      </c>
      <c r="E84" s="70">
        <v>1</v>
      </c>
      <c r="F84" s="70"/>
      <c r="G84" s="70" t="s">
        <v>4308</v>
      </c>
      <c r="H84" s="70"/>
      <c r="I84" s="69"/>
      <c r="J84" s="70" t="s">
        <v>4131</v>
      </c>
      <c r="K84" s="70" t="s">
        <v>29</v>
      </c>
      <c r="L84" s="70">
        <v>3</v>
      </c>
      <c r="M84" s="70"/>
      <c r="N84" s="69">
        <v>2</v>
      </c>
      <c r="O84" s="93"/>
      <c r="P84" s="94"/>
      <c r="Q84" s="95">
        <v>1</v>
      </c>
      <c r="R84" s="92"/>
      <c r="S84" s="96"/>
      <c r="T84" s="93"/>
      <c r="U84" s="97"/>
      <c r="V84" s="98"/>
      <c r="W84" s="99"/>
      <c r="X84" s="92"/>
      <c r="Y84" s="96"/>
      <c r="Z84" s="100"/>
      <c r="AA84" s="70"/>
      <c r="AB84" s="70" t="s">
        <v>4269</v>
      </c>
      <c r="AC84" s="70" t="s">
        <v>4270</v>
      </c>
      <c r="AD84" s="70"/>
      <c r="AE84" s="70"/>
      <c r="AF84" s="70"/>
      <c r="AG84" s="70"/>
      <c r="AH84" s="70"/>
      <c r="AI84" s="70"/>
      <c r="AJ84" s="70"/>
      <c r="AK84" s="70"/>
      <c r="AL84" s="70"/>
      <c r="AM84" s="70"/>
      <c r="AN84" s="72"/>
      <c r="AO84" s="70"/>
      <c r="AP84" s="93"/>
      <c r="AQ84" s="94"/>
      <c r="AR84" s="95"/>
      <c r="AS84" s="92"/>
      <c r="AT84" s="96"/>
      <c r="AU84" s="93"/>
      <c r="AV84" s="97"/>
      <c r="AW84" s="98"/>
      <c r="AX84" s="99"/>
      <c r="AY84" s="92"/>
      <c r="AZ84" s="96"/>
      <c r="BA84" s="100"/>
      <c r="BB84" s="70"/>
      <c r="BC84" s="71"/>
      <c r="BD84" s="79"/>
      <c r="BE84" s="79"/>
      <c r="BF84" s="70"/>
    </row>
    <row r="85" spans="1:58" ht="12.75" x14ac:dyDescent="0.2">
      <c r="A85" s="70" t="s">
        <v>4056</v>
      </c>
      <c r="B85" s="70" t="s">
        <v>4456</v>
      </c>
      <c r="C85" s="70" t="s">
        <v>65</v>
      </c>
      <c r="D85" s="70">
        <v>95</v>
      </c>
      <c r="E85" s="70">
        <v>1</v>
      </c>
      <c r="F85" s="70"/>
      <c r="G85" s="70" t="s">
        <v>4309</v>
      </c>
      <c r="H85" s="70"/>
      <c r="I85" s="69"/>
      <c r="J85" s="70" t="s">
        <v>4131</v>
      </c>
      <c r="K85" s="70" t="s">
        <v>29</v>
      </c>
      <c r="L85" s="70">
        <v>3</v>
      </c>
      <c r="M85" s="70"/>
      <c r="N85" s="69">
        <v>2</v>
      </c>
      <c r="O85" s="93">
        <v>1</v>
      </c>
      <c r="P85" s="94"/>
      <c r="Q85" s="95"/>
      <c r="R85" s="92"/>
      <c r="S85" s="96"/>
      <c r="T85" s="93"/>
      <c r="U85" s="97"/>
      <c r="V85" s="98"/>
      <c r="W85" s="99"/>
      <c r="X85" s="92"/>
      <c r="Y85" s="96"/>
      <c r="Z85" s="100"/>
      <c r="AA85" s="70"/>
      <c r="AB85" s="70" t="s">
        <v>4149</v>
      </c>
      <c r="AC85" s="70" t="s">
        <v>4150</v>
      </c>
      <c r="AD85" s="70"/>
      <c r="AE85" s="70"/>
      <c r="AF85" s="70"/>
      <c r="AG85" s="70"/>
      <c r="AH85" s="70"/>
      <c r="AI85" s="70"/>
      <c r="AJ85" s="70"/>
      <c r="AK85" s="70"/>
      <c r="AL85" s="70"/>
      <c r="AM85" s="70"/>
      <c r="AN85" s="72"/>
      <c r="AO85" s="70"/>
      <c r="AP85" s="93"/>
      <c r="AQ85" s="94"/>
      <c r="AR85" s="95"/>
      <c r="AS85" s="92"/>
      <c r="AT85" s="96"/>
      <c r="AU85" s="93"/>
      <c r="AV85" s="97"/>
      <c r="AW85" s="98"/>
      <c r="AX85" s="99"/>
      <c r="AY85" s="92"/>
      <c r="AZ85" s="96"/>
      <c r="BA85" s="100"/>
      <c r="BB85" s="70"/>
      <c r="BC85" s="71"/>
      <c r="BD85" s="79"/>
      <c r="BE85" s="79"/>
      <c r="BF85" s="70"/>
    </row>
    <row r="86" spans="1:58" ht="12.75" x14ac:dyDescent="0.2">
      <c r="A86" s="70" t="s">
        <v>4056</v>
      </c>
      <c r="B86" s="70" t="s">
        <v>4457</v>
      </c>
      <c r="C86" s="70" t="s">
        <v>65</v>
      </c>
      <c r="D86" s="70">
        <v>96</v>
      </c>
      <c r="E86" s="70">
        <v>1</v>
      </c>
      <c r="F86" s="70"/>
      <c r="G86" s="70" t="s">
        <v>4310</v>
      </c>
      <c r="H86" s="70"/>
      <c r="I86" s="69"/>
      <c r="J86" s="70" t="s">
        <v>34</v>
      </c>
      <c r="K86" s="70" t="s">
        <v>29</v>
      </c>
      <c r="L86" s="70"/>
      <c r="M86" s="70"/>
      <c r="N86" s="69"/>
      <c r="O86" s="93"/>
      <c r="P86" s="94"/>
      <c r="Q86" s="95"/>
      <c r="R86" s="92"/>
      <c r="S86" s="96"/>
      <c r="T86" s="93"/>
      <c r="U86" s="97"/>
      <c r="V86" s="98"/>
      <c r="W86" s="99"/>
      <c r="X86" s="92"/>
      <c r="Y86" s="96"/>
      <c r="Z86" s="100"/>
      <c r="AA86" s="70"/>
      <c r="AB86" s="70"/>
      <c r="AC86" s="70" t="s">
        <v>4158</v>
      </c>
      <c r="AD86" s="70"/>
      <c r="AE86" s="70" t="s">
        <v>4311</v>
      </c>
      <c r="AF86" s="70"/>
      <c r="AG86" s="70"/>
      <c r="AH86" s="70"/>
      <c r="AI86" s="70"/>
      <c r="AJ86" s="70"/>
      <c r="AK86" s="70"/>
      <c r="AL86" s="70"/>
      <c r="AM86" s="70"/>
      <c r="AN86" s="72"/>
      <c r="AO86" s="70"/>
      <c r="AP86" s="93"/>
      <c r="AQ86" s="94"/>
      <c r="AR86" s="95"/>
      <c r="AS86" s="92"/>
      <c r="AT86" s="96"/>
      <c r="AU86" s="93"/>
      <c r="AV86" s="97"/>
      <c r="AW86" s="98"/>
      <c r="AX86" s="99"/>
      <c r="AY86" s="92"/>
      <c r="AZ86" s="96"/>
      <c r="BA86" s="100"/>
      <c r="BB86" s="70"/>
      <c r="BC86" s="71"/>
      <c r="BD86" s="79"/>
      <c r="BE86" s="79"/>
      <c r="BF86" s="70"/>
    </row>
    <row r="87" spans="1:58" ht="12.75" x14ac:dyDescent="0.2">
      <c r="A87" s="70" t="s">
        <v>4056</v>
      </c>
      <c r="B87" s="70" t="s">
        <v>4458</v>
      </c>
      <c r="C87" s="70" t="s">
        <v>65</v>
      </c>
      <c r="D87" s="70">
        <v>97</v>
      </c>
      <c r="E87" s="70">
        <v>1</v>
      </c>
      <c r="F87" s="70"/>
      <c r="G87" s="70" t="s">
        <v>4312</v>
      </c>
      <c r="H87" s="70"/>
      <c r="I87" s="69"/>
      <c r="J87" s="70" t="s">
        <v>34</v>
      </c>
      <c r="K87" s="70" t="s">
        <v>29</v>
      </c>
      <c r="L87" s="70"/>
      <c r="M87" s="70"/>
      <c r="N87" s="69"/>
      <c r="O87" s="93"/>
      <c r="P87" s="94"/>
      <c r="Q87" s="95"/>
      <c r="R87" s="92"/>
      <c r="S87" s="96"/>
      <c r="T87" s="93"/>
      <c r="U87" s="97"/>
      <c r="V87" s="98"/>
      <c r="W87" s="99"/>
      <c r="X87" s="92"/>
      <c r="Y87" s="96"/>
      <c r="Z87" s="100"/>
      <c r="AA87" s="70"/>
      <c r="AB87" s="70"/>
      <c r="AC87" s="70" t="s">
        <v>4158</v>
      </c>
      <c r="AD87" s="70"/>
      <c r="AE87" s="70" t="s">
        <v>4313</v>
      </c>
      <c r="AF87" s="70"/>
      <c r="AG87" s="70"/>
      <c r="AH87" s="70"/>
      <c r="AI87" s="70"/>
      <c r="AJ87" s="70"/>
      <c r="AK87" s="70"/>
      <c r="AL87" s="70"/>
      <c r="AM87" s="70"/>
      <c r="AN87" s="72"/>
      <c r="AO87" s="70"/>
      <c r="AP87" s="93"/>
      <c r="AQ87" s="94"/>
      <c r="AR87" s="95"/>
      <c r="AS87" s="92"/>
      <c r="AT87" s="96"/>
      <c r="AU87" s="93"/>
      <c r="AV87" s="97"/>
      <c r="AW87" s="98"/>
      <c r="AX87" s="99"/>
      <c r="AY87" s="92"/>
      <c r="AZ87" s="96"/>
      <c r="BA87" s="100"/>
      <c r="BB87" s="70"/>
      <c r="BC87" s="71"/>
      <c r="BD87" s="79"/>
      <c r="BE87" s="79"/>
      <c r="BF87" s="70"/>
    </row>
    <row r="88" spans="1:58" ht="38.25" x14ac:dyDescent="0.2">
      <c r="A88" s="70" t="s">
        <v>4056</v>
      </c>
      <c r="B88" s="70" t="s">
        <v>4459</v>
      </c>
      <c r="C88" s="70" t="s">
        <v>65</v>
      </c>
      <c r="D88" s="70">
        <v>98</v>
      </c>
      <c r="E88" s="70">
        <v>1</v>
      </c>
      <c r="F88" s="70"/>
      <c r="G88" s="70" t="s">
        <v>4314</v>
      </c>
      <c r="H88" s="70"/>
      <c r="I88" s="69"/>
      <c r="J88" s="70" t="s">
        <v>34</v>
      </c>
      <c r="K88" s="70" t="s">
        <v>29</v>
      </c>
      <c r="L88" s="70"/>
      <c r="M88" s="70"/>
      <c r="N88" s="69"/>
      <c r="O88" s="93"/>
      <c r="P88" s="94"/>
      <c r="Q88" s="95"/>
      <c r="R88" s="92"/>
      <c r="S88" s="96"/>
      <c r="T88" s="93"/>
      <c r="U88" s="97"/>
      <c r="V88" s="98"/>
      <c r="W88" s="99"/>
      <c r="X88" s="92"/>
      <c r="Y88" s="96"/>
      <c r="Z88" s="100"/>
      <c r="AA88" s="70"/>
      <c r="AB88" s="70"/>
      <c r="AC88" s="70" t="s">
        <v>4315</v>
      </c>
      <c r="AD88" s="70"/>
      <c r="AE88" s="79" t="s">
        <v>4316</v>
      </c>
      <c r="AF88" s="70"/>
      <c r="AG88" s="70"/>
      <c r="AH88" s="70"/>
      <c r="AI88" s="70"/>
      <c r="AJ88" s="70"/>
      <c r="AK88" s="70"/>
      <c r="AL88" s="70"/>
      <c r="AM88" s="70"/>
      <c r="AN88" s="72"/>
      <c r="AO88" s="70"/>
      <c r="AP88" s="93"/>
      <c r="AQ88" s="94"/>
      <c r="AR88" s="95"/>
      <c r="AS88" s="92"/>
      <c r="AT88" s="96"/>
      <c r="AU88" s="93"/>
      <c r="AV88" s="97"/>
      <c r="AW88" s="98"/>
      <c r="AX88" s="99"/>
      <c r="AY88" s="92"/>
      <c r="AZ88" s="96"/>
      <c r="BA88" s="100"/>
      <c r="BB88" s="70"/>
      <c r="BC88" s="71"/>
      <c r="BD88" s="79"/>
      <c r="BE88" s="79"/>
      <c r="BF88" s="70"/>
    </row>
    <row r="89" spans="1:58" ht="38.25" x14ac:dyDescent="0.2">
      <c r="A89" s="70" t="s">
        <v>4056</v>
      </c>
      <c r="B89" s="70" t="s">
        <v>4460</v>
      </c>
      <c r="C89" s="70" t="s">
        <v>65</v>
      </c>
      <c r="D89" s="70">
        <v>99</v>
      </c>
      <c r="E89" s="70">
        <v>1</v>
      </c>
      <c r="F89" s="70"/>
      <c r="G89" s="70" t="s">
        <v>4317</v>
      </c>
      <c r="H89" s="70"/>
      <c r="I89" s="69"/>
      <c r="J89" s="70" t="s">
        <v>34</v>
      </c>
      <c r="K89" s="70" t="s">
        <v>29</v>
      </c>
      <c r="L89" s="70"/>
      <c r="M89" s="70"/>
      <c r="N89" s="69"/>
      <c r="O89" s="93"/>
      <c r="P89" s="94"/>
      <c r="Q89" s="95"/>
      <c r="R89" s="92"/>
      <c r="S89" s="96"/>
      <c r="T89" s="93"/>
      <c r="U89" s="97"/>
      <c r="V89" s="98"/>
      <c r="W89" s="99"/>
      <c r="X89" s="92"/>
      <c r="Y89" s="96"/>
      <c r="Z89" s="100"/>
      <c r="AA89" s="70"/>
      <c r="AB89" s="70"/>
      <c r="AC89" s="70" t="s">
        <v>4158</v>
      </c>
      <c r="AD89" s="70"/>
      <c r="AE89" s="79" t="s">
        <v>4318</v>
      </c>
      <c r="AF89" s="70"/>
      <c r="AG89" s="70"/>
      <c r="AH89" s="70"/>
      <c r="AI89" s="70"/>
      <c r="AJ89" s="70"/>
      <c r="AK89" s="70"/>
      <c r="AL89" s="70"/>
      <c r="AM89" s="70"/>
      <c r="AN89" s="72"/>
      <c r="AO89" s="70"/>
      <c r="AP89" s="93"/>
      <c r="AQ89" s="94"/>
      <c r="AR89" s="95"/>
      <c r="AS89" s="92"/>
      <c r="AT89" s="96"/>
      <c r="AU89" s="93"/>
      <c r="AV89" s="97"/>
      <c r="AW89" s="98"/>
      <c r="AX89" s="99"/>
      <c r="AY89" s="92"/>
      <c r="AZ89" s="96"/>
      <c r="BA89" s="100"/>
      <c r="BB89" s="70"/>
      <c r="BC89" s="71"/>
      <c r="BD89" s="79"/>
      <c r="BE89" s="79"/>
      <c r="BF89" s="70"/>
    </row>
    <row r="90" spans="1:58" ht="63.75" x14ac:dyDescent="0.2">
      <c r="A90" s="70" t="s">
        <v>4056</v>
      </c>
      <c r="B90" s="70" t="s">
        <v>4461</v>
      </c>
      <c r="C90" s="70" t="s">
        <v>65</v>
      </c>
      <c r="D90" s="101">
        <v>104</v>
      </c>
      <c r="E90" s="81">
        <v>1</v>
      </c>
      <c r="F90" s="81"/>
      <c r="G90" s="81" t="s">
        <v>4319</v>
      </c>
      <c r="H90" s="81"/>
      <c r="I90" s="69"/>
      <c r="J90" s="70" t="s">
        <v>4497</v>
      </c>
      <c r="K90" s="70"/>
      <c r="L90" s="70"/>
      <c r="M90" s="70"/>
      <c r="N90" s="72"/>
      <c r="O90" s="77"/>
      <c r="P90" s="75"/>
      <c r="Q90" s="76"/>
      <c r="R90" s="92"/>
      <c r="S90" s="78"/>
      <c r="T90" s="77"/>
      <c r="U90" s="82"/>
      <c r="V90" s="83"/>
      <c r="W90" s="74"/>
      <c r="X90" s="92"/>
      <c r="Y90" s="78"/>
      <c r="Z90" s="73"/>
      <c r="AA90" s="70"/>
      <c r="AB90" s="70"/>
      <c r="AC90" s="70"/>
      <c r="AD90" s="71"/>
      <c r="AE90" s="79" t="s">
        <v>4498</v>
      </c>
      <c r="AF90" s="79"/>
      <c r="AG90" s="70"/>
      <c r="AH90" s="67"/>
      <c r="AI90" s="81"/>
      <c r="AJ90" s="70"/>
      <c r="AK90" s="70"/>
      <c r="AL90" s="70"/>
      <c r="AM90" s="70"/>
      <c r="AN90" s="72"/>
      <c r="AO90" s="70"/>
      <c r="AP90" s="93"/>
      <c r="AQ90" s="94"/>
      <c r="AR90" s="95"/>
      <c r="AS90" s="92"/>
      <c r="AT90" s="96"/>
      <c r="AU90" s="93"/>
      <c r="AV90" s="97"/>
      <c r="AW90" s="98"/>
      <c r="AX90" s="99"/>
      <c r="AY90" s="92"/>
      <c r="AZ90" s="96"/>
      <c r="BA90" s="100"/>
      <c r="BB90" s="70"/>
      <c r="BC90" s="71"/>
      <c r="BD90" s="79"/>
      <c r="BE90" s="79"/>
      <c r="BF90" s="70"/>
    </row>
    <row r="91" spans="1:58" ht="12.75" x14ac:dyDescent="0.2">
      <c r="A91" s="70" t="s">
        <v>4056</v>
      </c>
      <c r="B91" s="70" t="s">
        <v>4462</v>
      </c>
      <c r="C91" s="70" t="s">
        <v>65</v>
      </c>
      <c r="D91" s="80">
        <v>105</v>
      </c>
      <c r="E91" s="70">
        <v>1</v>
      </c>
      <c r="F91" s="70"/>
      <c r="G91" s="70" t="s">
        <v>4320</v>
      </c>
      <c r="H91" s="70"/>
      <c r="I91" s="69"/>
      <c r="J91" s="70" t="s">
        <v>4499</v>
      </c>
      <c r="K91" s="70"/>
      <c r="L91" s="70">
        <v>1</v>
      </c>
      <c r="M91" s="70"/>
      <c r="N91" s="72"/>
      <c r="O91" s="77"/>
      <c r="P91" s="75"/>
      <c r="Q91" s="76"/>
      <c r="R91" s="92"/>
      <c r="S91" s="78"/>
      <c r="T91" s="77"/>
      <c r="U91" s="82"/>
      <c r="V91" s="83"/>
      <c r="W91" s="74"/>
      <c r="X91" s="92"/>
      <c r="Y91" s="78">
        <v>3</v>
      </c>
      <c r="Z91" s="73"/>
      <c r="AA91" s="70"/>
      <c r="AB91" s="70"/>
      <c r="AC91" s="70"/>
      <c r="AD91" s="71"/>
      <c r="AE91" s="79"/>
      <c r="AF91" s="79"/>
      <c r="AG91" s="70"/>
      <c r="AH91" s="70"/>
      <c r="AI91" s="70"/>
      <c r="AJ91" s="70"/>
      <c r="AK91" s="70"/>
      <c r="AL91" s="70"/>
      <c r="AM91" s="70"/>
      <c r="AN91" s="72"/>
      <c r="AO91" s="70"/>
      <c r="AP91" s="93"/>
      <c r="AQ91" s="94"/>
      <c r="AR91" s="95"/>
      <c r="AS91" s="92"/>
      <c r="AT91" s="96"/>
      <c r="AU91" s="93"/>
      <c r="AV91" s="97"/>
      <c r="AW91" s="98"/>
      <c r="AX91" s="99"/>
      <c r="AY91" s="92"/>
      <c r="AZ91" s="96"/>
      <c r="BA91" s="100"/>
      <c r="BB91" s="70"/>
      <c r="BC91" s="71"/>
      <c r="BD91" s="79"/>
      <c r="BE91" s="79"/>
      <c r="BF91" s="70"/>
    </row>
    <row r="92" spans="1:58" ht="12.75" x14ac:dyDescent="0.2">
      <c r="A92" s="70" t="s">
        <v>4056</v>
      </c>
      <c r="B92" s="70" t="s">
        <v>4463</v>
      </c>
      <c r="C92" s="70" t="s">
        <v>65</v>
      </c>
      <c r="D92" s="80">
        <v>106</v>
      </c>
      <c r="E92" s="70">
        <v>1</v>
      </c>
      <c r="F92" s="70"/>
      <c r="G92" s="70" t="s">
        <v>4321</v>
      </c>
      <c r="H92" s="70"/>
      <c r="I92" s="69"/>
      <c r="J92" s="70" t="s">
        <v>4499</v>
      </c>
      <c r="K92" s="70"/>
      <c r="L92" s="70">
        <v>2</v>
      </c>
      <c r="M92" s="70"/>
      <c r="N92" s="72"/>
      <c r="O92" s="77"/>
      <c r="P92" s="75"/>
      <c r="Q92" s="76"/>
      <c r="R92" s="92"/>
      <c r="S92" s="78"/>
      <c r="T92" s="77"/>
      <c r="U92" s="82"/>
      <c r="V92" s="83"/>
      <c r="W92" s="74"/>
      <c r="X92" s="92"/>
      <c r="Y92" s="78">
        <v>7</v>
      </c>
      <c r="Z92" s="73"/>
      <c r="AA92" s="70"/>
      <c r="AB92" s="70"/>
      <c r="AC92" s="70"/>
      <c r="AD92" s="71"/>
      <c r="AE92" s="79"/>
      <c r="AF92" s="79"/>
      <c r="AG92" s="70"/>
      <c r="AH92" s="70"/>
      <c r="AI92" s="70"/>
      <c r="AJ92" s="70"/>
      <c r="AK92" s="70"/>
      <c r="AL92" s="70"/>
      <c r="AM92" s="70"/>
      <c r="AN92" s="72"/>
      <c r="AO92" s="70"/>
      <c r="AP92" s="93"/>
      <c r="AQ92" s="94"/>
      <c r="AR92" s="95"/>
      <c r="AS92" s="92"/>
      <c r="AT92" s="96"/>
      <c r="AU92" s="93"/>
      <c r="AV92" s="97"/>
      <c r="AW92" s="98"/>
      <c r="AX92" s="99"/>
      <c r="AY92" s="92"/>
      <c r="AZ92" s="96"/>
      <c r="BA92" s="100"/>
      <c r="BB92" s="70"/>
      <c r="BC92" s="71"/>
      <c r="BD92" s="79"/>
      <c r="BE92" s="79"/>
      <c r="BF92" s="70"/>
    </row>
    <row r="93" spans="1:58" ht="51" x14ac:dyDescent="0.2">
      <c r="A93" s="70" t="s">
        <v>4056</v>
      </c>
      <c r="B93" s="70" t="s">
        <v>4464</v>
      </c>
      <c r="C93" s="70" t="s">
        <v>65</v>
      </c>
      <c r="D93" s="80">
        <v>107</v>
      </c>
      <c r="E93" s="70">
        <v>1</v>
      </c>
      <c r="F93" s="70"/>
      <c r="G93" s="70" t="s">
        <v>4322</v>
      </c>
      <c r="H93" s="70"/>
      <c r="I93" s="69"/>
      <c r="J93" s="70" t="s">
        <v>4499</v>
      </c>
      <c r="K93" s="70"/>
      <c r="L93" s="70">
        <v>3</v>
      </c>
      <c r="M93" s="70"/>
      <c r="N93" s="72"/>
      <c r="O93" s="77"/>
      <c r="P93" s="75"/>
      <c r="Q93" s="76"/>
      <c r="R93" s="92"/>
      <c r="S93" s="78"/>
      <c r="T93" s="77"/>
      <c r="U93" s="82"/>
      <c r="V93" s="83"/>
      <c r="W93" s="74"/>
      <c r="X93" s="92"/>
      <c r="Y93" s="78">
        <v>10</v>
      </c>
      <c r="Z93" s="73"/>
      <c r="AA93" s="70"/>
      <c r="AB93" s="70"/>
      <c r="AC93" s="70"/>
      <c r="AD93" s="71"/>
      <c r="AE93" s="79" t="s">
        <v>4500</v>
      </c>
      <c r="AF93" s="79"/>
      <c r="AG93" s="70"/>
      <c r="AH93" s="70"/>
      <c r="AI93" s="70"/>
      <c r="AJ93" s="70"/>
      <c r="AK93" s="70"/>
      <c r="AL93" s="70"/>
      <c r="AM93" s="70"/>
      <c r="AN93" s="72"/>
      <c r="AO93" s="70"/>
      <c r="AP93" s="93"/>
      <c r="AQ93" s="94"/>
      <c r="AR93" s="95"/>
      <c r="AS93" s="92"/>
      <c r="AT93" s="96"/>
      <c r="AU93" s="93"/>
      <c r="AV93" s="97"/>
      <c r="AW93" s="98"/>
      <c r="AX93" s="99"/>
      <c r="AY93" s="92"/>
      <c r="AZ93" s="96"/>
      <c r="BA93" s="100"/>
      <c r="BB93" s="70"/>
      <c r="BC93" s="71"/>
      <c r="BD93" s="79"/>
      <c r="BE93" s="79"/>
      <c r="BF93" s="70"/>
    </row>
    <row r="94" spans="1:58" ht="12.75" x14ac:dyDescent="0.2">
      <c r="A94" s="70" t="s">
        <v>4056</v>
      </c>
      <c r="B94" s="70" t="s">
        <v>4465</v>
      </c>
      <c r="C94" s="70" t="s">
        <v>65</v>
      </c>
      <c r="D94" s="70">
        <v>108</v>
      </c>
      <c r="E94" s="70">
        <v>1</v>
      </c>
      <c r="F94" s="70"/>
      <c r="G94" s="70" t="s">
        <v>4323</v>
      </c>
      <c r="H94" s="70"/>
      <c r="I94" s="69"/>
      <c r="J94" s="70" t="s">
        <v>4501</v>
      </c>
      <c r="K94" s="70"/>
      <c r="L94" s="70">
        <v>1</v>
      </c>
      <c r="M94" s="70"/>
      <c r="N94" s="69"/>
      <c r="O94" s="77"/>
      <c r="P94" s="75"/>
      <c r="Q94" s="76"/>
      <c r="R94" s="92"/>
      <c r="S94" s="78"/>
      <c r="T94" s="77"/>
      <c r="U94" s="82"/>
      <c r="V94" s="83"/>
      <c r="W94" s="74"/>
      <c r="X94" s="92">
        <v>2</v>
      </c>
      <c r="Y94" s="78"/>
      <c r="Z94" s="73"/>
      <c r="AA94" s="70"/>
      <c r="AB94" s="70"/>
      <c r="AC94" s="70"/>
      <c r="AD94" s="70"/>
      <c r="AE94" s="79"/>
      <c r="AF94" s="70"/>
      <c r="AG94" s="70"/>
      <c r="AH94" s="70"/>
      <c r="AI94" s="70"/>
      <c r="AJ94" s="70"/>
      <c r="AK94" s="70"/>
      <c r="AL94" s="70"/>
      <c r="AM94" s="70"/>
      <c r="AN94" s="72"/>
      <c r="AO94" s="70"/>
      <c r="AP94" s="93"/>
      <c r="AQ94" s="94"/>
      <c r="AR94" s="95"/>
      <c r="AS94" s="92"/>
      <c r="AT94" s="96"/>
      <c r="AU94" s="93"/>
      <c r="AV94" s="97"/>
      <c r="AW94" s="98"/>
      <c r="AX94" s="99"/>
      <c r="AY94" s="92"/>
      <c r="AZ94" s="96"/>
      <c r="BA94" s="100"/>
      <c r="BB94" s="70"/>
      <c r="BC94" s="71"/>
      <c r="BD94" s="79"/>
      <c r="BE94" s="79"/>
      <c r="BF94" s="70"/>
    </row>
    <row r="95" spans="1:58" ht="25.5" x14ac:dyDescent="0.2">
      <c r="A95" s="70" t="s">
        <v>4056</v>
      </c>
      <c r="B95" s="70" t="s">
        <v>4466</v>
      </c>
      <c r="C95" s="70" t="s">
        <v>65</v>
      </c>
      <c r="D95" s="70">
        <v>109</v>
      </c>
      <c r="E95" s="70">
        <v>1</v>
      </c>
      <c r="F95" s="70"/>
      <c r="G95" s="70" t="s">
        <v>4324</v>
      </c>
      <c r="H95" s="70"/>
      <c r="I95" s="69"/>
      <c r="J95" s="70" t="s">
        <v>4501</v>
      </c>
      <c r="K95" s="70"/>
      <c r="L95" s="70">
        <v>2</v>
      </c>
      <c r="M95" s="70"/>
      <c r="N95" s="69"/>
      <c r="O95" s="77"/>
      <c r="P95" s="75"/>
      <c r="Q95" s="76"/>
      <c r="R95" s="92"/>
      <c r="S95" s="78"/>
      <c r="T95" s="77"/>
      <c r="U95" s="82"/>
      <c r="V95" s="83"/>
      <c r="W95" s="74"/>
      <c r="X95" s="92">
        <v>3</v>
      </c>
      <c r="Y95" s="78"/>
      <c r="Z95" s="73"/>
      <c r="AA95" s="70"/>
      <c r="AB95" s="70"/>
      <c r="AC95" s="70"/>
      <c r="AD95" s="70"/>
      <c r="AE95" s="79" t="s">
        <v>4502</v>
      </c>
      <c r="AF95" s="70"/>
      <c r="AG95" s="70"/>
      <c r="AH95" s="70"/>
      <c r="AI95" s="70"/>
      <c r="AJ95" s="70"/>
      <c r="AK95" s="70"/>
      <c r="AL95" s="70"/>
      <c r="AM95" s="70"/>
      <c r="AN95" s="72"/>
      <c r="AO95" s="70"/>
      <c r="AP95" s="93"/>
      <c r="AQ95" s="94"/>
      <c r="AR95" s="95"/>
      <c r="AS95" s="92"/>
      <c r="AT95" s="96"/>
      <c r="AU95" s="93"/>
      <c r="AV95" s="97"/>
      <c r="AW95" s="98"/>
      <c r="AX95" s="99"/>
      <c r="AY95" s="92"/>
      <c r="AZ95" s="96"/>
      <c r="BA95" s="100"/>
      <c r="BB95" s="70"/>
      <c r="BC95" s="71"/>
      <c r="BD95" s="79"/>
      <c r="BE95" s="79"/>
      <c r="BF95" s="70"/>
    </row>
    <row r="96" spans="1:58" ht="12.75" x14ac:dyDescent="0.2">
      <c r="A96" s="70" t="s">
        <v>4056</v>
      </c>
      <c r="B96" s="70" t="s">
        <v>4467</v>
      </c>
      <c r="C96" s="70" t="s">
        <v>65</v>
      </c>
      <c r="D96" s="70">
        <v>110</v>
      </c>
      <c r="E96" s="70">
        <v>1</v>
      </c>
      <c r="F96" s="70"/>
      <c r="G96" s="70" t="s">
        <v>4325</v>
      </c>
      <c r="H96" s="70"/>
      <c r="I96" s="69"/>
      <c r="J96" s="70" t="s">
        <v>4501</v>
      </c>
      <c r="K96" s="70"/>
      <c r="L96" s="70">
        <v>3</v>
      </c>
      <c r="M96" s="70"/>
      <c r="N96" s="69"/>
      <c r="O96" s="77"/>
      <c r="P96" s="75"/>
      <c r="Q96" s="76"/>
      <c r="R96" s="92"/>
      <c r="S96" s="78"/>
      <c r="T96" s="77"/>
      <c r="U96" s="82"/>
      <c r="V96" s="83"/>
      <c r="W96" s="74"/>
      <c r="X96" s="92"/>
      <c r="Y96" s="78"/>
      <c r="Z96" s="73"/>
      <c r="AA96" s="70"/>
      <c r="AB96" s="70"/>
      <c r="AC96" s="70"/>
      <c r="AD96" s="70"/>
      <c r="AE96" s="79" t="s">
        <v>4503</v>
      </c>
      <c r="AF96" s="70"/>
      <c r="AG96" s="70"/>
      <c r="AH96" s="70"/>
      <c r="AI96" s="70"/>
      <c r="AJ96" s="70"/>
      <c r="AK96" s="70"/>
      <c r="AL96" s="70"/>
      <c r="AM96" s="70"/>
      <c r="AN96" s="72"/>
      <c r="AO96" s="70"/>
      <c r="AP96" s="93"/>
      <c r="AQ96" s="94"/>
      <c r="AR96" s="95"/>
      <c r="AS96" s="92"/>
      <c r="AT96" s="96"/>
      <c r="AU96" s="93"/>
      <c r="AV96" s="97"/>
      <c r="AW96" s="98"/>
      <c r="AX96" s="99"/>
      <c r="AY96" s="92"/>
      <c r="AZ96" s="96"/>
      <c r="BA96" s="100"/>
      <c r="BB96" s="70"/>
      <c r="BC96" s="71"/>
      <c r="BD96" s="79"/>
      <c r="BE96" s="79"/>
      <c r="BF96" s="70"/>
    </row>
    <row r="97" spans="1:58" ht="12.75" x14ac:dyDescent="0.2">
      <c r="A97" s="70" t="s">
        <v>4056</v>
      </c>
      <c r="B97" s="70" t="s">
        <v>4468</v>
      </c>
      <c r="C97" s="70" t="s">
        <v>65</v>
      </c>
      <c r="D97" s="70">
        <v>111</v>
      </c>
      <c r="E97" s="70">
        <v>1</v>
      </c>
      <c r="F97" s="70"/>
      <c r="G97" s="70" t="s">
        <v>4326</v>
      </c>
      <c r="H97" s="70"/>
      <c r="I97" s="69"/>
      <c r="J97" s="70" t="s">
        <v>37</v>
      </c>
      <c r="K97" s="70"/>
      <c r="L97" s="70"/>
      <c r="M97" s="70"/>
      <c r="N97" s="69"/>
      <c r="O97" s="77"/>
      <c r="P97" s="75"/>
      <c r="Q97" s="76"/>
      <c r="R97" s="92"/>
      <c r="S97" s="78"/>
      <c r="T97" s="77"/>
      <c r="U97" s="82"/>
      <c r="V97" s="83"/>
      <c r="W97" s="74">
        <v>2</v>
      </c>
      <c r="X97" s="92">
        <v>2</v>
      </c>
      <c r="Y97" s="78"/>
      <c r="Z97" s="73"/>
      <c r="AA97" s="70"/>
      <c r="AB97" s="70"/>
      <c r="AC97" s="70"/>
      <c r="AD97" s="70"/>
      <c r="AE97" s="79"/>
      <c r="AF97" s="70"/>
      <c r="AG97" s="70"/>
      <c r="AH97" s="70"/>
      <c r="AI97" s="70"/>
      <c r="AJ97" s="70"/>
      <c r="AK97" s="70"/>
      <c r="AL97" s="70"/>
      <c r="AM97" s="70"/>
      <c r="AN97" s="72"/>
      <c r="AO97" s="70"/>
      <c r="AP97" s="93"/>
      <c r="AQ97" s="94"/>
      <c r="AR97" s="95"/>
      <c r="AS97" s="92"/>
      <c r="AT97" s="96"/>
      <c r="AU97" s="93"/>
      <c r="AV97" s="97"/>
      <c r="AW97" s="98"/>
      <c r="AX97" s="99"/>
      <c r="AY97" s="92"/>
      <c r="AZ97" s="96"/>
      <c r="BA97" s="100"/>
      <c r="BB97" s="70"/>
      <c r="BC97" s="71"/>
      <c r="BD97" s="79"/>
      <c r="BE97" s="79"/>
      <c r="BF97" s="70"/>
    </row>
    <row r="98" spans="1:58" ht="12.75" x14ac:dyDescent="0.2">
      <c r="A98" s="70" t="s">
        <v>4056</v>
      </c>
      <c r="B98" s="70" t="s">
        <v>4469</v>
      </c>
      <c r="C98" s="70" t="s">
        <v>65</v>
      </c>
      <c r="D98" s="70">
        <v>112</v>
      </c>
      <c r="E98" s="70">
        <v>1</v>
      </c>
      <c r="F98" s="70"/>
      <c r="G98" s="70" t="s">
        <v>4327</v>
      </c>
      <c r="H98" s="70"/>
      <c r="I98" s="69"/>
      <c r="J98" s="70" t="s">
        <v>37</v>
      </c>
      <c r="K98" s="70"/>
      <c r="L98" s="70"/>
      <c r="M98" s="70"/>
      <c r="N98" s="69"/>
      <c r="O98" s="77"/>
      <c r="P98" s="75"/>
      <c r="Q98" s="76"/>
      <c r="R98" s="92"/>
      <c r="S98" s="78"/>
      <c r="T98" s="77"/>
      <c r="U98" s="82"/>
      <c r="V98" s="83"/>
      <c r="W98" s="74">
        <v>1</v>
      </c>
      <c r="X98" s="92">
        <v>0</v>
      </c>
      <c r="Y98" s="78"/>
      <c r="Z98" s="73"/>
      <c r="AA98" s="70"/>
      <c r="AB98" s="70"/>
      <c r="AC98" s="70"/>
      <c r="AD98" s="70"/>
      <c r="AE98" s="79"/>
      <c r="AF98" s="70"/>
      <c r="AG98" s="70"/>
      <c r="AH98" s="70"/>
      <c r="AI98" s="70"/>
      <c r="AJ98" s="70"/>
      <c r="AK98" s="70"/>
      <c r="AL98" s="70"/>
      <c r="AM98" s="70"/>
      <c r="AN98" s="72"/>
      <c r="AO98" s="70"/>
      <c r="AP98" s="93"/>
      <c r="AQ98" s="94"/>
      <c r="AR98" s="95"/>
      <c r="AS98" s="92"/>
      <c r="AT98" s="96"/>
      <c r="AU98" s="93"/>
      <c r="AV98" s="97"/>
      <c r="AW98" s="98"/>
      <c r="AX98" s="99"/>
      <c r="AY98" s="92"/>
      <c r="AZ98" s="96"/>
      <c r="BA98" s="100"/>
      <c r="BB98" s="70"/>
      <c r="BC98" s="71"/>
      <c r="BD98" s="79"/>
      <c r="BE98" s="79"/>
      <c r="BF98" s="70"/>
    </row>
    <row r="99" spans="1:58" ht="12.75" x14ac:dyDescent="0.2">
      <c r="A99" s="70" t="s">
        <v>4056</v>
      </c>
      <c r="B99" s="70" t="s">
        <v>4470</v>
      </c>
      <c r="C99" s="70" t="s">
        <v>65</v>
      </c>
      <c r="D99" s="70">
        <v>113</v>
      </c>
      <c r="E99" s="70">
        <v>1</v>
      </c>
      <c r="F99" s="70"/>
      <c r="G99" s="70" t="s">
        <v>4328</v>
      </c>
      <c r="H99" s="70"/>
      <c r="I99" s="69"/>
      <c r="J99" s="70" t="s">
        <v>37</v>
      </c>
      <c r="K99" s="70"/>
      <c r="L99" s="70"/>
      <c r="M99" s="70"/>
      <c r="N99" s="69"/>
      <c r="O99" s="77"/>
      <c r="P99" s="75"/>
      <c r="Q99" s="76"/>
      <c r="R99" s="92"/>
      <c r="S99" s="78"/>
      <c r="T99" s="77"/>
      <c r="U99" s="82"/>
      <c r="V99" s="83"/>
      <c r="W99" s="74">
        <v>1</v>
      </c>
      <c r="X99" s="92">
        <v>2</v>
      </c>
      <c r="Y99" s="78"/>
      <c r="Z99" s="73">
        <v>1</v>
      </c>
      <c r="AA99" s="70"/>
      <c r="AB99" s="70"/>
      <c r="AC99" s="70"/>
      <c r="AD99" s="70"/>
      <c r="AE99" s="79" t="s">
        <v>4504</v>
      </c>
      <c r="AF99" s="70"/>
      <c r="AG99" s="70"/>
      <c r="AH99" s="70"/>
      <c r="AI99" s="70"/>
      <c r="AJ99" s="70"/>
      <c r="AK99" s="70"/>
      <c r="AL99" s="70"/>
      <c r="AM99" s="70"/>
      <c r="AN99" s="72"/>
      <c r="AO99" s="70"/>
      <c r="AP99" s="93"/>
      <c r="AQ99" s="94"/>
      <c r="AR99" s="95"/>
      <c r="AS99" s="92"/>
      <c r="AT99" s="96"/>
      <c r="AU99" s="93"/>
      <c r="AV99" s="97"/>
      <c r="AW99" s="98"/>
      <c r="AX99" s="99"/>
      <c r="AY99" s="92"/>
      <c r="AZ99" s="96"/>
      <c r="BA99" s="100"/>
      <c r="BB99" s="70"/>
      <c r="BC99" s="71"/>
      <c r="BD99" s="79"/>
      <c r="BE99" s="79"/>
      <c r="BF99" s="70"/>
    </row>
    <row r="100" spans="1:58" ht="12.75" x14ac:dyDescent="0.2">
      <c r="A100" s="70" t="s">
        <v>4056</v>
      </c>
      <c r="B100" s="70" t="s">
        <v>4471</v>
      </c>
      <c r="C100" s="70" t="s">
        <v>65</v>
      </c>
      <c r="D100" s="70">
        <v>114</v>
      </c>
      <c r="E100" s="70">
        <v>1</v>
      </c>
      <c r="F100" s="70"/>
      <c r="G100" s="70" t="s">
        <v>4329</v>
      </c>
      <c r="H100" s="70"/>
      <c r="I100" s="69"/>
      <c r="J100" s="70" t="s">
        <v>37</v>
      </c>
      <c r="K100" s="70"/>
      <c r="L100" s="70"/>
      <c r="M100" s="70"/>
      <c r="N100" s="69"/>
      <c r="O100" s="77"/>
      <c r="P100" s="75"/>
      <c r="Q100" s="76"/>
      <c r="R100" s="92"/>
      <c r="S100" s="78"/>
      <c r="T100" s="77"/>
      <c r="U100" s="82"/>
      <c r="V100" s="83"/>
      <c r="W100" s="74">
        <v>4</v>
      </c>
      <c r="X100" s="92">
        <v>2</v>
      </c>
      <c r="Y100" s="78"/>
      <c r="Z100" s="73">
        <v>1</v>
      </c>
      <c r="AA100" s="70"/>
      <c r="AB100" s="70"/>
      <c r="AC100" s="70"/>
      <c r="AD100" s="70"/>
      <c r="AE100" s="79" t="s">
        <v>4505</v>
      </c>
      <c r="AF100" s="70"/>
      <c r="AG100" s="70"/>
      <c r="AH100" s="70"/>
      <c r="AI100" s="70"/>
      <c r="AJ100" s="70"/>
      <c r="AK100" s="70"/>
      <c r="AL100" s="70"/>
      <c r="AM100" s="70"/>
      <c r="AN100" s="72"/>
      <c r="AO100" s="70"/>
      <c r="AP100" s="93"/>
      <c r="AQ100" s="94"/>
      <c r="AR100" s="95"/>
      <c r="AS100" s="92"/>
      <c r="AT100" s="96"/>
      <c r="AU100" s="93"/>
      <c r="AV100" s="97"/>
      <c r="AW100" s="98"/>
      <c r="AX100" s="99"/>
      <c r="AY100" s="92"/>
      <c r="AZ100" s="96"/>
      <c r="BA100" s="100"/>
      <c r="BB100" s="70"/>
      <c r="BC100" s="71"/>
      <c r="BD100" s="79"/>
      <c r="BE100" s="79"/>
      <c r="BF100" s="70"/>
    </row>
    <row r="101" spans="1:58" ht="51" x14ac:dyDescent="0.2">
      <c r="A101" s="70" t="s">
        <v>4056</v>
      </c>
      <c r="B101" s="70" t="s">
        <v>4472</v>
      </c>
      <c r="C101" s="70" t="s">
        <v>65</v>
      </c>
      <c r="D101" s="70">
        <v>115</v>
      </c>
      <c r="E101" s="70">
        <v>1</v>
      </c>
      <c r="F101" s="70"/>
      <c r="G101" s="70" t="s">
        <v>4330</v>
      </c>
      <c r="H101" s="70"/>
      <c r="I101" s="69"/>
      <c r="J101" s="70" t="s">
        <v>37</v>
      </c>
      <c r="K101" s="70"/>
      <c r="L101" s="70"/>
      <c r="M101" s="70"/>
      <c r="N101" s="69"/>
      <c r="O101" s="77"/>
      <c r="P101" s="75"/>
      <c r="Q101" s="76"/>
      <c r="R101" s="92"/>
      <c r="S101" s="78"/>
      <c r="T101" s="77"/>
      <c r="U101" s="82"/>
      <c r="V101" s="83"/>
      <c r="W101" s="74">
        <v>2</v>
      </c>
      <c r="X101" s="92">
        <v>0</v>
      </c>
      <c r="Y101" s="78"/>
      <c r="Z101" s="73"/>
      <c r="AA101" s="70"/>
      <c r="AB101" s="70"/>
      <c r="AC101" s="70"/>
      <c r="AD101" s="70"/>
      <c r="AE101" s="79" t="s">
        <v>4506</v>
      </c>
      <c r="AF101" s="70"/>
      <c r="AG101" s="70"/>
      <c r="AH101" s="70"/>
      <c r="AI101" s="70"/>
      <c r="AJ101" s="70"/>
      <c r="AK101" s="70"/>
      <c r="AL101" s="70"/>
      <c r="AM101" s="70"/>
      <c r="AN101" s="72"/>
      <c r="AO101" s="70"/>
      <c r="AP101" s="93"/>
      <c r="AQ101" s="94"/>
      <c r="AR101" s="95"/>
      <c r="AS101" s="92"/>
      <c r="AT101" s="96"/>
      <c r="AU101" s="93"/>
      <c r="AV101" s="97"/>
      <c r="AW101" s="98"/>
      <c r="AX101" s="99"/>
      <c r="AY101" s="92"/>
      <c r="AZ101" s="96"/>
      <c r="BA101" s="100"/>
      <c r="BB101" s="70"/>
      <c r="BC101" s="71"/>
      <c r="BD101" s="79"/>
      <c r="BE101" s="79"/>
      <c r="BF101" s="70"/>
    </row>
    <row r="102" spans="1:58" ht="25.5" x14ac:dyDescent="0.2">
      <c r="A102" s="70" t="s">
        <v>4056</v>
      </c>
      <c r="B102" s="70" t="s">
        <v>4473</v>
      </c>
      <c r="C102" s="70" t="s">
        <v>65</v>
      </c>
      <c r="D102" s="70">
        <v>116</v>
      </c>
      <c r="E102" s="70">
        <v>1</v>
      </c>
      <c r="F102" s="70"/>
      <c r="G102" s="70" t="s">
        <v>4331</v>
      </c>
      <c r="H102" s="70"/>
      <c r="I102" s="69"/>
      <c r="J102" s="70" t="s">
        <v>35</v>
      </c>
      <c r="K102" s="70"/>
      <c r="L102" s="70"/>
      <c r="M102" s="70"/>
      <c r="N102" s="69"/>
      <c r="O102" s="77"/>
      <c r="P102" s="75"/>
      <c r="Q102" s="76">
        <v>4</v>
      </c>
      <c r="R102" s="92">
        <v>4</v>
      </c>
      <c r="S102" s="78">
        <v>5</v>
      </c>
      <c r="T102" s="77"/>
      <c r="U102" s="82">
        <v>2</v>
      </c>
      <c r="V102" s="83">
        <v>2</v>
      </c>
      <c r="W102" s="74"/>
      <c r="X102" s="92"/>
      <c r="Y102" s="78"/>
      <c r="Z102" s="73">
        <v>2</v>
      </c>
      <c r="AA102" s="70"/>
      <c r="AB102" s="70"/>
      <c r="AC102" s="70" t="s">
        <v>4332</v>
      </c>
      <c r="AD102" s="70"/>
      <c r="AE102" s="79" t="s">
        <v>4507</v>
      </c>
      <c r="AF102" s="70"/>
      <c r="AG102" s="70"/>
      <c r="AH102" s="70"/>
      <c r="AI102" s="70"/>
      <c r="AJ102" s="70"/>
      <c r="AK102" s="70"/>
      <c r="AL102" s="70"/>
      <c r="AM102" s="70"/>
      <c r="AN102" s="72"/>
      <c r="AO102" s="70"/>
      <c r="AP102" s="93"/>
      <c r="AQ102" s="94"/>
      <c r="AR102" s="95"/>
      <c r="AS102" s="92"/>
      <c r="AT102" s="96"/>
      <c r="AU102" s="93"/>
      <c r="AV102" s="97"/>
      <c r="AW102" s="98"/>
      <c r="AX102" s="99"/>
      <c r="AY102" s="92"/>
      <c r="AZ102" s="96"/>
      <c r="BA102" s="100"/>
      <c r="BB102" s="70"/>
      <c r="BC102" s="71"/>
      <c r="BD102" s="79"/>
      <c r="BE102" s="79"/>
      <c r="BF102" s="70"/>
    </row>
    <row r="103" spans="1:58" ht="51" x14ac:dyDescent="0.2">
      <c r="A103" s="70" t="s">
        <v>4056</v>
      </c>
      <c r="B103" s="70" t="s">
        <v>4474</v>
      </c>
      <c r="C103" s="70" t="s">
        <v>65</v>
      </c>
      <c r="D103" s="70">
        <v>117</v>
      </c>
      <c r="E103" s="70">
        <v>1</v>
      </c>
      <c r="F103" s="70"/>
      <c r="G103" s="70" t="s">
        <v>4333</v>
      </c>
      <c r="H103" s="70" t="s">
        <v>4334</v>
      </c>
      <c r="I103" s="69" t="s">
        <v>4097</v>
      </c>
      <c r="J103" s="70" t="s">
        <v>4131</v>
      </c>
      <c r="K103" s="70"/>
      <c r="L103" s="70"/>
      <c r="M103" s="70"/>
      <c r="N103" s="69"/>
      <c r="O103" s="77"/>
      <c r="P103" s="75"/>
      <c r="Q103" s="76"/>
      <c r="R103" s="92"/>
      <c r="S103" s="78">
        <v>3</v>
      </c>
      <c r="T103" s="77">
        <v>3</v>
      </c>
      <c r="U103" s="82"/>
      <c r="V103" s="83"/>
      <c r="W103" s="74"/>
      <c r="X103" s="92"/>
      <c r="Y103" s="78"/>
      <c r="Z103" s="73"/>
      <c r="AA103" s="70"/>
      <c r="AB103" s="70" t="s">
        <v>27</v>
      </c>
      <c r="AC103" s="70" t="s">
        <v>4335</v>
      </c>
      <c r="AD103" s="70"/>
      <c r="AE103" s="79" t="s">
        <v>4508</v>
      </c>
      <c r="AF103" s="70"/>
      <c r="AG103" s="70"/>
      <c r="AH103" s="70"/>
      <c r="AI103" s="70"/>
      <c r="AJ103" s="70"/>
      <c r="AK103" s="70"/>
      <c r="AL103" s="70"/>
      <c r="AM103" s="70"/>
      <c r="AN103" s="72"/>
      <c r="AO103" s="70"/>
      <c r="AP103" s="93"/>
      <c r="AQ103" s="94"/>
      <c r="AR103" s="95"/>
      <c r="AS103" s="92"/>
      <c r="AT103" s="96"/>
      <c r="AU103" s="93"/>
      <c r="AV103" s="97"/>
      <c r="AW103" s="98"/>
      <c r="AX103" s="99"/>
      <c r="AY103" s="92"/>
      <c r="AZ103" s="96"/>
      <c r="BA103" s="100"/>
      <c r="BB103" s="70"/>
      <c r="BC103" s="71"/>
      <c r="BD103" s="79"/>
      <c r="BE103" s="79"/>
      <c r="BF103" s="70"/>
    </row>
    <row r="104" spans="1:58" ht="12.75" x14ac:dyDescent="0.2">
      <c r="A104" s="70" t="s">
        <v>4056</v>
      </c>
      <c r="B104" s="70" t="s">
        <v>4475</v>
      </c>
      <c r="C104" s="70" t="s">
        <v>65</v>
      </c>
      <c r="D104" s="70">
        <v>118</v>
      </c>
      <c r="E104" s="70">
        <v>1</v>
      </c>
      <c r="F104" s="70"/>
      <c r="G104" s="70" t="s">
        <v>4336</v>
      </c>
      <c r="H104" s="70"/>
      <c r="I104" s="69"/>
      <c r="J104" s="70" t="s">
        <v>35</v>
      </c>
      <c r="K104" s="70"/>
      <c r="L104" s="70"/>
      <c r="M104" s="70"/>
      <c r="N104" s="69"/>
      <c r="O104" s="77"/>
      <c r="P104" s="75"/>
      <c r="Q104" s="76">
        <v>4</v>
      </c>
      <c r="R104" s="92">
        <v>1</v>
      </c>
      <c r="S104" s="78">
        <v>4</v>
      </c>
      <c r="T104" s="77"/>
      <c r="U104" s="82">
        <v>1</v>
      </c>
      <c r="V104" s="83">
        <v>2</v>
      </c>
      <c r="W104" s="74"/>
      <c r="X104" s="92"/>
      <c r="Y104" s="78"/>
      <c r="Z104" s="73">
        <v>1</v>
      </c>
      <c r="AA104" s="70"/>
      <c r="AB104" s="70"/>
      <c r="AC104" s="70" t="s">
        <v>4337</v>
      </c>
      <c r="AD104" s="70"/>
      <c r="AE104" s="79" t="s">
        <v>4509</v>
      </c>
      <c r="AF104" s="70"/>
      <c r="AG104" s="70"/>
      <c r="AH104" s="70"/>
      <c r="AI104" s="70"/>
      <c r="AJ104" s="70"/>
      <c r="AK104" s="70"/>
      <c r="AL104" s="70"/>
      <c r="AM104" s="70"/>
      <c r="AN104" s="72"/>
      <c r="AO104" s="70"/>
      <c r="AP104" s="93"/>
      <c r="AQ104" s="94"/>
      <c r="AR104" s="95"/>
      <c r="AS104" s="92"/>
      <c r="AT104" s="96"/>
      <c r="AU104" s="93"/>
      <c r="AV104" s="97"/>
      <c r="AW104" s="98"/>
      <c r="AX104" s="99"/>
      <c r="AY104" s="92"/>
      <c r="AZ104" s="96"/>
      <c r="BA104" s="100"/>
      <c r="BB104" s="70"/>
      <c r="BC104" s="71"/>
      <c r="BD104" s="79"/>
      <c r="BE104" s="79"/>
      <c r="BF104" s="70"/>
    </row>
    <row r="105" spans="1:58" ht="12.75" x14ac:dyDescent="0.2">
      <c r="A105" s="70" t="s">
        <v>4056</v>
      </c>
      <c r="B105" s="70" t="s">
        <v>4476</v>
      </c>
      <c r="C105" s="70" t="s">
        <v>65</v>
      </c>
      <c r="D105" s="70">
        <v>119</v>
      </c>
      <c r="E105" s="70">
        <v>1</v>
      </c>
      <c r="F105" s="70"/>
      <c r="G105" s="70" t="s">
        <v>4338</v>
      </c>
      <c r="H105" s="70"/>
      <c r="I105" s="69"/>
      <c r="J105" s="70" t="s">
        <v>35</v>
      </c>
      <c r="K105" s="70"/>
      <c r="L105" s="70"/>
      <c r="M105" s="70"/>
      <c r="N105" s="69"/>
      <c r="O105" s="77"/>
      <c r="P105" s="75"/>
      <c r="Q105" s="76">
        <v>3</v>
      </c>
      <c r="R105" s="92">
        <v>4</v>
      </c>
      <c r="S105" s="78">
        <v>4</v>
      </c>
      <c r="T105" s="77"/>
      <c r="U105" s="82">
        <v>2</v>
      </c>
      <c r="V105" s="83">
        <v>1</v>
      </c>
      <c r="W105" s="74"/>
      <c r="X105" s="92"/>
      <c r="Y105" s="78"/>
      <c r="Z105" s="73">
        <v>1</v>
      </c>
      <c r="AA105" s="70"/>
      <c r="AB105" s="70"/>
      <c r="AC105" s="70" t="s">
        <v>4337</v>
      </c>
      <c r="AD105" s="70"/>
      <c r="AE105" s="79" t="s">
        <v>4510</v>
      </c>
      <c r="AF105" s="70"/>
      <c r="AG105" s="70"/>
      <c r="AH105" s="70"/>
      <c r="AI105" s="70"/>
      <c r="AJ105" s="70"/>
      <c r="AK105" s="70"/>
      <c r="AL105" s="70"/>
      <c r="AM105" s="70"/>
      <c r="AN105" s="72"/>
      <c r="AO105" s="70"/>
      <c r="AP105" s="93"/>
      <c r="AQ105" s="94"/>
      <c r="AR105" s="95"/>
      <c r="AS105" s="92"/>
      <c r="AT105" s="96"/>
      <c r="AU105" s="93"/>
      <c r="AV105" s="97"/>
      <c r="AW105" s="98"/>
      <c r="AX105" s="99"/>
      <c r="AY105" s="92"/>
      <c r="AZ105" s="96"/>
      <c r="BA105" s="100"/>
      <c r="BB105" s="70"/>
      <c r="BC105" s="71"/>
      <c r="BD105" s="79"/>
      <c r="BE105" s="79"/>
      <c r="BF105" s="70"/>
    </row>
    <row r="106" spans="1:58" ht="12.75" x14ac:dyDescent="0.2">
      <c r="A106" s="70" t="s">
        <v>4056</v>
      </c>
      <c r="B106" s="70" t="s">
        <v>4477</v>
      </c>
      <c r="C106" s="70" t="s">
        <v>65</v>
      </c>
      <c r="D106" s="70">
        <v>128</v>
      </c>
      <c r="E106" s="70">
        <v>1</v>
      </c>
      <c r="F106" s="70"/>
      <c r="G106" s="70" t="s">
        <v>4339</v>
      </c>
      <c r="H106" s="70"/>
      <c r="I106" s="69"/>
      <c r="J106" s="70" t="s">
        <v>37</v>
      </c>
      <c r="K106" s="70"/>
      <c r="L106" s="70"/>
      <c r="M106" s="70"/>
      <c r="N106" s="69"/>
      <c r="O106" s="77"/>
      <c r="P106" s="75"/>
      <c r="Q106" s="76"/>
      <c r="R106" s="92"/>
      <c r="S106" s="78"/>
      <c r="T106" s="77"/>
      <c r="U106" s="82"/>
      <c r="V106" s="83"/>
      <c r="W106" s="74">
        <v>2</v>
      </c>
      <c r="X106" s="92">
        <v>1</v>
      </c>
      <c r="Y106" s="78"/>
      <c r="Z106" s="73"/>
      <c r="AA106" s="70"/>
      <c r="AB106" s="70"/>
      <c r="AC106" s="70" t="s">
        <v>4340</v>
      </c>
      <c r="AD106" s="70"/>
      <c r="AE106" s="79" t="s">
        <v>4511</v>
      </c>
      <c r="AF106" s="70"/>
      <c r="AG106" s="70"/>
      <c r="AH106" s="70"/>
      <c r="AI106" s="70"/>
      <c r="AJ106" s="70"/>
      <c r="AK106" s="70"/>
      <c r="AL106" s="70"/>
      <c r="AM106" s="70"/>
      <c r="AN106" s="72"/>
      <c r="AO106" s="70"/>
      <c r="AP106" s="93"/>
      <c r="AQ106" s="94"/>
      <c r="AR106" s="95"/>
      <c r="AS106" s="92"/>
      <c r="AT106" s="96"/>
      <c r="AU106" s="93"/>
      <c r="AV106" s="97"/>
      <c r="AW106" s="98"/>
      <c r="AX106" s="99"/>
      <c r="AY106" s="92"/>
      <c r="AZ106" s="96"/>
      <c r="BA106" s="100"/>
      <c r="BB106" s="70"/>
      <c r="BC106" s="71"/>
      <c r="BD106" s="79"/>
      <c r="BE106" s="79"/>
      <c r="BF106" s="70"/>
    </row>
    <row r="107" spans="1:58" ht="25.5" x14ac:dyDescent="0.2">
      <c r="A107" s="70" t="s">
        <v>4056</v>
      </c>
      <c r="B107" s="70" t="s">
        <v>4478</v>
      </c>
      <c r="C107" s="70" t="s">
        <v>65</v>
      </c>
      <c r="D107" s="70">
        <v>129</v>
      </c>
      <c r="E107" s="70">
        <v>1</v>
      </c>
      <c r="F107" s="70"/>
      <c r="G107" s="70" t="s">
        <v>4341</v>
      </c>
      <c r="H107" s="70"/>
      <c r="I107" s="69"/>
      <c r="J107" s="70" t="s">
        <v>37</v>
      </c>
      <c r="K107" s="70"/>
      <c r="L107" s="70"/>
      <c r="M107" s="70"/>
      <c r="N107" s="69"/>
      <c r="O107" s="77"/>
      <c r="P107" s="75"/>
      <c r="Q107" s="76"/>
      <c r="R107" s="92"/>
      <c r="S107" s="78"/>
      <c r="T107" s="77"/>
      <c r="U107" s="82"/>
      <c r="V107" s="83"/>
      <c r="W107" s="74">
        <v>4</v>
      </c>
      <c r="X107" s="92">
        <v>2</v>
      </c>
      <c r="Y107" s="78"/>
      <c r="Z107" s="73">
        <v>1</v>
      </c>
      <c r="AA107" s="70"/>
      <c r="AB107" s="70"/>
      <c r="AC107" s="70" t="s">
        <v>4340</v>
      </c>
      <c r="AD107" s="70"/>
      <c r="AE107" s="79" t="s">
        <v>4512</v>
      </c>
      <c r="AF107" s="70"/>
      <c r="AG107" s="70"/>
      <c r="AH107" s="70"/>
      <c r="AI107" s="70"/>
      <c r="AJ107" s="70"/>
      <c r="AK107" s="70"/>
      <c r="AL107" s="70"/>
      <c r="AM107" s="70"/>
      <c r="AN107" s="72"/>
      <c r="AO107" s="70"/>
      <c r="AP107" s="93"/>
      <c r="AQ107" s="94"/>
      <c r="AR107" s="95"/>
      <c r="AS107" s="92"/>
      <c r="AT107" s="96"/>
      <c r="AU107" s="93"/>
      <c r="AV107" s="97"/>
      <c r="AW107" s="98"/>
      <c r="AX107" s="99"/>
      <c r="AY107" s="92"/>
      <c r="AZ107" s="96"/>
      <c r="BA107" s="100"/>
      <c r="BB107" s="70"/>
      <c r="BC107" s="71"/>
      <c r="BD107" s="79"/>
      <c r="BE107" s="79"/>
      <c r="BF107" s="70"/>
    </row>
    <row r="108" spans="1:58" ht="38.25" x14ac:dyDescent="0.2">
      <c r="A108" s="70" t="s">
        <v>4056</v>
      </c>
      <c r="B108" s="70" t="s">
        <v>4479</v>
      </c>
      <c r="C108" s="70" t="s">
        <v>65</v>
      </c>
      <c r="D108" s="70">
        <v>140</v>
      </c>
      <c r="E108" s="70">
        <v>1</v>
      </c>
      <c r="F108" s="70"/>
      <c r="G108" s="70" t="s">
        <v>4342</v>
      </c>
      <c r="H108" s="70" t="s">
        <v>4343</v>
      </c>
      <c r="I108" s="69" t="s">
        <v>4097</v>
      </c>
      <c r="J108" s="70" t="s">
        <v>35</v>
      </c>
      <c r="K108" s="70"/>
      <c r="L108" s="70"/>
      <c r="M108" s="70"/>
      <c r="N108" s="69"/>
      <c r="O108" s="77"/>
      <c r="P108" s="75"/>
      <c r="Q108" s="76">
        <v>3</v>
      </c>
      <c r="R108" s="92">
        <v>3</v>
      </c>
      <c r="S108" s="78">
        <v>3</v>
      </c>
      <c r="T108" s="77"/>
      <c r="U108" s="82">
        <v>1</v>
      </c>
      <c r="V108" s="83">
        <v>0</v>
      </c>
      <c r="W108" s="74"/>
      <c r="X108" s="92"/>
      <c r="Y108" s="78"/>
      <c r="Z108" s="73">
        <v>1</v>
      </c>
      <c r="AA108" s="70"/>
      <c r="AB108" s="70"/>
      <c r="AC108" s="70" t="s">
        <v>4344</v>
      </c>
      <c r="AD108" s="70"/>
      <c r="AE108" s="79" t="s">
        <v>4513</v>
      </c>
      <c r="AF108" s="70"/>
      <c r="AG108" s="70"/>
      <c r="AH108" s="70"/>
      <c r="AI108" s="70"/>
      <c r="AJ108" s="70"/>
      <c r="AK108" s="70"/>
      <c r="AL108" s="70"/>
      <c r="AM108" s="70"/>
      <c r="AN108" s="72"/>
      <c r="AO108" s="70"/>
      <c r="AP108" s="93"/>
      <c r="AQ108" s="94"/>
      <c r="AR108" s="95"/>
      <c r="AS108" s="92"/>
      <c r="AT108" s="96"/>
      <c r="AU108" s="93"/>
      <c r="AV108" s="97"/>
      <c r="AW108" s="98"/>
      <c r="AX108" s="99"/>
      <c r="AY108" s="92"/>
      <c r="AZ108" s="96"/>
      <c r="BA108" s="100"/>
      <c r="BB108" s="70"/>
      <c r="BC108" s="71"/>
      <c r="BD108" s="79"/>
      <c r="BE108" s="79"/>
      <c r="BF108" s="70"/>
    </row>
    <row r="109" spans="1:58" ht="25.5" x14ac:dyDescent="0.2">
      <c r="A109" s="70" t="s">
        <v>4056</v>
      </c>
      <c r="B109" s="70" t="s">
        <v>4480</v>
      </c>
      <c r="C109" s="70" t="s">
        <v>65</v>
      </c>
      <c r="D109" s="70">
        <v>141</v>
      </c>
      <c r="E109" s="70">
        <v>1</v>
      </c>
      <c r="F109" s="70"/>
      <c r="G109" s="70" t="s">
        <v>4345</v>
      </c>
      <c r="H109" s="70" t="s">
        <v>4346</v>
      </c>
      <c r="I109" s="69" t="s">
        <v>4097</v>
      </c>
      <c r="J109" s="70" t="s">
        <v>35</v>
      </c>
      <c r="K109" s="70"/>
      <c r="L109" s="70"/>
      <c r="M109" s="70"/>
      <c r="N109" s="69"/>
      <c r="O109" s="77"/>
      <c r="P109" s="75"/>
      <c r="Q109" s="76">
        <v>2</v>
      </c>
      <c r="R109" s="92">
        <v>5</v>
      </c>
      <c r="S109" s="78">
        <v>4</v>
      </c>
      <c r="T109" s="77"/>
      <c r="U109" s="82">
        <v>1</v>
      </c>
      <c r="V109" s="83">
        <v>0</v>
      </c>
      <c r="W109" s="74"/>
      <c r="X109" s="92"/>
      <c r="Y109" s="78"/>
      <c r="Z109" s="73"/>
      <c r="AA109" s="70"/>
      <c r="AB109" s="70"/>
      <c r="AC109" s="70" t="s">
        <v>4344</v>
      </c>
      <c r="AD109" s="70"/>
      <c r="AE109" s="79" t="s">
        <v>4514</v>
      </c>
      <c r="AF109" s="70"/>
      <c r="AG109" s="70"/>
      <c r="AH109" s="70"/>
      <c r="AI109" s="70"/>
      <c r="AJ109" s="70"/>
      <c r="AK109" s="70"/>
      <c r="AL109" s="70"/>
      <c r="AM109" s="70"/>
      <c r="AN109" s="72"/>
      <c r="AO109" s="70"/>
      <c r="AP109" s="93"/>
      <c r="AQ109" s="94"/>
      <c r="AR109" s="95"/>
      <c r="AS109" s="92"/>
      <c r="AT109" s="96"/>
      <c r="AU109" s="93"/>
      <c r="AV109" s="97"/>
      <c r="AW109" s="98"/>
      <c r="AX109" s="99"/>
      <c r="AY109" s="92"/>
      <c r="AZ109" s="96"/>
      <c r="BA109" s="100"/>
      <c r="BB109" s="70"/>
      <c r="BC109" s="71"/>
      <c r="BD109" s="79"/>
      <c r="BE109" s="79"/>
      <c r="BF109" s="70"/>
    </row>
    <row r="110" spans="1:58" ht="63.75" x14ac:dyDescent="0.2">
      <c r="A110" s="70" t="s">
        <v>4056</v>
      </c>
      <c r="B110" s="70" t="s">
        <v>4481</v>
      </c>
      <c r="C110" s="70" t="s">
        <v>65</v>
      </c>
      <c r="D110" s="70">
        <v>145</v>
      </c>
      <c r="E110" s="70">
        <v>1</v>
      </c>
      <c r="F110" s="70"/>
      <c r="G110" s="70" t="s">
        <v>4347</v>
      </c>
      <c r="H110" s="70"/>
      <c r="I110" s="69"/>
      <c r="J110" s="70" t="s">
        <v>4499</v>
      </c>
      <c r="K110" s="70"/>
      <c r="L110" s="70"/>
      <c r="M110" s="70"/>
      <c r="N110" s="69"/>
      <c r="O110" s="77"/>
      <c r="P110" s="75"/>
      <c r="Q110" s="76"/>
      <c r="R110" s="92"/>
      <c r="S110" s="78"/>
      <c r="T110" s="77"/>
      <c r="U110" s="82"/>
      <c r="V110" s="83"/>
      <c r="W110" s="74"/>
      <c r="X110" s="92"/>
      <c r="Y110" s="78">
        <v>5</v>
      </c>
      <c r="Z110" s="73"/>
      <c r="AA110" s="70"/>
      <c r="AB110" s="70"/>
      <c r="AC110" s="70"/>
      <c r="AD110" s="70"/>
      <c r="AE110" s="79" t="s">
        <v>4515</v>
      </c>
      <c r="AF110" s="70"/>
      <c r="AG110" s="70"/>
      <c r="AH110" s="70"/>
      <c r="AI110" s="70"/>
      <c r="AJ110" s="70"/>
      <c r="AK110" s="70"/>
      <c r="AL110" s="70"/>
      <c r="AM110" s="70"/>
      <c r="AN110" s="72"/>
      <c r="AO110" s="70"/>
      <c r="AP110" s="93"/>
      <c r="AQ110" s="94"/>
      <c r="AR110" s="95"/>
      <c r="AS110" s="92"/>
      <c r="AT110" s="96"/>
      <c r="AU110" s="93"/>
      <c r="AV110" s="97"/>
      <c r="AW110" s="98"/>
      <c r="AX110" s="99"/>
      <c r="AY110" s="92"/>
      <c r="AZ110" s="96"/>
      <c r="BA110" s="100"/>
      <c r="BB110" s="70"/>
      <c r="BC110" s="71"/>
      <c r="BD110" s="79"/>
      <c r="BE110" s="79"/>
      <c r="BF110" s="70"/>
    </row>
    <row r="111" spans="1:58" ht="38.25" x14ac:dyDescent="0.2">
      <c r="A111" s="70" t="s">
        <v>4056</v>
      </c>
      <c r="B111" s="70" t="s">
        <v>4482</v>
      </c>
      <c r="C111" s="70" t="s">
        <v>65</v>
      </c>
      <c r="D111" s="70">
        <v>149</v>
      </c>
      <c r="E111" s="70">
        <v>1</v>
      </c>
      <c r="F111" s="70"/>
      <c r="G111" s="70" t="s">
        <v>4348</v>
      </c>
      <c r="H111" s="70"/>
      <c r="I111" s="69"/>
      <c r="J111" s="70" t="s">
        <v>37</v>
      </c>
      <c r="K111" s="70"/>
      <c r="L111" s="70"/>
      <c r="M111" s="70"/>
      <c r="N111" s="69"/>
      <c r="O111" s="77"/>
      <c r="P111" s="75"/>
      <c r="Q111" s="76"/>
      <c r="R111" s="92"/>
      <c r="S111" s="78"/>
      <c r="T111" s="77"/>
      <c r="U111" s="82"/>
      <c r="V111" s="83"/>
      <c r="W111" s="74">
        <v>2</v>
      </c>
      <c r="X111" s="92"/>
      <c r="Y111" s="78"/>
      <c r="Z111" s="73"/>
      <c r="AA111" s="70"/>
      <c r="AB111" s="70"/>
      <c r="AC111" s="70" t="s">
        <v>4349</v>
      </c>
      <c r="AD111" s="70"/>
      <c r="AE111" s="79" t="s">
        <v>4516</v>
      </c>
      <c r="AF111" s="70"/>
      <c r="AG111" s="70"/>
      <c r="AH111" s="70"/>
      <c r="AI111" s="70"/>
      <c r="AJ111" s="70"/>
      <c r="AK111" s="70"/>
      <c r="AL111" s="70"/>
      <c r="AM111" s="70"/>
      <c r="AN111" s="72"/>
      <c r="AO111" s="70"/>
      <c r="AP111" s="93"/>
      <c r="AQ111" s="94"/>
      <c r="AR111" s="95"/>
      <c r="AS111" s="92"/>
      <c r="AT111" s="96"/>
      <c r="AU111" s="93"/>
      <c r="AV111" s="97"/>
      <c r="AW111" s="98"/>
      <c r="AX111" s="99"/>
      <c r="AY111" s="92"/>
      <c r="AZ111" s="96"/>
      <c r="BA111" s="100"/>
      <c r="BB111" s="70"/>
      <c r="BC111" s="71"/>
      <c r="BD111" s="79"/>
      <c r="BE111" s="79"/>
      <c r="BF111" s="70"/>
    </row>
    <row r="112" spans="1:58" ht="12.75" x14ac:dyDescent="0.2">
      <c r="A112" s="70" t="s">
        <v>4056</v>
      </c>
      <c r="B112" s="70" t="s">
        <v>4483</v>
      </c>
      <c r="C112" s="70" t="s">
        <v>65</v>
      </c>
      <c r="D112" s="70">
        <v>158</v>
      </c>
      <c r="E112" s="70">
        <v>1</v>
      </c>
      <c r="F112" s="70"/>
      <c r="G112" s="70" t="s">
        <v>4350</v>
      </c>
      <c r="H112" s="70"/>
      <c r="I112" s="69"/>
      <c r="J112" s="70" t="s">
        <v>34</v>
      </c>
      <c r="K112" s="70"/>
      <c r="L112" s="70"/>
      <c r="M112" s="70"/>
      <c r="N112" s="69"/>
      <c r="O112" s="77"/>
      <c r="P112" s="75"/>
      <c r="Q112" s="76"/>
      <c r="R112" s="92"/>
      <c r="S112" s="78"/>
      <c r="T112" s="77"/>
      <c r="U112" s="82"/>
      <c r="V112" s="83"/>
      <c r="W112" s="74"/>
      <c r="X112" s="92"/>
      <c r="Y112" s="78"/>
      <c r="Z112" s="73"/>
      <c r="AA112" s="70"/>
      <c r="AB112" s="70"/>
      <c r="AC112" s="70" t="s">
        <v>4315</v>
      </c>
      <c r="AD112" s="70"/>
      <c r="AE112" s="70" t="s">
        <v>4517</v>
      </c>
      <c r="AF112" s="70"/>
      <c r="AG112" s="70"/>
      <c r="AH112" s="70"/>
      <c r="AI112" s="70"/>
      <c r="AJ112" s="70"/>
      <c r="AK112" s="70"/>
      <c r="AL112" s="70"/>
      <c r="AM112" s="70"/>
      <c r="AN112" s="72"/>
      <c r="AO112" s="70"/>
      <c r="AP112" s="93"/>
      <c r="AQ112" s="94"/>
      <c r="AR112" s="95"/>
      <c r="AS112" s="92"/>
      <c r="AT112" s="96"/>
      <c r="AU112" s="93"/>
      <c r="AV112" s="97"/>
      <c r="AW112" s="98"/>
      <c r="AX112" s="99"/>
      <c r="AY112" s="92"/>
      <c r="AZ112" s="96"/>
      <c r="BA112" s="100"/>
      <c r="BB112" s="70"/>
      <c r="BC112" s="71"/>
      <c r="BD112" s="79"/>
      <c r="BE112" s="79"/>
      <c r="BF112" s="70"/>
    </row>
    <row r="113" spans="1:58" ht="12.75" x14ac:dyDescent="0.2">
      <c r="A113" s="70" t="s">
        <v>4056</v>
      </c>
      <c r="B113" s="70" t="s">
        <v>4484</v>
      </c>
      <c r="C113" s="70" t="s">
        <v>65</v>
      </c>
      <c r="D113" s="70">
        <v>159</v>
      </c>
      <c r="E113" s="70">
        <v>3</v>
      </c>
      <c r="F113" s="70"/>
      <c r="G113" s="70" t="s">
        <v>4351</v>
      </c>
      <c r="H113" s="70"/>
      <c r="I113" s="69"/>
      <c r="J113" s="70" t="s">
        <v>35</v>
      </c>
      <c r="K113" s="70"/>
      <c r="L113" s="70"/>
      <c r="M113" s="70"/>
      <c r="N113" s="69"/>
      <c r="O113" s="77"/>
      <c r="P113" s="75"/>
      <c r="Q113" s="76">
        <v>1</v>
      </c>
      <c r="R113" s="92">
        <v>3</v>
      </c>
      <c r="S113" s="78">
        <v>1</v>
      </c>
      <c r="T113" s="77"/>
      <c r="U113" s="82">
        <v>1</v>
      </c>
      <c r="V113" s="83">
        <v>0</v>
      </c>
      <c r="W113" s="74"/>
      <c r="X113" s="92"/>
      <c r="Y113" s="78"/>
      <c r="Z113" s="73"/>
      <c r="AA113" s="70"/>
      <c r="AB113" s="70"/>
      <c r="AC113" s="70" t="s">
        <v>36</v>
      </c>
      <c r="AD113" s="70"/>
      <c r="AE113" s="70" t="s">
        <v>4352</v>
      </c>
      <c r="AF113" s="70"/>
      <c r="AG113" s="70"/>
      <c r="AH113" s="70"/>
      <c r="AI113" s="70"/>
      <c r="AJ113" s="70"/>
      <c r="AK113" s="70"/>
      <c r="AL113" s="70"/>
      <c r="AM113" s="70"/>
      <c r="AN113" s="72"/>
      <c r="AO113" s="70"/>
      <c r="AP113" s="93"/>
      <c r="AQ113" s="94"/>
      <c r="AR113" s="95"/>
      <c r="AS113" s="92"/>
      <c r="AT113" s="96"/>
      <c r="AU113" s="93"/>
      <c r="AV113" s="97"/>
      <c r="AW113" s="98"/>
      <c r="AX113" s="99"/>
      <c r="AY113" s="92"/>
      <c r="AZ113" s="96"/>
      <c r="BA113" s="100"/>
      <c r="BB113" s="70"/>
      <c r="BC113" s="71"/>
      <c r="BD113" s="79"/>
      <c r="BE113" s="79"/>
      <c r="BF113" s="70"/>
    </row>
    <row r="114" spans="1:58" ht="12.75" x14ac:dyDescent="0.2">
      <c r="A114" s="70" t="s">
        <v>4056</v>
      </c>
      <c r="B114" s="70" t="s">
        <v>4485</v>
      </c>
      <c r="C114" s="70" t="s">
        <v>65</v>
      </c>
      <c r="D114" s="70">
        <v>160</v>
      </c>
      <c r="E114" s="70">
        <v>1</v>
      </c>
      <c r="F114" s="70"/>
      <c r="G114" s="70" t="s">
        <v>4353</v>
      </c>
      <c r="H114" s="70"/>
      <c r="I114" s="69"/>
      <c r="J114" s="70" t="s">
        <v>35</v>
      </c>
      <c r="K114" s="70"/>
      <c r="L114" s="70"/>
      <c r="M114" s="70"/>
      <c r="N114" s="69"/>
      <c r="O114" s="77"/>
      <c r="P114" s="75"/>
      <c r="Q114" s="76">
        <v>2</v>
      </c>
      <c r="R114" s="92">
        <v>2</v>
      </c>
      <c r="S114" s="78">
        <v>2</v>
      </c>
      <c r="T114" s="77"/>
      <c r="U114" s="82">
        <v>1</v>
      </c>
      <c r="V114" s="83">
        <v>1</v>
      </c>
      <c r="W114" s="74"/>
      <c r="X114" s="92"/>
      <c r="Y114" s="78"/>
      <c r="Z114" s="73"/>
      <c r="AA114" s="70"/>
      <c r="AB114" s="70"/>
      <c r="AC114" s="70" t="s">
        <v>4337</v>
      </c>
      <c r="AD114" s="70"/>
      <c r="AE114" s="70"/>
      <c r="AF114" s="70"/>
      <c r="AG114" s="70"/>
      <c r="AH114" s="70"/>
      <c r="AI114" s="70"/>
      <c r="AJ114" s="70"/>
      <c r="AK114" s="70"/>
      <c r="AL114" s="70"/>
      <c r="AM114" s="70"/>
      <c r="AN114" s="72"/>
      <c r="AO114" s="70"/>
      <c r="AP114" s="93"/>
      <c r="AQ114" s="94"/>
      <c r="AR114" s="95"/>
      <c r="AS114" s="92"/>
      <c r="AT114" s="96"/>
      <c r="AU114" s="93"/>
      <c r="AV114" s="97"/>
      <c r="AW114" s="98"/>
      <c r="AX114" s="99"/>
      <c r="AY114" s="92"/>
      <c r="AZ114" s="96"/>
      <c r="BA114" s="100"/>
      <c r="BB114" s="70"/>
      <c r="BC114" s="71"/>
      <c r="BD114" s="79"/>
      <c r="BE114" s="79"/>
      <c r="BF114" s="70"/>
    </row>
    <row r="115" spans="1:58" ht="12.75" x14ac:dyDescent="0.2">
      <c r="A115" s="70" t="s">
        <v>4056</v>
      </c>
      <c r="B115" s="70" t="s">
        <v>4486</v>
      </c>
      <c r="C115" s="70" t="s">
        <v>65</v>
      </c>
      <c r="D115" s="70">
        <v>161</v>
      </c>
      <c r="E115" s="70">
        <v>1</v>
      </c>
      <c r="F115" s="70"/>
      <c r="G115" s="70" t="s">
        <v>4354</v>
      </c>
      <c r="H115" s="70"/>
      <c r="I115" s="69"/>
      <c r="J115" s="70" t="s">
        <v>35</v>
      </c>
      <c r="K115" s="70"/>
      <c r="L115" s="70"/>
      <c r="M115" s="70"/>
      <c r="N115" s="69"/>
      <c r="O115" s="77"/>
      <c r="P115" s="75"/>
      <c r="Q115" s="76">
        <v>3</v>
      </c>
      <c r="R115" s="92">
        <v>3</v>
      </c>
      <c r="S115" s="78">
        <v>3</v>
      </c>
      <c r="T115" s="77"/>
      <c r="U115" s="82">
        <v>1</v>
      </c>
      <c r="V115" s="83">
        <v>1</v>
      </c>
      <c r="W115" s="74"/>
      <c r="X115" s="92"/>
      <c r="Y115" s="78"/>
      <c r="Z115" s="73"/>
      <c r="AA115" s="70"/>
      <c r="AB115" s="70"/>
      <c r="AC115" s="70" t="s">
        <v>4337</v>
      </c>
      <c r="AD115" s="70"/>
      <c r="AE115" s="79" t="s">
        <v>4518</v>
      </c>
      <c r="AF115" s="70"/>
      <c r="AG115" s="70"/>
      <c r="AH115" s="70"/>
      <c r="AI115" s="70"/>
      <c r="AJ115" s="70"/>
      <c r="AK115" s="70"/>
      <c r="AL115" s="70"/>
      <c r="AM115" s="70"/>
      <c r="AN115" s="72"/>
      <c r="AO115" s="70"/>
      <c r="AP115" s="93"/>
      <c r="AQ115" s="94"/>
      <c r="AR115" s="95"/>
      <c r="AS115" s="92"/>
      <c r="AT115" s="96"/>
      <c r="AU115" s="93"/>
      <c r="AV115" s="97"/>
      <c r="AW115" s="98"/>
      <c r="AX115" s="99"/>
      <c r="AY115" s="92"/>
      <c r="AZ115" s="96"/>
      <c r="BA115" s="100"/>
      <c r="BB115" s="70"/>
      <c r="BC115" s="71"/>
      <c r="BD115" s="79"/>
      <c r="BE115" s="79"/>
      <c r="BF115" s="70"/>
    </row>
    <row r="116" spans="1:58" ht="12.75" x14ac:dyDescent="0.2">
      <c r="A116" s="70" t="s">
        <v>4056</v>
      </c>
      <c r="B116" s="70" t="s">
        <v>4487</v>
      </c>
      <c r="C116" s="70" t="s">
        <v>65</v>
      </c>
      <c r="D116" s="70">
        <v>162</v>
      </c>
      <c r="E116" s="70">
        <v>1</v>
      </c>
      <c r="F116" s="70"/>
      <c r="G116" s="70" t="s">
        <v>4355</v>
      </c>
      <c r="H116" s="70"/>
      <c r="I116" s="69"/>
      <c r="J116" s="70" t="s">
        <v>34</v>
      </c>
      <c r="K116" s="70"/>
      <c r="L116" s="70"/>
      <c r="M116" s="70"/>
      <c r="N116" s="69"/>
      <c r="O116" s="77"/>
      <c r="P116" s="75"/>
      <c r="Q116" s="76"/>
      <c r="R116" s="92"/>
      <c r="S116" s="78"/>
      <c r="T116" s="77"/>
      <c r="U116" s="82"/>
      <c r="V116" s="83"/>
      <c r="W116" s="74"/>
      <c r="X116" s="92"/>
      <c r="Y116" s="78"/>
      <c r="Z116" s="73"/>
      <c r="AA116" s="70"/>
      <c r="AB116" s="70"/>
      <c r="AC116" s="70" t="s">
        <v>4356</v>
      </c>
      <c r="AD116" s="70"/>
      <c r="AE116" s="79" t="s">
        <v>4519</v>
      </c>
      <c r="AF116" s="70"/>
      <c r="AG116" s="70"/>
      <c r="AH116" s="70"/>
      <c r="AI116" s="70"/>
      <c r="AJ116" s="70"/>
      <c r="AK116" s="70"/>
      <c r="AL116" s="70"/>
      <c r="AM116" s="70"/>
      <c r="AN116" s="72"/>
      <c r="AO116" s="70"/>
      <c r="AP116" s="93"/>
      <c r="AQ116" s="94"/>
      <c r="AR116" s="95"/>
      <c r="AS116" s="92"/>
      <c r="AT116" s="96"/>
      <c r="AU116" s="93"/>
      <c r="AV116" s="97"/>
      <c r="AW116" s="98"/>
      <c r="AX116" s="99"/>
      <c r="AY116" s="92"/>
      <c r="AZ116" s="96"/>
      <c r="BA116" s="100"/>
      <c r="BB116" s="70"/>
      <c r="BC116" s="71"/>
      <c r="BD116" s="79"/>
      <c r="BE116" s="79"/>
      <c r="BF116" s="70"/>
    </row>
    <row r="117" spans="1:58" ht="12.75" x14ac:dyDescent="0.2">
      <c r="A117" s="70" t="s">
        <v>4056</v>
      </c>
      <c r="B117" s="70" t="s">
        <v>4488</v>
      </c>
      <c r="C117" s="70" t="s">
        <v>65</v>
      </c>
      <c r="D117" s="70">
        <v>163</v>
      </c>
      <c r="E117" s="70">
        <v>3</v>
      </c>
      <c r="F117" s="70"/>
      <c r="G117" s="70" t="s">
        <v>4357</v>
      </c>
      <c r="H117" s="70"/>
      <c r="I117" s="69"/>
      <c r="J117" s="70" t="s">
        <v>34</v>
      </c>
      <c r="K117" s="70"/>
      <c r="L117" s="70"/>
      <c r="M117" s="70"/>
      <c r="N117" s="69"/>
      <c r="O117" s="77"/>
      <c r="P117" s="75"/>
      <c r="Q117" s="76"/>
      <c r="R117" s="92"/>
      <c r="S117" s="78"/>
      <c r="T117" s="77"/>
      <c r="U117" s="82"/>
      <c r="V117" s="83"/>
      <c r="W117" s="74"/>
      <c r="X117" s="92"/>
      <c r="Y117" s="78"/>
      <c r="Z117" s="73"/>
      <c r="AA117" s="70"/>
      <c r="AB117" s="70"/>
      <c r="AC117" s="70" t="s">
        <v>4358</v>
      </c>
      <c r="AD117" s="70"/>
      <c r="AE117" s="79" t="s">
        <v>4520</v>
      </c>
      <c r="AF117" s="70"/>
      <c r="AG117" s="70"/>
      <c r="AH117" s="70"/>
      <c r="AI117" s="70"/>
      <c r="AJ117" s="70"/>
      <c r="AK117" s="70"/>
      <c r="AL117" s="70"/>
      <c r="AM117" s="70"/>
      <c r="AN117" s="72"/>
      <c r="AO117" s="70"/>
      <c r="AP117" s="93"/>
      <c r="AQ117" s="94"/>
      <c r="AR117" s="95"/>
      <c r="AS117" s="92"/>
      <c r="AT117" s="96"/>
      <c r="AU117" s="93"/>
      <c r="AV117" s="97"/>
      <c r="AW117" s="98"/>
      <c r="AX117" s="99"/>
      <c r="AY117" s="92"/>
      <c r="AZ117" s="96"/>
      <c r="BA117" s="100"/>
      <c r="BB117" s="70"/>
      <c r="BC117" s="71"/>
      <c r="BD117" s="79"/>
      <c r="BE117" s="79"/>
      <c r="BF117" s="70"/>
    </row>
    <row r="118" spans="1:58" ht="63.75" x14ac:dyDescent="0.2">
      <c r="A118" s="70" t="s">
        <v>4056</v>
      </c>
      <c r="B118" s="70" t="s">
        <v>4489</v>
      </c>
      <c r="C118" s="70" t="s">
        <v>65</v>
      </c>
      <c r="D118" s="70">
        <v>164</v>
      </c>
      <c r="E118" s="70">
        <v>2</v>
      </c>
      <c r="F118" s="70"/>
      <c r="G118" s="70" t="s">
        <v>4359</v>
      </c>
      <c r="H118" s="70"/>
      <c r="I118" s="69"/>
      <c r="J118" s="70" t="s">
        <v>34</v>
      </c>
      <c r="K118" s="70"/>
      <c r="L118" s="70"/>
      <c r="M118" s="70"/>
      <c r="N118" s="69"/>
      <c r="O118" s="77"/>
      <c r="P118" s="75"/>
      <c r="Q118" s="76"/>
      <c r="R118" s="92"/>
      <c r="S118" s="78"/>
      <c r="T118" s="77"/>
      <c r="U118" s="82"/>
      <c r="V118" s="83"/>
      <c r="W118" s="74"/>
      <c r="X118" s="92"/>
      <c r="Y118" s="78"/>
      <c r="Z118" s="73"/>
      <c r="AA118" s="70"/>
      <c r="AB118" s="70"/>
      <c r="AC118" s="70" t="s">
        <v>4358</v>
      </c>
      <c r="AD118" s="70"/>
      <c r="AE118" s="79" t="s">
        <v>4521</v>
      </c>
      <c r="AF118" s="70"/>
      <c r="AG118" s="70"/>
      <c r="AH118" s="70"/>
      <c r="AI118" s="70"/>
      <c r="AJ118" s="70"/>
      <c r="AK118" s="70"/>
      <c r="AL118" s="70"/>
      <c r="AM118" s="70"/>
      <c r="AN118" s="72"/>
      <c r="AO118" s="70"/>
      <c r="AP118" s="93"/>
      <c r="AQ118" s="94"/>
      <c r="AR118" s="95"/>
      <c r="AS118" s="92"/>
      <c r="AT118" s="96"/>
      <c r="AU118" s="93"/>
      <c r="AV118" s="97"/>
      <c r="AW118" s="98"/>
      <c r="AX118" s="99"/>
      <c r="AY118" s="92"/>
      <c r="AZ118" s="96"/>
      <c r="BA118" s="100"/>
      <c r="BB118" s="70"/>
      <c r="BC118" s="71"/>
      <c r="BD118" s="79"/>
      <c r="BE118" s="79"/>
      <c r="BF118" s="70"/>
    </row>
    <row r="119" spans="1:58" ht="38.25" x14ac:dyDescent="0.2">
      <c r="A119" s="70" t="s">
        <v>4056</v>
      </c>
      <c r="B119" s="70" t="s">
        <v>4490</v>
      </c>
      <c r="C119" s="70" t="s">
        <v>65</v>
      </c>
      <c r="D119" s="70">
        <v>165</v>
      </c>
      <c r="E119" s="70">
        <v>2</v>
      </c>
      <c r="F119" s="70"/>
      <c r="G119" s="70" t="s">
        <v>4360</v>
      </c>
      <c r="H119" s="70"/>
      <c r="I119" s="69"/>
      <c r="J119" s="70" t="s">
        <v>34</v>
      </c>
      <c r="K119" s="70"/>
      <c r="L119" s="70"/>
      <c r="M119" s="70"/>
      <c r="N119" s="69"/>
      <c r="O119" s="77"/>
      <c r="P119" s="75"/>
      <c r="Q119" s="76"/>
      <c r="R119" s="92"/>
      <c r="S119" s="78"/>
      <c r="T119" s="77"/>
      <c r="U119" s="82"/>
      <c r="V119" s="83"/>
      <c r="W119" s="74"/>
      <c r="X119" s="92"/>
      <c r="Y119" s="78"/>
      <c r="Z119" s="73"/>
      <c r="AA119" s="70"/>
      <c r="AB119" s="70"/>
      <c r="AC119" s="70" t="s">
        <v>4358</v>
      </c>
      <c r="AD119" s="70"/>
      <c r="AE119" s="79" t="s">
        <v>4522</v>
      </c>
      <c r="AF119" s="70"/>
      <c r="AG119" s="70"/>
      <c r="AH119" s="70"/>
      <c r="AI119" s="70"/>
      <c r="AJ119" s="70"/>
      <c r="AK119" s="70"/>
      <c r="AL119" s="70"/>
      <c r="AM119" s="70"/>
      <c r="AN119" s="72"/>
      <c r="AO119" s="70"/>
      <c r="AP119" s="93"/>
      <c r="AQ119" s="94"/>
      <c r="AR119" s="95"/>
      <c r="AS119" s="92"/>
      <c r="AT119" s="96"/>
      <c r="AU119" s="93"/>
      <c r="AV119" s="97"/>
      <c r="AW119" s="98"/>
      <c r="AX119" s="99"/>
      <c r="AY119" s="92"/>
      <c r="AZ119" s="96"/>
      <c r="BA119" s="100"/>
      <c r="BB119" s="70"/>
      <c r="BC119" s="71"/>
      <c r="BD119" s="79"/>
      <c r="BE119" s="79"/>
      <c r="BF119" s="70"/>
    </row>
    <row r="120" spans="1:58" ht="25.5" x14ac:dyDescent="0.2">
      <c r="A120" s="70" t="s">
        <v>4056</v>
      </c>
      <c r="B120" s="70" t="s">
        <v>4491</v>
      </c>
      <c r="C120" s="70" t="s">
        <v>65</v>
      </c>
      <c r="D120" s="70">
        <v>169</v>
      </c>
      <c r="E120" s="70">
        <v>1</v>
      </c>
      <c r="F120" s="70"/>
      <c r="G120" s="70" t="s">
        <v>4361</v>
      </c>
      <c r="H120" s="70"/>
      <c r="I120" s="69"/>
      <c r="J120" s="70" t="s">
        <v>35</v>
      </c>
      <c r="K120" s="70"/>
      <c r="L120" s="70"/>
      <c r="M120" s="70"/>
      <c r="N120" s="69"/>
      <c r="O120" s="77"/>
      <c r="P120" s="75"/>
      <c r="Q120" s="76">
        <v>3</v>
      </c>
      <c r="R120" s="92">
        <v>2</v>
      </c>
      <c r="S120" s="78">
        <v>1</v>
      </c>
      <c r="T120" s="77"/>
      <c r="U120" s="82">
        <v>1</v>
      </c>
      <c r="V120" s="83">
        <v>0</v>
      </c>
      <c r="W120" s="74"/>
      <c r="X120" s="92"/>
      <c r="Y120" s="78"/>
      <c r="Z120" s="73"/>
      <c r="AA120" s="70"/>
      <c r="AB120" s="70"/>
      <c r="AC120" s="70" t="s">
        <v>4344</v>
      </c>
      <c r="AD120" s="70"/>
      <c r="AE120" s="79" t="s">
        <v>4523</v>
      </c>
      <c r="AF120" s="70"/>
      <c r="AG120" s="70"/>
      <c r="AH120" s="70"/>
      <c r="AI120" s="70"/>
      <c r="AJ120" s="70"/>
      <c r="AK120" s="70"/>
      <c r="AL120" s="70"/>
      <c r="AM120" s="70"/>
      <c r="AN120" s="72"/>
      <c r="AO120" s="70"/>
      <c r="AP120" s="93"/>
      <c r="AQ120" s="94"/>
      <c r="AR120" s="95"/>
      <c r="AS120" s="92"/>
      <c r="AT120" s="96"/>
      <c r="AU120" s="93"/>
      <c r="AV120" s="97"/>
      <c r="AW120" s="98"/>
      <c r="AX120" s="99"/>
      <c r="AY120" s="92"/>
      <c r="AZ120" s="96"/>
      <c r="BA120" s="100"/>
      <c r="BB120" s="70"/>
      <c r="BC120" s="71"/>
      <c r="BD120" s="79"/>
      <c r="BE120" s="79"/>
      <c r="BF120" s="70"/>
    </row>
    <row r="121" spans="1:58" ht="38.25" x14ac:dyDescent="0.2">
      <c r="A121" s="70" t="s">
        <v>4056</v>
      </c>
      <c r="B121" s="70" t="s">
        <v>4492</v>
      </c>
      <c r="C121" s="70" t="s">
        <v>65</v>
      </c>
      <c r="D121" s="70">
        <v>171</v>
      </c>
      <c r="E121" s="70">
        <v>1</v>
      </c>
      <c r="F121" s="70"/>
      <c r="G121" s="70" t="s">
        <v>4362</v>
      </c>
      <c r="H121" s="70"/>
      <c r="I121" s="69"/>
      <c r="J121" s="70" t="s">
        <v>34</v>
      </c>
      <c r="K121" s="70"/>
      <c r="L121" s="70"/>
      <c r="M121" s="70"/>
      <c r="N121" s="69"/>
      <c r="O121" s="77"/>
      <c r="P121" s="75"/>
      <c r="Q121" s="76"/>
      <c r="R121" s="92"/>
      <c r="S121" s="78"/>
      <c r="T121" s="77"/>
      <c r="U121" s="82"/>
      <c r="V121" s="83"/>
      <c r="W121" s="74"/>
      <c r="X121" s="92"/>
      <c r="Y121" s="78"/>
      <c r="Z121" s="73"/>
      <c r="AA121" s="70"/>
      <c r="AB121" s="70"/>
      <c r="AC121" s="70" t="s">
        <v>4363</v>
      </c>
      <c r="AD121" s="70"/>
      <c r="AE121" s="79" t="s">
        <v>4524</v>
      </c>
      <c r="AF121" s="70"/>
      <c r="AG121" s="70"/>
      <c r="AH121" s="70"/>
      <c r="AI121" s="70"/>
      <c r="AJ121" s="70"/>
      <c r="AK121" s="70"/>
      <c r="AL121" s="70"/>
      <c r="AM121" s="70"/>
      <c r="AN121" s="72"/>
      <c r="AO121" s="70"/>
      <c r="AP121" s="93"/>
      <c r="AQ121" s="94"/>
      <c r="AR121" s="95"/>
      <c r="AS121" s="92"/>
      <c r="AT121" s="96"/>
      <c r="AU121" s="93"/>
      <c r="AV121" s="97"/>
      <c r="AW121" s="98"/>
      <c r="AX121" s="99"/>
      <c r="AY121" s="92"/>
      <c r="AZ121" s="96"/>
      <c r="BA121" s="100"/>
      <c r="BB121" s="70"/>
      <c r="BC121" s="71"/>
      <c r="BD121" s="79"/>
      <c r="BE121" s="79"/>
      <c r="BF121" s="70"/>
    </row>
    <row r="122" spans="1:58" ht="38.25" x14ac:dyDescent="0.2">
      <c r="A122" s="70" t="s">
        <v>4056</v>
      </c>
      <c r="B122" s="70" t="s">
        <v>4493</v>
      </c>
      <c r="C122" s="70" t="s">
        <v>65</v>
      </c>
      <c r="D122" s="70">
        <v>172</v>
      </c>
      <c r="E122" s="70">
        <v>1</v>
      </c>
      <c r="F122" s="70"/>
      <c r="G122" s="70" t="s">
        <v>4364</v>
      </c>
      <c r="H122" s="70"/>
      <c r="I122" s="69"/>
      <c r="J122" s="70" t="s">
        <v>35</v>
      </c>
      <c r="K122" s="70"/>
      <c r="L122" s="70"/>
      <c r="M122" s="70"/>
      <c r="N122" s="69"/>
      <c r="O122" s="77"/>
      <c r="P122" s="75"/>
      <c r="Q122" s="76">
        <v>3</v>
      </c>
      <c r="R122" s="92">
        <v>1</v>
      </c>
      <c r="S122" s="78">
        <v>4</v>
      </c>
      <c r="T122" s="77"/>
      <c r="U122" s="82">
        <v>1</v>
      </c>
      <c r="V122" s="83">
        <v>1</v>
      </c>
      <c r="W122" s="74"/>
      <c r="X122" s="92"/>
      <c r="Y122" s="78"/>
      <c r="Z122" s="73"/>
      <c r="AA122" s="70"/>
      <c r="AB122" s="70"/>
      <c r="AC122" s="70" t="s">
        <v>4365</v>
      </c>
      <c r="AD122" s="70"/>
      <c r="AE122" s="79" t="s">
        <v>4366</v>
      </c>
      <c r="AF122" s="70"/>
      <c r="AG122" s="70"/>
      <c r="AH122" s="70"/>
      <c r="AI122" s="70"/>
      <c r="AJ122" s="70"/>
      <c r="AK122" s="70"/>
      <c r="AL122" s="70"/>
      <c r="AM122" s="70"/>
      <c r="AN122" s="72"/>
      <c r="AO122" s="70"/>
      <c r="AP122" s="93"/>
      <c r="AQ122" s="94"/>
      <c r="AR122" s="95"/>
      <c r="AS122" s="92"/>
      <c r="AT122" s="96"/>
      <c r="AU122" s="93"/>
      <c r="AV122" s="97"/>
      <c r="AW122" s="98"/>
      <c r="AX122" s="99"/>
      <c r="AY122" s="92"/>
      <c r="AZ122" s="96"/>
      <c r="BA122" s="100"/>
      <c r="BB122" s="70"/>
      <c r="BC122" s="71"/>
      <c r="BD122" s="79"/>
      <c r="BE122" s="79"/>
      <c r="BF122" s="70"/>
    </row>
    <row r="123" spans="1:58" ht="51" x14ac:dyDescent="0.2">
      <c r="A123" s="70" t="s">
        <v>4056</v>
      </c>
      <c r="B123" s="70" t="s">
        <v>4494</v>
      </c>
      <c r="C123" s="70" t="s">
        <v>65</v>
      </c>
      <c r="D123" s="70">
        <v>177</v>
      </c>
      <c r="E123" s="70">
        <v>1</v>
      </c>
      <c r="F123" s="70"/>
      <c r="G123" s="70" t="s">
        <v>4367</v>
      </c>
      <c r="H123" s="70"/>
      <c r="I123" s="69"/>
      <c r="J123" s="70" t="s">
        <v>35</v>
      </c>
      <c r="K123" s="70"/>
      <c r="L123" s="70"/>
      <c r="M123" s="70"/>
      <c r="N123" s="69"/>
      <c r="O123" s="77"/>
      <c r="P123" s="75"/>
      <c r="Q123" s="76">
        <v>4</v>
      </c>
      <c r="R123" s="92">
        <v>3</v>
      </c>
      <c r="S123" s="78">
        <v>4</v>
      </c>
      <c r="T123" s="77"/>
      <c r="U123" s="82"/>
      <c r="V123" s="83">
        <v>1</v>
      </c>
      <c r="W123" s="74"/>
      <c r="X123" s="92"/>
      <c r="Y123" s="78"/>
      <c r="Z123" s="73">
        <v>1</v>
      </c>
      <c r="AA123" s="70"/>
      <c r="AB123" s="70"/>
      <c r="AC123" s="70" t="s">
        <v>4368</v>
      </c>
      <c r="AD123" s="70"/>
      <c r="AE123" s="79" t="s">
        <v>4369</v>
      </c>
      <c r="AF123" s="70"/>
      <c r="AG123" s="70"/>
      <c r="AH123" s="70"/>
      <c r="AI123" s="70"/>
      <c r="AJ123" s="70"/>
      <c r="AK123" s="70"/>
      <c r="AL123" s="70"/>
      <c r="AM123" s="70"/>
      <c r="AN123" s="72"/>
      <c r="AO123" s="70"/>
      <c r="AP123" s="93"/>
      <c r="AQ123" s="94"/>
      <c r="AR123" s="95"/>
      <c r="AS123" s="92"/>
      <c r="AT123" s="96"/>
      <c r="AU123" s="93"/>
      <c r="AV123" s="97"/>
      <c r="AW123" s="98"/>
      <c r="AX123" s="99"/>
      <c r="AY123" s="92"/>
      <c r="AZ123" s="96"/>
      <c r="BA123" s="100"/>
      <c r="BB123" s="70"/>
      <c r="BC123" s="71"/>
      <c r="BD123" s="79"/>
      <c r="BE123" s="79"/>
      <c r="BF123" s="70"/>
    </row>
    <row r="124" spans="1:58" ht="25.5" x14ac:dyDescent="0.2">
      <c r="A124" s="70" t="s">
        <v>4056</v>
      </c>
      <c r="B124" s="70" t="s">
        <v>4495</v>
      </c>
      <c r="C124" s="70" t="s">
        <v>65</v>
      </c>
      <c r="D124" s="70">
        <v>200</v>
      </c>
      <c r="E124" s="70">
        <v>1</v>
      </c>
      <c r="F124" s="70"/>
      <c r="G124" s="70" t="s">
        <v>4370</v>
      </c>
      <c r="H124" s="70"/>
      <c r="I124" s="69"/>
      <c r="J124" s="70" t="s">
        <v>34</v>
      </c>
      <c r="K124" s="70"/>
      <c r="L124" s="70"/>
      <c r="M124" s="70"/>
      <c r="N124" s="69"/>
      <c r="O124" s="77"/>
      <c r="P124" s="75"/>
      <c r="Q124" s="76"/>
      <c r="R124" s="92"/>
      <c r="S124" s="78"/>
      <c r="T124" s="77"/>
      <c r="U124" s="82"/>
      <c r="V124" s="83"/>
      <c r="W124" s="74"/>
      <c r="X124" s="92"/>
      <c r="Y124" s="78"/>
      <c r="Z124" s="73"/>
      <c r="AA124" s="70"/>
      <c r="AB124" s="70"/>
      <c r="AC124" s="70" t="s">
        <v>4371</v>
      </c>
      <c r="AD124" s="70"/>
      <c r="AE124" s="79" t="s">
        <v>4525</v>
      </c>
      <c r="AF124" s="70"/>
      <c r="AG124" s="70"/>
      <c r="AH124" s="70"/>
      <c r="AI124" s="70"/>
      <c r="AJ124" s="70"/>
      <c r="AK124" s="70"/>
      <c r="AL124" s="70"/>
      <c r="AM124" s="70"/>
      <c r="AN124" s="72"/>
      <c r="AO124" s="70"/>
      <c r="AP124" s="93"/>
      <c r="AQ124" s="94"/>
      <c r="AR124" s="95"/>
      <c r="AS124" s="92"/>
      <c r="AT124" s="96"/>
      <c r="AU124" s="93"/>
      <c r="AV124" s="97"/>
      <c r="AW124" s="98"/>
      <c r="AX124" s="99"/>
      <c r="AY124" s="92"/>
      <c r="AZ124" s="96"/>
      <c r="BA124" s="100"/>
      <c r="BB124" s="70"/>
      <c r="BC124" s="71"/>
      <c r="BD124" s="79"/>
      <c r="BE124" s="79"/>
      <c r="BF124" s="70"/>
    </row>
    <row r="125" spans="1:58" ht="51" x14ac:dyDescent="0.2">
      <c r="A125" s="70" t="s">
        <v>4056</v>
      </c>
      <c r="B125" s="70" t="s">
        <v>4496</v>
      </c>
      <c r="C125" s="70" t="s">
        <v>65</v>
      </c>
      <c r="D125" s="70">
        <v>201</v>
      </c>
      <c r="E125" s="70">
        <v>1</v>
      </c>
      <c r="F125" s="70"/>
      <c r="G125" s="70" t="s">
        <v>4372</v>
      </c>
      <c r="H125" s="70"/>
      <c r="I125" s="69"/>
      <c r="J125" s="70" t="s">
        <v>34</v>
      </c>
      <c r="K125" s="70"/>
      <c r="L125" s="70"/>
      <c r="M125" s="70"/>
      <c r="N125" s="69"/>
      <c r="O125" s="93"/>
      <c r="P125" s="94"/>
      <c r="Q125" s="95"/>
      <c r="R125" s="92"/>
      <c r="S125" s="96"/>
      <c r="T125" s="93"/>
      <c r="U125" s="97"/>
      <c r="V125" s="98"/>
      <c r="W125" s="99"/>
      <c r="X125" s="92"/>
      <c r="Y125" s="96"/>
      <c r="Z125" s="100"/>
      <c r="AA125" s="70"/>
      <c r="AB125" s="70"/>
      <c r="AC125" s="70" t="s">
        <v>4356</v>
      </c>
      <c r="AD125" s="70"/>
      <c r="AE125" s="79" t="s">
        <v>4526</v>
      </c>
      <c r="AF125" s="70"/>
      <c r="AG125" s="70"/>
      <c r="AH125" s="70"/>
      <c r="AI125" s="70"/>
      <c r="AJ125" s="70"/>
      <c r="AK125" s="70"/>
      <c r="AL125" s="70"/>
      <c r="AM125" s="70"/>
      <c r="AN125" s="72"/>
      <c r="AO125" s="70"/>
      <c r="AP125" s="93"/>
      <c r="AQ125" s="94"/>
      <c r="AR125" s="95"/>
      <c r="AS125" s="92"/>
      <c r="AT125" s="96"/>
      <c r="AU125" s="93"/>
      <c r="AV125" s="97"/>
      <c r="AW125" s="98"/>
      <c r="AX125" s="99"/>
      <c r="AY125" s="92"/>
      <c r="AZ125" s="96"/>
      <c r="BA125" s="100"/>
      <c r="BB125" s="70"/>
      <c r="BC125" s="71"/>
      <c r="BD125" s="79"/>
      <c r="BE125" s="79"/>
      <c r="BF125" s="70"/>
    </row>
    <row r="126" spans="1:58" ht="12.75" x14ac:dyDescent="0.2">
      <c r="C126" s="70"/>
      <c r="D126" s="70"/>
      <c r="E126" s="70"/>
      <c r="F126" s="70"/>
      <c r="G126" s="70"/>
      <c r="H126" s="70"/>
      <c r="I126" s="69"/>
      <c r="J126" s="70"/>
      <c r="K126" s="70"/>
      <c r="L126" s="70"/>
      <c r="M126" s="70"/>
      <c r="N126" s="69"/>
      <c r="O126" s="93"/>
      <c r="P126" s="94"/>
      <c r="Q126" s="95"/>
      <c r="R126" s="92"/>
      <c r="S126" s="96"/>
      <c r="T126" s="93"/>
      <c r="U126" s="97"/>
      <c r="V126" s="98"/>
      <c r="W126" s="99"/>
      <c r="X126" s="92"/>
      <c r="Y126" s="96"/>
      <c r="Z126" s="100"/>
      <c r="AA126" s="70"/>
      <c r="AB126" s="70"/>
      <c r="AC126" s="70"/>
      <c r="AD126" s="70"/>
      <c r="AE126" s="79"/>
      <c r="AF126" s="70"/>
      <c r="AG126" s="70"/>
      <c r="AH126" s="70"/>
      <c r="AI126" s="70"/>
      <c r="AN126" s="16"/>
      <c r="AO126" s="70"/>
      <c r="AP126" s="93"/>
      <c r="AQ126" s="94"/>
      <c r="AR126" s="95"/>
      <c r="AS126" s="92"/>
      <c r="AT126" s="96"/>
      <c r="AU126" s="93"/>
      <c r="AV126" s="97"/>
      <c r="AW126" s="98"/>
      <c r="AX126" s="99"/>
      <c r="AY126" s="92"/>
      <c r="AZ126" s="96"/>
      <c r="BA126" s="100"/>
      <c r="BC126" s="2"/>
      <c r="BD126" s="3"/>
      <c r="BF126" s="1"/>
    </row>
    <row r="127" spans="1:58" ht="12.75" x14ac:dyDescent="0.2">
      <c r="D127" s="70"/>
      <c r="E127" s="70"/>
      <c r="F127" s="70"/>
      <c r="G127" s="70"/>
      <c r="H127" s="70"/>
      <c r="I127" s="69"/>
      <c r="J127" s="70"/>
      <c r="K127" s="70"/>
      <c r="L127" s="70"/>
      <c r="M127" s="70"/>
      <c r="N127" s="69"/>
      <c r="O127" s="93"/>
      <c r="P127" s="94"/>
      <c r="Q127" s="95"/>
      <c r="R127" s="92"/>
      <c r="S127" s="96"/>
      <c r="T127" s="93"/>
      <c r="U127" s="97"/>
      <c r="V127" s="98"/>
      <c r="W127" s="99"/>
      <c r="X127" s="92"/>
      <c r="Y127" s="96"/>
      <c r="Z127" s="100"/>
      <c r="AA127" s="70"/>
      <c r="AB127" s="70"/>
      <c r="AC127" s="70"/>
      <c r="AD127" s="70"/>
      <c r="AE127" s="70"/>
      <c r="AF127" s="70"/>
      <c r="AG127" s="70"/>
      <c r="AH127" s="70"/>
      <c r="AI127" s="70"/>
      <c r="AN127" s="16"/>
      <c r="AO127" s="70"/>
      <c r="AP127" s="93"/>
      <c r="AQ127" s="94"/>
      <c r="AR127" s="95"/>
      <c r="AS127" s="92"/>
      <c r="AT127" s="96"/>
      <c r="AU127" s="93"/>
      <c r="AV127" s="97"/>
      <c r="AW127" s="98"/>
      <c r="AX127" s="99"/>
      <c r="AY127" s="92"/>
      <c r="AZ127" s="96"/>
      <c r="BA127" s="100"/>
      <c r="BC127" s="2"/>
      <c r="BD127" s="3"/>
      <c r="BF127" s="1"/>
    </row>
    <row r="128" spans="1:58" ht="12.75" x14ac:dyDescent="0.2">
      <c r="D128" s="70"/>
      <c r="E128" s="70"/>
      <c r="F128" s="70"/>
      <c r="G128" s="70"/>
      <c r="H128" s="70"/>
      <c r="I128" s="69"/>
      <c r="J128" s="70"/>
      <c r="K128" s="70"/>
      <c r="L128" s="70"/>
      <c r="M128" s="70"/>
      <c r="N128" s="69"/>
      <c r="O128" s="93"/>
      <c r="P128" s="94"/>
      <c r="Q128" s="95"/>
      <c r="R128" s="92"/>
      <c r="S128" s="96"/>
      <c r="T128" s="93"/>
      <c r="U128" s="97"/>
      <c r="V128" s="98"/>
      <c r="W128" s="99"/>
      <c r="X128" s="92"/>
      <c r="Y128" s="96"/>
      <c r="Z128" s="100"/>
      <c r="AA128" s="70"/>
      <c r="AB128" s="70"/>
      <c r="AC128" s="70"/>
      <c r="AD128" s="70"/>
      <c r="AE128" s="70"/>
      <c r="AF128" s="79"/>
      <c r="AG128" s="70"/>
      <c r="AH128" s="70"/>
      <c r="AI128" s="70"/>
      <c r="AJ128" s="70"/>
      <c r="AO128" s="70"/>
      <c r="AP128" s="93"/>
      <c r="AQ128" s="94"/>
      <c r="AR128" s="95"/>
      <c r="AS128" s="92"/>
      <c r="AT128" s="96"/>
      <c r="AU128" s="93"/>
      <c r="AV128" s="97"/>
      <c r="AW128" s="98"/>
      <c r="AX128" s="99"/>
      <c r="AY128" s="92"/>
      <c r="AZ128" s="96"/>
      <c r="BA128" s="100"/>
    </row>
    <row r="129" spans="4:53" ht="12.75" x14ac:dyDescent="0.2">
      <c r="D129" s="70"/>
      <c r="E129" s="70"/>
      <c r="F129" s="70"/>
      <c r="G129" s="70"/>
      <c r="H129" s="70"/>
      <c r="I129" s="69"/>
      <c r="J129" s="70"/>
      <c r="K129" s="70"/>
      <c r="L129" s="70"/>
      <c r="M129" s="70"/>
      <c r="N129" s="69"/>
      <c r="O129" s="93"/>
      <c r="P129" s="94"/>
      <c r="Q129" s="95"/>
      <c r="R129" s="92"/>
      <c r="S129" s="96"/>
      <c r="T129" s="93"/>
      <c r="U129" s="97"/>
      <c r="V129" s="98"/>
      <c r="W129" s="99"/>
      <c r="X129" s="92"/>
      <c r="Y129" s="96"/>
      <c r="Z129" s="100"/>
      <c r="AA129" s="70"/>
      <c r="AB129" s="70"/>
      <c r="AC129" s="70"/>
      <c r="AD129" s="70"/>
      <c r="AE129" s="70"/>
      <c r="AF129" s="70"/>
      <c r="AG129" s="70"/>
      <c r="AH129" s="70"/>
      <c r="AI129" s="70"/>
      <c r="AJ129" s="70"/>
      <c r="AO129" s="70"/>
      <c r="AP129" s="93"/>
      <c r="AQ129" s="94"/>
      <c r="AR129" s="95"/>
      <c r="AS129" s="92"/>
      <c r="AT129" s="96"/>
      <c r="AU129" s="93"/>
      <c r="AV129" s="97"/>
      <c r="AW129" s="98"/>
      <c r="AX129" s="99"/>
      <c r="AY129" s="92"/>
      <c r="AZ129" s="96"/>
      <c r="BA129" s="100"/>
    </row>
    <row r="130" spans="4:53" ht="12.75" x14ac:dyDescent="0.2">
      <c r="D130" s="70"/>
      <c r="E130" s="70"/>
      <c r="F130" s="70"/>
      <c r="G130" s="70"/>
      <c r="H130" s="70"/>
      <c r="I130" s="69"/>
      <c r="J130" s="70"/>
      <c r="K130" s="70"/>
      <c r="L130" s="70"/>
      <c r="M130" s="70"/>
      <c r="N130" s="69"/>
      <c r="O130" s="93"/>
      <c r="P130" s="94"/>
      <c r="Q130" s="95"/>
      <c r="R130" s="92"/>
      <c r="S130" s="96"/>
      <c r="T130" s="93"/>
      <c r="U130" s="97"/>
      <c r="V130" s="98"/>
      <c r="W130" s="99"/>
      <c r="X130" s="92"/>
      <c r="Y130" s="96"/>
      <c r="Z130" s="100"/>
      <c r="AA130" s="70"/>
      <c r="AB130" s="70"/>
      <c r="AC130" s="70"/>
      <c r="AD130" s="70"/>
      <c r="AE130" s="70"/>
      <c r="AF130" s="79"/>
      <c r="AG130" s="70"/>
      <c r="AH130" s="70"/>
      <c r="AI130" s="70"/>
      <c r="AJ130" s="70"/>
      <c r="AO130" s="70"/>
      <c r="AP130" s="93"/>
      <c r="AQ130" s="94"/>
      <c r="AR130" s="95"/>
      <c r="AS130" s="92"/>
      <c r="AT130" s="96"/>
      <c r="AU130" s="93"/>
      <c r="AV130" s="97"/>
      <c r="AW130" s="98"/>
      <c r="AX130" s="99"/>
      <c r="AY130" s="92"/>
      <c r="AZ130" s="96"/>
      <c r="BA130" s="100"/>
    </row>
    <row r="131" spans="4:53" ht="12.75" x14ac:dyDescent="0.2">
      <c r="D131" s="70"/>
      <c r="E131" s="70"/>
      <c r="F131" s="70"/>
      <c r="G131" s="70"/>
      <c r="H131" s="70"/>
      <c r="I131" s="69"/>
      <c r="J131" s="70"/>
      <c r="K131" s="70"/>
      <c r="L131" s="70"/>
      <c r="M131" s="70"/>
      <c r="N131" s="69"/>
      <c r="O131" s="93"/>
      <c r="P131" s="94"/>
      <c r="Q131" s="95"/>
      <c r="R131" s="92"/>
      <c r="S131" s="96"/>
      <c r="T131" s="93"/>
      <c r="U131" s="97"/>
      <c r="V131" s="98"/>
      <c r="W131" s="99"/>
      <c r="X131" s="92"/>
      <c r="Y131" s="96"/>
      <c r="Z131" s="100"/>
      <c r="AA131" s="70"/>
      <c r="AB131" s="70"/>
      <c r="AC131" s="70"/>
      <c r="AD131" s="70"/>
      <c r="AE131" s="70"/>
      <c r="AF131" s="70"/>
      <c r="AG131" s="70"/>
      <c r="AH131" s="70"/>
      <c r="AI131" s="70"/>
      <c r="AJ131" s="70"/>
      <c r="AO131" s="70"/>
      <c r="AP131" s="93"/>
      <c r="AQ131" s="94"/>
      <c r="AR131" s="95"/>
      <c r="AS131" s="92"/>
      <c r="AT131" s="96"/>
      <c r="AU131" s="93"/>
      <c r="AV131" s="97"/>
      <c r="AW131" s="98"/>
      <c r="AX131" s="99"/>
      <c r="AY131" s="92"/>
      <c r="AZ131" s="96"/>
      <c r="BA131" s="100"/>
    </row>
    <row r="132" spans="4:53" ht="12.75" x14ac:dyDescent="0.2">
      <c r="D132" s="70"/>
      <c r="E132" s="70"/>
      <c r="F132" s="70"/>
      <c r="G132" s="70"/>
      <c r="H132" s="70"/>
      <c r="I132" s="69"/>
      <c r="J132" s="70"/>
      <c r="K132" s="70"/>
      <c r="L132" s="70"/>
      <c r="M132" s="70"/>
      <c r="N132" s="69"/>
      <c r="O132" s="93"/>
      <c r="P132" s="94"/>
      <c r="Q132" s="95"/>
      <c r="R132" s="92"/>
      <c r="S132" s="96"/>
      <c r="T132" s="93"/>
      <c r="U132" s="97"/>
      <c r="V132" s="98"/>
      <c r="W132" s="99"/>
      <c r="X132" s="92"/>
      <c r="Y132" s="96"/>
      <c r="Z132" s="100"/>
      <c r="AA132" s="70"/>
      <c r="AB132" s="70"/>
      <c r="AC132" s="70"/>
      <c r="AD132" s="70"/>
      <c r="AE132" s="70"/>
      <c r="AF132" s="70"/>
      <c r="AG132" s="70"/>
      <c r="AH132" s="70"/>
      <c r="AI132" s="70"/>
      <c r="AJ132" s="70"/>
      <c r="AO132" s="70"/>
      <c r="AP132" s="93"/>
      <c r="AQ132" s="94"/>
      <c r="AR132" s="95"/>
      <c r="AS132" s="92"/>
      <c r="AT132" s="96"/>
      <c r="AU132" s="93"/>
      <c r="AV132" s="97"/>
      <c r="AW132" s="98"/>
      <c r="AX132" s="99"/>
      <c r="AY132" s="92"/>
      <c r="AZ132" s="96"/>
      <c r="BA132" s="100"/>
    </row>
    <row r="133" spans="4:53" ht="12.75" x14ac:dyDescent="0.2">
      <c r="D133" s="70"/>
      <c r="E133" s="70"/>
      <c r="F133" s="70"/>
      <c r="G133" s="70"/>
      <c r="H133" s="70"/>
      <c r="I133" s="69"/>
      <c r="J133" s="70"/>
      <c r="K133" s="70"/>
      <c r="L133" s="70"/>
      <c r="M133" s="70"/>
      <c r="N133" s="69"/>
      <c r="O133" s="93"/>
      <c r="P133" s="94"/>
      <c r="Q133" s="95"/>
      <c r="R133" s="92"/>
      <c r="S133" s="96"/>
      <c r="T133" s="93"/>
      <c r="U133" s="97"/>
      <c r="V133" s="98"/>
      <c r="W133" s="99"/>
      <c r="X133" s="92"/>
      <c r="Y133" s="96"/>
      <c r="Z133" s="100"/>
      <c r="AA133" s="70"/>
      <c r="AB133" s="70"/>
      <c r="AC133" s="70"/>
      <c r="AD133" s="70"/>
      <c r="AE133" s="70"/>
      <c r="AF133" s="70"/>
      <c r="AG133" s="70"/>
      <c r="AH133" s="70"/>
      <c r="AI133" s="70"/>
      <c r="AJ133" s="70"/>
      <c r="AO133" s="70"/>
      <c r="AP133" s="93"/>
      <c r="AQ133" s="94"/>
      <c r="AR133" s="95"/>
      <c r="AS133" s="92"/>
      <c r="AT133" s="96"/>
      <c r="AU133" s="93"/>
      <c r="AV133" s="97"/>
      <c r="AW133" s="98"/>
      <c r="AX133" s="99"/>
      <c r="AY133" s="92"/>
      <c r="AZ133" s="96"/>
      <c r="BA133" s="100"/>
    </row>
    <row r="134" spans="4:53" ht="12.75" x14ac:dyDescent="0.2">
      <c r="D134" s="70"/>
      <c r="E134" s="70"/>
      <c r="F134" s="70"/>
      <c r="G134" s="70"/>
      <c r="H134" s="70"/>
      <c r="I134" s="69"/>
      <c r="J134" s="70"/>
      <c r="K134" s="70"/>
      <c r="L134" s="70"/>
      <c r="M134" s="70"/>
      <c r="N134" s="69"/>
      <c r="O134" s="93"/>
      <c r="P134" s="94"/>
      <c r="Q134" s="95"/>
      <c r="R134" s="92"/>
      <c r="S134" s="96"/>
      <c r="T134" s="93"/>
      <c r="U134" s="97"/>
      <c r="V134" s="98"/>
      <c r="W134" s="99"/>
      <c r="X134" s="92"/>
      <c r="Y134" s="96"/>
      <c r="Z134" s="100"/>
      <c r="AA134" s="70"/>
      <c r="AB134" s="70"/>
      <c r="AC134" s="70"/>
      <c r="AD134" s="70"/>
      <c r="AE134" s="70"/>
      <c r="AF134" s="70"/>
      <c r="AG134" s="70"/>
      <c r="AH134" s="70"/>
      <c r="AI134" s="70"/>
      <c r="AJ134" s="70"/>
      <c r="AO134" s="70"/>
      <c r="AP134" s="93"/>
      <c r="AQ134" s="94"/>
      <c r="AR134" s="95"/>
      <c r="AS134" s="92"/>
      <c r="AT134" s="96"/>
      <c r="AU134" s="93"/>
      <c r="AV134" s="97"/>
      <c r="AW134" s="98"/>
      <c r="AX134" s="99"/>
      <c r="AY134" s="92"/>
      <c r="AZ134" s="96"/>
      <c r="BA134" s="100"/>
    </row>
    <row r="135" spans="4:53" ht="12.75" x14ac:dyDescent="0.2">
      <c r="D135" s="70"/>
      <c r="E135" s="70"/>
      <c r="F135" s="70"/>
      <c r="G135" s="70"/>
      <c r="H135" s="70"/>
      <c r="I135" s="69"/>
      <c r="J135" s="70"/>
      <c r="K135" s="70"/>
      <c r="L135" s="70"/>
      <c r="M135" s="70"/>
      <c r="N135" s="69"/>
      <c r="O135" s="93"/>
      <c r="P135" s="94"/>
      <c r="Q135" s="95"/>
      <c r="R135" s="92"/>
      <c r="S135" s="96"/>
      <c r="T135" s="93"/>
      <c r="U135" s="97"/>
      <c r="V135" s="98"/>
      <c r="W135" s="99"/>
      <c r="X135" s="92"/>
      <c r="Y135" s="96"/>
      <c r="Z135" s="100"/>
      <c r="AA135" s="70"/>
      <c r="AB135" s="70"/>
      <c r="AC135" s="70"/>
      <c r="AD135" s="70"/>
      <c r="AE135" s="70"/>
      <c r="AF135" s="79"/>
      <c r="AG135" s="70"/>
      <c r="AH135" s="70"/>
      <c r="AI135" s="70"/>
      <c r="AJ135" s="70"/>
      <c r="AO135" s="70"/>
      <c r="AP135" s="93"/>
      <c r="AQ135" s="94"/>
      <c r="AR135" s="95"/>
      <c r="AS135" s="92"/>
      <c r="AT135" s="96"/>
      <c r="AU135" s="93"/>
      <c r="AV135" s="97"/>
      <c r="AW135" s="98"/>
      <c r="AX135" s="99"/>
      <c r="AY135" s="92"/>
      <c r="AZ135" s="96"/>
      <c r="BA135" s="100"/>
    </row>
    <row r="136" spans="4:53" ht="12.75" x14ac:dyDescent="0.2">
      <c r="D136" s="70"/>
      <c r="E136" s="70"/>
      <c r="F136" s="70"/>
      <c r="G136" s="70"/>
      <c r="H136" s="70"/>
      <c r="I136" s="69"/>
      <c r="J136" s="70"/>
      <c r="K136" s="70"/>
      <c r="L136" s="70"/>
      <c r="M136" s="70"/>
      <c r="N136" s="69"/>
      <c r="O136" s="93"/>
      <c r="P136" s="94"/>
      <c r="Q136" s="95"/>
      <c r="R136" s="92"/>
      <c r="S136" s="96"/>
      <c r="T136" s="93"/>
      <c r="U136" s="97"/>
      <c r="V136" s="98"/>
      <c r="W136" s="99"/>
      <c r="X136" s="92"/>
      <c r="Y136" s="96"/>
      <c r="Z136" s="100"/>
      <c r="AA136" s="70"/>
      <c r="AB136" s="70"/>
      <c r="AC136" s="70"/>
      <c r="AD136" s="70"/>
      <c r="AE136" s="70"/>
      <c r="AF136" s="70"/>
      <c r="AG136" s="70"/>
      <c r="AH136" s="70"/>
      <c r="AI136" s="70"/>
      <c r="AJ136" s="70"/>
      <c r="AO136" s="70"/>
      <c r="AP136" s="93"/>
      <c r="AQ136" s="94"/>
      <c r="AR136" s="95"/>
      <c r="AS136" s="92"/>
      <c r="AT136" s="96"/>
      <c r="AU136" s="93"/>
      <c r="AV136" s="97"/>
      <c r="AW136" s="98"/>
      <c r="AX136" s="99"/>
      <c r="AY136" s="92"/>
      <c r="AZ136" s="96"/>
      <c r="BA136" s="100"/>
    </row>
    <row r="137" spans="4:53" ht="12.75" x14ac:dyDescent="0.2">
      <c r="D137" s="70"/>
      <c r="E137" s="70"/>
      <c r="F137" s="70"/>
      <c r="G137" s="70"/>
      <c r="H137" s="70"/>
      <c r="I137" s="69"/>
      <c r="J137" s="70"/>
      <c r="K137" s="70"/>
      <c r="L137" s="70"/>
      <c r="M137" s="70"/>
      <c r="N137" s="69"/>
      <c r="O137" s="93"/>
      <c r="P137" s="94"/>
      <c r="Q137" s="95"/>
      <c r="R137" s="92"/>
      <c r="S137" s="96"/>
      <c r="T137" s="93"/>
      <c r="U137" s="97"/>
      <c r="V137" s="98"/>
      <c r="W137" s="99"/>
      <c r="X137" s="92"/>
      <c r="Y137" s="96"/>
      <c r="Z137" s="100"/>
      <c r="AA137" s="70"/>
      <c r="AB137" s="70"/>
      <c r="AC137" s="70"/>
      <c r="AD137" s="70"/>
      <c r="AE137" s="70"/>
      <c r="AF137" s="70"/>
      <c r="AG137" s="70"/>
      <c r="AH137" s="70"/>
      <c r="AI137" s="70"/>
      <c r="AJ137" s="70"/>
      <c r="AO137" s="70"/>
      <c r="AP137" s="93"/>
      <c r="AQ137" s="94"/>
      <c r="AR137" s="95"/>
      <c r="AS137" s="92"/>
      <c r="AT137" s="96"/>
      <c r="AU137" s="93"/>
      <c r="AV137" s="97"/>
      <c r="AW137" s="98"/>
      <c r="AX137" s="99"/>
      <c r="AY137" s="92"/>
      <c r="AZ137" s="96"/>
      <c r="BA137" s="100"/>
    </row>
    <row r="138" spans="4:53" ht="12.75" x14ac:dyDescent="0.2">
      <c r="D138" s="70"/>
      <c r="E138" s="70"/>
      <c r="F138" s="70"/>
      <c r="G138" s="70"/>
      <c r="H138" s="70"/>
      <c r="I138" s="69"/>
      <c r="J138" s="70"/>
      <c r="K138" s="70"/>
      <c r="L138" s="70"/>
      <c r="M138" s="70"/>
      <c r="N138" s="69"/>
      <c r="O138" s="93"/>
      <c r="P138" s="94"/>
      <c r="Q138" s="95"/>
      <c r="R138" s="92"/>
      <c r="S138" s="96"/>
      <c r="T138" s="93"/>
      <c r="U138" s="97"/>
      <c r="V138" s="98"/>
      <c r="W138" s="99"/>
      <c r="X138" s="92"/>
      <c r="Y138" s="96"/>
      <c r="Z138" s="100"/>
      <c r="AA138" s="70"/>
      <c r="AB138" s="70"/>
      <c r="AC138" s="70"/>
      <c r="AD138" s="70"/>
      <c r="AE138" s="70"/>
      <c r="AF138" s="70"/>
      <c r="AG138" s="70"/>
      <c r="AH138" s="70"/>
      <c r="AI138" s="70"/>
      <c r="AJ138" s="70"/>
      <c r="AO138" s="70"/>
      <c r="AP138" s="93"/>
      <c r="AQ138" s="94"/>
      <c r="AR138" s="95"/>
      <c r="AS138" s="92"/>
      <c r="AT138" s="96"/>
      <c r="AU138" s="93"/>
      <c r="AV138" s="97"/>
      <c r="AW138" s="98"/>
      <c r="AX138" s="99"/>
      <c r="AY138" s="92"/>
      <c r="AZ138" s="96"/>
      <c r="BA138" s="100"/>
    </row>
    <row r="139" spans="4:53" ht="12.75" x14ac:dyDescent="0.2">
      <c r="D139" s="70"/>
      <c r="E139" s="70"/>
      <c r="F139" s="70"/>
      <c r="G139" s="70"/>
      <c r="H139" s="70"/>
      <c r="I139" s="69"/>
      <c r="J139" s="70"/>
      <c r="K139" s="70"/>
      <c r="L139" s="70"/>
      <c r="M139" s="70"/>
      <c r="N139" s="69"/>
      <c r="O139" s="93"/>
      <c r="P139" s="94"/>
      <c r="Q139" s="95"/>
      <c r="R139" s="92"/>
      <c r="S139" s="96"/>
      <c r="T139" s="93"/>
      <c r="U139" s="97"/>
      <c r="V139" s="98"/>
      <c r="W139" s="99"/>
      <c r="X139" s="92"/>
      <c r="Y139" s="96"/>
      <c r="Z139" s="100"/>
      <c r="AA139" s="70"/>
      <c r="AB139" s="70"/>
      <c r="AC139" s="70"/>
      <c r="AD139" s="70"/>
      <c r="AE139" s="70"/>
      <c r="AF139" s="70"/>
      <c r="AG139" s="70"/>
      <c r="AH139" s="70"/>
      <c r="AI139" s="70"/>
      <c r="AJ139" s="70"/>
      <c r="AO139" s="70"/>
      <c r="AP139" s="93"/>
      <c r="AQ139" s="94"/>
      <c r="AR139" s="95"/>
      <c r="AS139" s="92"/>
      <c r="AT139" s="96"/>
      <c r="AU139" s="93"/>
      <c r="AV139" s="97"/>
      <c r="AW139" s="98"/>
      <c r="AX139" s="99"/>
      <c r="AY139" s="92"/>
      <c r="AZ139" s="96"/>
      <c r="BA139" s="100"/>
    </row>
    <row r="140" spans="4:53" ht="12.75" x14ac:dyDescent="0.2">
      <c r="D140" s="70"/>
      <c r="E140" s="70"/>
      <c r="F140" s="70"/>
      <c r="G140" s="70"/>
      <c r="H140" s="70"/>
      <c r="I140" s="69"/>
      <c r="J140" s="70"/>
      <c r="K140" s="70"/>
      <c r="L140" s="70"/>
      <c r="M140" s="70"/>
      <c r="N140" s="69"/>
      <c r="O140" s="93"/>
      <c r="P140" s="94"/>
      <c r="Q140" s="95"/>
      <c r="R140" s="92"/>
      <c r="S140" s="96"/>
      <c r="T140" s="93"/>
      <c r="U140" s="97"/>
      <c r="V140" s="98"/>
      <c r="W140" s="99"/>
      <c r="X140" s="92"/>
      <c r="Y140" s="96"/>
      <c r="Z140" s="100"/>
      <c r="AA140" s="70"/>
      <c r="AB140" s="70"/>
      <c r="AC140" s="70"/>
      <c r="AD140" s="70"/>
      <c r="AE140" s="70"/>
      <c r="AF140" s="70"/>
      <c r="AG140" s="70"/>
      <c r="AH140" s="70"/>
      <c r="AI140" s="70"/>
      <c r="AJ140" s="70"/>
      <c r="AO140" s="70"/>
      <c r="AP140" s="93"/>
      <c r="AQ140" s="94"/>
      <c r="AR140" s="95"/>
      <c r="AS140" s="92"/>
      <c r="AT140" s="96"/>
      <c r="AU140" s="93"/>
      <c r="AV140" s="97"/>
      <c r="AW140" s="98"/>
      <c r="AX140" s="99"/>
      <c r="AY140" s="92"/>
      <c r="AZ140" s="96"/>
      <c r="BA140" s="100"/>
    </row>
    <row r="141" spans="4:53" ht="12.75" x14ac:dyDescent="0.2">
      <c r="D141" s="70"/>
      <c r="E141" s="70"/>
      <c r="F141" s="70"/>
      <c r="G141" s="70"/>
      <c r="H141" s="70"/>
      <c r="I141" s="69"/>
      <c r="J141" s="70"/>
      <c r="K141" s="70"/>
      <c r="L141" s="70"/>
      <c r="M141" s="70"/>
      <c r="N141" s="69"/>
      <c r="O141" s="93"/>
      <c r="P141" s="94"/>
      <c r="Q141" s="95"/>
      <c r="R141" s="92"/>
      <c r="S141" s="96"/>
      <c r="T141" s="93"/>
      <c r="U141" s="97"/>
      <c r="V141" s="98"/>
      <c r="W141" s="99"/>
      <c r="X141" s="92"/>
      <c r="Y141" s="96"/>
      <c r="Z141" s="100"/>
      <c r="AA141" s="70"/>
      <c r="AB141" s="70"/>
      <c r="AC141" s="70"/>
      <c r="AD141" s="70"/>
      <c r="AE141" s="70"/>
      <c r="AF141" s="70"/>
      <c r="AG141" s="70"/>
      <c r="AH141" s="70"/>
      <c r="AI141" s="70"/>
      <c r="AJ141" s="70"/>
      <c r="AO141" s="70"/>
      <c r="AP141" s="93"/>
      <c r="AQ141" s="94"/>
      <c r="AR141" s="95"/>
      <c r="AS141" s="92"/>
      <c r="AT141" s="96"/>
      <c r="AU141" s="93"/>
      <c r="AV141" s="97"/>
      <c r="AW141" s="98"/>
      <c r="AX141" s="99"/>
      <c r="AY141" s="92"/>
      <c r="AZ141" s="96"/>
      <c r="BA141" s="100"/>
    </row>
    <row r="142" spans="4:53" ht="12.75" x14ac:dyDescent="0.2">
      <c r="D142" s="70"/>
      <c r="E142" s="70"/>
      <c r="F142" s="70"/>
      <c r="G142" s="70"/>
      <c r="H142" s="70"/>
      <c r="I142" s="69"/>
      <c r="J142" s="70"/>
      <c r="K142" s="70"/>
      <c r="L142" s="70"/>
      <c r="M142" s="70"/>
      <c r="N142" s="69"/>
      <c r="O142" s="93"/>
      <c r="P142" s="94"/>
      <c r="Q142" s="95"/>
      <c r="R142" s="92"/>
      <c r="S142" s="96"/>
      <c r="T142" s="93"/>
      <c r="U142" s="97"/>
      <c r="V142" s="98"/>
      <c r="W142" s="99"/>
      <c r="X142" s="92"/>
      <c r="Y142" s="96"/>
      <c r="Z142" s="100"/>
      <c r="AA142" s="70"/>
      <c r="AB142" s="70"/>
      <c r="AC142" s="70"/>
      <c r="AD142" s="70"/>
      <c r="AE142" s="70"/>
      <c r="AF142" s="79"/>
      <c r="AG142" s="70"/>
      <c r="AH142" s="70"/>
      <c r="AI142" s="70"/>
      <c r="AJ142" s="70"/>
      <c r="AO142" s="70"/>
      <c r="AP142" s="93"/>
      <c r="AQ142" s="94"/>
      <c r="AR142" s="95"/>
      <c r="AS142" s="92"/>
      <c r="AT142" s="96"/>
      <c r="AU142" s="93"/>
      <c r="AV142" s="97"/>
      <c r="AW142" s="98"/>
      <c r="AX142" s="99"/>
      <c r="AY142" s="92"/>
      <c r="AZ142" s="96"/>
      <c r="BA142" s="100"/>
    </row>
    <row r="143" spans="4:53" ht="12.75" x14ac:dyDescent="0.2">
      <c r="D143" s="70"/>
      <c r="E143" s="70"/>
      <c r="F143" s="70"/>
      <c r="G143" s="70"/>
      <c r="H143" s="70"/>
      <c r="I143" s="69"/>
      <c r="J143" s="70"/>
      <c r="K143" s="70"/>
      <c r="L143" s="70"/>
      <c r="M143" s="70"/>
      <c r="N143" s="69"/>
      <c r="O143" s="93"/>
      <c r="P143" s="94"/>
      <c r="Q143" s="95"/>
      <c r="R143" s="92"/>
      <c r="S143" s="96"/>
      <c r="T143" s="93"/>
      <c r="U143" s="97"/>
      <c r="V143" s="98"/>
      <c r="W143" s="99"/>
      <c r="X143" s="92"/>
      <c r="Y143" s="96"/>
      <c r="Z143" s="100"/>
      <c r="AA143" s="70"/>
      <c r="AB143" s="70"/>
      <c r="AC143" s="70"/>
      <c r="AD143" s="70"/>
      <c r="AE143" s="70"/>
      <c r="AF143" s="70"/>
      <c r="AG143" s="70"/>
      <c r="AH143" s="70"/>
      <c r="AI143" s="70"/>
      <c r="AJ143" s="70"/>
      <c r="AO143" s="70"/>
      <c r="AP143" s="93"/>
      <c r="AQ143" s="94"/>
      <c r="AR143" s="95"/>
      <c r="AS143" s="92"/>
      <c r="AT143" s="96"/>
      <c r="AU143" s="93"/>
      <c r="AV143" s="97"/>
      <c r="AW143" s="98"/>
      <c r="AX143" s="99"/>
      <c r="AY143" s="92"/>
      <c r="AZ143" s="96"/>
      <c r="BA143" s="100"/>
    </row>
    <row r="144" spans="4:53" ht="12.75" x14ac:dyDescent="0.2">
      <c r="D144" s="70"/>
      <c r="E144" s="70"/>
      <c r="F144" s="70"/>
      <c r="G144" s="70"/>
      <c r="H144" s="70"/>
      <c r="I144" s="69"/>
      <c r="J144" s="70"/>
      <c r="K144" s="70"/>
      <c r="L144" s="70"/>
      <c r="M144" s="70"/>
      <c r="N144" s="69"/>
      <c r="O144" s="93"/>
      <c r="P144" s="94"/>
      <c r="Q144" s="95"/>
      <c r="R144" s="92"/>
      <c r="S144" s="96"/>
      <c r="T144" s="93"/>
      <c r="U144" s="97"/>
      <c r="V144" s="98"/>
      <c r="W144" s="99"/>
      <c r="X144" s="92"/>
      <c r="Y144" s="96"/>
      <c r="Z144" s="100"/>
      <c r="AA144" s="70"/>
      <c r="AB144" s="70"/>
      <c r="AC144" s="70"/>
      <c r="AD144" s="70"/>
      <c r="AE144" s="70"/>
      <c r="AF144" s="79"/>
      <c r="AG144" s="70"/>
      <c r="AH144" s="70"/>
      <c r="AI144" s="70"/>
      <c r="AJ144" s="70"/>
      <c r="AO144" s="70"/>
      <c r="AP144" s="93"/>
      <c r="AQ144" s="94"/>
      <c r="AR144" s="95"/>
      <c r="AS144" s="92"/>
      <c r="AT144" s="96"/>
      <c r="AU144" s="93"/>
      <c r="AV144" s="97"/>
      <c r="AW144" s="98"/>
      <c r="AX144" s="99"/>
      <c r="AY144" s="92"/>
      <c r="AZ144" s="96"/>
      <c r="BA144" s="100"/>
    </row>
    <row r="145" spans="4:53" ht="12.75" x14ac:dyDescent="0.2">
      <c r="D145" s="70"/>
      <c r="E145" s="70"/>
      <c r="F145" s="70"/>
      <c r="G145" s="70"/>
      <c r="H145" s="70"/>
      <c r="I145" s="69"/>
      <c r="J145" s="70"/>
      <c r="K145" s="70"/>
      <c r="L145" s="70"/>
      <c r="M145" s="70"/>
      <c r="N145" s="69"/>
      <c r="O145" s="93"/>
      <c r="P145" s="94"/>
      <c r="Q145" s="95"/>
      <c r="R145" s="92"/>
      <c r="S145" s="96"/>
      <c r="T145" s="93"/>
      <c r="U145" s="97"/>
      <c r="V145" s="98"/>
      <c r="W145" s="99"/>
      <c r="X145" s="92"/>
      <c r="Y145" s="96"/>
      <c r="Z145" s="100"/>
      <c r="AA145" s="70"/>
      <c r="AB145" s="70"/>
      <c r="AC145" s="70"/>
      <c r="AD145" s="70"/>
      <c r="AE145" s="70"/>
      <c r="AF145" s="79"/>
      <c r="AG145" s="70"/>
      <c r="AH145" s="70"/>
      <c r="AI145" s="70"/>
      <c r="AJ145" s="70"/>
      <c r="AO145" s="70"/>
      <c r="AP145" s="93"/>
      <c r="AQ145" s="94"/>
      <c r="AR145" s="95"/>
      <c r="AS145" s="92"/>
      <c r="AT145" s="96"/>
      <c r="AU145" s="93"/>
      <c r="AV145" s="97"/>
      <c r="AW145" s="98"/>
      <c r="AX145" s="99"/>
      <c r="AY145" s="92"/>
      <c r="AZ145" s="96"/>
      <c r="BA145" s="100"/>
    </row>
    <row r="146" spans="4:53" ht="12.75" x14ac:dyDescent="0.2">
      <c r="D146" s="70"/>
      <c r="E146" s="70"/>
      <c r="F146" s="70"/>
      <c r="G146" s="70"/>
      <c r="H146" s="70"/>
      <c r="I146" s="69"/>
      <c r="J146" s="70"/>
      <c r="K146" s="70"/>
      <c r="L146" s="70"/>
      <c r="M146" s="70"/>
      <c r="N146" s="69"/>
      <c r="O146" s="93"/>
      <c r="P146" s="94"/>
      <c r="Q146" s="95"/>
      <c r="R146" s="92"/>
      <c r="S146" s="96"/>
      <c r="T146" s="93"/>
      <c r="U146" s="97"/>
      <c r="V146" s="98"/>
      <c r="W146" s="99"/>
      <c r="X146" s="92"/>
      <c r="Y146" s="96"/>
      <c r="Z146" s="100"/>
      <c r="AA146" s="70"/>
      <c r="AB146" s="70"/>
      <c r="AC146" s="70"/>
      <c r="AD146" s="70"/>
      <c r="AE146" s="70"/>
      <c r="AF146" s="79"/>
      <c r="AG146" s="70"/>
      <c r="AH146" s="70"/>
      <c r="AI146" s="70"/>
      <c r="AJ146" s="70"/>
      <c r="AO146" s="70"/>
      <c r="AP146" s="93"/>
      <c r="AQ146" s="94"/>
      <c r="AR146" s="95"/>
      <c r="AS146" s="92"/>
      <c r="AT146" s="96"/>
      <c r="AU146" s="93"/>
      <c r="AV146" s="97"/>
      <c r="AW146" s="98"/>
      <c r="AX146" s="99"/>
      <c r="AY146" s="92"/>
      <c r="AZ146" s="96"/>
      <c r="BA146" s="100"/>
    </row>
    <row r="147" spans="4:53" ht="12.75" x14ac:dyDescent="0.2">
      <c r="D147" s="70"/>
      <c r="E147" s="70"/>
      <c r="F147" s="70"/>
      <c r="G147" s="70"/>
      <c r="H147" s="70"/>
      <c r="I147" s="69"/>
      <c r="J147" s="70"/>
      <c r="K147" s="70"/>
      <c r="L147" s="70"/>
      <c r="M147" s="70"/>
      <c r="N147" s="69"/>
      <c r="O147" s="93"/>
      <c r="P147" s="94"/>
      <c r="Q147" s="95"/>
      <c r="R147" s="92"/>
      <c r="S147" s="96"/>
      <c r="T147" s="93"/>
      <c r="U147" s="97"/>
      <c r="V147" s="98"/>
      <c r="W147" s="99"/>
      <c r="X147" s="92"/>
      <c r="Y147" s="96"/>
      <c r="Z147" s="100"/>
      <c r="AA147" s="70"/>
      <c r="AB147" s="70"/>
      <c r="AC147" s="70"/>
      <c r="AD147" s="70"/>
      <c r="AE147" s="70"/>
      <c r="AF147" s="70"/>
      <c r="AG147" s="70"/>
      <c r="AH147" s="70"/>
      <c r="AI147" s="70"/>
      <c r="AJ147" s="70"/>
      <c r="AO147" s="70"/>
      <c r="AP147" s="93"/>
      <c r="AQ147" s="94"/>
      <c r="AR147" s="95"/>
      <c r="AS147" s="92"/>
      <c r="AT147" s="96"/>
      <c r="AU147" s="93"/>
      <c r="AV147" s="97"/>
      <c r="AW147" s="98"/>
      <c r="AX147" s="99"/>
      <c r="AY147" s="92"/>
      <c r="AZ147" s="96"/>
      <c r="BA147" s="100"/>
    </row>
    <row r="148" spans="4:53" ht="12.75" x14ac:dyDescent="0.2">
      <c r="D148" s="70"/>
      <c r="E148" s="70"/>
      <c r="F148" s="70"/>
      <c r="G148" s="70"/>
      <c r="H148" s="70"/>
      <c r="I148" s="69"/>
      <c r="J148" s="70"/>
      <c r="K148" s="70"/>
      <c r="L148" s="70"/>
      <c r="M148" s="70"/>
      <c r="N148" s="69"/>
      <c r="O148" s="93"/>
      <c r="P148" s="94"/>
      <c r="Q148" s="95"/>
      <c r="R148" s="92"/>
      <c r="S148" s="96"/>
      <c r="T148" s="93"/>
      <c r="U148" s="97"/>
      <c r="V148" s="98"/>
      <c r="W148" s="99"/>
      <c r="X148" s="92"/>
      <c r="Y148" s="96"/>
      <c r="Z148" s="100"/>
      <c r="AA148" s="70"/>
      <c r="AB148" s="70"/>
      <c r="AC148" s="70"/>
      <c r="AD148" s="70"/>
      <c r="AE148" s="70"/>
      <c r="AF148" s="70"/>
      <c r="AG148" s="70"/>
      <c r="AH148" s="70"/>
      <c r="AI148" s="70"/>
      <c r="AJ148" s="70"/>
      <c r="AO148" s="70"/>
      <c r="AP148" s="93"/>
      <c r="AQ148" s="94"/>
      <c r="AR148" s="95"/>
      <c r="AS148" s="92"/>
      <c r="AT148" s="96"/>
      <c r="AU148" s="93"/>
      <c r="AV148" s="97"/>
      <c r="AW148" s="98"/>
      <c r="AX148" s="99"/>
      <c r="AY148" s="92"/>
      <c r="AZ148" s="96"/>
      <c r="BA148" s="100"/>
    </row>
    <row r="149" spans="4:53" ht="12.75" x14ac:dyDescent="0.2">
      <c r="D149" s="70"/>
      <c r="E149" s="70"/>
      <c r="F149" s="70"/>
      <c r="G149" s="70"/>
      <c r="H149" s="70"/>
      <c r="I149" s="69"/>
      <c r="J149" s="70"/>
      <c r="K149" s="70"/>
      <c r="L149" s="70"/>
      <c r="M149" s="70"/>
      <c r="N149" s="69"/>
      <c r="O149" s="93"/>
      <c r="P149" s="94"/>
      <c r="Q149" s="95"/>
      <c r="R149" s="92"/>
      <c r="S149" s="96"/>
      <c r="T149" s="93"/>
      <c r="U149" s="97"/>
      <c r="V149" s="98"/>
      <c r="W149" s="99"/>
      <c r="X149" s="92"/>
      <c r="Y149" s="96"/>
      <c r="Z149" s="100"/>
      <c r="AA149" s="70"/>
      <c r="AB149" s="70"/>
      <c r="AC149" s="70"/>
      <c r="AD149" s="70"/>
      <c r="AE149" s="70"/>
      <c r="AF149" s="70"/>
      <c r="AG149" s="70"/>
      <c r="AH149" s="70"/>
      <c r="AI149" s="70"/>
      <c r="AJ149" s="70"/>
      <c r="AO149" s="70"/>
      <c r="AP149" s="93"/>
      <c r="AQ149" s="94"/>
      <c r="AR149" s="95"/>
      <c r="AS149" s="92"/>
      <c r="AT149" s="96"/>
      <c r="AU149" s="93"/>
      <c r="AV149" s="97"/>
      <c r="AW149" s="98"/>
      <c r="AX149" s="99"/>
      <c r="AY149" s="92"/>
      <c r="AZ149" s="96"/>
      <c r="BA149" s="100"/>
    </row>
    <row r="150" spans="4:53" ht="12.75" x14ac:dyDescent="0.2">
      <c r="D150" s="70"/>
      <c r="E150" s="70"/>
      <c r="F150" s="70"/>
      <c r="G150" s="70"/>
      <c r="H150" s="70"/>
      <c r="I150" s="69"/>
      <c r="J150" s="70"/>
      <c r="K150" s="70"/>
      <c r="L150" s="70"/>
      <c r="M150" s="70"/>
      <c r="N150" s="69"/>
      <c r="O150" s="93"/>
      <c r="P150" s="94"/>
      <c r="Q150" s="95"/>
      <c r="R150" s="92"/>
      <c r="S150" s="96"/>
      <c r="T150" s="93"/>
      <c r="U150" s="97"/>
      <c r="V150" s="98"/>
      <c r="W150" s="99"/>
      <c r="X150" s="92"/>
      <c r="Y150" s="96"/>
      <c r="Z150" s="100"/>
      <c r="AA150" s="70"/>
      <c r="AB150" s="70"/>
      <c r="AC150" s="70"/>
      <c r="AD150" s="70"/>
      <c r="AE150" s="70"/>
      <c r="AF150" s="79"/>
      <c r="AG150" s="70"/>
      <c r="AH150" s="70"/>
      <c r="AI150" s="70"/>
      <c r="AJ150" s="70"/>
      <c r="AO150" s="70"/>
      <c r="AP150" s="93"/>
      <c r="AQ150" s="94"/>
      <c r="AR150" s="95"/>
      <c r="AS150" s="92"/>
      <c r="AT150" s="96"/>
      <c r="AU150" s="93"/>
      <c r="AV150" s="97"/>
      <c r="AW150" s="98"/>
      <c r="AX150" s="99"/>
      <c r="AY150" s="92"/>
      <c r="AZ150" s="96"/>
      <c r="BA150" s="100"/>
    </row>
    <row r="151" spans="4:53" ht="12.75" x14ac:dyDescent="0.2">
      <c r="D151" s="70"/>
      <c r="E151" s="70"/>
      <c r="F151" s="70"/>
      <c r="G151" s="70"/>
      <c r="H151" s="70"/>
      <c r="I151" s="69"/>
      <c r="J151" s="70"/>
      <c r="K151" s="70"/>
      <c r="L151" s="70"/>
      <c r="M151" s="70"/>
      <c r="N151" s="69"/>
      <c r="O151" s="93"/>
      <c r="P151" s="94"/>
      <c r="Q151" s="95"/>
      <c r="R151" s="92"/>
      <c r="S151" s="96"/>
      <c r="T151" s="93"/>
      <c r="U151" s="97"/>
      <c r="V151" s="98"/>
      <c r="W151" s="99"/>
      <c r="X151" s="92"/>
      <c r="Y151" s="96"/>
      <c r="Z151" s="100"/>
      <c r="AA151" s="70"/>
      <c r="AB151" s="70"/>
      <c r="AC151" s="70"/>
      <c r="AD151" s="70"/>
      <c r="AE151" s="70"/>
      <c r="AF151" s="70"/>
      <c r="AG151" s="70"/>
      <c r="AH151" s="70"/>
      <c r="AI151" s="70"/>
      <c r="AJ151" s="70"/>
      <c r="AO151" s="70"/>
      <c r="AP151" s="93"/>
      <c r="AQ151" s="94"/>
      <c r="AR151" s="95"/>
      <c r="AS151" s="92"/>
      <c r="AT151" s="96"/>
      <c r="AU151" s="93"/>
      <c r="AV151" s="97"/>
      <c r="AW151" s="98"/>
      <c r="AX151" s="99"/>
      <c r="AY151" s="92"/>
      <c r="AZ151" s="96"/>
      <c r="BA151" s="100"/>
    </row>
    <row r="152" spans="4:53" ht="12.75" x14ac:dyDescent="0.2">
      <c r="D152" s="70"/>
      <c r="E152" s="70"/>
      <c r="F152" s="70"/>
      <c r="G152" s="70"/>
      <c r="H152" s="70"/>
      <c r="I152" s="69"/>
      <c r="J152" s="70"/>
      <c r="K152" s="70"/>
      <c r="L152" s="70"/>
      <c r="M152" s="70"/>
      <c r="N152" s="69"/>
      <c r="O152" s="93"/>
      <c r="P152" s="94"/>
      <c r="Q152" s="95"/>
      <c r="R152" s="92"/>
      <c r="S152" s="96"/>
      <c r="T152" s="93"/>
      <c r="U152" s="97"/>
      <c r="V152" s="98"/>
      <c r="W152" s="99"/>
      <c r="X152" s="92"/>
      <c r="Y152" s="96"/>
      <c r="Z152" s="100"/>
      <c r="AA152" s="70"/>
      <c r="AB152" s="70"/>
      <c r="AC152" s="70"/>
      <c r="AD152" s="70"/>
      <c r="AE152" s="70"/>
      <c r="AF152" s="70"/>
      <c r="AG152" s="70"/>
      <c r="AH152" s="70"/>
      <c r="AI152" s="70"/>
      <c r="AJ152" s="70"/>
      <c r="AO152" s="70"/>
      <c r="AP152" s="93"/>
      <c r="AQ152" s="94"/>
      <c r="AR152" s="95"/>
      <c r="AS152" s="92"/>
      <c r="AT152" s="96"/>
      <c r="AU152" s="93"/>
      <c r="AV152" s="97"/>
      <c r="AW152" s="98"/>
      <c r="AX152" s="99"/>
      <c r="AY152" s="92"/>
      <c r="AZ152" s="96"/>
      <c r="BA152" s="100"/>
    </row>
    <row r="153" spans="4:53" ht="12.75" x14ac:dyDescent="0.2">
      <c r="D153" s="70"/>
      <c r="E153" s="70"/>
      <c r="F153" s="70"/>
      <c r="G153" s="70"/>
      <c r="H153" s="70"/>
      <c r="I153" s="69"/>
      <c r="J153" s="70"/>
      <c r="K153" s="70"/>
      <c r="L153" s="70"/>
      <c r="M153" s="70"/>
      <c r="N153" s="69"/>
      <c r="O153" s="93"/>
      <c r="P153" s="94"/>
      <c r="Q153" s="95"/>
      <c r="R153" s="92"/>
      <c r="S153" s="96"/>
      <c r="T153" s="93"/>
      <c r="U153" s="97"/>
      <c r="V153" s="98"/>
      <c r="W153" s="99"/>
      <c r="X153" s="92"/>
      <c r="Y153" s="96"/>
      <c r="Z153" s="100"/>
      <c r="AA153" s="70"/>
      <c r="AB153" s="70"/>
      <c r="AC153" s="70"/>
      <c r="AD153" s="70"/>
      <c r="AE153" s="70"/>
      <c r="AF153" s="70"/>
      <c r="AG153" s="70"/>
      <c r="AH153" s="70"/>
      <c r="AI153" s="70"/>
      <c r="AJ153" s="70"/>
      <c r="AO153" s="70"/>
      <c r="AP153" s="93"/>
      <c r="AQ153" s="94"/>
      <c r="AR153" s="95"/>
      <c r="AS153" s="92"/>
      <c r="AT153" s="96"/>
      <c r="AU153" s="93"/>
      <c r="AV153" s="97"/>
      <c r="AW153" s="98"/>
      <c r="AX153" s="99"/>
      <c r="AY153" s="92"/>
      <c r="AZ153" s="96"/>
      <c r="BA153" s="100"/>
    </row>
    <row r="154" spans="4:53" ht="12.75" x14ac:dyDescent="0.2">
      <c r="D154" s="70"/>
      <c r="E154" s="70"/>
      <c r="F154" s="70"/>
      <c r="G154" s="70"/>
      <c r="H154" s="70"/>
      <c r="I154" s="69"/>
      <c r="J154" s="70"/>
      <c r="K154" s="70"/>
      <c r="L154" s="70"/>
      <c r="M154" s="70"/>
      <c r="N154" s="69"/>
      <c r="O154" s="93"/>
      <c r="P154" s="94"/>
      <c r="Q154" s="95"/>
      <c r="R154" s="92"/>
      <c r="S154" s="96"/>
      <c r="T154" s="93"/>
      <c r="U154" s="97"/>
      <c r="V154" s="98"/>
      <c r="W154" s="99"/>
      <c r="X154" s="92"/>
      <c r="Y154" s="96"/>
      <c r="Z154" s="100"/>
      <c r="AA154" s="70"/>
      <c r="AB154" s="70"/>
      <c r="AC154" s="70"/>
      <c r="AD154" s="70"/>
      <c r="AE154" s="70"/>
      <c r="AF154" s="70"/>
      <c r="AG154" s="70"/>
      <c r="AH154" s="70"/>
      <c r="AI154" s="70"/>
      <c r="AJ154" s="70"/>
      <c r="AO154" s="70"/>
      <c r="AP154" s="93"/>
      <c r="AQ154" s="94"/>
      <c r="AR154" s="95"/>
      <c r="AS154" s="92"/>
      <c r="AT154" s="96"/>
      <c r="AU154" s="93"/>
      <c r="AV154" s="97"/>
      <c r="AW154" s="98"/>
      <c r="AX154" s="99"/>
      <c r="AY154" s="92"/>
      <c r="AZ154" s="96"/>
      <c r="BA154" s="100"/>
    </row>
    <row r="155" spans="4:53" ht="12.75" x14ac:dyDescent="0.2">
      <c r="D155" s="70"/>
      <c r="E155" s="70"/>
      <c r="F155" s="70"/>
      <c r="G155" s="70"/>
      <c r="H155" s="70"/>
      <c r="I155" s="69"/>
      <c r="J155" s="70"/>
      <c r="K155" s="70"/>
      <c r="L155" s="70"/>
      <c r="M155" s="70"/>
      <c r="N155" s="69"/>
      <c r="O155" s="93"/>
      <c r="P155" s="94"/>
      <c r="Q155" s="95"/>
      <c r="R155" s="92"/>
      <c r="S155" s="96"/>
      <c r="T155" s="93"/>
      <c r="U155" s="97"/>
      <c r="V155" s="98"/>
      <c r="W155" s="99"/>
      <c r="X155" s="92"/>
      <c r="Y155" s="96"/>
      <c r="Z155" s="100"/>
      <c r="AA155" s="70"/>
      <c r="AB155" s="70"/>
      <c r="AC155" s="70"/>
      <c r="AD155" s="70"/>
      <c r="AE155" s="70"/>
      <c r="AF155" s="70"/>
      <c r="AG155" s="70"/>
      <c r="AH155" s="70"/>
      <c r="AI155" s="70"/>
      <c r="AJ155" s="70"/>
      <c r="AO155" s="70"/>
      <c r="AP155" s="93"/>
      <c r="AQ155" s="94"/>
      <c r="AR155" s="95"/>
      <c r="AS155" s="92"/>
      <c r="AT155" s="96"/>
      <c r="AU155" s="93"/>
      <c r="AV155" s="97"/>
      <c r="AW155" s="98"/>
      <c r="AX155" s="99"/>
      <c r="AY155" s="92"/>
      <c r="AZ155" s="96"/>
      <c r="BA155" s="100"/>
    </row>
    <row r="156" spans="4:53" ht="12.75" x14ac:dyDescent="0.2">
      <c r="D156" s="70"/>
      <c r="E156" s="70"/>
      <c r="F156" s="70"/>
      <c r="G156" s="70"/>
      <c r="H156" s="70"/>
      <c r="I156" s="69"/>
      <c r="J156" s="70"/>
      <c r="K156" s="70"/>
      <c r="L156" s="70"/>
      <c r="M156" s="70"/>
      <c r="N156" s="69"/>
      <c r="O156" s="93"/>
      <c r="P156" s="94"/>
      <c r="Q156" s="95"/>
      <c r="R156" s="92"/>
      <c r="S156" s="96"/>
      <c r="T156" s="93"/>
      <c r="U156" s="97"/>
      <c r="V156" s="98"/>
      <c r="W156" s="99"/>
      <c r="X156" s="92"/>
      <c r="Y156" s="96"/>
      <c r="Z156" s="100"/>
      <c r="AA156" s="70"/>
      <c r="AB156" s="70"/>
      <c r="AC156" s="70"/>
      <c r="AD156" s="70"/>
      <c r="AE156" s="70"/>
      <c r="AF156" s="79"/>
      <c r="AG156" s="70"/>
      <c r="AH156" s="70"/>
      <c r="AI156" s="70"/>
      <c r="AJ156" s="70"/>
      <c r="AO156" s="70"/>
      <c r="AP156" s="93"/>
      <c r="AQ156" s="94"/>
      <c r="AR156" s="95"/>
      <c r="AS156" s="92"/>
      <c r="AT156" s="96"/>
      <c r="AU156" s="93"/>
      <c r="AV156" s="97"/>
      <c r="AW156" s="98"/>
      <c r="AX156" s="99"/>
      <c r="AY156" s="92"/>
      <c r="AZ156" s="96"/>
      <c r="BA156" s="100"/>
    </row>
    <row r="157" spans="4:53" ht="12.75" x14ac:dyDescent="0.2">
      <c r="D157" s="70"/>
      <c r="E157" s="70"/>
      <c r="F157" s="70"/>
      <c r="G157" s="70"/>
      <c r="H157" s="70"/>
      <c r="I157" s="69"/>
      <c r="J157" s="70"/>
      <c r="K157" s="70"/>
      <c r="L157" s="70"/>
      <c r="M157" s="70"/>
      <c r="N157" s="69"/>
      <c r="O157" s="93"/>
      <c r="P157" s="94"/>
      <c r="Q157" s="95"/>
      <c r="R157" s="92"/>
      <c r="S157" s="96"/>
      <c r="T157" s="93"/>
      <c r="U157" s="97"/>
      <c r="V157" s="98"/>
      <c r="W157" s="99"/>
      <c r="X157" s="92"/>
      <c r="Y157" s="96"/>
      <c r="Z157" s="100"/>
      <c r="AA157" s="70"/>
      <c r="AB157" s="70"/>
      <c r="AC157" s="70"/>
      <c r="AD157" s="70"/>
      <c r="AE157" s="70"/>
      <c r="AF157" s="70"/>
      <c r="AG157" s="70"/>
      <c r="AH157" s="70"/>
      <c r="AI157" s="70"/>
      <c r="AJ157" s="70"/>
      <c r="AO157" s="70"/>
      <c r="AP157" s="93"/>
      <c r="AQ157" s="94"/>
      <c r="AR157" s="95"/>
      <c r="AS157" s="92"/>
      <c r="AT157" s="96"/>
      <c r="AU157" s="93"/>
      <c r="AV157" s="97"/>
      <c r="AW157" s="98"/>
      <c r="AX157" s="99"/>
      <c r="AY157" s="92"/>
      <c r="AZ157" s="96"/>
      <c r="BA157" s="100"/>
    </row>
    <row r="158" spans="4:53" ht="12.75" x14ac:dyDescent="0.2">
      <c r="D158" s="70"/>
      <c r="E158" s="70"/>
      <c r="F158" s="70"/>
      <c r="G158" s="70"/>
      <c r="H158" s="70"/>
      <c r="I158" s="69"/>
      <c r="J158" s="70"/>
      <c r="K158" s="70"/>
      <c r="L158" s="70"/>
      <c r="M158" s="70"/>
      <c r="N158" s="69"/>
      <c r="O158" s="93"/>
      <c r="P158" s="94"/>
      <c r="Q158" s="95"/>
      <c r="R158" s="92"/>
      <c r="S158" s="96"/>
      <c r="T158" s="93"/>
      <c r="U158" s="97"/>
      <c r="V158" s="98"/>
      <c r="W158" s="99"/>
      <c r="X158" s="92"/>
      <c r="Y158" s="96"/>
      <c r="Z158" s="100"/>
      <c r="AA158" s="70"/>
      <c r="AB158" s="70"/>
      <c r="AC158" s="70"/>
      <c r="AD158" s="70"/>
      <c r="AE158" s="70"/>
      <c r="AF158" s="79"/>
      <c r="AG158" s="70"/>
      <c r="AH158" s="70"/>
      <c r="AI158" s="70"/>
      <c r="AJ158" s="70"/>
      <c r="AO158" s="70"/>
      <c r="AP158" s="93"/>
      <c r="AQ158" s="94"/>
      <c r="AR158" s="95"/>
      <c r="AS158" s="92"/>
      <c r="AT158" s="96"/>
      <c r="AU158" s="93"/>
      <c r="AV158" s="97"/>
      <c r="AW158" s="98"/>
      <c r="AX158" s="99"/>
      <c r="AY158" s="92"/>
      <c r="AZ158" s="96"/>
      <c r="BA158" s="100"/>
    </row>
    <row r="159" spans="4:53" ht="12.75" x14ac:dyDescent="0.2">
      <c r="D159" s="70"/>
      <c r="E159" s="70"/>
      <c r="F159" s="70"/>
      <c r="G159" s="70"/>
      <c r="H159" s="70"/>
      <c r="I159" s="69"/>
      <c r="J159" s="70"/>
      <c r="K159" s="70"/>
      <c r="L159" s="70"/>
      <c r="M159" s="70"/>
      <c r="N159" s="69"/>
      <c r="O159" s="93"/>
      <c r="P159" s="94"/>
      <c r="Q159" s="95"/>
      <c r="R159" s="92"/>
      <c r="S159" s="96"/>
      <c r="T159" s="93"/>
      <c r="U159" s="97"/>
      <c r="V159" s="98"/>
      <c r="W159" s="99"/>
      <c r="X159" s="92"/>
      <c r="Y159" s="96"/>
      <c r="Z159" s="100"/>
      <c r="AA159" s="70"/>
      <c r="AB159" s="70"/>
      <c r="AC159" s="70"/>
      <c r="AD159" s="70"/>
      <c r="AE159" s="70"/>
      <c r="AF159" s="79"/>
      <c r="AG159" s="70"/>
      <c r="AH159" s="70"/>
      <c r="AI159" s="70"/>
      <c r="AJ159" s="70"/>
      <c r="AO159" s="70"/>
      <c r="AP159" s="93"/>
      <c r="AQ159" s="94"/>
      <c r="AR159" s="95"/>
      <c r="AS159" s="92"/>
      <c r="AT159" s="96"/>
      <c r="AU159" s="93"/>
      <c r="AV159" s="97"/>
      <c r="AW159" s="98"/>
      <c r="AX159" s="99"/>
      <c r="AY159" s="92"/>
      <c r="AZ159" s="96"/>
      <c r="BA159" s="100"/>
    </row>
    <row r="160" spans="4:53" ht="12.75" x14ac:dyDescent="0.2">
      <c r="D160" s="70"/>
      <c r="E160" s="70"/>
      <c r="F160" s="70"/>
      <c r="G160" s="70"/>
      <c r="H160" s="70"/>
      <c r="I160" s="69"/>
      <c r="J160" s="70"/>
      <c r="K160" s="70"/>
      <c r="L160" s="70"/>
      <c r="M160" s="70"/>
      <c r="N160" s="69"/>
      <c r="O160" s="93"/>
      <c r="P160" s="94"/>
      <c r="Q160" s="95"/>
      <c r="R160" s="92"/>
      <c r="S160" s="96"/>
      <c r="T160" s="93"/>
      <c r="U160" s="97"/>
      <c r="V160" s="98"/>
      <c r="W160" s="99"/>
      <c r="X160" s="92"/>
      <c r="Y160" s="96"/>
      <c r="Z160" s="100"/>
      <c r="AA160" s="70"/>
      <c r="AB160" s="70"/>
      <c r="AC160" s="70"/>
      <c r="AD160" s="70"/>
      <c r="AE160" s="70"/>
      <c r="AF160" s="70"/>
      <c r="AG160" s="70"/>
      <c r="AH160" s="70"/>
      <c r="AI160" s="70"/>
      <c r="AJ160" s="70"/>
      <c r="AO160" s="70"/>
      <c r="AP160" s="93"/>
      <c r="AQ160" s="94"/>
      <c r="AR160" s="95"/>
      <c r="AS160" s="92"/>
      <c r="AT160" s="96"/>
      <c r="AU160" s="93"/>
      <c r="AV160" s="97"/>
      <c r="AW160" s="98"/>
      <c r="AX160" s="99"/>
      <c r="AY160" s="92"/>
      <c r="AZ160" s="96"/>
      <c r="BA160" s="100"/>
    </row>
    <row r="161" spans="2:53" ht="12.75" x14ac:dyDescent="0.2">
      <c r="D161" s="70"/>
      <c r="E161" s="70"/>
      <c r="F161" s="70"/>
      <c r="G161" s="70"/>
      <c r="H161" s="70"/>
      <c r="I161" s="69"/>
      <c r="J161" s="70"/>
      <c r="K161" s="70"/>
      <c r="L161" s="70"/>
      <c r="M161" s="70"/>
      <c r="N161" s="69"/>
      <c r="O161" s="93"/>
      <c r="P161" s="94"/>
      <c r="Q161" s="95"/>
      <c r="R161" s="92"/>
      <c r="S161" s="96"/>
      <c r="T161" s="93"/>
      <c r="U161" s="97"/>
      <c r="V161" s="98"/>
      <c r="W161" s="99"/>
      <c r="X161" s="92"/>
      <c r="Y161" s="96"/>
      <c r="Z161" s="100"/>
      <c r="AA161" s="70"/>
      <c r="AB161" s="70"/>
      <c r="AC161" s="70"/>
      <c r="AD161" s="70"/>
      <c r="AE161" s="70"/>
      <c r="AF161" s="79"/>
      <c r="AG161" s="70"/>
      <c r="AH161" s="70"/>
      <c r="AI161" s="70"/>
      <c r="AJ161" s="70"/>
      <c r="AO161" s="70"/>
      <c r="AP161" s="93"/>
      <c r="AQ161" s="94"/>
      <c r="AR161" s="95"/>
      <c r="AS161" s="92"/>
      <c r="AT161" s="96"/>
      <c r="AU161" s="93"/>
      <c r="AV161" s="97"/>
      <c r="AW161" s="98"/>
      <c r="AX161" s="99"/>
      <c r="AY161" s="92"/>
      <c r="AZ161" s="96"/>
      <c r="BA161" s="100"/>
    </row>
    <row r="162" spans="2:53" ht="12.75" x14ac:dyDescent="0.2">
      <c r="D162" s="70"/>
      <c r="E162" s="70"/>
      <c r="F162" s="70"/>
      <c r="G162" s="70"/>
      <c r="H162" s="70"/>
      <c r="I162" s="69"/>
      <c r="J162" s="70"/>
      <c r="K162" s="70"/>
      <c r="L162" s="70"/>
      <c r="M162" s="70"/>
      <c r="N162" s="69"/>
      <c r="O162" s="93"/>
      <c r="P162" s="94"/>
      <c r="Q162" s="95"/>
      <c r="R162" s="92"/>
      <c r="S162" s="96"/>
      <c r="T162" s="93"/>
      <c r="U162" s="97"/>
      <c r="V162" s="98"/>
      <c r="W162" s="99"/>
      <c r="X162" s="92"/>
      <c r="Y162" s="96"/>
      <c r="Z162" s="100"/>
      <c r="AA162" s="70"/>
      <c r="AB162" s="70"/>
      <c r="AC162" s="70"/>
      <c r="AD162" s="70"/>
      <c r="AE162" s="70"/>
      <c r="AF162" s="79"/>
      <c r="AG162" s="70"/>
      <c r="AH162" s="70"/>
      <c r="AI162" s="70"/>
      <c r="AJ162" s="70"/>
      <c r="AO162" s="70"/>
      <c r="AP162" s="93"/>
      <c r="AQ162" s="94"/>
      <c r="AR162" s="95"/>
      <c r="AS162" s="92"/>
      <c r="AT162" s="96"/>
      <c r="AU162" s="93"/>
      <c r="AV162" s="97"/>
      <c r="AW162" s="98"/>
      <c r="AX162" s="99"/>
      <c r="AY162" s="92"/>
      <c r="AZ162" s="96"/>
      <c r="BA162" s="100"/>
    </row>
    <row r="163" spans="2:53" ht="12.75" x14ac:dyDescent="0.2">
      <c r="D163" s="70"/>
      <c r="E163" s="70"/>
      <c r="F163" s="70"/>
      <c r="G163" s="70"/>
      <c r="H163" s="70"/>
      <c r="I163" s="69"/>
      <c r="J163" s="70"/>
      <c r="K163" s="70"/>
      <c r="L163" s="70"/>
      <c r="M163" s="70"/>
      <c r="N163" s="69"/>
      <c r="O163" s="93"/>
      <c r="P163" s="94"/>
      <c r="Q163" s="95"/>
      <c r="R163" s="92"/>
      <c r="S163" s="96"/>
      <c r="T163" s="93"/>
      <c r="U163" s="97"/>
      <c r="V163" s="98"/>
      <c r="W163" s="99"/>
      <c r="X163" s="92"/>
      <c r="Y163" s="96"/>
      <c r="Z163" s="100"/>
      <c r="AA163" s="70"/>
      <c r="AB163" s="70"/>
      <c r="AC163" s="70"/>
      <c r="AD163" s="70"/>
      <c r="AE163" s="70"/>
      <c r="AF163" s="79"/>
      <c r="AG163" s="70"/>
      <c r="AH163" s="70"/>
      <c r="AI163" s="70"/>
      <c r="AJ163" s="70"/>
      <c r="AO163" s="70"/>
      <c r="AP163" s="93"/>
      <c r="AQ163" s="94"/>
      <c r="AR163" s="95"/>
      <c r="AS163" s="92"/>
      <c r="AT163" s="96"/>
      <c r="AU163" s="93"/>
      <c r="AV163" s="97"/>
      <c r="AW163" s="98"/>
      <c r="AX163" s="99"/>
      <c r="AY163" s="92"/>
      <c r="AZ163" s="96"/>
      <c r="BA163" s="100"/>
    </row>
    <row r="164" spans="2:53" ht="12.75" x14ac:dyDescent="0.2">
      <c r="D164" s="70"/>
      <c r="E164" s="70"/>
      <c r="F164" s="70"/>
      <c r="G164" s="70"/>
      <c r="H164" s="70"/>
      <c r="I164" s="69"/>
      <c r="J164" s="70"/>
      <c r="K164" s="70"/>
      <c r="L164" s="70"/>
      <c r="M164" s="70"/>
      <c r="N164" s="69"/>
      <c r="O164" s="93"/>
      <c r="P164" s="94"/>
      <c r="Q164" s="95"/>
      <c r="R164" s="92"/>
      <c r="S164" s="96"/>
      <c r="T164" s="93"/>
      <c r="U164" s="97"/>
      <c r="V164" s="98"/>
      <c r="W164" s="99"/>
      <c r="X164" s="92"/>
      <c r="Y164" s="96"/>
      <c r="Z164" s="100"/>
      <c r="AA164" s="70"/>
      <c r="AB164" s="70"/>
      <c r="AC164" s="70"/>
      <c r="AD164" s="70"/>
      <c r="AE164" s="70"/>
      <c r="AF164" s="79"/>
      <c r="AG164" s="70"/>
      <c r="AH164" s="70"/>
      <c r="AI164" s="70"/>
      <c r="AJ164" s="70"/>
      <c r="AO164" s="70"/>
      <c r="AP164" s="93"/>
      <c r="AQ164" s="94"/>
      <c r="AR164" s="95"/>
      <c r="AS164" s="92"/>
      <c r="AT164" s="96"/>
      <c r="AU164" s="93"/>
      <c r="AV164" s="97"/>
      <c r="AW164" s="98"/>
      <c r="AX164" s="99"/>
      <c r="AY164" s="92"/>
      <c r="AZ164" s="96"/>
      <c r="BA164" s="100"/>
    </row>
    <row r="165" spans="2:53" ht="12.75" x14ac:dyDescent="0.2">
      <c r="D165" s="70"/>
      <c r="E165" s="70"/>
      <c r="F165" s="70"/>
      <c r="G165" s="70"/>
      <c r="H165" s="70"/>
      <c r="I165" s="69"/>
      <c r="J165" s="70"/>
      <c r="K165" s="70"/>
      <c r="L165" s="70"/>
      <c r="M165" s="70"/>
      <c r="N165" s="69"/>
      <c r="O165" s="93"/>
      <c r="P165" s="94"/>
      <c r="Q165" s="95"/>
      <c r="R165" s="92"/>
      <c r="S165" s="96"/>
      <c r="T165" s="93"/>
      <c r="U165" s="97"/>
      <c r="V165" s="98"/>
      <c r="W165" s="99"/>
      <c r="X165" s="92"/>
      <c r="Y165" s="96"/>
      <c r="Z165" s="100"/>
      <c r="AA165" s="70"/>
      <c r="AB165" s="70"/>
      <c r="AC165" s="70"/>
      <c r="AD165" s="70"/>
      <c r="AE165" s="70"/>
      <c r="AF165" s="79"/>
      <c r="AG165" s="70"/>
      <c r="AH165" s="70"/>
      <c r="AI165" s="70"/>
      <c r="AJ165" s="70"/>
      <c r="AO165" s="70"/>
      <c r="AP165" s="93"/>
      <c r="AQ165" s="94"/>
      <c r="AR165" s="95"/>
      <c r="AS165" s="92"/>
      <c r="AT165" s="96"/>
      <c r="AU165" s="93"/>
      <c r="AV165" s="97"/>
      <c r="AW165" s="98"/>
      <c r="AX165" s="99"/>
      <c r="AY165" s="92"/>
      <c r="AZ165" s="96"/>
      <c r="BA165" s="100"/>
    </row>
    <row r="166" spans="2:53" ht="12.75" x14ac:dyDescent="0.2">
      <c r="D166" s="70"/>
      <c r="E166" s="70"/>
      <c r="F166" s="70"/>
      <c r="G166" s="70"/>
      <c r="H166" s="70"/>
      <c r="I166" s="69"/>
      <c r="J166" s="70"/>
      <c r="K166" s="70"/>
      <c r="L166" s="70"/>
      <c r="M166" s="70"/>
      <c r="N166" s="69"/>
      <c r="O166" s="93"/>
      <c r="P166" s="94"/>
      <c r="Q166" s="95"/>
      <c r="R166" s="92"/>
      <c r="S166" s="96"/>
      <c r="T166" s="93"/>
      <c r="U166" s="97"/>
      <c r="V166" s="98"/>
      <c r="W166" s="99"/>
      <c r="X166" s="92"/>
      <c r="Y166" s="96"/>
      <c r="Z166" s="100"/>
      <c r="AA166" s="70"/>
      <c r="AB166" s="70"/>
      <c r="AC166" s="70"/>
      <c r="AD166" s="70"/>
      <c r="AE166" s="70"/>
      <c r="AF166" s="70"/>
      <c r="AG166" s="70"/>
      <c r="AH166" s="70"/>
      <c r="AI166" s="70"/>
      <c r="AJ166" s="70"/>
      <c r="AO166" s="70"/>
      <c r="AP166" s="93"/>
      <c r="AQ166" s="94"/>
      <c r="AR166" s="95"/>
      <c r="AS166" s="92"/>
      <c r="AT166" s="96"/>
      <c r="AU166" s="93"/>
      <c r="AV166" s="97"/>
      <c r="AW166" s="98"/>
      <c r="AX166" s="99"/>
      <c r="AY166" s="92"/>
      <c r="AZ166" s="96"/>
      <c r="BA166" s="100"/>
    </row>
    <row r="167" spans="2:53" ht="12.75" x14ac:dyDescent="0.2">
      <c r="D167" s="70"/>
      <c r="E167" s="70"/>
      <c r="F167" s="70"/>
      <c r="G167" s="70"/>
      <c r="H167" s="70"/>
      <c r="I167" s="69"/>
      <c r="J167" s="70"/>
      <c r="K167" s="70"/>
      <c r="L167" s="70"/>
      <c r="M167" s="70"/>
      <c r="N167" s="69"/>
      <c r="O167" s="93"/>
      <c r="P167" s="94"/>
      <c r="Q167" s="95"/>
      <c r="R167" s="92"/>
      <c r="S167" s="96"/>
      <c r="T167" s="93"/>
      <c r="U167" s="97"/>
      <c r="V167" s="98"/>
      <c r="W167" s="99"/>
      <c r="X167" s="92"/>
      <c r="Y167" s="96"/>
      <c r="Z167" s="100"/>
      <c r="AA167" s="70"/>
      <c r="AB167" s="70"/>
      <c r="AC167" s="70"/>
      <c r="AD167" s="70"/>
      <c r="AE167" s="70"/>
      <c r="AF167" s="79"/>
      <c r="AG167" s="70"/>
      <c r="AH167" s="70"/>
      <c r="AI167" s="70"/>
      <c r="AJ167" s="70"/>
      <c r="AO167" s="70"/>
      <c r="AP167" s="93"/>
      <c r="AQ167" s="94"/>
      <c r="AR167" s="95"/>
      <c r="AS167" s="92"/>
      <c r="AT167" s="96"/>
      <c r="AU167" s="93"/>
      <c r="AV167" s="97"/>
      <c r="AW167" s="98"/>
      <c r="AX167" s="99"/>
      <c r="AY167" s="92"/>
      <c r="AZ167" s="96"/>
      <c r="BA167" s="100"/>
    </row>
    <row r="168" spans="2:53" ht="12.75" x14ac:dyDescent="0.2">
      <c r="D168" s="70"/>
      <c r="E168" s="70"/>
      <c r="F168" s="70"/>
      <c r="G168" s="70"/>
      <c r="H168" s="70"/>
      <c r="I168" s="69"/>
      <c r="J168" s="70"/>
      <c r="K168" s="70"/>
      <c r="L168" s="70"/>
      <c r="M168" s="70"/>
      <c r="N168" s="69"/>
      <c r="O168" s="93"/>
      <c r="P168" s="94"/>
      <c r="Q168" s="95"/>
      <c r="R168" s="92"/>
      <c r="S168" s="96"/>
      <c r="T168" s="93"/>
      <c r="U168" s="97"/>
      <c r="V168" s="98"/>
      <c r="W168" s="99"/>
      <c r="X168" s="92"/>
      <c r="Y168" s="96"/>
      <c r="Z168" s="100"/>
      <c r="AA168" s="70"/>
      <c r="AB168" s="70"/>
      <c r="AC168" s="70"/>
      <c r="AD168" s="70"/>
      <c r="AE168" s="70"/>
      <c r="AF168" s="79"/>
      <c r="AG168" s="70"/>
      <c r="AH168" s="70"/>
      <c r="AI168" s="70"/>
      <c r="AJ168" s="70"/>
      <c r="AO168" s="70"/>
      <c r="AP168" s="93"/>
      <c r="AQ168" s="94"/>
      <c r="AR168" s="95"/>
      <c r="AS168" s="92"/>
      <c r="AT168" s="96"/>
      <c r="AU168" s="93"/>
      <c r="AV168" s="97"/>
      <c r="AW168" s="98"/>
      <c r="AX168" s="99"/>
      <c r="AY168" s="92"/>
      <c r="AZ168" s="96"/>
      <c r="BA168" s="100"/>
    </row>
    <row r="169" spans="2:53" ht="12.75" x14ac:dyDescent="0.2">
      <c r="B169" s="103"/>
      <c r="D169" s="70"/>
      <c r="E169" s="70"/>
      <c r="F169" s="70"/>
      <c r="G169" s="70"/>
      <c r="H169" s="70"/>
      <c r="I169" s="69"/>
      <c r="J169" s="70"/>
      <c r="K169" s="70"/>
      <c r="L169" s="70"/>
      <c r="M169" s="70"/>
      <c r="N169" s="69"/>
      <c r="O169" s="93"/>
      <c r="P169" s="94"/>
      <c r="Q169" s="95"/>
      <c r="R169" s="92"/>
      <c r="S169" s="96"/>
      <c r="T169" s="93"/>
      <c r="U169" s="97"/>
      <c r="V169" s="98"/>
      <c r="W169" s="99"/>
      <c r="X169" s="92"/>
      <c r="Y169" s="96"/>
      <c r="Z169" s="100"/>
      <c r="AA169" s="70"/>
      <c r="AB169" s="70"/>
      <c r="AC169" s="70"/>
      <c r="AD169" s="70"/>
      <c r="AE169" s="70"/>
      <c r="AF169" s="79"/>
      <c r="AG169" s="70"/>
      <c r="AH169" s="70"/>
      <c r="AI169" s="70"/>
      <c r="AJ169" s="70"/>
      <c r="AO169" s="70"/>
      <c r="AP169" s="93"/>
      <c r="AQ169" s="94"/>
      <c r="AR169" s="95"/>
      <c r="AS169" s="92"/>
      <c r="AT169" s="96"/>
      <c r="AU169" s="93"/>
      <c r="AV169" s="97"/>
      <c r="AW169" s="98"/>
      <c r="AX169" s="99"/>
      <c r="AY169" s="92"/>
      <c r="AZ169" s="96"/>
      <c r="BA169" s="100"/>
    </row>
    <row r="170" spans="2:53" ht="12.75" x14ac:dyDescent="0.2">
      <c r="D170" s="70"/>
      <c r="E170" s="70"/>
      <c r="F170" s="70"/>
      <c r="G170" s="70"/>
      <c r="H170" s="70"/>
      <c r="I170" s="69"/>
      <c r="J170" s="70"/>
      <c r="K170" s="70"/>
      <c r="L170" s="70"/>
      <c r="M170" s="70"/>
      <c r="N170" s="69"/>
      <c r="O170" s="93"/>
      <c r="P170" s="94"/>
      <c r="Q170" s="95"/>
      <c r="R170" s="92"/>
      <c r="S170" s="96"/>
      <c r="T170" s="93"/>
      <c r="U170" s="97"/>
      <c r="V170" s="98"/>
      <c r="W170" s="99"/>
      <c r="X170" s="92"/>
      <c r="Y170" s="96"/>
      <c r="Z170" s="100"/>
      <c r="AA170" s="70"/>
      <c r="AB170" s="70"/>
      <c r="AC170" s="70"/>
      <c r="AD170" s="70"/>
      <c r="AE170" s="70"/>
      <c r="AF170" s="79"/>
      <c r="AG170" s="70"/>
      <c r="AH170" s="70"/>
      <c r="AI170" s="70"/>
      <c r="AJ170" s="70"/>
      <c r="AO170" s="70"/>
      <c r="AP170" s="93"/>
      <c r="AQ170" s="94"/>
      <c r="AR170" s="95"/>
      <c r="AS170" s="92"/>
      <c r="AT170" s="96"/>
      <c r="AU170" s="93"/>
      <c r="AV170" s="97"/>
      <c r="AW170" s="98"/>
      <c r="AX170" s="99"/>
      <c r="AY170" s="92"/>
      <c r="AZ170" s="96"/>
      <c r="BA170" s="100"/>
    </row>
    <row r="171" spans="2:53" ht="12.75" x14ac:dyDescent="0.2">
      <c r="D171" s="70"/>
      <c r="E171" s="70"/>
      <c r="F171" s="70"/>
      <c r="G171" s="70"/>
      <c r="H171" s="70"/>
      <c r="I171" s="69"/>
      <c r="J171" s="70"/>
      <c r="K171" s="70"/>
      <c r="L171" s="70"/>
      <c r="M171" s="70"/>
      <c r="N171" s="69"/>
      <c r="O171" s="93"/>
      <c r="P171" s="94"/>
      <c r="Q171" s="95"/>
      <c r="R171" s="92"/>
      <c r="S171" s="96"/>
      <c r="T171" s="93"/>
      <c r="U171" s="97"/>
      <c r="V171" s="98"/>
      <c r="W171" s="99"/>
      <c r="X171" s="92"/>
      <c r="Y171" s="96"/>
      <c r="Z171" s="100"/>
      <c r="AA171" s="70"/>
      <c r="AB171" s="70"/>
      <c r="AC171" s="70"/>
      <c r="AD171" s="70"/>
      <c r="AE171" s="70"/>
      <c r="AF171" s="70"/>
      <c r="AG171" s="70"/>
      <c r="AH171" s="70"/>
      <c r="AI171" s="70"/>
      <c r="AJ171" s="70"/>
      <c r="AO171" s="70"/>
      <c r="AP171" s="93"/>
      <c r="AQ171" s="94"/>
      <c r="AR171" s="95"/>
      <c r="AS171" s="92"/>
      <c r="AT171" s="96"/>
      <c r="AU171" s="93"/>
      <c r="AV171" s="97"/>
      <c r="AW171" s="98"/>
      <c r="AX171" s="99"/>
      <c r="AY171" s="92"/>
      <c r="AZ171" s="96"/>
      <c r="BA171" s="100"/>
    </row>
    <row r="172" spans="2:53" ht="12.75" x14ac:dyDescent="0.2">
      <c r="D172" s="70"/>
      <c r="E172" s="70"/>
      <c r="F172" s="70"/>
      <c r="G172" s="70"/>
      <c r="H172" s="70"/>
      <c r="I172" s="69"/>
      <c r="J172" s="70"/>
      <c r="K172" s="70"/>
      <c r="L172" s="70"/>
      <c r="M172" s="70"/>
      <c r="N172" s="69"/>
      <c r="O172" s="93"/>
      <c r="P172" s="94"/>
      <c r="Q172" s="95"/>
      <c r="R172" s="92"/>
      <c r="S172" s="96"/>
      <c r="T172" s="93"/>
      <c r="U172" s="97"/>
      <c r="V172" s="98"/>
      <c r="W172" s="99"/>
      <c r="X172" s="92"/>
      <c r="Y172" s="96"/>
      <c r="Z172" s="100"/>
      <c r="AA172" s="70"/>
      <c r="AB172" s="70"/>
      <c r="AC172" s="70"/>
      <c r="AD172" s="70"/>
      <c r="AE172" s="70"/>
      <c r="AF172" s="70"/>
      <c r="AG172" s="70"/>
      <c r="AH172" s="70"/>
      <c r="AI172" s="70"/>
      <c r="AJ172" s="70"/>
      <c r="AO172" s="70"/>
      <c r="AP172" s="93"/>
      <c r="AQ172" s="94"/>
      <c r="AR172" s="95"/>
      <c r="AS172" s="92"/>
      <c r="AT172" s="96"/>
      <c r="AU172" s="93"/>
      <c r="AV172" s="97"/>
      <c r="AW172" s="98"/>
      <c r="AX172" s="99"/>
      <c r="AY172" s="92"/>
      <c r="AZ172" s="96"/>
      <c r="BA172" s="100"/>
    </row>
    <row r="173" spans="2:53" ht="12.75" x14ac:dyDescent="0.2">
      <c r="D173" s="70"/>
      <c r="E173" s="70"/>
      <c r="F173" s="70"/>
      <c r="G173" s="70"/>
      <c r="H173" s="70"/>
      <c r="I173" s="69"/>
      <c r="J173" s="70"/>
      <c r="K173" s="70"/>
      <c r="L173" s="70"/>
      <c r="M173" s="70"/>
      <c r="N173" s="69"/>
      <c r="O173" s="93"/>
      <c r="P173" s="94"/>
      <c r="Q173" s="95"/>
      <c r="R173" s="92"/>
      <c r="S173" s="96"/>
      <c r="T173" s="93"/>
      <c r="U173" s="97"/>
      <c r="V173" s="98"/>
      <c r="W173" s="99"/>
      <c r="X173" s="92"/>
      <c r="Y173" s="96"/>
      <c r="Z173" s="100"/>
      <c r="AA173" s="70"/>
      <c r="AB173" s="70"/>
      <c r="AC173" s="70"/>
      <c r="AD173" s="70"/>
      <c r="AE173" s="70"/>
      <c r="AF173" s="70"/>
      <c r="AG173" s="70"/>
      <c r="AH173" s="70"/>
      <c r="AI173" s="70"/>
      <c r="AJ173" s="70"/>
      <c r="AO173" s="70"/>
      <c r="AP173" s="93"/>
      <c r="AQ173" s="94"/>
      <c r="AR173" s="95"/>
      <c r="AS173" s="92"/>
      <c r="AT173" s="96"/>
      <c r="AU173" s="93"/>
      <c r="AV173" s="97"/>
      <c r="AW173" s="98"/>
      <c r="AX173" s="99"/>
      <c r="AY173" s="92"/>
      <c r="AZ173" s="96"/>
      <c r="BA173" s="100"/>
    </row>
    <row r="174" spans="2:53" ht="12.75" x14ac:dyDescent="0.2">
      <c r="D174" s="70"/>
      <c r="E174" s="70"/>
      <c r="F174" s="70"/>
      <c r="G174" s="70"/>
      <c r="H174" s="70"/>
      <c r="I174" s="69"/>
      <c r="J174" s="70"/>
      <c r="K174" s="70"/>
      <c r="L174" s="70"/>
      <c r="M174" s="70"/>
      <c r="N174" s="69"/>
      <c r="O174" s="93"/>
      <c r="P174" s="94"/>
      <c r="Q174" s="95"/>
      <c r="R174" s="92"/>
      <c r="S174" s="96"/>
      <c r="T174" s="93"/>
      <c r="U174" s="97"/>
      <c r="V174" s="98"/>
      <c r="W174" s="99"/>
      <c r="X174" s="92"/>
      <c r="Y174" s="96"/>
      <c r="Z174" s="100"/>
      <c r="AA174" s="70"/>
      <c r="AB174" s="70"/>
      <c r="AC174" s="70"/>
      <c r="AD174" s="70"/>
      <c r="AE174" s="70"/>
      <c r="AF174" s="70"/>
      <c r="AG174" s="70"/>
      <c r="AH174" s="70"/>
      <c r="AI174" s="70"/>
      <c r="AJ174" s="70"/>
      <c r="AO174" s="70"/>
      <c r="AP174" s="93"/>
      <c r="AQ174" s="94"/>
      <c r="AR174" s="95"/>
      <c r="AS174" s="92"/>
      <c r="AT174" s="96"/>
      <c r="AU174" s="93"/>
      <c r="AV174" s="97"/>
      <c r="AW174" s="98"/>
      <c r="AX174" s="99"/>
      <c r="AY174" s="92"/>
      <c r="AZ174" s="96"/>
      <c r="BA174" s="100"/>
    </row>
    <row r="175" spans="2:53" ht="12.75" x14ac:dyDescent="0.2">
      <c r="D175" s="70"/>
      <c r="E175" s="70"/>
      <c r="F175" s="70"/>
      <c r="G175" s="70"/>
      <c r="H175" s="70"/>
      <c r="I175" s="69"/>
      <c r="J175" s="70"/>
      <c r="K175" s="70"/>
      <c r="L175" s="70"/>
      <c r="M175" s="70"/>
      <c r="N175" s="69"/>
      <c r="O175" s="93"/>
      <c r="P175" s="94"/>
      <c r="Q175" s="95"/>
      <c r="R175" s="92"/>
      <c r="S175" s="96"/>
      <c r="T175" s="93"/>
      <c r="U175" s="97"/>
      <c r="V175" s="98"/>
      <c r="W175" s="99"/>
      <c r="X175" s="92"/>
      <c r="Y175" s="96"/>
      <c r="Z175" s="100"/>
      <c r="AA175" s="70"/>
      <c r="AB175" s="70"/>
      <c r="AC175" s="70"/>
      <c r="AD175" s="70"/>
      <c r="AE175" s="70"/>
      <c r="AF175" s="70"/>
      <c r="AG175" s="70"/>
      <c r="AH175" s="70"/>
      <c r="AI175" s="70"/>
      <c r="AJ175" s="70"/>
      <c r="AO175" s="70"/>
      <c r="AP175" s="93"/>
      <c r="AQ175" s="94"/>
      <c r="AR175" s="95"/>
      <c r="AS175" s="92"/>
      <c r="AT175" s="96"/>
      <c r="AU175" s="93"/>
      <c r="AV175" s="97"/>
      <c r="AW175" s="98"/>
      <c r="AX175" s="99"/>
      <c r="AY175" s="92"/>
      <c r="AZ175" s="96"/>
      <c r="BA175" s="100"/>
    </row>
    <row r="176" spans="2:53" ht="12.75" x14ac:dyDescent="0.2">
      <c r="D176" s="70"/>
      <c r="E176" s="70"/>
      <c r="F176" s="70"/>
      <c r="G176" s="70"/>
      <c r="H176" s="70"/>
      <c r="I176" s="69"/>
      <c r="J176" s="70"/>
      <c r="K176" s="70"/>
      <c r="L176" s="70"/>
      <c r="M176" s="70"/>
      <c r="N176" s="69"/>
      <c r="O176" s="93"/>
      <c r="P176" s="94"/>
      <c r="Q176" s="95"/>
      <c r="R176" s="92"/>
      <c r="S176" s="96"/>
      <c r="T176" s="93"/>
      <c r="U176" s="97"/>
      <c r="V176" s="98"/>
      <c r="W176" s="99"/>
      <c r="X176" s="92"/>
      <c r="Y176" s="96"/>
      <c r="Z176" s="100"/>
      <c r="AA176" s="70"/>
      <c r="AB176" s="70"/>
      <c r="AC176" s="70"/>
      <c r="AD176" s="70"/>
      <c r="AE176" s="70"/>
      <c r="AF176" s="79"/>
      <c r="AG176" s="70"/>
      <c r="AH176" s="70"/>
      <c r="AI176" s="70"/>
      <c r="AJ176" s="70"/>
      <c r="AO176" s="70"/>
      <c r="AP176" s="93"/>
      <c r="AQ176" s="94"/>
      <c r="AR176" s="95"/>
      <c r="AS176" s="92"/>
      <c r="AT176" s="96"/>
      <c r="AU176" s="93"/>
      <c r="AV176" s="97"/>
      <c r="AW176" s="98"/>
      <c r="AX176" s="99"/>
      <c r="AY176" s="92"/>
      <c r="AZ176" s="96"/>
      <c r="BA176" s="100"/>
    </row>
    <row r="177" spans="4:53" ht="12.75" x14ac:dyDescent="0.2">
      <c r="D177" s="70"/>
      <c r="E177" s="70"/>
      <c r="F177" s="70"/>
      <c r="G177" s="70"/>
      <c r="H177" s="70"/>
      <c r="I177" s="69"/>
      <c r="J177" s="70"/>
      <c r="K177" s="70"/>
      <c r="L177" s="70"/>
      <c r="M177" s="70"/>
      <c r="N177" s="69"/>
      <c r="O177" s="93"/>
      <c r="P177" s="94"/>
      <c r="Q177" s="95"/>
      <c r="R177" s="92"/>
      <c r="S177" s="96"/>
      <c r="T177" s="93"/>
      <c r="U177" s="97"/>
      <c r="V177" s="98"/>
      <c r="W177" s="99"/>
      <c r="X177" s="92"/>
      <c r="Y177" s="96"/>
      <c r="Z177" s="100"/>
      <c r="AA177" s="70"/>
      <c r="AB177" s="70"/>
      <c r="AC177" s="70"/>
      <c r="AD177" s="70"/>
      <c r="AE177" s="70"/>
      <c r="AF177" s="79"/>
      <c r="AG177" s="70"/>
      <c r="AH177" s="70"/>
      <c r="AI177" s="70"/>
      <c r="AJ177" s="70"/>
      <c r="AO177" s="70"/>
      <c r="AP177" s="93"/>
      <c r="AQ177" s="94"/>
      <c r="AR177" s="95"/>
      <c r="AS177" s="92"/>
      <c r="AT177" s="96"/>
      <c r="AU177" s="93"/>
      <c r="AV177" s="97"/>
      <c r="AW177" s="98"/>
      <c r="AX177" s="99"/>
      <c r="AY177" s="92"/>
      <c r="AZ177" s="96"/>
      <c r="BA177" s="100"/>
    </row>
    <row r="178" spans="4:53" ht="12.75" x14ac:dyDescent="0.2">
      <c r="D178" s="70"/>
      <c r="E178" s="70"/>
      <c r="F178" s="70"/>
      <c r="G178" s="70"/>
      <c r="H178" s="70"/>
      <c r="I178" s="69"/>
      <c r="J178" s="70"/>
      <c r="K178" s="70"/>
      <c r="L178" s="70"/>
      <c r="M178" s="70"/>
      <c r="N178" s="69"/>
      <c r="O178" s="93"/>
      <c r="P178" s="94"/>
      <c r="Q178" s="95"/>
      <c r="R178" s="92"/>
      <c r="S178" s="96"/>
      <c r="T178" s="93"/>
      <c r="U178" s="97"/>
      <c r="V178" s="98"/>
      <c r="W178" s="99"/>
      <c r="X178" s="92"/>
      <c r="Y178" s="96"/>
      <c r="Z178" s="100"/>
      <c r="AA178" s="70"/>
      <c r="AB178" s="70"/>
      <c r="AC178" s="70"/>
      <c r="AD178" s="70"/>
      <c r="AE178" s="70"/>
      <c r="AF178" s="70"/>
      <c r="AG178" s="70"/>
      <c r="AH178" s="70"/>
      <c r="AI178" s="70"/>
      <c r="AJ178" s="70"/>
      <c r="AO178" s="70"/>
      <c r="AP178" s="93"/>
      <c r="AQ178" s="94"/>
      <c r="AR178" s="95"/>
      <c r="AS178" s="92"/>
      <c r="AT178" s="96"/>
      <c r="AU178" s="93"/>
      <c r="AV178" s="97"/>
      <c r="AW178" s="98"/>
      <c r="AX178" s="99"/>
      <c r="AY178" s="92"/>
      <c r="AZ178" s="96"/>
      <c r="BA178" s="100"/>
    </row>
    <row r="179" spans="4:53" ht="12.75" x14ac:dyDescent="0.2">
      <c r="D179" s="70"/>
      <c r="E179" s="70"/>
      <c r="F179" s="70"/>
      <c r="G179" s="70"/>
      <c r="H179" s="70"/>
      <c r="I179" s="69"/>
      <c r="J179" s="70"/>
      <c r="K179" s="70"/>
      <c r="L179" s="70"/>
      <c r="M179" s="70"/>
      <c r="N179" s="69"/>
      <c r="O179" s="93"/>
      <c r="P179" s="94"/>
      <c r="Q179" s="95"/>
      <c r="R179" s="92"/>
      <c r="S179" s="96"/>
      <c r="T179" s="93"/>
      <c r="U179" s="97"/>
      <c r="V179" s="98"/>
      <c r="W179" s="99"/>
      <c r="X179" s="92"/>
      <c r="Y179" s="96"/>
      <c r="Z179" s="100"/>
      <c r="AA179" s="70"/>
      <c r="AB179" s="70"/>
      <c r="AC179" s="70"/>
      <c r="AD179" s="70"/>
      <c r="AE179" s="70"/>
      <c r="AF179" s="70"/>
      <c r="AG179" s="70"/>
      <c r="AH179" s="70"/>
      <c r="AI179" s="70"/>
      <c r="AJ179" s="70"/>
      <c r="AO179" s="70"/>
      <c r="AP179" s="93"/>
      <c r="AQ179" s="94"/>
      <c r="AR179" s="95"/>
      <c r="AS179" s="92"/>
      <c r="AT179" s="96"/>
      <c r="AU179" s="93"/>
      <c r="AV179" s="97"/>
      <c r="AW179" s="98"/>
      <c r="AX179" s="99"/>
      <c r="AY179" s="92"/>
      <c r="AZ179" s="96"/>
      <c r="BA179" s="100"/>
    </row>
    <row r="180" spans="4:53" ht="12.75" x14ac:dyDescent="0.2">
      <c r="D180" s="70"/>
      <c r="E180" s="70"/>
      <c r="F180" s="70"/>
      <c r="G180" s="70"/>
      <c r="H180" s="70"/>
      <c r="I180" s="69"/>
      <c r="J180" s="70"/>
      <c r="K180" s="70"/>
      <c r="L180" s="70"/>
      <c r="M180" s="70"/>
      <c r="N180" s="69"/>
      <c r="O180" s="93"/>
      <c r="P180" s="94"/>
      <c r="Q180" s="95"/>
      <c r="R180" s="92"/>
      <c r="S180" s="96"/>
      <c r="T180" s="93"/>
      <c r="U180" s="97"/>
      <c r="V180" s="98"/>
      <c r="W180" s="99"/>
      <c r="X180" s="92"/>
      <c r="Y180" s="96"/>
      <c r="Z180" s="100"/>
      <c r="AA180" s="70"/>
      <c r="AB180" s="70"/>
      <c r="AC180" s="70"/>
      <c r="AD180" s="70"/>
      <c r="AE180" s="70"/>
      <c r="AF180" s="70"/>
      <c r="AG180" s="70"/>
      <c r="AH180" s="70"/>
      <c r="AI180" s="70"/>
      <c r="AJ180" s="70"/>
      <c r="AO180" s="70"/>
      <c r="AP180" s="93"/>
      <c r="AQ180" s="94"/>
      <c r="AR180" s="95"/>
      <c r="AS180" s="92"/>
      <c r="AT180" s="96"/>
      <c r="AU180" s="93"/>
      <c r="AV180" s="97"/>
      <c r="AW180" s="98"/>
      <c r="AX180" s="99"/>
      <c r="AY180" s="92"/>
      <c r="AZ180" s="96"/>
      <c r="BA180" s="100"/>
    </row>
    <row r="181" spans="4:53" ht="12.75" x14ac:dyDescent="0.2">
      <c r="D181" s="70"/>
      <c r="E181" s="70"/>
      <c r="F181" s="70"/>
      <c r="G181" s="70"/>
      <c r="H181" s="70"/>
      <c r="I181" s="69"/>
      <c r="J181" s="70"/>
      <c r="K181" s="70"/>
      <c r="L181" s="70"/>
      <c r="M181" s="70"/>
      <c r="N181" s="69"/>
      <c r="O181" s="93"/>
      <c r="P181" s="94"/>
      <c r="Q181" s="95"/>
      <c r="R181" s="92"/>
      <c r="S181" s="96"/>
      <c r="T181" s="93"/>
      <c r="U181" s="97"/>
      <c r="V181" s="98"/>
      <c r="W181" s="99"/>
      <c r="X181" s="92"/>
      <c r="Y181" s="96"/>
      <c r="Z181" s="100"/>
      <c r="AA181" s="70"/>
      <c r="AB181" s="70"/>
      <c r="AC181" s="70"/>
      <c r="AD181" s="70"/>
      <c r="AE181" s="70"/>
      <c r="AF181" s="70"/>
      <c r="AG181" s="70"/>
      <c r="AH181" s="70"/>
      <c r="AI181" s="70"/>
      <c r="AJ181" s="70"/>
      <c r="AO181" s="70"/>
      <c r="AP181" s="93"/>
      <c r="AQ181" s="94"/>
      <c r="AR181" s="95"/>
      <c r="AS181" s="92"/>
      <c r="AT181" s="96"/>
      <c r="AU181" s="93"/>
      <c r="AV181" s="97"/>
      <c r="AW181" s="98"/>
      <c r="AX181" s="99"/>
      <c r="AY181" s="92"/>
      <c r="AZ181" s="96"/>
      <c r="BA181" s="100"/>
    </row>
    <row r="182" spans="4:53" ht="12.75" x14ac:dyDescent="0.2">
      <c r="D182" s="70"/>
      <c r="E182" s="70"/>
      <c r="F182" s="70"/>
      <c r="G182" s="70"/>
      <c r="H182" s="70"/>
      <c r="I182" s="69"/>
      <c r="J182" s="70"/>
      <c r="K182" s="70"/>
      <c r="L182" s="70"/>
      <c r="M182" s="70"/>
      <c r="N182" s="69"/>
      <c r="O182" s="93"/>
      <c r="P182" s="94"/>
      <c r="Q182" s="95"/>
      <c r="R182" s="92"/>
      <c r="S182" s="96"/>
      <c r="T182" s="93"/>
      <c r="U182" s="97"/>
      <c r="V182" s="98"/>
      <c r="W182" s="99"/>
      <c r="X182" s="92"/>
      <c r="Y182" s="96"/>
      <c r="Z182" s="100"/>
      <c r="AA182" s="70"/>
      <c r="AB182" s="70"/>
      <c r="AC182" s="70"/>
      <c r="AD182" s="70"/>
      <c r="AE182" s="70"/>
      <c r="AF182" s="70"/>
      <c r="AG182" s="70"/>
      <c r="AH182" s="70"/>
      <c r="AI182" s="70"/>
      <c r="AJ182" s="70"/>
      <c r="AO182" s="70"/>
      <c r="AP182" s="93"/>
      <c r="AQ182" s="94"/>
      <c r="AR182" s="95"/>
      <c r="AS182" s="92"/>
      <c r="AT182" s="96"/>
      <c r="AU182" s="93"/>
      <c r="AV182" s="97"/>
      <c r="AW182" s="98"/>
      <c r="AX182" s="99"/>
      <c r="AY182" s="92"/>
      <c r="AZ182" s="96"/>
      <c r="BA182" s="100"/>
    </row>
    <row r="183" spans="4:53" ht="12.75" x14ac:dyDescent="0.2">
      <c r="D183" s="70"/>
      <c r="E183" s="70"/>
      <c r="F183" s="70"/>
      <c r="G183" s="70"/>
      <c r="H183" s="70"/>
      <c r="I183" s="69"/>
      <c r="J183" s="70"/>
      <c r="K183" s="70"/>
      <c r="L183" s="70"/>
      <c r="M183" s="70"/>
      <c r="N183" s="69"/>
      <c r="O183" s="93"/>
      <c r="P183" s="94"/>
      <c r="Q183" s="95"/>
      <c r="R183" s="92"/>
      <c r="S183" s="96"/>
      <c r="T183" s="93"/>
      <c r="U183" s="97"/>
      <c r="V183" s="98"/>
      <c r="W183" s="99"/>
      <c r="X183" s="92"/>
      <c r="Y183" s="96"/>
      <c r="Z183" s="100"/>
      <c r="AA183" s="70"/>
      <c r="AB183" s="70"/>
      <c r="AC183" s="70"/>
      <c r="AD183" s="70"/>
      <c r="AE183" s="70"/>
      <c r="AF183" s="70"/>
      <c r="AG183" s="70"/>
      <c r="AH183" s="70"/>
      <c r="AI183" s="70"/>
      <c r="AJ183" s="70"/>
      <c r="AO183" s="70"/>
      <c r="AP183" s="93"/>
      <c r="AQ183" s="94"/>
      <c r="AR183" s="95"/>
      <c r="AS183" s="92"/>
      <c r="AT183" s="96"/>
      <c r="AU183" s="93"/>
      <c r="AV183" s="97"/>
      <c r="AW183" s="98"/>
      <c r="AX183" s="99"/>
      <c r="AY183" s="92"/>
      <c r="AZ183" s="96"/>
      <c r="BA183" s="100"/>
    </row>
    <row r="184" spans="4:53" ht="12.75" x14ac:dyDescent="0.2">
      <c r="D184" s="70"/>
      <c r="E184" s="70"/>
      <c r="F184" s="70"/>
      <c r="G184" s="70"/>
      <c r="H184" s="70"/>
      <c r="I184" s="69"/>
      <c r="J184" s="70"/>
      <c r="K184" s="70"/>
      <c r="L184" s="70"/>
      <c r="M184" s="70"/>
      <c r="N184" s="69"/>
      <c r="O184" s="93"/>
      <c r="P184" s="94"/>
      <c r="Q184" s="95"/>
      <c r="R184" s="92"/>
      <c r="S184" s="96"/>
      <c r="T184" s="93"/>
      <c r="U184" s="97"/>
      <c r="V184" s="98"/>
      <c r="W184" s="99"/>
      <c r="X184" s="92"/>
      <c r="Y184" s="96"/>
      <c r="Z184" s="100"/>
      <c r="AA184" s="70"/>
      <c r="AB184" s="70"/>
      <c r="AC184" s="70"/>
      <c r="AD184" s="70"/>
      <c r="AE184" s="70"/>
      <c r="AF184" s="70"/>
      <c r="AG184" s="70"/>
      <c r="AH184" s="70"/>
      <c r="AI184" s="70"/>
      <c r="AJ184" s="70"/>
      <c r="AO184" s="70"/>
      <c r="AP184" s="93"/>
      <c r="AQ184" s="94"/>
      <c r="AR184" s="95"/>
      <c r="AS184" s="92"/>
      <c r="AT184" s="96"/>
      <c r="AU184" s="93"/>
      <c r="AV184" s="97"/>
      <c r="AW184" s="98"/>
      <c r="AX184" s="99"/>
      <c r="AY184" s="92"/>
      <c r="AZ184" s="96"/>
      <c r="BA184" s="100"/>
    </row>
    <row r="185" spans="4:53" ht="12.75" x14ac:dyDescent="0.2">
      <c r="D185" s="70"/>
      <c r="E185" s="70"/>
      <c r="F185" s="70"/>
      <c r="G185" s="70"/>
      <c r="H185" s="70"/>
      <c r="I185" s="69"/>
      <c r="J185" s="70"/>
      <c r="K185" s="70"/>
      <c r="L185" s="70"/>
      <c r="M185" s="70"/>
      <c r="N185" s="69"/>
      <c r="O185" s="93"/>
      <c r="P185" s="94"/>
      <c r="Q185" s="95"/>
      <c r="R185" s="92"/>
      <c r="S185" s="96"/>
      <c r="T185" s="93"/>
      <c r="U185" s="97"/>
      <c r="V185" s="98"/>
      <c r="W185" s="99"/>
      <c r="X185" s="92"/>
      <c r="Y185" s="96"/>
      <c r="Z185" s="100"/>
      <c r="AA185" s="70"/>
      <c r="AB185" s="70"/>
      <c r="AC185" s="70"/>
      <c r="AD185" s="70"/>
      <c r="AE185" s="70"/>
      <c r="AF185" s="70"/>
      <c r="AG185" s="70"/>
      <c r="AH185" s="70"/>
      <c r="AI185" s="70"/>
      <c r="AJ185" s="70"/>
      <c r="AO185" s="70"/>
      <c r="AP185" s="93"/>
      <c r="AQ185" s="94"/>
      <c r="AR185" s="95"/>
      <c r="AS185" s="92"/>
      <c r="AT185" s="96"/>
      <c r="AU185" s="93"/>
      <c r="AV185" s="97"/>
      <c r="AW185" s="98"/>
      <c r="AX185" s="99"/>
      <c r="AY185" s="92"/>
      <c r="AZ185" s="96"/>
      <c r="BA185" s="100"/>
    </row>
    <row r="186" spans="4:53" ht="12.75" x14ac:dyDescent="0.2">
      <c r="D186" s="70"/>
      <c r="E186" s="70"/>
      <c r="F186" s="70"/>
      <c r="G186" s="70"/>
      <c r="H186" s="70"/>
      <c r="I186" s="69"/>
      <c r="J186" s="70"/>
      <c r="K186" s="70"/>
      <c r="L186" s="70"/>
      <c r="M186" s="70"/>
      <c r="N186" s="69"/>
      <c r="O186" s="93"/>
      <c r="P186" s="94"/>
      <c r="Q186" s="95"/>
      <c r="R186" s="92"/>
      <c r="S186" s="96"/>
      <c r="T186" s="93"/>
      <c r="U186" s="97"/>
      <c r="V186" s="98"/>
      <c r="W186" s="99"/>
      <c r="X186" s="92"/>
      <c r="Y186" s="96"/>
      <c r="Z186" s="100"/>
      <c r="AA186" s="70"/>
      <c r="AB186" s="70"/>
      <c r="AC186" s="70"/>
      <c r="AD186" s="70"/>
      <c r="AE186" s="70"/>
      <c r="AF186" s="70"/>
      <c r="AG186" s="70"/>
      <c r="AH186" s="70"/>
      <c r="AI186" s="70"/>
      <c r="AJ186" s="70"/>
      <c r="AO186" s="70"/>
      <c r="AP186" s="93"/>
      <c r="AQ186" s="94"/>
      <c r="AR186" s="95"/>
      <c r="AS186" s="92"/>
      <c r="AT186" s="96"/>
      <c r="AU186" s="93"/>
      <c r="AV186" s="97"/>
      <c r="AW186" s="98"/>
      <c r="AX186" s="99"/>
      <c r="AY186" s="92"/>
      <c r="AZ186" s="96"/>
      <c r="BA186" s="100"/>
    </row>
    <row r="187" spans="4:53" ht="12.75" x14ac:dyDescent="0.2">
      <c r="D187" s="70"/>
      <c r="E187" s="70"/>
      <c r="F187" s="70"/>
      <c r="G187" s="70"/>
      <c r="H187" s="70"/>
      <c r="I187" s="69"/>
      <c r="J187" s="70"/>
      <c r="K187" s="70"/>
      <c r="L187" s="70"/>
      <c r="M187" s="70"/>
      <c r="N187" s="69"/>
      <c r="O187" s="93"/>
      <c r="P187" s="94"/>
      <c r="Q187" s="95"/>
      <c r="R187" s="92"/>
      <c r="S187" s="96"/>
      <c r="T187" s="93"/>
      <c r="U187" s="97"/>
      <c r="V187" s="98"/>
      <c r="W187" s="99"/>
      <c r="X187" s="92"/>
      <c r="Y187" s="96"/>
      <c r="Z187" s="100"/>
      <c r="AA187" s="70"/>
      <c r="AB187" s="70"/>
      <c r="AC187" s="70"/>
      <c r="AD187" s="70"/>
      <c r="AE187" s="70"/>
      <c r="AF187" s="70"/>
      <c r="AG187" s="70"/>
      <c r="AH187" s="70"/>
      <c r="AI187" s="70"/>
      <c r="AJ187" s="70"/>
      <c r="AO187" s="70"/>
      <c r="AP187" s="93"/>
      <c r="AQ187" s="94"/>
      <c r="AR187" s="95"/>
      <c r="AS187" s="92"/>
      <c r="AT187" s="96"/>
      <c r="AU187" s="93"/>
      <c r="AV187" s="97"/>
      <c r="AW187" s="98"/>
      <c r="AX187" s="99"/>
      <c r="AY187" s="92"/>
      <c r="AZ187" s="96"/>
      <c r="BA187" s="100"/>
    </row>
    <row r="188" spans="4:53" ht="12.75" x14ac:dyDescent="0.2">
      <c r="D188" s="70"/>
      <c r="E188" s="70"/>
      <c r="F188" s="70"/>
      <c r="G188" s="70"/>
      <c r="H188" s="70"/>
      <c r="I188" s="69"/>
      <c r="J188" s="70"/>
      <c r="K188" s="70"/>
      <c r="L188" s="70"/>
      <c r="M188" s="70"/>
      <c r="N188" s="69"/>
      <c r="O188" s="93"/>
      <c r="P188" s="94"/>
      <c r="Q188" s="95"/>
      <c r="R188" s="92"/>
      <c r="S188" s="96"/>
      <c r="T188" s="93"/>
      <c r="U188" s="97"/>
      <c r="V188" s="98"/>
      <c r="W188" s="99"/>
      <c r="X188" s="92"/>
      <c r="Y188" s="96"/>
      <c r="Z188" s="100"/>
      <c r="AA188" s="70"/>
      <c r="AB188" s="70"/>
      <c r="AC188" s="70"/>
      <c r="AD188" s="70"/>
      <c r="AE188" s="70"/>
      <c r="AF188" s="70"/>
      <c r="AG188" s="70"/>
      <c r="AH188" s="70"/>
      <c r="AI188" s="70"/>
      <c r="AJ188" s="70"/>
      <c r="AO188" s="70"/>
      <c r="AP188" s="93"/>
      <c r="AQ188" s="94"/>
      <c r="AR188" s="95"/>
      <c r="AS188" s="92"/>
      <c r="AT188" s="96"/>
      <c r="AU188" s="93"/>
      <c r="AV188" s="97"/>
      <c r="AW188" s="98"/>
      <c r="AX188" s="99"/>
      <c r="AY188" s="92"/>
      <c r="AZ188" s="96"/>
      <c r="BA188" s="100"/>
    </row>
    <row r="189" spans="4:53" ht="12.75" x14ac:dyDescent="0.2">
      <c r="D189" s="70"/>
      <c r="E189" s="70"/>
      <c r="F189" s="70"/>
      <c r="G189" s="70"/>
      <c r="H189" s="70"/>
      <c r="I189" s="69"/>
      <c r="J189" s="70"/>
      <c r="K189" s="70"/>
      <c r="L189" s="70"/>
      <c r="M189" s="70"/>
      <c r="N189" s="69"/>
      <c r="O189" s="93"/>
      <c r="P189" s="94"/>
      <c r="Q189" s="95"/>
      <c r="R189" s="92"/>
      <c r="S189" s="96"/>
      <c r="T189" s="93"/>
      <c r="U189" s="97"/>
      <c r="V189" s="98"/>
      <c r="W189" s="99"/>
      <c r="X189" s="92"/>
      <c r="Y189" s="96"/>
      <c r="Z189" s="100"/>
      <c r="AA189" s="70"/>
      <c r="AB189" s="70"/>
      <c r="AC189" s="70"/>
      <c r="AD189" s="70"/>
      <c r="AE189" s="70"/>
      <c r="AF189" s="70"/>
      <c r="AG189" s="70"/>
      <c r="AH189" s="70"/>
      <c r="AI189" s="70"/>
      <c r="AJ189" s="70"/>
      <c r="AO189" s="70"/>
      <c r="AP189" s="93"/>
      <c r="AQ189" s="94"/>
      <c r="AR189" s="95"/>
      <c r="AS189" s="92"/>
      <c r="AT189" s="96"/>
      <c r="AU189" s="93"/>
      <c r="AV189" s="97"/>
      <c r="AW189" s="98"/>
      <c r="AX189" s="99"/>
      <c r="AY189" s="92"/>
      <c r="AZ189" s="96"/>
      <c r="BA189" s="100"/>
    </row>
    <row r="190" spans="4:53" ht="12.75" x14ac:dyDescent="0.2">
      <c r="D190" s="70"/>
      <c r="E190" s="70"/>
      <c r="F190" s="70"/>
      <c r="G190" s="70"/>
      <c r="H190" s="70"/>
      <c r="I190" s="69"/>
      <c r="J190" s="70"/>
      <c r="K190" s="70"/>
      <c r="L190" s="70"/>
      <c r="M190" s="70"/>
      <c r="N190" s="69"/>
      <c r="O190" s="93"/>
      <c r="P190" s="94"/>
      <c r="Q190" s="95"/>
      <c r="R190" s="92"/>
      <c r="S190" s="96"/>
      <c r="T190" s="93"/>
      <c r="U190" s="97"/>
      <c r="V190" s="98"/>
      <c r="W190" s="99"/>
      <c r="X190" s="92"/>
      <c r="Y190" s="96"/>
      <c r="Z190" s="100"/>
      <c r="AA190" s="70"/>
      <c r="AB190" s="70"/>
      <c r="AC190" s="70"/>
      <c r="AD190" s="70"/>
      <c r="AE190" s="70"/>
      <c r="AF190" s="70"/>
      <c r="AG190" s="70"/>
      <c r="AH190" s="70"/>
      <c r="AI190" s="70"/>
      <c r="AJ190" s="70"/>
      <c r="AO190" s="70"/>
      <c r="AP190" s="93"/>
      <c r="AQ190" s="94"/>
      <c r="AR190" s="95"/>
      <c r="AS190" s="92"/>
      <c r="AT190" s="96"/>
      <c r="AU190" s="93"/>
      <c r="AV190" s="97"/>
      <c r="AW190" s="98"/>
      <c r="AX190" s="99"/>
      <c r="AY190" s="92"/>
      <c r="AZ190" s="96"/>
      <c r="BA190" s="100"/>
    </row>
    <row r="191" spans="4:53" ht="12.75" x14ac:dyDescent="0.2">
      <c r="D191" s="70"/>
      <c r="E191" s="70"/>
      <c r="F191" s="70"/>
      <c r="G191" s="70"/>
      <c r="H191" s="70"/>
      <c r="I191" s="69"/>
      <c r="J191" s="70"/>
      <c r="K191" s="70"/>
      <c r="L191" s="70"/>
      <c r="M191" s="70"/>
      <c r="N191" s="69"/>
      <c r="O191" s="93"/>
      <c r="P191" s="94"/>
      <c r="Q191" s="95"/>
      <c r="R191" s="92"/>
      <c r="S191" s="96"/>
      <c r="T191" s="93"/>
      <c r="U191" s="97"/>
      <c r="V191" s="98"/>
      <c r="W191" s="99"/>
      <c r="X191" s="92"/>
      <c r="Y191" s="96"/>
      <c r="Z191" s="100"/>
      <c r="AA191" s="70"/>
      <c r="AB191" s="70"/>
      <c r="AC191" s="70"/>
      <c r="AD191" s="70"/>
      <c r="AE191" s="70"/>
      <c r="AF191" s="70"/>
      <c r="AG191" s="70"/>
      <c r="AH191" s="70"/>
      <c r="AI191" s="70"/>
      <c r="AJ191" s="70"/>
      <c r="AO191" s="70"/>
      <c r="AP191" s="93"/>
      <c r="AQ191" s="94"/>
      <c r="AR191" s="95"/>
      <c r="AS191" s="92"/>
      <c r="AT191" s="96"/>
      <c r="AU191" s="93"/>
      <c r="AV191" s="97"/>
      <c r="AW191" s="98"/>
      <c r="AX191" s="99"/>
      <c r="AY191" s="92"/>
      <c r="AZ191" s="96"/>
      <c r="BA191" s="100"/>
    </row>
    <row r="192" spans="4:53" ht="12.75" x14ac:dyDescent="0.2">
      <c r="D192" s="70"/>
      <c r="E192" s="70"/>
      <c r="F192" s="70"/>
      <c r="G192" s="70"/>
      <c r="H192" s="70"/>
      <c r="I192" s="69"/>
      <c r="J192" s="70"/>
      <c r="K192" s="70"/>
      <c r="L192" s="70"/>
      <c r="M192" s="70"/>
      <c r="N192" s="69"/>
      <c r="O192" s="93"/>
      <c r="P192" s="94"/>
      <c r="Q192" s="95"/>
      <c r="R192" s="92"/>
      <c r="S192" s="96"/>
      <c r="T192" s="93"/>
      <c r="U192" s="97"/>
      <c r="V192" s="98"/>
      <c r="W192" s="99"/>
      <c r="X192" s="92"/>
      <c r="Y192" s="96"/>
      <c r="Z192" s="100"/>
      <c r="AA192" s="70"/>
      <c r="AB192" s="70"/>
      <c r="AC192" s="70"/>
      <c r="AD192" s="70"/>
      <c r="AE192" s="70"/>
      <c r="AF192" s="70"/>
      <c r="AG192" s="70"/>
      <c r="AH192" s="70"/>
      <c r="AI192" s="70"/>
      <c r="AJ192" s="70"/>
      <c r="AO192" s="70"/>
      <c r="AP192" s="93"/>
      <c r="AQ192" s="94"/>
      <c r="AR192" s="95"/>
      <c r="AS192" s="92"/>
      <c r="AT192" s="96"/>
      <c r="AU192" s="93"/>
      <c r="AV192" s="97"/>
      <c r="AW192" s="98"/>
      <c r="AX192" s="99"/>
      <c r="AY192" s="92"/>
      <c r="AZ192" s="96"/>
      <c r="BA192" s="100"/>
    </row>
    <row r="193" spans="2:53" ht="12.75" x14ac:dyDescent="0.2">
      <c r="D193" s="70"/>
      <c r="E193" s="70"/>
      <c r="F193" s="70"/>
      <c r="G193" s="70"/>
      <c r="H193" s="70"/>
      <c r="I193" s="69"/>
      <c r="J193" s="70"/>
      <c r="K193" s="70"/>
      <c r="L193" s="70"/>
      <c r="M193" s="70"/>
      <c r="N193" s="69"/>
      <c r="O193" s="93"/>
      <c r="P193" s="94"/>
      <c r="Q193" s="95"/>
      <c r="R193" s="92"/>
      <c r="S193" s="96"/>
      <c r="T193" s="93"/>
      <c r="U193" s="97"/>
      <c r="V193" s="98"/>
      <c r="W193" s="99"/>
      <c r="X193" s="92"/>
      <c r="Y193" s="96"/>
      <c r="Z193" s="100"/>
      <c r="AA193" s="70"/>
      <c r="AB193" s="70"/>
      <c r="AC193" s="70"/>
      <c r="AD193" s="70"/>
      <c r="AE193" s="70"/>
      <c r="AF193" s="70"/>
      <c r="AG193" s="70"/>
      <c r="AH193" s="70"/>
      <c r="AI193" s="70"/>
      <c r="AJ193" s="70"/>
      <c r="AO193" s="70"/>
      <c r="AP193" s="93"/>
      <c r="AQ193" s="94"/>
      <c r="AR193" s="95"/>
      <c r="AS193" s="92"/>
      <c r="AT193" s="96"/>
      <c r="AU193" s="93"/>
      <c r="AV193" s="97"/>
      <c r="AW193" s="98"/>
      <c r="AX193" s="99"/>
      <c r="AY193" s="92"/>
      <c r="AZ193" s="96"/>
      <c r="BA193" s="100"/>
    </row>
    <row r="194" spans="2:53" ht="12.75" x14ac:dyDescent="0.2">
      <c r="D194" s="70"/>
      <c r="E194" s="70"/>
      <c r="F194" s="70"/>
      <c r="G194" s="70"/>
      <c r="H194" s="70"/>
      <c r="I194" s="69"/>
      <c r="J194" s="70"/>
      <c r="K194" s="70"/>
      <c r="L194" s="70"/>
      <c r="M194" s="70"/>
      <c r="N194" s="69"/>
      <c r="O194" s="93"/>
      <c r="P194" s="94"/>
      <c r="Q194" s="95"/>
      <c r="R194" s="92"/>
      <c r="S194" s="96"/>
      <c r="T194" s="93"/>
      <c r="U194" s="97"/>
      <c r="V194" s="98"/>
      <c r="W194" s="99"/>
      <c r="X194" s="92"/>
      <c r="Y194" s="96"/>
      <c r="Z194" s="100"/>
      <c r="AA194" s="70"/>
      <c r="AB194" s="70"/>
      <c r="AC194" s="70"/>
      <c r="AD194" s="70"/>
      <c r="AE194" s="70"/>
      <c r="AF194" s="70"/>
      <c r="AG194" s="70"/>
      <c r="AH194" s="70"/>
      <c r="AI194" s="70"/>
      <c r="AJ194" s="70"/>
      <c r="AO194" s="70"/>
      <c r="AP194" s="93"/>
      <c r="AQ194" s="94"/>
      <c r="AR194" s="95"/>
      <c r="AS194" s="92"/>
      <c r="AT194" s="96"/>
      <c r="AU194" s="93"/>
      <c r="AV194" s="97"/>
      <c r="AW194" s="98"/>
      <c r="AX194" s="99"/>
      <c r="AY194" s="92"/>
      <c r="AZ194" s="96"/>
      <c r="BA194" s="100"/>
    </row>
    <row r="195" spans="2:53" ht="12.75" x14ac:dyDescent="0.2">
      <c r="D195" s="70"/>
      <c r="E195" s="70"/>
      <c r="F195" s="70"/>
      <c r="G195" s="70"/>
      <c r="H195" s="70"/>
      <c r="I195" s="69"/>
      <c r="J195" s="70"/>
      <c r="K195" s="70"/>
      <c r="L195" s="70"/>
      <c r="M195" s="70"/>
      <c r="N195" s="69"/>
      <c r="O195" s="93"/>
      <c r="P195" s="94"/>
      <c r="Q195" s="95"/>
      <c r="R195" s="92"/>
      <c r="S195" s="96"/>
      <c r="T195" s="93"/>
      <c r="U195" s="97"/>
      <c r="V195" s="98"/>
      <c r="W195" s="99"/>
      <c r="X195" s="92"/>
      <c r="Y195" s="96"/>
      <c r="Z195" s="100"/>
      <c r="AA195" s="70"/>
      <c r="AB195" s="70"/>
      <c r="AC195" s="70"/>
      <c r="AD195" s="70"/>
      <c r="AE195" s="70"/>
      <c r="AF195" s="70"/>
      <c r="AG195" s="70"/>
      <c r="AH195" s="70"/>
      <c r="AI195" s="70"/>
      <c r="AJ195" s="70"/>
      <c r="AO195" s="70"/>
      <c r="AP195" s="93"/>
      <c r="AQ195" s="94"/>
      <c r="AR195" s="95"/>
      <c r="AS195" s="92"/>
      <c r="AT195" s="96"/>
      <c r="AU195" s="93"/>
      <c r="AV195" s="97"/>
      <c r="AW195" s="98"/>
      <c r="AX195" s="99"/>
      <c r="AY195" s="92"/>
      <c r="AZ195" s="96"/>
      <c r="BA195" s="100"/>
    </row>
    <row r="196" spans="2:53" ht="12.75" x14ac:dyDescent="0.2">
      <c r="D196" s="70"/>
      <c r="E196" s="70"/>
      <c r="F196" s="70"/>
      <c r="G196" s="70"/>
      <c r="H196" s="70"/>
      <c r="I196" s="69"/>
      <c r="J196" s="70"/>
      <c r="K196" s="70"/>
      <c r="L196" s="70"/>
      <c r="M196" s="70"/>
      <c r="N196" s="69"/>
      <c r="O196" s="93"/>
      <c r="P196" s="94"/>
      <c r="Q196" s="95"/>
      <c r="R196" s="92"/>
      <c r="S196" s="96"/>
      <c r="T196" s="93"/>
      <c r="U196" s="97"/>
      <c r="V196" s="98"/>
      <c r="W196" s="99"/>
      <c r="X196" s="92"/>
      <c r="Y196" s="96"/>
      <c r="Z196" s="100"/>
      <c r="AA196" s="70"/>
      <c r="AB196" s="70"/>
      <c r="AC196" s="70"/>
      <c r="AD196" s="70"/>
      <c r="AE196" s="70"/>
      <c r="AF196" s="70"/>
      <c r="AG196" s="70"/>
      <c r="AH196" s="70"/>
      <c r="AI196" s="70"/>
      <c r="AJ196" s="70"/>
      <c r="AO196" s="70"/>
      <c r="AP196" s="93"/>
      <c r="AQ196" s="94"/>
      <c r="AR196" s="95"/>
      <c r="AS196" s="92"/>
      <c r="AT196" s="96"/>
      <c r="AU196" s="93"/>
      <c r="AV196" s="97"/>
      <c r="AW196" s="98"/>
      <c r="AX196" s="99"/>
      <c r="AY196" s="92"/>
      <c r="AZ196" s="96"/>
      <c r="BA196" s="100"/>
    </row>
    <row r="197" spans="2:53" ht="12.75" x14ac:dyDescent="0.2">
      <c r="D197" s="70"/>
      <c r="E197" s="70"/>
      <c r="F197" s="70"/>
      <c r="G197" s="70"/>
      <c r="H197" s="70"/>
      <c r="I197" s="69"/>
      <c r="J197" s="70"/>
      <c r="K197" s="70"/>
      <c r="L197" s="70"/>
      <c r="M197" s="70"/>
      <c r="N197" s="69"/>
      <c r="O197" s="93"/>
      <c r="P197" s="94"/>
      <c r="Q197" s="95"/>
      <c r="R197" s="92"/>
      <c r="S197" s="96"/>
      <c r="T197" s="93"/>
      <c r="U197" s="97"/>
      <c r="V197" s="98"/>
      <c r="W197" s="99"/>
      <c r="X197" s="92"/>
      <c r="Y197" s="96"/>
      <c r="Z197" s="100"/>
      <c r="AA197" s="70"/>
      <c r="AB197" s="70"/>
      <c r="AC197" s="70"/>
      <c r="AD197" s="70"/>
      <c r="AE197" s="70"/>
      <c r="AF197" s="70"/>
      <c r="AG197" s="70"/>
      <c r="AH197" s="70"/>
      <c r="AI197" s="70"/>
      <c r="AJ197" s="70"/>
      <c r="AO197" s="70"/>
      <c r="AP197" s="93"/>
      <c r="AQ197" s="94"/>
      <c r="AR197" s="95"/>
      <c r="AS197" s="92"/>
      <c r="AT197" s="96"/>
      <c r="AU197" s="93"/>
      <c r="AV197" s="97"/>
      <c r="AW197" s="98"/>
      <c r="AX197" s="99"/>
      <c r="AY197" s="92"/>
      <c r="AZ197" s="96"/>
      <c r="BA197" s="100"/>
    </row>
    <row r="198" spans="2:53" ht="12.75" x14ac:dyDescent="0.2">
      <c r="D198" s="70"/>
      <c r="E198" s="70"/>
      <c r="F198" s="70"/>
      <c r="G198" s="70"/>
      <c r="H198" s="70"/>
      <c r="I198" s="69"/>
      <c r="J198" s="70"/>
      <c r="K198" s="70"/>
      <c r="L198" s="70"/>
      <c r="M198" s="70"/>
      <c r="N198" s="69"/>
      <c r="O198" s="93"/>
      <c r="P198" s="94"/>
      <c r="Q198" s="95"/>
      <c r="R198" s="92"/>
      <c r="S198" s="96"/>
      <c r="T198" s="93"/>
      <c r="U198" s="97"/>
      <c r="V198" s="98"/>
      <c r="W198" s="99"/>
      <c r="X198" s="92"/>
      <c r="Y198" s="96"/>
      <c r="Z198" s="100"/>
      <c r="AA198" s="70"/>
      <c r="AB198" s="70"/>
      <c r="AC198" s="70"/>
      <c r="AD198" s="70"/>
      <c r="AE198" s="70"/>
      <c r="AF198" s="70"/>
      <c r="AG198" s="70"/>
      <c r="AH198" s="70"/>
      <c r="AI198" s="70"/>
      <c r="AJ198" s="70"/>
      <c r="AO198" s="70"/>
      <c r="AP198" s="93"/>
      <c r="AQ198" s="94"/>
      <c r="AR198" s="95"/>
      <c r="AS198" s="92"/>
      <c r="AT198" s="96"/>
      <c r="AU198" s="93"/>
      <c r="AV198" s="97"/>
      <c r="AW198" s="98"/>
      <c r="AX198" s="99"/>
      <c r="AY198" s="92"/>
      <c r="AZ198" s="96"/>
      <c r="BA198" s="100"/>
    </row>
    <row r="199" spans="2:53" ht="12.75" x14ac:dyDescent="0.2">
      <c r="B199" s="103"/>
      <c r="D199" s="70"/>
      <c r="E199" s="70"/>
      <c r="F199" s="70"/>
      <c r="G199" s="70"/>
      <c r="H199" s="70"/>
      <c r="I199" s="69"/>
      <c r="J199" s="70"/>
      <c r="K199" s="70"/>
      <c r="L199" s="70"/>
      <c r="M199" s="70"/>
      <c r="N199" s="69"/>
      <c r="O199" s="93"/>
      <c r="P199" s="94"/>
      <c r="Q199" s="95"/>
      <c r="R199" s="92"/>
      <c r="S199" s="96"/>
      <c r="T199" s="93"/>
      <c r="U199" s="97"/>
      <c r="V199" s="98"/>
      <c r="W199" s="99"/>
      <c r="X199" s="92"/>
      <c r="Y199" s="96"/>
      <c r="Z199" s="100"/>
      <c r="AA199" s="70"/>
      <c r="AB199" s="70"/>
      <c r="AC199" s="70"/>
      <c r="AD199" s="70"/>
      <c r="AE199" s="70"/>
      <c r="AF199" s="70"/>
      <c r="AG199" s="70"/>
      <c r="AH199" s="70"/>
      <c r="AI199" s="70"/>
      <c r="AJ199" s="70"/>
      <c r="AO199" s="70"/>
      <c r="AP199" s="93"/>
      <c r="AQ199" s="94"/>
      <c r="AR199" s="95"/>
      <c r="AS199" s="92"/>
      <c r="AT199" s="96"/>
      <c r="AU199" s="93"/>
      <c r="AV199" s="97"/>
      <c r="AW199" s="98"/>
      <c r="AX199" s="99"/>
      <c r="AY199" s="92"/>
      <c r="AZ199" s="96"/>
      <c r="BA199" s="100"/>
    </row>
    <row r="200" spans="2:53" ht="12.75" x14ac:dyDescent="0.2">
      <c r="D200" s="70"/>
      <c r="E200" s="70"/>
      <c r="F200" s="70"/>
      <c r="G200" s="70"/>
      <c r="H200" s="70"/>
      <c r="I200" s="69"/>
      <c r="J200" s="70"/>
      <c r="K200" s="70"/>
      <c r="L200" s="70"/>
      <c r="M200" s="70"/>
      <c r="N200" s="69"/>
      <c r="O200" s="93"/>
      <c r="P200" s="94"/>
      <c r="Q200" s="95"/>
      <c r="R200" s="92"/>
      <c r="S200" s="96"/>
      <c r="T200" s="93"/>
      <c r="U200" s="97"/>
      <c r="V200" s="98"/>
      <c r="W200" s="99"/>
      <c r="X200" s="92"/>
      <c r="Y200" s="96"/>
      <c r="Z200" s="100"/>
      <c r="AA200" s="70"/>
      <c r="AB200" s="70"/>
      <c r="AC200" s="70"/>
      <c r="AD200" s="70"/>
      <c r="AE200" s="70"/>
      <c r="AF200" s="70"/>
      <c r="AG200" s="70"/>
      <c r="AH200" s="70"/>
      <c r="AI200" s="70"/>
      <c r="AJ200" s="70"/>
      <c r="AO200" s="70"/>
      <c r="AP200" s="93"/>
      <c r="AQ200" s="94"/>
      <c r="AR200" s="95"/>
      <c r="AS200" s="92"/>
      <c r="AT200" s="96"/>
      <c r="AU200" s="93"/>
      <c r="AV200" s="97"/>
      <c r="AW200" s="98"/>
      <c r="AX200" s="99"/>
      <c r="AY200" s="92"/>
      <c r="AZ200" s="96"/>
      <c r="BA200" s="100"/>
    </row>
    <row r="201" spans="2:53" ht="12.75" x14ac:dyDescent="0.2">
      <c r="D201" s="70"/>
      <c r="E201" s="70"/>
      <c r="F201" s="70"/>
      <c r="G201" s="70"/>
      <c r="H201" s="70"/>
      <c r="I201" s="69"/>
      <c r="J201" s="70"/>
      <c r="K201" s="70"/>
      <c r="L201" s="70"/>
      <c r="M201" s="70"/>
      <c r="N201" s="69"/>
      <c r="O201" s="93"/>
      <c r="P201" s="94"/>
      <c r="Q201" s="95"/>
      <c r="R201" s="92"/>
      <c r="S201" s="96"/>
      <c r="T201" s="93"/>
      <c r="U201" s="97"/>
      <c r="V201" s="98"/>
      <c r="W201" s="99"/>
      <c r="X201" s="92"/>
      <c r="Y201" s="96"/>
      <c r="Z201" s="100"/>
      <c r="AA201" s="70"/>
      <c r="AB201" s="70"/>
      <c r="AC201" s="70"/>
      <c r="AD201" s="70"/>
      <c r="AE201" s="70"/>
      <c r="AF201" s="70"/>
      <c r="AG201" s="70"/>
      <c r="AH201" s="70"/>
      <c r="AI201" s="70"/>
      <c r="AJ201" s="70"/>
      <c r="AO201" s="70"/>
      <c r="AP201" s="93"/>
      <c r="AQ201" s="94"/>
      <c r="AR201" s="95"/>
      <c r="AS201" s="92"/>
      <c r="AT201" s="96"/>
      <c r="AU201" s="93"/>
      <c r="AV201" s="97"/>
      <c r="AW201" s="98"/>
      <c r="AX201" s="99"/>
      <c r="AY201" s="92"/>
      <c r="AZ201" s="96"/>
      <c r="BA201" s="100"/>
    </row>
    <row r="202" spans="2:53" ht="12.75" x14ac:dyDescent="0.2">
      <c r="D202" s="70"/>
      <c r="E202" s="70"/>
      <c r="F202" s="70"/>
      <c r="G202" s="70"/>
      <c r="H202" s="70"/>
      <c r="I202" s="69"/>
      <c r="J202" s="70"/>
      <c r="K202" s="70"/>
      <c r="L202" s="70"/>
      <c r="M202" s="70"/>
      <c r="N202" s="69"/>
      <c r="O202" s="93"/>
      <c r="P202" s="94"/>
      <c r="Q202" s="95"/>
      <c r="R202" s="92"/>
      <c r="S202" s="96"/>
      <c r="T202" s="93"/>
      <c r="U202" s="97"/>
      <c r="V202" s="98"/>
      <c r="W202" s="99"/>
      <c r="X202" s="92"/>
      <c r="Y202" s="96"/>
      <c r="Z202" s="100"/>
      <c r="AA202" s="70"/>
      <c r="AB202" s="70"/>
      <c r="AC202" s="70"/>
      <c r="AD202" s="70"/>
      <c r="AE202" s="70"/>
      <c r="AF202" s="70"/>
      <c r="AG202" s="70"/>
      <c r="AH202" s="70"/>
      <c r="AI202" s="70"/>
      <c r="AJ202" s="70"/>
      <c r="AO202" s="70"/>
      <c r="AP202" s="93"/>
      <c r="AQ202" s="94"/>
      <c r="AR202" s="95"/>
      <c r="AS202" s="92"/>
      <c r="AT202" s="96"/>
      <c r="AU202" s="93"/>
      <c r="AV202" s="97"/>
      <c r="AW202" s="98"/>
      <c r="AX202" s="99"/>
      <c r="AY202" s="92"/>
      <c r="AZ202" s="96"/>
      <c r="BA202" s="100"/>
    </row>
    <row r="203" spans="2:53" ht="12.75" x14ac:dyDescent="0.2">
      <c r="D203" s="70"/>
      <c r="E203" s="70"/>
      <c r="F203" s="70"/>
      <c r="G203" s="70"/>
      <c r="H203" s="70"/>
      <c r="I203" s="69"/>
      <c r="J203" s="70"/>
      <c r="K203" s="70"/>
      <c r="L203" s="70"/>
      <c r="M203" s="70"/>
      <c r="N203" s="69"/>
      <c r="O203" s="93"/>
      <c r="P203" s="94"/>
      <c r="Q203" s="95"/>
      <c r="R203" s="92"/>
      <c r="S203" s="96"/>
      <c r="T203" s="93"/>
      <c r="U203" s="97"/>
      <c r="V203" s="98"/>
      <c r="W203" s="99"/>
      <c r="X203" s="92"/>
      <c r="Y203" s="96"/>
      <c r="Z203" s="100"/>
      <c r="AA203" s="70"/>
      <c r="AB203" s="70"/>
      <c r="AC203" s="70"/>
      <c r="AD203" s="70"/>
      <c r="AE203" s="70"/>
      <c r="AF203" s="70"/>
      <c r="AG203" s="70"/>
      <c r="AH203" s="70"/>
      <c r="AI203" s="70"/>
      <c r="AJ203" s="70"/>
      <c r="AO203" s="70"/>
      <c r="AP203" s="93"/>
      <c r="AQ203" s="94"/>
      <c r="AR203" s="95"/>
      <c r="AS203" s="92"/>
      <c r="AT203" s="96"/>
      <c r="AU203" s="93"/>
      <c r="AV203" s="97"/>
      <c r="AW203" s="98"/>
      <c r="AX203" s="99"/>
      <c r="AY203" s="92"/>
      <c r="AZ203" s="96"/>
      <c r="BA203" s="100"/>
    </row>
    <row r="204" spans="2:53" ht="12.75" x14ac:dyDescent="0.2">
      <c r="D204" s="70"/>
      <c r="E204" s="70"/>
      <c r="F204" s="70"/>
      <c r="G204" s="70"/>
      <c r="H204" s="70"/>
      <c r="I204" s="69"/>
      <c r="J204" s="70"/>
      <c r="K204" s="70"/>
      <c r="L204" s="70"/>
      <c r="M204" s="70"/>
      <c r="N204" s="69"/>
      <c r="O204" s="93"/>
      <c r="P204" s="94"/>
      <c r="Q204" s="95"/>
      <c r="R204" s="92"/>
      <c r="S204" s="96"/>
      <c r="T204" s="93"/>
      <c r="U204" s="97"/>
      <c r="V204" s="98"/>
      <c r="W204" s="99"/>
      <c r="X204" s="92"/>
      <c r="Y204" s="96"/>
      <c r="Z204" s="100"/>
      <c r="AA204" s="70"/>
      <c r="AB204" s="70"/>
      <c r="AC204" s="70"/>
      <c r="AD204" s="70"/>
      <c r="AE204" s="70"/>
      <c r="AF204" s="70"/>
      <c r="AG204" s="70"/>
      <c r="AH204" s="70"/>
      <c r="AI204" s="70"/>
      <c r="AJ204" s="70"/>
      <c r="AO204" s="70"/>
      <c r="AP204" s="93"/>
      <c r="AQ204" s="94"/>
      <c r="AR204" s="95"/>
      <c r="AS204" s="92"/>
      <c r="AT204" s="96"/>
      <c r="AU204" s="93"/>
      <c r="AV204" s="97"/>
      <c r="AW204" s="98"/>
      <c r="AX204" s="99"/>
      <c r="AY204" s="92"/>
      <c r="AZ204" s="96"/>
      <c r="BA204" s="100"/>
    </row>
    <row r="205" spans="2:53" ht="12.75" x14ac:dyDescent="0.2">
      <c r="D205" s="70"/>
      <c r="E205" s="70"/>
      <c r="F205" s="70"/>
      <c r="G205" s="70"/>
      <c r="H205" s="70"/>
      <c r="I205" s="69"/>
      <c r="J205" s="70"/>
      <c r="K205" s="70"/>
      <c r="L205" s="70"/>
      <c r="M205" s="70"/>
      <c r="N205" s="69"/>
      <c r="O205" s="93"/>
      <c r="P205" s="94"/>
      <c r="Q205" s="95"/>
      <c r="R205" s="92"/>
      <c r="S205" s="96"/>
      <c r="T205" s="93"/>
      <c r="U205" s="97"/>
      <c r="V205" s="98"/>
      <c r="W205" s="99"/>
      <c r="X205" s="92"/>
      <c r="Y205" s="96"/>
      <c r="Z205" s="100"/>
      <c r="AA205" s="70"/>
      <c r="AB205" s="70"/>
      <c r="AC205" s="70"/>
      <c r="AD205" s="70"/>
      <c r="AE205" s="70"/>
      <c r="AF205" s="70"/>
      <c r="AG205" s="70"/>
      <c r="AH205" s="70"/>
      <c r="AI205" s="70"/>
      <c r="AJ205" s="70"/>
      <c r="AO205" s="70"/>
      <c r="AP205" s="93"/>
      <c r="AQ205" s="94"/>
      <c r="AR205" s="95"/>
      <c r="AS205" s="92"/>
      <c r="AT205" s="96"/>
      <c r="AU205" s="93"/>
      <c r="AV205" s="97"/>
      <c r="AW205" s="98"/>
      <c r="AX205" s="99"/>
      <c r="AY205" s="92"/>
      <c r="AZ205" s="96"/>
      <c r="BA205" s="100"/>
    </row>
    <row r="206" spans="2:53" ht="12.75" x14ac:dyDescent="0.2">
      <c r="D206" s="70"/>
      <c r="E206" s="70"/>
      <c r="F206" s="70"/>
      <c r="G206" s="70"/>
      <c r="H206" s="70"/>
      <c r="I206" s="69"/>
      <c r="J206" s="70"/>
      <c r="K206" s="70"/>
      <c r="L206" s="70"/>
      <c r="M206" s="70"/>
      <c r="N206" s="69"/>
      <c r="O206" s="93"/>
      <c r="P206" s="94"/>
      <c r="Q206" s="95"/>
      <c r="R206" s="92"/>
      <c r="S206" s="96"/>
      <c r="T206" s="93"/>
      <c r="U206" s="97"/>
      <c r="V206" s="98"/>
      <c r="W206" s="99"/>
      <c r="X206" s="92"/>
      <c r="Y206" s="96"/>
      <c r="Z206" s="100"/>
      <c r="AA206" s="70"/>
      <c r="AB206" s="70"/>
      <c r="AC206" s="70"/>
      <c r="AD206" s="70"/>
      <c r="AE206" s="70"/>
      <c r="AF206" s="70"/>
      <c r="AG206" s="70"/>
      <c r="AH206" s="70"/>
      <c r="AI206" s="70"/>
      <c r="AJ206" s="70"/>
      <c r="AO206" s="70"/>
      <c r="AP206" s="93"/>
      <c r="AQ206" s="94"/>
      <c r="AR206" s="95"/>
      <c r="AS206" s="92"/>
      <c r="AT206" s="96"/>
      <c r="AU206" s="93"/>
      <c r="AV206" s="97"/>
      <c r="AW206" s="98"/>
      <c r="AX206" s="99"/>
      <c r="AY206" s="92"/>
      <c r="AZ206" s="96"/>
      <c r="BA206" s="100"/>
    </row>
    <row r="207" spans="2:53" ht="12.75" x14ac:dyDescent="0.2">
      <c r="D207" s="70"/>
      <c r="E207" s="70"/>
      <c r="F207" s="70"/>
      <c r="G207" s="70"/>
      <c r="H207" s="70"/>
      <c r="I207" s="69"/>
      <c r="J207" s="70"/>
      <c r="K207" s="70"/>
      <c r="L207" s="70"/>
      <c r="M207" s="70"/>
      <c r="N207" s="69"/>
      <c r="O207" s="93"/>
      <c r="P207" s="94"/>
      <c r="Q207" s="95"/>
      <c r="R207" s="92"/>
      <c r="S207" s="96"/>
      <c r="T207" s="93"/>
      <c r="U207" s="97"/>
      <c r="V207" s="98"/>
      <c r="W207" s="99"/>
      <c r="X207" s="92"/>
      <c r="Y207" s="96"/>
      <c r="Z207" s="100"/>
      <c r="AA207" s="70"/>
      <c r="AB207" s="70"/>
      <c r="AC207" s="70"/>
      <c r="AD207" s="70"/>
      <c r="AE207" s="70"/>
      <c r="AF207" s="70"/>
      <c r="AG207" s="70"/>
      <c r="AH207" s="70"/>
      <c r="AI207" s="70"/>
      <c r="AJ207" s="70"/>
      <c r="AO207" s="70"/>
      <c r="AP207" s="93"/>
      <c r="AQ207" s="94"/>
      <c r="AR207" s="95"/>
      <c r="AS207" s="92"/>
      <c r="AT207" s="96"/>
      <c r="AU207" s="93"/>
      <c r="AV207" s="97"/>
      <c r="AW207" s="98"/>
      <c r="AX207" s="99"/>
      <c r="AY207" s="92"/>
      <c r="AZ207" s="96"/>
      <c r="BA207" s="100"/>
    </row>
    <row r="208" spans="2:53" ht="12.75" x14ac:dyDescent="0.2">
      <c r="D208" s="70"/>
      <c r="E208" s="70"/>
      <c r="F208" s="70"/>
      <c r="G208" s="70"/>
      <c r="H208" s="70"/>
      <c r="I208" s="69"/>
      <c r="J208" s="70"/>
      <c r="K208" s="70"/>
      <c r="L208" s="70"/>
      <c r="M208" s="70"/>
      <c r="N208" s="69"/>
      <c r="O208" s="93"/>
      <c r="P208" s="94"/>
      <c r="Q208" s="95"/>
      <c r="R208" s="92"/>
      <c r="S208" s="96"/>
      <c r="T208" s="93"/>
      <c r="U208" s="97"/>
      <c r="V208" s="98"/>
      <c r="W208" s="99"/>
      <c r="X208" s="92"/>
      <c r="Y208" s="96"/>
      <c r="Z208" s="100"/>
      <c r="AA208" s="70"/>
      <c r="AB208" s="70"/>
      <c r="AC208" s="70"/>
      <c r="AD208" s="70"/>
      <c r="AE208" s="70"/>
      <c r="AF208" s="70"/>
      <c r="AG208" s="70"/>
      <c r="AH208" s="70"/>
      <c r="AI208" s="70"/>
      <c r="AJ208" s="70"/>
      <c r="AO208" s="70"/>
      <c r="AP208" s="93"/>
      <c r="AQ208" s="94"/>
      <c r="AR208" s="95"/>
      <c r="AS208" s="92"/>
      <c r="AT208" s="96"/>
      <c r="AU208" s="93"/>
      <c r="AV208" s="97"/>
      <c r="AW208" s="98"/>
      <c r="AX208" s="99"/>
      <c r="AY208" s="92"/>
      <c r="AZ208" s="96"/>
      <c r="BA208" s="100"/>
    </row>
    <row r="209" spans="4:53" ht="12.75" x14ac:dyDescent="0.2">
      <c r="D209" s="70"/>
      <c r="E209" s="70"/>
      <c r="F209" s="70"/>
      <c r="G209" s="70"/>
      <c r="H209" s="70"/>
      <c r="I209" s="69"/>
      <c r="J209" s="70"/>
      <c r="K209" s="70"/>
      <c r="L209" s="70"/>
      <c r="M209" s="70"/>
      <c r="N209" s="69"/>
      <c r="O209" s="93"/>
      <c r="P209" s="94"/>
      <c r="Q209" s="95"/>
      <c r="R209" s="92"/>
      <c r="S209" s="96"/>
      <c r="T209" s="93"/>
      <c r="U209" s="97"/>
      <c r="V209" s="98"/>
      <c r="W209" s="99"/>
      <c r="X209" s="92"/>
      <c r="Y209" s="96"/>
      <c r="Z209" s="100"/>
      <c r="AA209" s="70"/>
      <c r="AB209" s="70"/>
      <c r="AC209" s="70"/>
      <c r="AD209" s="70"/>
      <c r="AE209" s="70"/>
      <c r="AF209" s="70"/>
      <c r="AG209" s="70"/>
      <c r="AH209" s="70"/>
      <c r="AI209" s="70"/>
      <c r="AJ209" s="70"/>
      <c r="AO209" s="70"/>
      <c r="AP209" s="93"/>
      <c r="AQ209" s="94"/>
      <c r="AR209" s="95"/>
      <c r="AS209" s="92"/>
      <c r="AT209" s="96"/>
      <c r="AU209" s="93"/>
      <c r="AV209" s="97"/>
      <c r="AW209" s="98"/>
      <c r="AX209" s="99"/>
      <c r="AY209" s="92"/>
      <c r="AZ209" s="96"/>
      <c r="BA209" s="100"/>
    </row>
    <row r="210" spans="4:53" ht="12.75" x14ac:dyDescent="0.2">
      <c r="D210" s="70"/>
      <c r="E210" s="70"/>
      <c r="F210" s="70"/>
      <c r="G210" s="70"/>
      <c r="H210" s="70"/>
      <c r="I210" s="69"/>
      <c r="J210" s="70"/>
      <c r="K210" s="70"/>
      <c r="L210" s="70"/>
      <c r="M210" s="70"/>
      <c r="N210" s="69"/>
      <c r="O210" s="93"/>
      <c r="P210" s="94"/>
      <c r="Q210" s="95"/>
      <c r="R210" s="92"/>
      <c r="S210" s="96"/>
      <c r="T210" s="93"/>
      <c r="U210" s="97"/>
      <c r="V210" s="98"/>
      <c r="W210" s="99"/>
      <c r="X210" s="92"/>
      <c r="Y210" s="96"/>
      <c r="Z210" s="100"/>
      <c r="AA210" s="70"/>
      <c r="AB210" s="70"/>
      <c r="AC210" s="70"/>
      <c r="AD210" s="70"/>
      <c r="AE210" s="70"/>
      <c r="AF210" s="70"/>
      <c r="AG210" s="70"/>
      <c r="AH210" s="70"/>
      <c r="AI210" s="70"/>
      <c r="AJ210" s="70"/>
      <c r="AO210" s="70"/>
      <c r="AP210" s="93"/>
      <c r="AQ210" s="94"/>
      <c r="AR210" s="95"/>
      <c r="AS210" s="92"/>
      <c r="AT210" s="96"/>
      <c r="AU210" s="93"/>
      <c r="AV210" s="97"/>
      <c r="AW210" s="98"/>
      <c r="AX210" s="99"/>
      <c r="AY210" s="92"/>
      <c r="AZ210" s="96"/>
      <c r="BA210" s="100"/>
    </row>
    <row r="211" spans="4:53" ht="12.75" x14ac:dyDescent="0.2">
      <c r="D211" s="70"/>
      <c r="E211" s="70"/>
      <c r="F211" s="70"/>
      <c r="G211" s="70"/>
      <c r="H211" s="70"/>
      <c r="I211" s="69"/>
      <c r="J211" s="70"/>
      <c r="K211" s="70"/>
      <c r="L211" s="70"/>
      <c r="M211" s="70"/>
      <c r="N211" s="69"/>
      <c r="O211" s="93"/>
      <c r="P211" s="94"/>
      <c r="Q211" s="95"/>
      <c r="R211" s="92"/>
      <c r="S211" s="96"/>
      <c r="T211" s="93"/>
      <c r="U211" s="97"/>
      <c r="V211" s="98"/>
      <c r="W211" s="99"/>
      <c r="X211" s="92"/>
      <c r="Y211" s="96"/>
      <c r="Z211" s="100"/>
      <c r="AA211" s="70"/>
      <c r="AB211" s="70"/>
      <c r="AC211" s="70"/>
      <c r="AD211" s="70"/>
      <c r="AE211" s="70"/>
      <c r="AF211" s="70"/>
      <c r="AG211" s="70"/>
      <c r="AH211" s="70"/>
      <c r="AI211" s="70"/>
      <c r="AJ211" s="70"/>
      <c r="AO211" s="70"/>
      <c r="AP211" s="93"/>
      <c r="AQ211" s="94"/>
      <c r="AR211" s="95"/>
      <c r="AS211" s="92"/>
      <c r="AT211" s="96"/>
      <c r="AU211" s="93"/>
      <c r="AV211" s="97"/>
      <c r="AW211" s="98"/>
      <c r="AX211" s="99"/>
      <c r="AY211" s="92"/>
      <c r="AZ211" s="96"/>
      <c r="BA211" s="100"/>
    </row>
    <row r="212" spans="4:53" ht="12.75" x14ac:dyDescent="0.2">
      <c r="D212" s="70"/>
      <c r="E212" s="70"/>
      <c r="F212" s="70"/>
      <c r="G212" s="70"/>
      <c r="H212" s="70"/>
      <c r="I212" s="69"/>
      <c r="J212" s="70"/>
      <c r="K212" s="70"/>
      <c r="L212" s="70"/>
      <c r="M212" s="70"/>
      <c r="N212" s="69"/>
      <c r="O212" s="93"/>
      <c r="P212" s="94"/>
      <c r="Q212" s="95"/>
      <c r="R212" s="92"/>
      <c r="S212" s="96"/>
      <c r="T212" s="93"/>
      <c r="U212" s="97"/>
      <c r="V212" s="98"/>
      <c r="W212" s="99"/>
      <c r="X212" s="92"/>
      <c r="Y212" s="96"/>
      <c r="Z212" s="100"/>
      <c r="AA212" s="70"/>
      <c r="AB212" s="70"/>
      <c r="AC212" s="70"/>
      <c r="AD212" s="70"/>
      <c r="AE212" s="70"/>
      <c r="AF212" s="70"/>
      <c r="AG212" s="70"/>
      <c r="AH212" s="70"/>
      <c r="AI212" s="70"/>
      <c r="AJ212" s="70"/>
      <c r="AO212" s="70"/>
      <c r="AP212" s="93"/>
      <c r="AQ212" s="94"/>
      <c r="AR212" s="95"/>
      <c r="AS212" s="92"/>
      <c r="AT212" s="96"/>
      <c r="AU212" s="93"/>
      <c r="AV212" s="97"/>
      <c r="AW212" s="98"/>
      <c r="AX212" s="99"/>
      <c r="AY212" s="92"/>
      <c r="AZ212" s="96"/>
      <c r="BA212" s="100"/>
    </row>
    <row r="213" spans="4:53" ht="12.75" x14ac:dyDescent="0.2">
      <c r="D213" s="70"/>
      <c r="E213" s="70"/>
      <c r="F213" s="70"/>
      <c r="G213" s="70"/>
      <c r="H213" s="70"/>
      <c r="I213" s="69"/>
      <c r="J213" s="70"/>
      <c r="K213" s="70"/>
      <c r="L213" s="70"/>
      <c r="M213" s="70"/>
      <c r="N213" s="69"/>
      <c r="O213" s="93"/>
      <c r="P213" s="94"/>
      <c r="Q213" s="95"/>
      <c r="R213" s="92"/>
      <c r="S213" s="96"/>
      <c r="T213" s="93"/>
      <c r="U213" s="97"/>
      <c r="V213" s="98"/>
      <c r="W213" s="99"/>
      <c r="X213" s="92"/>
      <c r="Y213" s="96"/>
      <c r="Z213" s="100"/>
      <c r="AA213" s="70"/>
      <c r="AB213" s="70"/>
      <c r="AC213" s="70"/>
      <c r="AD213" s="70"/>
      <c r="AE213" s="70"/>
      <c r="AF213" s="70"/>
      <c r="AG213" s="70"/>
      <c r="AH213" s="70"/>
      <c r="AI213" s="70"/>
      <c r="AJ213" s="70"/>
      <c r="AO213" s="70"/>
      <c r="AP213" s="93"/>
      <c r="AQ213" s="94"/>
      <c r="AR213" s="95"/>
      <c r="AS213" s="92"/>
      <c r="AT213" s="96"/>
      <c r="AU213" s="93"/>
      <c r="AV213" s="97"/>
      <c r="AW213" s="98"/>
      <c r="AX213" s="99"/>
      <c r="AY213" s="92"/>
      <c r="AZ213" s="96"/>
      <c r="BA213" s="100"/>
    </row>
    <row r="214" spans="4:53" ht="12.75" x14ac:dyDescent="0.2">
      <c r="D214" s="70"/>
      <c r="E214" s="70"/>
      <c r="F214" s="70"/>
      <c r="G214" s="70"/>
      <c r="H214" s="70"/>
      <c r="I214" s="69"/>
      <c r="J214" s="70"/>
      <c r="K214" s="70"/>
      <c r="L214" s="70"/>
      <c r="M214" s="70"/>
      <c r="N214" s="69"/>
      <c r="O214" s="93"/>
      <c r="P214" s="94"/>
      <c r="Q214" s="95"/>
      <c r="R214" s="92"/>
      <c r="S214" s="96"/>
      <c r="T214" s="93"/>
      <c r="U214" s="97"/>
      <c r="V214" s="98"/>
      <c r="W214" s="99"/>
      <c r="X214" s="92"/>
      <c r="Y214" s="96"/>
      <c r="Z214" s="100"/>
      <c r="AA214" s="70"/>
      <c r="AB214" s="70"/>
      <c r="AC214" s="70"/>
      <c r="AD214" s="70"/>
      <c r="AE214" s="70"/>
      <c r="AF214" s="70"/>
      <c r="AG214" s="70"/>
      <c r="AH214" s="70"/>
      <c r="AI214" s="70"/>
      <c r="AJ214" s="70"/>
      <c r="AO214" s="70"/>
      <c r="AP214" s="93"/>
      <c r="AQ214" s="94"/>
      <c r="AR214" s="95"/>
      <c r="AS214" s="92"/>
      <c r="AT214" s="96"/>
      <c r="AU214" s="93"/>
      <c r="AV214" s="97"/>
      <c r="AW214" s="98"/>
      <c r="AX214" s="99"/>
      <c r="AY214" s="92"/>
      <c r="AZ214" s="96"/>
      <c r="BA214" s="100"/>
    </row>
    <row r="215" spans="4:53" ht="12.75" x14ac:dyDescent="0.2">
      <c r="D215" s="70"/>
      <c r="E215" s="70"/>
      <c r="F215" s="70"/>
      <c r="G215" s="70"/>
      <c r="H215" s="70"/>
      <c r="I215" s="69"/>
      <c r="J215" s="70"/>
      <c r="K215" s="70"/>
      <c r="L215" s="70"/>
      <c r="M215" s="70"/>
      <c r="N215" s="69"/>
      <c r="O215" s="93"/>
      <c r="P215" s="94"/>
      <c r="Q215" s="95"/>
      <c r="R215" s="92"/>
      <c r="S215" s="96"/>
      <c r="T215" s="93"/>
      <c r="U215" s="97"/>
      <c r="V215" s="98"/>
      <c r="W215" s="99"/>
      <c r="X215" s="92"/>
      <c r="Y215" s="96"/>
      <c r="Z215" s="100"/>
      <c r="AA215" s="70"/>
      <c r="AB215" s="70"/>
      <c r="AC215" s="70"/>
      <c r="AD215" s="70"/>
      <c r="AE215" s="70"/>
      <c r="AF215" s="70"/>
      <c r="AG215" s="70"/>
      <c r="AH215" s="70"/>
      <c r="AI215" s="70"/>
      <c r="AJ215" s="70"/>
      <c r="AO215" s="70"/>
      <c r="AP215" s="93"/>
      <c r="AQ215" s="94"/>
      <c r="AR215" s="95"/>
      <c r="AS215" s="92"/>
      <c r="AT215" s="96"/>
      <c r="AU215" s="93"/>
      <c r="AV215" s="97"/>
      <c r="AW215" s="98"/>
      <c r="AX215" s="99"/>
      <c r="AY215" s="92"/>
      <c r="AZ215" s="96"/>
      <c r="BA215" s="100"/>
    </row>
    <row r="216" spans="4:53" ht="12.75" x14ac:dyDescent="0.2">
      <c r="D216" s="70"/>
      <c r="E216" s="70"/>
      <c r="F216" s="70"/>
      <c r="G216" s="70"/>
      <c r="H216" s="70"/>
      <c r="I216" s="69"/>
      <c r="J216" s="70"/>
      <c r="K216" s="70"/>
      <c r="L216" s="70"/>
      <c r="M216" s="70"/>
      <c r="N216" s="69"/>
      <c r="O216" s="93"/>
      <c r="P216" s="94"/>
      <c r="Q216" s="95"/>
      <c r="R216" s="92"/>
      <c r="S216" s="96"/>
      <c r="T216" s="93"/>
      <c r="U216" s="97"/>
      <c r="V216" s="98"/>
      <c r="W216" s="99"/>
      <c r="X216" s="92"/>
      <c r="Y216" s="96"/>
      <c r="Z216" s="100"/>
      <c r="AA216" s="70"/>
      <c r="AB216" s="70"/>
      <c r="AC216" s="70"/>
      <c r="AD216" s="70"/>
      <c r="AE216" s="70"/>
      <c r="AF216" s="70"/>
      <c r="AG216" s="70"/>
      <c r="AH216" s="70"/>
      <c r="AI216" s="70"/>
      <c r="AJ216" s="70"/>
      <c r="AO216" s="70"/>
      <c r="AP216" s="93"/>
      <c r="AQ216" s="94"/>
      <c r="AR216" s="95"/>
      <c r="AS216" s="92"/>
      <c r="AT216" s="96"/>
      <c r="AU216" s="93"/>
      <c r="AV216" s="97"/>
      <c r="AW216" s="98"/>
      <c r="AX216" s="99"/>
      <c r="AY216" s="92"/>
      <c r="AZ216" s="96"/>
      <c r="BA216" s="100"/>
    </row>
    <row r="217" spans="4:53" ht="12.75" x14ac:dyDescent="0.2">
      <c r="D217" s="70"/>
      <c r="E217" s="70"/>
      <c r="F217" s="70"/>
      <c r="G217" s="70"/>
      <c r="H217" s="70"/>
      <c r="I217" s="69"/>
      <c r="J217" s="70"/>
      <c r="K217" s="70"/>
      <c r="L217" s="70"/>
      <c r="M217" s="70"/>
      <c r="N217" s="69"/>
      <c r="O217" s="93"/>
      <c r="P217" s="94"/>
      <c r="Q217" s="95"/>
      <c r="R217" s="92"/>
      <c r="S217" s="96"/>
      <c r="T217" s="93"/>
      <c r="U217" s="97"/>
      <c r="V217" s="98"/>
      <c r="W217" s="99"/>
      <c r="X217" s="92"/>
      <c r="Y217" s="96"/>
      <c r="Z217" s="100"/>
      <c r="AA217" s="70"/>
      <c r="AB217" s="70"/>
      <c r="AC217" s="70"/>
      <c r="AD217" s="70"/>
      <c r="AE217" s="70"/>
      <c r="AF217" s="70"/>
      <c r="AG217" s="70"/>
      <c r="AH217" s="70"/>
      <c r="AI217" s="70"/>
      <c r="AJ217" s="70"/>
      <c r="AO217" s="70"/>
      <c r="AP217" s="93"/>
      <c r="AQ217" s="94"/>
      <c r="AR217" s="95"/>
      <c r="AS217" s="92"/>
      <c r="AT217" s="96"/>
      <c r="AU217" s="93"/>
      <c r="AV217" s="97"/>
      <c r="AW217" s="98"/>
      <c r="AX217" s="99"/>
      <c r="AY217" s="92"/>
      <c r="AZ217" s="96"/>
      <c r="BA217" s="100"/>
    </row>
    <row r="218" spans="4:53" ht="12.75" x14ac:dyDescent="0.2">
      <c r="D218" s="70"/>
      <c r="E218" s="70"/>
      <c r="F218" s="70"/>
      <c r="G218" s="70"/>
      <c r="H218" s="70"/>
      <c r="I218" s="69"/>
      <c r="J218" s="70"/>
      <c r="K218" s="70"/>
      <c r="L218" s="70"/>
      <c r="M218" s="70"/>
      <c r="N218" s="69"/>
      <c r="O218" s="93"/>
      <c r="P218" s="94"/>
      <c r="Q218" s="95"/>
      <c r="R218" s="92"/>
      <c r="S218" s="96"/>
      <c r="T218" s="93"/>
      <c r="U218" s="97"/>
      <c r="V218" s="98"/>
      <c r="W218" s="99"/>
      <c r="X218" s="92"/>
      <c r="Y218" s="96"/>
      <c r="Z218" s="100"/>
      <c r="AA218" s="70"/>
      <c r="AB218" s="70"/>
      <c r="AC218" s="70"/>
      <c r="AD218" s="70"/>
      <c r="AE218" s="70"/>
      <c r="AF218" s="70"/>
      <c r="AG218" s="70"/>
      <c r="AH218" s="70"/>
      <c r="AI218" s="70"/>
      <c r="AJ218" s="70"/>
      <c r="AO218" s="70"/>
      <c r="AP218" s="93"/>
      <c r="AQ218" s="94"/>
      <c r="AR218" s="95"/>
      <c r="AS218" s="92"/>
      <c r="AT218" s="96"/>
      <c r="AU218" s="93"/>
      <c r="AV218" s="97"/>
      <c r="AW218" s="98"/>
      <c r="AX218" s="99"/>
      <c r="AY218" s="92"/>
      <c r="AZ218" s="96"/>
      <c r="BA218" s="100"/>
    </row>
    <row r="219" spans="4:53" ht="12.75" x14ac:dyDescent="0.2">
      <c r="D219" s="70"/>
      <c r="E219" s="70"/>
      <c r="F219" s="70"/>
      <c r="G219" s="70"/>
      <c r="H219" s="70"/>
      <c r="I219" s="69"/>
      <c r="J219" s="70"/>
      <c r="K219" s="70"/>
      <c r="L219" s="70"/>
      <c r="M219" s="70"/>
      <c r="N219" s="69"/>
      <c r="O219" s="93"/>
      <c r="P219" s="94"/>
      <c r="Q219" s="95"/>
      <c r="R219" s="92"/>
      <c r="S219" s="96"/>
      <c r="T219" s="93"/>
      <c r="U219" s="97"/>
      <c r="V219" s="98"/>
      <c r="W219" s="99"/>
      <c r="X219" s="92"/>
      <c r="Y219" s="96"/>
      <c r="Z219" s="100"/>
      <c r="AA219" s="70"/>
      <c r="AB219" s="70"/>
      <c r="AC219" s="70"/>
      <c r="AD219" s="70"/>
      <c r="AE219" s="70"/>
      <c r="AF219" s="70"/>
      <c r="AG219" s="70"/>
      <c r="AH219" s="70"/>
      <c r="AI219" s="70"/>
      <c r="AJ219" s="70"/>
      <c r="AO219" s="70"/>
      <c r="AP219" s="93"/>
      <c r="AQ219" s="94"/>
      <c r="AR219" s="95"/>
      <c r="AS219" s="92"/>
      <c r="AT219" s="96"/>
      <c r="AU219" s="93"/>
      <c r="AV219" s="97"/>
      <c r="AW219" s="98"/>
      <c r="AX219" s="99"/>
      <c r="AY219" s="92"/>
      <c r="AZ219" s="96"/>
      <c r="BA219" s="100"/>
    </row>
    <row r="220" spans="4:53" ht="12.75" x14ac:dyDescent="0.2">
      <c r="D220" s="70"/>
      <c r="E220" s="70"/>
      <c r="F220" s="70"/>
      <c r="G220" s="70"/>
      <c r="H220" s="70"/>
      <c r="I220" s="69"/>
      <c r="J220" s="70"/>
      <c r="K220" s="70"/>
      <c r="L220" s="70"/>
      <c r="M220" s="70"/>
      <c r="N220" s="69"/>
      <c r="O220" s="93"/>
      <c r="P220" s="94"/>
      <c r="Q220" s="95"/>
      <c r="R220" s="92"/>
      <c r="S220" s="96"/>
      <c r="T220" s="93"/>
      <c r="U220" s="97"/>
      <c r="V220" s="98"/>
      <c r="W220" s="99"/>
      <c r="X220" s="92"/>
      <c r="Y220" s="96"/>
      <c r="Z220" s="100"/>
      <c r="AA220" s="70"/>
      <c r="AB220" s="70"/>
      <c r="AC220" s="70"/>
      <c r="AD220" s="70"/>
      <c r="AE220" s="70"/>
      <c r="AF220" s="70"/>
      <c r="AG220" s="70"/>
      <c r="AH220" s="70"/>
      <c r="AI220" s="70"/>
      <c r="AJ220" s="70"/>
      <c r="AO220" s="70"/>
      <c r="AP220" s="93"/>
      <c r="AQ220" s="94"/>
      <c r="AR220" s="95"/>
      <c r="AS220" s="92"/>
      <c r="AT220" s="96"/>
      <c r="AU220" s="93"/>
      <c r="AV220" s="97"/>
      <c r="AW220" s="98"/>
      <c r="AX220" s="99"/>
      <c r="AY220" s="92"/>
      <c r="AZ220" s="96"/>
      <c r="BA220" s="100"/>
    </row>
    <row r="221" spans="4:53" ht="12.75" x14ac:dyDescent="0.2">
      <c r="D221" s="70"/>
      <c r="E221" s="70"/>
      <c r="F221" s="70"/>
      <c r="G221" s="70"/>
      <c r="H221" s="70"/>
      <c r="I221" s="69"/>
      <c r="J221" s="70"/>
      <c r="K221" s="70"/>
      <c r="L221" s="70"/>
      <c r="M221" s="70"/>
      <c r="N221" s="69"/>
      <c r="O221" s="93"/>
      <c r="P221" s="94"/>
      <c r="Q221" s="95"/>
      <c r="R221" s="92"/>
      <c r="S221" s="96"/>
      <c r="T221" s="93"/>
      <c r="U221" s="97"/>
      <c r="V221" s="98"/>
      <c r="W221" s="99"/>
      <c r="X221" s="92"/>
      <c r="Y221" s="96"/>
      <c r="Z221" s="100"/>
      <c r="AA221" s="70"/>
      <c r="AB221" s="70"/>
      <c r="AC221" s="70"/>
      <c r="AD221" s="70"/>
      <c r="AE221" s="70"/>
      <c r="AF221" s="70"/>
      <c r="AG221" s="70"/>
      <c r="AH221" s="70"/>
      <c r="AI221" s="70"/>
      <c r="AJ221" s="70"/>
      <c r="AO221" s="70"/>
      <c r="AP221" s="93"/>
      <c r="AQ221" s="94"/>
      <c r="AR221" s="95"/>
      <c r="AS221" s="92"/>
      <c r="AT221" s="96"/>
      <c r="AU221" s="93"/>
      <c r="AV221" s="97"/>
      <c r="AW221" s="98"/>
      <c r="AX221" s="99"/>
      <c r="AY221" s="92"/>
      <c r="AZ221" s="96"/>
      <c r="BA221" s="100"/>
    </row>
    <row r="222" spans="4:53" ht="12.75" x14ac:dyDescent="0.2">
      <c r="D222" s="70"/>
      <c r="E222" s="70"/>
      <c r="F222" s="70"/>
      <c r="G222" s="70"/>
      <c r="H222" s="70"/>
      <c r="I222" s="69"/>
      <c r="J222" s="70"/>
      <c r="K222" s="70"/>
      <c r="L222" s="70"/>
      <c r="M222" s="70"/>
      <c r="N222" s="69"/>
      <c r="O222" s="93"/>
      <c r="P222" s="94"/>
      <c r="Q222" s="95"/>
      <c r="R222" s="92"/>
      <c r="S222" s="96"/>
      <c r="T222" s="93"/>
      <c r="U222" s="97"/>
      <c r="V222" s="98"/>
      <c r="W222" s="99"/>
      <c r="X222" s="92"/>
      <c r="Y222" s="96"/>
      <c r="Z222" s="100"/>
      <c r="AA222" s="70"/>
      <c r="AB222" s="70"/>
      <c r="AC222" s="70"/>
      <c r="AD222" s="70"/>
      <c r="AE222" s="70"/>
      <c r="AF222" s="70"/>
      <c r="AG222" s="70"/>
      <c r="AH222" s="70"/>
      <c r="AI222" s="70"/>
      <c r="AJ222" s="70"/>
      <c r="AO222" s="70"/>
      <c r="AP222" s="93"/>
      <c r="AQ222" s="94"/>
      <c r="AR222" s="95"/>
      <c r="AS222" s="92"/>
      <c r="AT222" s="96"/>
      <c r="AU222" s="93"/>
      <c r="AV222" s="97"/>
      <c r="AW222" s="98"/>
      <c r="AX222" s="99"/>
      <c r="AY222" s="92"/>
      <c r="AZ222" s="96"/>
      <c r="BA222" s="100"/>
    </row>
    <row r="223" spans="4:53" ht="12.75" x14ac:dyDescent="0.2">
      <c r="D223" s="70"/>
      <c r="E223" s="70"/>
      <c r="F223" s="70"/>
      <c r="G223" s="70"/>
      <c r="H223" s="70"/>
      <c r="I223" s="69"/>
      <c r="J223" s="70"/>
      <c r="K223" s="70"/>
      <c r="L223" s="70"/>
      <c r="M223" s="70"/>
      <c r="N223" s="69"/>
      <c r="O223" s="93"/>
      <c r="P223" s="94"/>
      <c r="Q223" s="95"/>
      <c r="R223" s="92"/>
      <c r="S223" s="96"/>
      <c r="T223" s="93"/>
      <c r="U223" s="97"/>
      <c r="V223" s="98"/>
      <c r="W223" s="99"/>
      <c r="X223" s="92"/>
      <c r="Y223" s="96"/>
      <c r="Z223" s="100"/>
      <c r="AA223" s="70"/>
      <c r="AB223" s="70"/>
      <c r="AC223" s="70"/>
      <c r="AD223" s="70"/>
      <c r="AE223" s="70"/>
      <c r="AF223" s="70"/>
      <c r="AG223" s="70"/>
      <c r="AH223" s="70"/>
      <c r="AI223" s="70"/>
      <c r="AJ223" s="70"/>
      <c r="AO223" s="70"/>
      <c r="AP223" s="93"/>
      <c r="AQ223" s="94"/>
      <c r="AR223" s="95"/>
      <c r="AS223" s="92"/>
      <c r="AT223" s="96"/>
      <c r="AU223" s="93"/>
      <c r="AV223" s="97"/>
      <c r="AW223" s="98"/>
      <c r="AX223" s="99"/>
      <c r="AY223" s="92"/>
      <c r="AZ223" s="96"/>
      <c r="BA223" s="100"/>
    </row>
    <row r="224" spans="4:53" ht="12.75" x14ac:dyDescent="0.2">
      <c r="D224" s="70"/>
      <c r="E224" s="70"/>
      <c r="F224" s="70"/>
      <c r="G224" s="70"/>
      <c r="H224" s="70"/>
      <c r="I224" s="69"/>
      <c r="J224" s="70"/>
      <c r="K224" s="70"/>
      <c r="L224" s="70"/>
      <c r="M224" s="70"/>
      <c r="N224" s="69"/>
      <c r="O224" s="93"/>
      <c r="P224" s="94"/>
      <c r="Q224" s="95"/>
      <c r="R224" s="92"/>
      <c r="S224" s="96"/>
      <c r="T224" s="93"/>
      <c r="U224" s="97"/>
      <c r="V224" s="98"/>
      <c r="W224" s="99"/>
      <c r="X224" s="92"/>
      <c r="Y224" s="96"/>
      <c r="Z224" s="100"/>
      <c r="AA224" s="70"/>
      <c r="AB224" s="70"/>
      <c r="AC224" s="70"/>
      <c r="AD224" s="70"/>
      <c r="AE224" s="70"/>
      <c r="AF224" s="70"/>
      <c r="AG224" s="70"/>
      <c r="AH224" s="70"/>
      <c r="AI224" s="70"/>
      <c r="AJ224" s="70"/>
      <c r="AO224" s="70"/>
      <c r="AP224" s="93"/>
      <c r="AQ224" s="94"/>
      <c r="AR224" s="95"/>
      <c r="AS224" s="92"/>
      <c r="AT224" s="96"/>
      <c r="AU224" s="93"/>
      <c r="AV224" s="97"/>
      <c r="AW224" s="98"/>
      <c r="AX224" s="99"/>
      <c r="AY224" s="92"/>
      <c r="AZ224" s="96"/>
      <c r="BA224" s="100"/>
    </row>
    <row r="225" spans="4:53" ht="12.75" x14ac:dyDescent="0.2">
      <c r="D225" s="70"/>
      <c r="E225" s="70"/>
      <c r="F225" s="70"/>
      <c r="G225" s="70"/>
      <c r="H225" s="70"/>
      <c r="I225" s="69"/>
      <c r="J225" s="70"/>
      <c r="K225" s="70"/>
      <c r="L225" s="70"/>
      <c r="M225" s="70"/>
      <c r="N225" s="69"/>
      <c r="O225" s="93"/>
      <c r="P225" s="94"/>
      <c r="Q225" s="95"/>
      <c r="R225" s="92"/>
      <c r="S225" s="96"/>
      <c r="T225" s="93"/>
      <c r="U225" s="97"/>
      <c r="V225" s="98"/>
      <c r="W225" s="99"/>
      <c r="X225" s="92"/>
      <c r="Y225" s="96"/>
      <c r="Z225" s="100"/>
      <c r="AA225" s="70"/>
      <c r="AB225" s="70"/>
      <c r="AC225" s="70"/>
      <c r="AD225" s="70"/>
      <c r="AE225" s="70"/>
      <c r="AF225" s="70"/>
      <c r="AG225" s="70"/>
      <c r="AH225" s="70"/>
      <c r="AI225" s="70"/>
      <c r="AJ225" s="70"/>
      <c r="AO225" s="70"/>
      <c r="AP225" s="93"/>
      <c r="AQ225" s="94"/>
      <c r="AR225" s="95"/>
      <c r="AS225" s="92"/>
      <c r="AT225" s="96"/>
      <c r="AU225" s="93"/>
      <c r="AV225" s="97"/>
      <c r="AW225" s="98"/>
      <c r="AX225" s="99"/>
      <c r="AY225" s="92"/>
      <c r="AZ225" s="96"/>
      <c r="BA225" s="100"/>
    </row>
    <row r="226" spans="4:53" ht="12.75" x14ac:dyDescent="0.2">
      <c r="D226" s="70"/>
      <c r="E226" s="70"/>
      <c r="F226" s="70"/>
      <c r="G226" s="70"/>
      <c r="H226" s="70"/>
      <c r="I226" s="69"/>
      <c r="J226" s="70"/>
      <c r="K226" s="70"/>
      <c r="L226" s="70"/>
      <c r="M226" s="70"/>
      <c r="N226" s="69"/>
      <c r="O226" s="93"/>
      <c r="P226" s="94"/>
      <c r="Q226" s="95"/>
      <c r="R226" s="92"/>
      <c r="S226" s="96"/>
      <c r="T226" s="93"/>
      <c r="U226" s="97"/>
      <c r="V226" s="98"/>
      <c r="W226" s="99"/>
      <c r="X226" s="92"/>
      <c r="Y226" s="96"/>
      <c r="Z226" s="100"/>
      <c r="AA226" s="70"/>
      <c r="AB226" s="70"/>
      <c r="AC226" s="70"/>
      <c r="AD226" s="70"/>
      <c r="AE226" s="70"/>
      <c r="AF226" s="70"/>
      <c r="AG226" s="70"/>
      <c r="AH226" s="70"/>
      <c r="AI226" s="70"/>
      <c r="AJ226" s="70"/>
      <c r="AO226" s="70"/>
      <c r="AP226" s="93"/>
      <c r="AQ226" s="94"/>
      <c r="AR226" s="95"/>
      <c r="AS226" s="92"/>
      <c r="AT226" s="96"/>
      <c r="AU226" s="93"/>
      <c r="AV226" s="97"/>
      <c r="AW226" s="98"/>
      <c r="AX226" s="99"/>
      <c r="AY226" s="92"/>
      <c r="AZ226" s="96"/>
      <c r="BA226" s="100"/>
    </row>
    <row r="227" spans="4:53" ht="12.75" x14ac:dyDescent="0.2">
      <c r="D227" s="70"/>
      <c r="E227" s="70"/>
      <c r="F227" s="70"/>
      <c r="G227" s="70"/>
      <c r="H227" s="70"/>
      <c r="I227" s="69"/>
      <c r="J227" s="70"/>
      <c r="K227" s="70"/>
      <c r="L227" s="70"/>
      <c r="M227" s="70"/>
      <c r="N227" s="69"/>
      <c r="O227" s="93"/>
      <c r="P227" s="94"/>
      <c r="Q227" s="95"/>
      <c r="R227" s="92"/>
      <c r="S227" s="96"/>
      <c r="T227" s="93"/>
      <c r="U227" s="97"/>
      <c r="V227" s="98"/>
      <c r="W227" s="99"/>
      <c r="X227" s="92"/>
      <c r="Y227" s="96"/>
      <c r="Z227" s="100"/>
      <c r="AA227" s="70"/>
      <c r="AB227" s="70"/>
      <c r="AC227" s="70"/>
      <c r="AD227" s="70"/>
      <c r="AE227" s="70"/>
      <c r="AF227" s="70"/>
      <c r="AG227" s="70"/>
      <c r="AH227" s="70"/>
      <c r="AI227" s="70"/>
      <c r="AJ227" s="70"/>
      <c r="AO227" s="70"/>
      <c r="AP227" s="93"/>
      <c r="AQ227" s="94"/>
      <c r="AR227" s="95"/>
      <c r="AS227" s="92"/>
      <c r="AT227" s="96"/>
      <c r="AU227" s="93"/>
      <c r="AV227" s="97"/>
      <c r="AW227" s="98"/>
      <c r="AX227" s="99"/>
      <c r="AY227" s="92"/>
      <c r="AZ227" s="96"/>
      <c r="BA227" s="100"/>
    </row>
    <row r="228" spans="4:53" ht="12.75" x14ac:dyDescent="0.2">
      <c r="D228" s="70"/>
      <c r="E228" s="70"/>
      <c r="F228" s="70"/>
      <c r="G228" s="70"/>
      <c r="H228" s="70"/>
      <c r="I228" s="69"/>
      <c r="J228" s="70"/>
      <c r="K228" s="70"/>
      <c r="L228" s="70"/>
      <c r="M228" s="70"/>
      <c r="N228" s="69"/>
      <c r="O228" s="93"/>
      <c r="P228" s="94"/>
      <c r="Q228" s="95"/>
      <c r="R228" s="92"/>
      <c r="S228" s="96"/>
      <c r="T228" s="93"/>
      <c r="U228" s="97"/>
      <c r="V228" s="98"/>
      <c r="W228" s="99"/>
      <c r="X228" s="92"/>
      <c r="Y228" s="96"/>
      <c r="Z228" s="100"/>
      <c r="AA228" s="70"/>
      <c r="AB228" s="70"/>
      <c r="AC228" s="70"/>
      <c r="AD228" s="70"/>
      <c r="AE228" s="70"/>
      <c r="AF228" s="70"/>
      <c r="AG228" s="70"/>
      <c r="AH228" s="70"/>
      <c r="AI228" s="70"/>
      <c r="AJ228" s="70"/>
      <c r="AO228" s="70"/>
      <c r="AP228" s="93"/>
      <c r="AQ228" s="94"/>
      <c r="AR228" s="95"/>
      <c r="AS228" s="92"/>
      <c r="AT228" s="96"/>
      <c r="AU228" s="93"/>
      <c r="AV228" s="97"/>
      <c r="AW228" s="98"/>
      <c r="AX228" s="99"/>
      <c r="AY228" s="92"/>
      <c r="AZ228" s="96"/>
      <c r="BA228" s="100"/>
    </row>
    <row r="229" spans="4:53" ht="12.75" x14ac:dyDescent="0.2">
      <c r="D229" s="70"/>
      <c r="E229" s="70"/>
      <c r="F229" s="70"/>
      <c r="G229" s="70"/>
      <c r="H229" s="70"/>
      <c r="I229" s="69"/>
      <c r="J229" s="70"/>
      <c r="K229" s="70"/>
      <c r="L229" s="70"/>
      <c r="M229" s="70"/>
      <c r="N229" s="69"/>
      <c r="O229" s="93"/>
      <c r="P229" s="94"/>
      <c r="Q229" s="95"/>
      <c r="R229" s="92"/>
      <c r="S229" s="96"/>
      <c r="T229" s="93"/>
      <c r="U229" s="97"/>
      <c r="V229" s="98"/>
      <c r="W229" s="99"/>
      <c r="X229" s="92"/>
      <c r="Y229" s="96"/>
      <c r="Z229" s="100"/>
      <c r="AA229" s="70"/>
      <c r="AB229" s="70"/>
      <c r="AC229" s="70"/>
      <c r="AD229" s="70"/>
      <c r="AE229" s="70"/>
      <c r="AF229" s="70"/>
      <c r="AG229" s="70"/>
      <c r="AH229" s="70"/>
      <c r="AI229" s="70"/>
      <c r="AJ229" s="70"/>
      <c r="AO229" s="70"/>
      <c r="AP229" s="93"/>
      <c r="AQ229" s="94"/>
      <c r="AR229" s="95"/>
      <c r="AS229" s="92"/>
      <c r="AT229" s="96"/>
      <c r="AU229" s="93"/>
      <c r="AV229" s="97"/>
      <c r="AW229" s="98"/>
      <c r="AX229" s="99"/>
      <c r="AY229" s="92"/>
      <c r="AZ229" s="96"/>
      <c r="BA229" s="100"/>
    </row>
    <row r="230" spans="4:53" ht="12.75" x14ac:dyDescent="0.2">
      <c r="D230" s="70"/>
      <c r="E230" s="70"/>
      <c r="F230" s="70"/>
      <c r="G230" s="70"/>
      <c r="H230" s="70"/>
      <c r="I230" s="69"/>
      <c r="J230" s="70"/>
      <c r="K230" s="70"/>
      <c r="L230" s="70"/>
      <c r="M230" s="70"/>
      <c r="N230" s="69"/>
      <c r="O230" s="93"/>
      <c r="P230" s="94"/>
      <c r="Q230" s="95"/>
      <c r="R230" s="92"/>
      <c r="S230" s="96"/>
      <c r="T230" s="93"/>
      <c r="U230" s="97"/>
      <c r="V230" s="98"/>
      <c r="W230" s="99"/>
      <c r="X230" s="92"/>
      <c r="Y230" s="96"/>
      <c r="Z230" s="100"/>
      <c r="AA230" s="70"/>
      <c r="AB230" s="70"/>
      <c r="AC230" s="70"/>
      <c r="AD230" s="70"/>
      <c r="AE230" s="70"/>
      <c r="AF230" s="70"/>
      <c r="AG230" s="70"/>
      <c r="AH230" s="70"/>
      <c r="AI230" s="70"/>
      <c r="AJ230" s="70"/>
      <c r="AO230" s="70"/>
      <c r="AP230" s="93"/>
      <c r="AQ230" s="94"/>
      <c r="AR230" s="95"/>
      <c r="AS230" s="92"/>
      <c r="AT230" s="96"/>
      <c r="AU230" s="93"/>
      <c r="AV230" s="97"/>
      <c r="AW230" s="98"/>
      <c r="AX230" s="99"/>
      <c r="AY230" s="92"/>
      <c r="AZ230" s="96"/>
      <c r="BA230" s="100"/>
    </row>
    <row r="231" spans="4:53" ht="12.75" x14ac:dyDescent="0.2">
      <c r="D231" s="70"/>
      <c r="E231" s="70"/>
      <c r="F231" s="70"/>
      <c r="G231" s="70"/>
      <c r="H231" s="70"/>
      <c r="I231" s="69"/>
      <c r="J231" s="70"/>
      <c r="K231" s="70"/>
      <c r="L231" s="70"/>
      <c r="M231" s="70"/>
      <c r="N231" s="69"/>
      <c r="O231" s="93"/>
      <c r="P231" s="94"/>
      <c r="Q231" s="95"/>
      <c r="R231" s="92"/>
      <c r="S231" s="96"/>
      <c r="T231" s="93"/>
      <c r="U231" s="97"/>
      <c r="V231" s="98"/>
      <c r="W231" s="99"/>
      <c r="X231" s="92"/>
      <c r="Y231" s="96"/>
      <c r="Z231" s="100"/>
      <c r="AA231" s="70"/>
      <c r="AB231" s="70"/>
      <c r="AC231" s="70"/>
      <c r="AD231" s="70"/>
      <c r="AE231" s="70"/>
      <c r="AF231" s="70"/>
      <c r="AG231" s="70"/>
      <c r="AH231" s="70"/>
      <c r="AI231" s="70"/>
      <c r="AJ231" s="70"/>
      <c r="AO231" s="70"/>
      <c r="AP231" s="93"/>
      <c r="AQ231" s="94"/>
      <c r="AR231" s="95"/>
      <c r="AS231" s="92"/>
      <c r="AT231" s="96"/>
      <c r="AU231" s="93"/>
      <c r="AV231" s="97"/>
      <c r="AW231" s="98"/>
      <c r="AX231" s="99"/>
      <c r="AY231" s="92"/>
      <c r="AZ231" s="96"/>
      <c r="BA231" s="100"/>
    </row>
    <row r="232" spans="4:53" ht="12.75" x14ac:dyDescent="0.2">
      <c r="D232" s="70"/>
      <c r="E232" s="70"/>
      <c r="F232" s="70"/>
      <c r="G232" s="70"/>
      <c r="H232" s="70"/>
      <c r="I232" s="69"/>
      <c r="J232" s="70"/>
      <c r="K232" s="70"/>
      <c r="L232" s="70"/>
      <c r="M232" s="70"/>
      <c r="N232" s="69"/>
      <c r="O232" s="93"/>
      <c r="P232" s="94"/>
      <c r="Q232" s="95"/>
      <c r="R232" s="92"/>
      <c r="S232" s="96"/>
      <c r="T232" s="93"/>
      <c r="U232" s="97"/>
      <c r="V232" s="98"/>
      <c r="W232" s="99"/>
      <c r="X232" s="92"/>
      <c r="Y232" s="96"/>
      <c r="Z232" s="100"/>
      <c r="AA232" s="70"/>
      <c r="AB232" s="70"/>
      <c r="AC232" s="70"/>
      <c r="AD232" s="70"/>
      <c r="AE232" s="70"/>
      <c r="AF232" s="70"/>
      <c r="AG232" s="70"/>
      <c r="AH232" s="70"/>
      <c r="AI232" s="70"/>
      <c r="AJ232" s="70"/>
      <c r="AO232" s="70"/>
      <c r="AP232" s="93"/>
      <c r="AQ232" s="94"/>
      <c r="AR232" s="95"/>
      <c r="AS232" s="92"/>
      <c r="AT232" s="96"/>
      <c r="AU232" s="93"/>
      <c r="AV232" s="97"/>
      <c r="AW232" s="98"/>
      <c r="AX232" s="99"/>
      <c r="AY232" s="92"/>
      <c r="AZ232" s="96"/>
      <c r="BA232" s="100"/>
    </row>
    <row r="233" spans="4:53" ht="12.75" x14ac:dyDescent="0.2">
      <c r="D233" s="70"/>
      <c r="E233" s="70"/>
      <c r="F233" s="70"/>
      <c r="G233" s="70"/>
      <c r="H233" s="70"/>
      <c r="I233" s="69"/>
      <c r="J233" s="70"/>
      <c r="K233" s="70"/>
      <c r="L233" s="70"/>
      <c r="M233" s="70"/>
      <c r="N233" s="69"/>
      <c r="O233" s="93"/>
      <c r="P233" s="94"/>
      <c r="Q233" s="95"/>
      <c r="R233" s="92"/>
      <c r="S233" s="96"/>
      <c r="T233" s="93"/>
      <c r="U233" s="97"/>
      <c r="V233" s="98"/>
      <c r="W233" s="99"/>
      <c r="X233" s="92"/>
      <c r="Y233" s="96"/>
      <c r="Z233" s="100"/>
      <c r="AA233" s="70"/>
      <c r="AB233" s="70"/>
      <c r="AC233" s="70"/>
      <c r="AD233" s="70"/>
      <c r="AE233" s="70"/>
      <c r="AF233" s="70"/>
      <c r="AG233" s="70"/>
      <c r="AH233" s="70"/>
      <c r="AI233" s="70"/>
      <c r="AJ233" s="70"/>
      <c r="AO233" s="70"/>
      <c r="AP233" s="93"/>
      <c r="AQ233" s="94"/>
      <c r="AR233" s="95"/>
      <c r="AS233" s="92"/>
      <c r="AT233" s="96"/>
      <c r="AU233" s="93"/>
      <c r="AV233" s="97"/>
      <c r="AW233" s="98"/>
      <c r="AX233" s="99"/>
      <c r="AY233" s="92"/>
      <c r="AZ233" s="96"/>
      <c r="BA233" s="100"/>
    </row>
    <row r="234" spans="4:53" ht="12.75" x14ac:dyDescent="0.2">
      <c r="D234" s="70"/>
      <c r="E234" s="70"/>
      <c r="F234" s="70"/>
      <c r="G234" s="70"/>
      <c r="H234" s="70"/>
      <c r="I234" s="69"/>
      <c r="J234" s="70"/>
      <c r="K234" s="70"/>
      <c r="L234" s="70"/>
      <c r="M234" s="70"/>
      <c r="N234" s="69"/>
      <c r="O234" s="93"/>
      <c r="P234" s="94"/>
      <c r="Q234" s="95"/>
      <c r="R234" s="92"/>
      <c r="S234" s="96"/>
      <c r="T234" s="93"/>
      <c r="U234" s="97"/>
      <c r="V234" s="98"/>
      <c r="W234" s="99"/>
      <c r="X234" s="92"/>
      <c r="Y234" s="96"/>
      <c r="Z234" s="100"/>
      <c r="AA234" s="70"/>
      <c r="AB234" s="70"/>
      <c r="AC234" s="70"/>
      <c r="AD234" s="70"/>
      <c r="AE234" s="70"/>
      <c r="AF234" s="70"/>
      <c r="AG234" s="70"/>
      <c r="AH234" s="70"/>
      <c r="AI234" s="70"/>
      <c r="AJ234" s="70"/>
      <c r="AO234" s="70"/>
      <c r="AP234" s="93"/>
      <c r="AQ234" s="94"/>
      <c r="AR234" s="95"/>
      <c r="AS234" s="92"/>
      <c r="AT234" s="96"/>
      <c r="AU234" s="93"/>
      <c r="AV234" s="97"/>
      <c r="AW234" s="98"/>
      <c r="AX234" s="99"/>
      <c r="AY234" s="92"/>
      <c r="AZ234" s="96"/>
      <c r="BA234" s="100"/>
    </row>
    <row r="235" spans="4:53" ht="12.75" x14ac:dyDescent="0.2">
      <c r="D235" s="70"/>
      <c r="E235" s="70"/>
      <c r="F235" s="70"/>
      <c r="G235" s="70"/>
      <c r="H235" s="70"/>
      <c r="I235" s="69"/>
      <c r="J235" s="70"/>
      <c r="K235" s="70"/>
      <c r="L235" s="70"/>
      <c r="M235" s="70"/>
      <c r="N235" s="69"/>
      <c r="O235" s="93"/>
      <c r="P235" s="94"/>
      <c r="Q235" s="95"/>
      <c r="R235" s="92"/>
      <c r="S235" s="96"/>
      <c r="T235" s="93"/>
      <c r="U235" s="97"/>
      <c r="V235" s="98"/>
      <c r="W235" s="99"/>
      <c r="X235" s="92"/>
      <c r="Y235" s="96"/>
      <c r="Z235" s="100"/>
      <c r="AA235" s="70"/>
      <c r="AB235" s="70"/>
      <c r="AC235" s="70"/>
      <c r="AD235" s="70"/>
      <c r="AE235" s="70"/>
      <c r="AF235" s="70"/>
      <c r="AG235" s="70"/>
      <c r="AH235" s="70"/>
      <c r="AI235" s="70"/>
      <c r="AJ235" s="70"/>
      <c r="AO235" s="70"/>
      <c r="AP235" s="93"/>
      <c r="AQ235" s="94"/>
      <c r="AR235" s="95"/>
      <c r="AS235" s="92"/>
      <c r="AT235" s="96"/>
      <c r="AU235" s="93"/>
      <c r="AV235" s="97"/>
      <c r="AW235" s="98"/>
      <c r="AX235" s="99"/>
      <c r="AY235" s="92"/>
      <c r="AZ235" s="96"/>
      <c r="BA235" s="100"/>
    </row>
    <row r="236" spans="4:53" ht="12.75" x14ac:dyDescent="0.2">
      <c r="D236" s="70"/>
      <c r="E236" s="70"/>
      <c r="F236" s="70"/>
      <c r="G236" s="70"/>
      <c r="H236" s="70"/>
      <c r="I236" s="69"/>
      <c r="J236" s="70"/>
      <c r="K236" s="70"/>
      <c r="L236" s="70"/>
      <c r="M236" s="70"/>
      <c r="N236" s="69"/>
      <c r="O236" s="93"/>
      <c r="P236" s="94"/>
      <c r="Q236" s="95"/>
      <c r="R236" s="92"/>
      <c r="S236" s="96"/>
      <c r="T236" s="93"/>
      <c r="U236" s="97"/>
      <c r="V236" s="98"/>
      <c r="W236" s="99"/>
      <c r="X236" s="92"/>
      <c r="Y236" s="96"/>
      <c r="Z236" s="100"/>
      <c r="AA236" s="70"/>
      <c r="AB236" s="70"/>
      <c r="AC236" s="70"/>
      <c r="AD236" s="70"/>
      <c r="AE236" s="70"/>
      <c r="AF236" s="70"/>
      <c r="AG236" s="70"/>
      <c r="AH236" s="70"/>
      <c r="AI236" s="70"/>
      <c r="AJ236" s="70"/>
      <c r="AO236" s="70"/>
      <c r="AP236" s="93"/>
      <c r="AQ236" s="94"/>
      <c r="AR236" s="95"/>
      <c r="AS236" s="92"/>
      <c r="AT236" s="96"/>
      <c r="AU236" s="93"/>
      <c r="AV236" s="97"/>
      <c r="AW236" s="98"/>
      <c r="AX236" s="99"/>
      <c r="AY236" s="92"/>
      <c r="AZ236" s="96"/>
      <c r="BA236" s="100"/>
    </row>
    <row r="237" spans="4:53" ht="12.75" x14ac:dyDescent="0.2">
      <c r="D237" s="70"/>
      <c r="E237" s="70"/>
      <c r="F237" s="70"/>
      <c r="G237" s="70"/>
      <c r="H237" s="70"/>
      <c r="I237" s="69"/>
      <c r="J237" s="70"/>
      <c r="K237" s="70"/>
      <c r="L237" s="70"/>
      <c r="M237" s="70"/>
      <c r="N237" s="69"/>
      <c r="O237" s="93"/>
      <c r="P237" s="94"/>
      <c r="Q237" s="95"/>
      <c r="R237" s="92"/>
      <c r="S237" s="96"/>
      <c r="T237" s="93"/>
      <c r="U237" s="97"/>
      <c r="V237" s="98"/>
      <c r="W237" s="99"/>
      <c r="X237" s="92"/>
      <c r="Y237" s="96"/>
      <c r="Z237" s="100"/>
      <c r="AA237" s="70"/>
      <c r="AB237" s="70"/>
      <c r="AC237" s="70"/>
      <c r="AD237" s="70"/>
      <c r="AE237" s="70"/>
      <c r="AF237" s="70"/>
      <c r="AG237" s="70"/>
      <c r="AH237" s="70"/>
      <c r="AI237" s="70"/>
      <c r="AJ237" s="70"/>
      <c r="AO237" s="70"/>
      <c r="AP237" s="93"/>
      <c r="AQ237" s="94"/>
      <c r="AR237" s="95"/>
      <c r="AS237" s="92"/>
      <c r="AT237" s="96"/>
      <c r="AU237" s="93"/>
      <c r="AV237" s="97"/>
      <c r="AW237" s="98"/>
      <c r="AX237" s="99"/>
      <c r="AY237" s="92"/>
      <c r="AZ237" s="96"/>
      <c r="BA237" s="100"/>
    </row>
    <row r="238" spans="4:53" ht="12.75" x14ac:dyDescent="0.2">
      <c r="D238" s="70"/>
      <c r="E238" s="70"/>
      <c r="F238" s="70"/>
      <c r="G238" s="70"/>
      <c r="H238" s="70"/>
      <c r="I238" s="69"/>
      <c r="J238" s="70"/>
      <c r="K238" s="70"/>
      <c r="L238" s="70"/>
      <c r="M238" s="70"/>
      <c r="N238" s="69"/>
      <c r="O238" s="93"/>
      <c r="P238" s="94"/>
      <c r="Q238" s="95"/>
      <c r="R238" s="92"/>
      <c r="S238" s="96"/>
      <c r="T238" s="93"/>
      <c r="U238" s="97"/>
      <c r="V238" s="98"/>
      <c r="W238" s="99"/>
      <c r="X238" s="92"/>
      <c r="Y238" s="96"/>
      <c r="Z238" s="100"/>
      <c r="AA238" s="70"/>
      <c r="AB238" s="70"/>
      <c r="AC238" s="70"/>
      <c r="AD238" s="70"/>
      <c r="AE238" s="70"/>
      <c r="AF238" s="70"/>
      <c r="AG238" s="70"/>
      <c r="AH238" s="70"/>
      <c r="AI238" s="70"/>
      <c r="AJ238" s="70"/>
      <c r="AO238" s="70"/>
      <c r="AP238" s="93"/>
      <c r="AQ238" s="94"/>
      <c r="AR238" s="95"/>
      <c r="AS238" s="92"/>
      <c r="AT238" s="96"/>
      <c r="AU238" s="93"/>
      <c r="AV238" s="97"/>
      <c r="AW238" s="98"/>
      <c r="AX238" s="99"/>
      <c r="AY238" s="92"/>
      <c r="AZ238" s="96"/>
      <c r="BA238" s="100"/>
    </row>
    <row r="239" spans="4:53" ht="12.75" x14ac:dyDescent="0.2">
      <c r="D239" s="70"/>
      <c r="E239" s="70"/>
      <c r="F239" s="70"/>
      <c r="G239" s="70"/>
      <c r="H239" s="70"/>
      <c r="I239" s="69"/>
      <c r="J239" s="70"/>
      <c r="K239" s="70"/>
      <c r="L239" s="70"/>
      <c r="M239" s="70"/>
      <c r="N239" s="69"/>
      <c r="O239" s="93"/>
      <c r="P239" s="94"/>
      <c r="Q239" s="95"/>
      <c r="R239" s="92"/>
      <c r="S239" s="96"/>
      <c r="T239" s="93"/>
      <c r="U239" s="97"/>
      <c r="V239" s="98"/>
      <c r="W239" s="99"/>
      <c r="X239" s="92"/>
      <c r="Y239" s="96"/>
      <c r="Z239" s="100"/>
      <c r="AA239" s="70"/>
      <c r="AB239" s="70"/>
      <c r="AC239" s="70"/>
      <c r="AD239" s="70"/>
      <c r="AE239" s="70"/>
      <c r="AF239" s="70"/>
      <c r="AG239" s="70"/>
      <c r="AH239" s="70"/>
      <c r="AI239" s="70"/>
      <c r="AJ239" s="70"/>
      <c r="AO239" s="70"/>
      <c r="AP239" s="93"/>
      <c r="AQ239" s="94"/>
      <c r="AR239" s="95"/>
      <c r="AS239" s="92"/>
      <c r="AT239" s="96"/>
      <c r="AU239" s="93"/>
      <c r="AV239" s="97"/>
      <c r="AW239" s="98"/>
      <c r="AX239" s="99"/>
      <c r="AY239" s="92"/>
      <c r="AZ239" s="96"/>
      <c r="BA239" s="100"/>
    </row>
    <row r="240" spans="4:53" ht="12.75" x14ac:dyDescent="0.2">
      <c r="D240" s="70"/>
      <c r="E240" s="70"/>
      <c r="F240" s="70"/>
      <c r="G240" s="70"/>
      <c r="H240" s="70"/>
      <c r="I240" s="69"/>
      <c r="J240" s="70"/>
      <c r="K240" s="70"/>
      <c r="L240" s="70"/>
      <c r="M240" s="70"/>
      <c r="N240" s="69"/>
      <c r="O240" s="93"/>
      <c r="P240" s="94"/>
      <c r="Q240" s="95"/>
      <c r="R240" s="92"/>
      <c r="S240" s="96"/>
      <c r="T240" s="93"/>
      <c r="U240" s="97"/>
      <c r="V240" s="98"/>
      <c r="W240" s="99"/>
      <c r="X240" s="92"/>
      <c r="Y240" s="96"/>
      <c r="Z240" s="100"/>
      <c r="AA240" s="70"/>
      <c r="AB240" s="70"/>
      <c r="AC240" s="70"/>
      <c r="AD240" s="70"/>
      <c r="AE240" s="70"/>
      <c r="AF240" s="70"/>
      <c r="AG240" s="70"/>
      <c r="AH240" s="70"/>
      <c r="AI240" s="70"/>
      <c r="AJ240" s="70"/>
      <c r="AO240" s="70"/>
      <c r="AP240" s="93"/>
      <c r="AQ240" s="94"/>
      <c r="AR240" s="95"/>
      <c r="AS240" s="92"/>
      <c r="AT240" s="96"/>
      <c r="AU240" s="93"/>
      <c r="AV240" s="97"/>
      <c r="AW240" s="98"/>
      <c r="AX240" s="99"/>
      <c r="AY240" s="92"/>
      <c r="AZ240" s="96"/>
      <c r="BA240" s="100"/>
    </row>
    <row r="241" spans="4:53" ht="12.75" x14ac:dyDescent="0.2">
      <c r="D241" s="70"/>
      <c r="E241" s="70"/>
      <c r="F241" s="70"/>
      <c r="G241" s="70"/>
      <c r="H241" s="70"/>
      <c r="I241" s="69"/>
      <c r="J241" s="70"/>
      <c r="K241" s="70"/>
      <c r="L241" s="70"/>
      <c r="M241" s="70"/>
      <c r="N241" s="69"/>
      <c r="O241" s="93"/>
      <c r="P241" s="94"/>
      <c r="Q241" s="95"/>
      <c r="R241" s="92"/>
      <c r="S241" s="96"/>
      <c r="T241" s="93"/>
      <c r="U241" s="97"/>
      <c r="V241" s="98"/>
      <c r="W241" s="99"/>
      <c r="X241" s="92"/>
      <c r="Y241" s="96"/>
      <c r="Z241" s="100"/>
      <c r="AA241" s="70"/>
      <c r="AB241" s="70"/>
      <c r="AC241" s="70"/>
      <c r="AD241" s="70"/>
      <c r="AE241" s="70"/>
      <c r="AF241" s="70"/>
      <c r="AG241" s="70"/>
      <c r="AH241" s="70"/>
      <c r="AI241" s="70"/>
      <c r="AJ241" s="70"/>
      <c r="AO241" s="70"/>
      <c r="AP241" s="93"/>
      <c r="AQ241" s="94"/>
      <c r="AR241" s="95"/>
      <c r="AS241" s="92"/>
      <c r="AT241" s="96"/>
      <c r="AU241" s="93"/>
      <c r="AV241" s="97"/>
      <c r="AW241" s="98"/>
      <c r="AX241" s="99"/>
      <c r="AY241" s="92"/>
      <c r="AZ241" s="96"/>
      <c r="BA241" s="100"/>
    </row>
    <row r="242" spans="4:53" ht="12.75" x14ac:dyDescent="0.2">
      <c r="D242" s="70"/>
      <c r="E242" s="70"/>
      <c r="F242" s="70"/>
      <c r="G242" s="70"/>
      <c r="H242" s="70"/>
      <c r="I242" s="69"/>
      <c r="J242" s="70"/>
      <c r="K242" s="70"/>
      <c r="L242" s="70"/>
      <c r="M242" s="70"/>
      <c r="N242" s="69"/>
      <c r="O242" s="93"/>
      <c r="P242" s="94"/>
      <c r="Q242" s="95"/>
      <c r="R242" s="92"/>
      <c r="S242" s="96"/>
      <c r="T242" s="93"/>
      <c r="U242" s="97"/>
      <c r="V242" s="98"/>
      <c r="W242" s="99"/>
      <c r="X242" s="92"/>
      <c r="Y242" s="96"/>
      <c r="Z242" s="100"/>
      <c r="AA242" s="70"/>
      <c r="AB242" s="70"/>
      <c r="AC242" s="70"/>
      <c r="AD242" s="70"/>
      <c r="AE242" s="70"/>
      <c r="AF242" s="70"/>
      <c r="AG242" s="70"/>
      <c r="AH242" s="70"/>
      <c r="AI242" s="70"/>
      <c r="AJ242" s="70"/>
      <c r="AO242" s="70"/>
      <c r="AP242" s="93"/>
      <c r="AQ242" s="94"/>
      <c r="AR242" s="95"/>
      <c r="AS242" s="92"/>
      <c r="AT242" s="96"/>
      <c r="AU242" s="93"/>
      <c r="AV242" s="97"/>
      <c r="AW242" s="98"/>
      <c r="AX242" s="99"/>
      <c r="AY242" s="92"/>
      <c r="AZ242" s="96"/>
      <c r="BA242" s="100"/>
    </row>
    <row r="243" spans="4:53" ht="12.75" x14ac:dyDescent="0.2">
      <c r="D243" s="70"/>
      <c r="E243" s="70"/>
      <c r="F243" s="70"/>
      <c r="G243" s="70"/>
      <c r="H243" s="70"/>
      <c r="I243" s="69"/>
      <c r="J243" s="70"/>
      <c r="K243" s="70"/>
      <c r="L243" s="70"/>
      <c r="M243" s="70"/>
      <c r="N243" s="69"/>
      <c r="O243" s="93"/>
      <c r="P243" s="94"/>
      <c r="Q243" s="95"/>
      <c r="R243" s="92"/>
      <c r="S243" s="96"/>
      <c r="T243" s="93"/>
      <c r="U243" s="97"/>
      <c r="V243" s="98"/>
      <c r="W243" s="99"/>
      <c r="X243" s="92"/>
      <c r="Y243" s="96"/>
      <c r="Z243" s="100"/>
      <c r="AA243" s="70"/>
      <c r="AB243" s="70"/>
      <c r="AC243" s="70"/>
      <c r="AD243" s="70"/>
      <c r="AE243" s="70"/>
      <c r="AF243" s="70"/>
      <c r="AG243" s="70"/>
      <c r="AH243" s="70"/>
      <c r="AI243" s="70"/>
      <c r="AJ243" s="70"/>
      <c r="AO243" s="70"/>
      <c r="AP243" s="93"/>
      <c r="AQ243" s="94"/>
      <c r="AR243" s="95"/>
      <c r="AS243" s="92"/>
      <c r="AT243" s="96"/>
      <c r="AU243" s="93"/>
      <c r="AV243" s="97"/>
      <c r="AW243" s="98"/>
      <c r="AX243" s="99"/>
      <c r="AY243" s="92"/>
      <c r="AZ243" s="96"/>
      <c r="BA243" s="100"/>
    </row>
    <row r="244" spans="4:53" ht="12.75" x14ac:dyDescent="0.2">
      <c r="D244" s="70"/>
      <c r="E244" s="70"/>
      <c r="F244" s="70"/>
      <c r="G244" s="70"/>
      <c r="H244" s="70"/>
      <c r="I244" s="69"/>
      <c r="J244" s="70"/>
      <c r="K244" s="70"/>
      <c r="L244" s="70"/>
      <c r="M244" s="70"/>
      <c r="N244" s="69"/>
      <c r="O244" s="93"/>
      <c r="P244" s="94"/>
      <c r="Q244" s="95"/>
      <c r="R244" s="92"/>
      <c r="S244" s="96"/>
      <c r="T244" s="93"/>
      <c r="U244" s="97"/>
      <c r="V244" s="98"/>
      <c r="W244" s="99"/>
      <c r="X244" s="92"/>
      <c r="Y244" s="96"/>
      <c r="Z244" s="100"/>
      <c r="AA244" s="70"/>
      <c r="AB244" s="70"/>
      <c r="AC244" s="70"/>
      <c r="AD244" s="70"/>
      <c r="AE244" s="70"/>
      <c r="AF244" s="70"/>
      <c r="AG244" s="70"/>
      <c r="AH244" s="70"/>
      <c r="AI244" s="70"/>
      <c r="AJ244" s="70"/>
      <c r="AO244" s="70"/>
      <c r="AP244" s="93"/>
      <c r="AQ244" s="94"/>
      <c r="AR244" s="95"/>
      <c r="AS244" s="92"/>
      <c r="AT244" s="96"/>
      <c r="AU244" s="93"/>
      <c r="AV244" s="97"/>
      <c r="AW244" s="98"/>
      <c r="AX244" s="99"/>
      <c r="AY244" s="92"/>
      <c r="AZ244" s="96"/>
      <c r="BA244" s="100"/>
    </row>
    <row r="245" spans="4:53" ht="12.75" x14ac:dyDescent="0.2">
      <c r="D245" s="70"/>
      <c r="E245" s="70"/>
      <c r="F245" s="70"/>
      <c r="G245" s="70"/>
      <c r="H245" s="70"/>
      <c r="I245" s="69"/>
      <c r="J245" s="70"/>
      <c r="K245" s="70"/>
      <c r="L245" s="70"/>
      <c r="M245" s="70"/>
      <c r="N245" s="69"/>
      <c r="O245" s="93"/>
      <c r="P245" s="94"/>
      <c r="Q245" s="95"/>
      <c r="R245" s="92"/>
      <c r="S245" s="96"/>
      <c r="T245" s="93"/>
      <c r="U245" s="97"/>
      <c r="V245" s="98"/>
      <c r="W245" s="99"/>
      <c r="X245" s="92"/>
      <c r="Y245" s="96"/>
      <c r="Z245" s="100"/>
      <c r="AA245" s="70"/>
      <c r="AB245" s="70"/>
      <c r="AC245" s="70"/>
      <c r="AD245" s="70"/>
      <c r="AE245" s="70"/>
      <c r="AF245" s="70"/>
      <c r="AG245" s="70"/>
      <c r="AH245" s="70"/>
      <c r="AI245" s="70"/>
      <c r="AJ245" s="70"/>
      <c r="AO245" s="70"/>
      <c r="AP245" s="93"/>
      <c r="AQ245" s="94"/>
      <c r="AR245" s="95"/>
      <c r="AS245" s="92"/>
      <c r="AT245" s="96"/>
      <c r="AU245" s="93"/>
      <c r="AV245" s="97"/>
      <c r="AW245" s="98"/>
      <c r="AX245" s="99"/>
      <c r="AY245" s="92"/>
      <c r="AZ245" s="96"/>
      <c r="BA245" s="100"/>
    </row>
    <row r="246" spans="4:53" ht="12.75" x14ac:dyDescent="0.2">
      <c r="D246" s="70"/>
      <c r="E246" s="70"/>
      <c r="F246" s="70"/>
      <c r="G246" s="70"/>
      <c r="H246" s="70"/>
      <c r="I246" s="69"/>
      <c r="J246" s="70"/>
      <c r="K246" s="70"/>
      <c r="L246" s="70"/>
      <c r="M246" s="70"/>
      <c r="N246" s="69"/>
      <c r="O246" s="93"/>
      <c r="P246" s="94"/>
      <c r="Q246" s="95"/>
      <c r="R246" s="92"/>
      <c r="S246" s="96"/>
      <c r="T246" s="93"/>
      <c r="U246" s="97"/>
      <c r="V246" s="98"/>
      <c r="W246" s="99"/>
      <c r="X246" s="92"/>
      <c r="Y246" s="96"/>
      <c r="Z246" s="100"/>
      <c r="AA246" s="70"/>
      <c r="AB246" s="70"/>
      <c r="AC246" s="70"/>
      <c r="AD246" s="70"/>
      <c r="AE246" s="70"/>
      <c r="AF246" s="70"/>
      <c r="AG246" s="70"/>
      <c r="AH246" s="70"/>
      <c r="AI246" s="70"/>
      <c r="AJ246" s="70"/>
      <c r="AO246" s="70"/>
      <c r="AP246" s="93"/>
      <c r="AQ246" s="94"/>
      <c r="AR246" s="95"/>
      <c r="AS246" s="92"/>
      <c r="AT246" s="96"/>
      <c r="AU246" s="93"/>
      <c r="AV246" s="97"/>
      <c r="AW246" s="98"/>
      <c r="AX246" s="99"/>
      <c r="AY246" s="92"/>
      <c r="AZ246" s="96"/>
      <c r="BA246" s="100"/>
    </row>
    <row r="247" spans="4:53" ht="12.75" x14ac:dyDescent="0.2">
      <c r="D247" s="70"/>
      <c r="E247" s="70"/>
      <c r="F247" s="70"/>
      <c r="G247" s="70"/>
      <c r="H247" s="70"/>
      <c r="I247" s="69"/>
      <c r="J247" s="70"/>
      <c r="K247" s="70"/>
      <c r="L247" s="70"/>
      <c r="M247" s="70"/>
      <c r="N247" s="69"/>
      <c r="O247" s="93"/>
      <c r="P247" s="94"/>
      <c r="Q247" s="95"/>
      <c r="R247" s="92"/>
      <c r="S247" s="96"/>
      <c r="T247" s="93"/>
      <c r="U247" s="97"/>
      <c r="V247" s="98"/>
      <c r="W247" s="99"/>
      <c r="X247" s="92"/>
      <c r="Y247" s="96"/>
      <c r="Z247" s="100"/>
      <c r="AA247" s="70"/>
      <c r="AB247" s="70"/>
      <c r="AC247" s="70"/>
      <c r="AD247" s="70"/>
      <c r="AE247" s="70"/>
      <c r="AF247" s="70"/>
      <c r="AG247" s="70"/>
      <c r="AH247" s="70"/>
      <c r="AI247" s="70"/>
      <c r="AJ247" s="70"/>
      <c r="AO247" s="70"/>
      <c r="AP247" s="93"/>
      <c r="AQ247" s="94"/>
      <c r="AR247" s="95"/>
      <c r="AS247" s="92"/>
      <c r="AT247" s="96"/>
      <c r="AU247" s="93"/>
      <c r="AV247" s="97"/>
      <c r="AW247" s="98"/>
      <c r="AX247" s="99"/>
      <c r="AY247" s="92"/>
      <c r="AZ247" s="96"/>
      <c r="BA247" s="100"/>
    </row>
    <row r="248" spans="4:53" ht="12.75" x14ac:dyDescent="0.2">
      <c r="D248" s="70"/>
      <c r="E248" s="70"/>
      <c r="F248" s="70"/>
      <c r="G248" s="70"/>
      <c r="H248" s="70"/>
      <c r="I248" s="69"/>
      <c r="J248" s="70"/>
      <c r="K248" s="70"/>
      <c r="L248" s="70"/>
      <c r="M248" s="70"/>
      <c r="N248" s="69"/>
      <c r="O248" s="93"/>
      <c r="P248" s="94"/>
      <c r="Q248" s="95"/>
      <c r="R248" s="92"/>
      <c r="S248" s="96"/>
      <c r="T248" s="93"/>
      <c r="U248" s="97"/>
      <c r="V248" s="98"/>
      <c r="W248" s="99"/>
      <c r="X248" s="92"/>
      <c r="Y248" s="96"/>
      <c r="Z248" s="100"/>
      <c r="AA248" s="70"/>
      <c r="AB248" s="70"/>
      <c r="AC248" s="70"/>
      <c r="AD248" s="70"/>
      <c r="AE248" s="70"/>
      <c r="AF248" s="70"/>
      <c r="AG248" s="70"/>
      <c r="AH248" s="70"/>
      <c r="AI248" s="70"/>
      <c r="AJ248" s="70"/>
      <c r="AO248" s="70"/>
      <c r="AP248" s="93"/>
      <c r="AQ248" s="94"/>
      <c r="AR248" s="95"/>
      <c r="AS248" s="92"/>
      <c r="AT248" s="96"/>
      <c r="AU248" s="93"/>
      <c r="AV248" s="97"/>
      <c r="AW248" s="98"/>
      <c r="AX248" s="99"/>
      <c r="AY248" s="92"/>
      <c r="AZ248" s="96"/>
      <c r="BA248" s="100"/>
    </row>
    <row r="249" spans="4:53" ht="12.75" x14ac:dyDescent="0.2">
      <c r="D249" s="70"/>
      <c r="E249" s="70"/>
      <c r="F249" s="70"/>
      <c r="G249" s="70"/>
      <c r="H249" s="70"/>
      <c r="I249" s="69"/>
      <c r="J249" s="70"/>
      <c r="K249" s="70"/>
      <c r="L249" s="70"/>
      <c r="M249" s="70"/>
      <c r="N249" s="69"/>
      <c r="O249" s="93"/>
      <c r="P249" s="94"/>
      <c r="Q249" s="95"/>
      <c r="R249" s="92"/>
      <c r="S249" s="96"/>
      <c r="T249" s="93"/>
      <c r="U249" s="97"/>
      <c r="V249" s="98"/>
      <c r="W249" s="99"/>
      <c r="X249" s="92"/>
      <c r="Y249" s="96"/>
      <c r="Z249" s="100"/>
      <c r="AA249" s="70"/>
      <c r="AB249" s="70"/>
      <c r="AC249" s="70"/>
      <c r="AD249" s="70"/>
      <c r="AE249" s="70"/>
      <c r="AF249" s="70"/>
      <c r="AG249" s="70"/>
      <c r="AH249" s="70"/>
      <c r="AI249" s="70"/>
      <c r="AJ249" s="70"/>
      <c r="AO249" s="70"/>
      <c r="AP249" s="93"/>
      <c r="AQ249" s="94"/>
      <c r="AR249" s="95"/>
      <c r="AS249" s="92"/>
      <c r="AT249" s="96"/>
      <c r="AU249" s="93"/>
      <c r="AV249" s="97"/>
      <c r="AW249" s="98"/>
      <c r="AX249" s="99"/>
      <c r="AY249" s="92"/>
      <c r="AZ249" s="96"/>
      <c r="BA249" s="100"/>
    </row>
    <row r="250" spans="4:53" ht="12.75" x14ac:dyDescent="0.2">
      <c r="D250" s="70"/>
      <c r="E250" s="70"/>
      <c r="F250" s="70"/>
      <c r="G250" s="70"/>
      <c r="H250" s="70"/>
      <c r="I250" s="69"/>
      <c r="J250" s="70"/>
      <c r="K250" s="70"/>
      <c r="L250" s="70"/>
      <c r="M250" s="70"/>
      <c r="N250" s="69"/>
      <c r="O250" s="93"/>
      <c r="P250" s="94"/>
      <c r="Q250" s="95"/>
      <c r="R250" s="92"/>
      <c r="S250" s="96"/>
      <c r="T250" s="93"/>
      <c r="U250" s="97"/>
      <c r="V250" s="98"/>
      <c r="W250" s="99"/>
      <c r="X250" s="92"/>
      <c r="Y250" s="96"/>
      <c r="Z250" s="100"/>
      <c r="AA250" s="70"/>
      <c r="AB250" s="70"/>
      <c r="AC250" s="70"/>
      <c r="AD250" s="70"/>
      <c r="AE250" s="70"/>
      <c r="AF250" s="70"/>
      <c r="AG250" s="70"/>
      <c r="AH250" s="70"/>
      <c r="AI250" s="70"/>
      <c r="AJ250" s="70"/>
      <c r="AO250" s="70"/>
      <c r="AP250" s="93"/>
      <c r="AQ250" s="94"/>
      <c r="AR250" s="95"/>
      <c r="AS250" s="92"/>
      <c r="AT250" s="96"/>
      <c r="AU250" s="93"/>
      <c r="AV250" s="97"/>
      <c r="AW250" s="98"/>
      <c r="AX250" s="99"/>
      <c r="AY250" s="92"/>
      <c r="AZ250" s="96"/>
      <c r="BA250" s="100"/>
    </row>
    <row r="251" spans="4:53" ht="12.75" x14ac:dyDescent="0.2">
      <c r="D251" s="70"/>
      <c r="E251" s="70"/>
      <c r="F251" s="70"/>
      <c r="G251" s="70"/>
      <c r="H251" s="70"/>
      <c r="I251" s="69"/>
      <c r="J251" s="70"/>
      <c r="K251" s="70"/>
      <c r="L251" s="70"/>
      <c r="M251" s="70"/>
      <c r="N251" s="69"/>
      <c r="O251" s="93"/>
      <c r="P251" s="94"/>
      <c r="Q251" s="95"/>
      <c r="R251" s="92"/>
      <c r="S251" s="96"/>
      <c r="T251" s="93"/>
      <c r="U251" s="97"/>
      <c r="V251" s="98"/>
      <c r="W251" s="99"/>
      <c r="X251" s="92"/>
      <c r="Y251" s="96"/>
      <c r="Z251" s="100"/>
      <c r="AA251" s="70"/>
      <c r="AB251" s="70"/>
      <c r="AC251" s="70"/>
      <c r="AD251" s="70"/>
      <c r="AE251" s="70"/>
      <c r="AF251" s="70"/>
      <c r="AG251" s="70"/>
      <c r="AH251" s="70"/>
      <c r="AI251" s="70"/>
      <c r="AJ251" s="70"/>
      <c r="AO251" s="70"/>
      <c r="AP251" s="93"/>
      <c r="AQ251" s="94"/>
      <c r="AR251" s="95"/>
      <c r="AS251" s="92"/>
      <c r="AT251" s="96"/>
      <c r="AU251" s="93"/>
      <c r="AV251" s="97"/>
      <c r="AW251" s="98"/>
      <c r="AX251" s="99"/>
      <c r="AY251" s="92"/>
      <c r="AZ251" s="96"/>
      <c r="BA251" s="100"/>
    </row>
    <row r="252" spans="4:53" ht="12.75" x14ac:dyDescent="0.2">
      <c r="D252" s="70"/>
      <c r="E252" s="70"/>
      <c r="F252" s="70"/>
      <c r="G252" s="70"/>
      <c r="H252" s="70"/>
      <c r="I252" s="69"/>
      <c r="J252" s="70"/>
      <c r="K252" s="70"/>
      <c r="L252" s="70"/>
      <c r="M252" s="70"/>
      <c r="N252" s="69"/>
      <c r="O252" s="93"/>
      <c r="P252" s="94"/>
      <c r="Q252" s="95"/>
      <c r="R252" s="92"/>
      <c r="S252" s="96"/>
      <c r="T252" s="93"/>
      <c r="U252" s="97"/>
      <c r="V252" s="98"/>
      <c r="W252" s="99"/>
      <c r="X252" s="92"/>
      <c r="Y252" s="96"/>
      <c r="Z252" s="100"/>
      <c r="AA252" s="70"/>
      <c r="AB252" s="70"/>
      <c r="AC252" s="70"/>
      <c r="AD252" s="70"/>
      <c r="AE252" s="70"/>
      <c r="AF252" s="70"/>
      <c r="AG252" s="70"/>
      <c r="AH252" s="70"/>
      <c r="AI252" s="70"/>
      <c r="AJ252" s="70"/>
      <c r="AO252" s="70"/>
      <c r="AP252" s="93"/>
      <c r="AQ252" s="94"/>
      <c r="AR252" s="95"/>
      <c r="AS252" s="92"/>
      <c r="AT252" s="96"/>
      <c r="AU252" s="93"/>
      <c r="AV252" s="97"/>
      <c r="AW252" s="98"/>
      <c r="AX252" s="99"/>
      <c r="AY252" s="92"/>
      <c r="AZ252" s="96"/>
      <c r="BA252" s="100"/>
    </row>
    <row r="253" spans="4:53" ht="12.75" x14ac:dyDescent="0.2">
      <c r="D253" s="70"/>
      <c r="E253" s="70"/>
      <c r="F253" s="70"/>
      <c r="G253" s="70"/>
      <c r="H253" s="70"/>
      <c r="I253" s="69"/>
      <c r="J253" s="70"/>
      <c r="K253" s="70"/>
      <c r="L253" s="70"/>
      <c r="M253" s="70"/>
      <c r="N253" s="69"/>
      <c r="O253" s="93"/>
      <c r="P253" s="94"/>
      <c r="Q253" s="95"/>
      <c r="R253" s="92"/>
      <c r="S253" s="96"/>
      <c r="T253" s="93"/>
      <c r="U253" s="97"/>
      <c r="V253" s="98"/>
      <c r="W253" s="99"/>
      <c r="X253" s="92"/>
      <c r="Y253" s="96"/>
      <c r="Z253" s="100"/>
      <c r="AA253" s="70"/>
      <c r="AB253" s="70"/>
      <c r="AC253" s="70"/>
      <c r="AD253" s="70"/>
      <c r="AE253" s="70"/>
      <c r="AF253" s="70"/>
      <c r="AG253" s="70"/>
      <c r="AH253" s="70"/>
      <c r="AI253" s="70"/>
      <c r="AJ253" s="70"/>
      <c r="AO253" s="70"/>
      <c r="AP253" s="93"/>
      <c r="AQ253" s="94"/>
      <c r="AR253" s="95"/>
      <c r="AS253" s="92"/>
      <c r="AT253" s="96"/>
      <c r="AU253" s="93"/>
      <c r="AV253" s="97"/>
      <c r="AW253" s="98"/>
      <c r="AX253" s="99"/>
      <c r="AY253" s="92"/>
      <c r="AZ253" s="96"/>
      <c r="BA253" s="100"/>
    </row>
    <row r="254" spans="4:53" ht="12.75" x14ac:dyDescent="0.2">
      <c r="D254" s="70"/>
      <c r="E254" s="70"/>
      <c r="F254" s="70"/>
      <c r="G254" s="70"/>
      <c r="H254" s="70"/>
      <c r="I254" s="69"/>
      <c r="J254" s="70"/>
      <c r="K254" s="70"/>
      <c r="L254" s="70"/>
      <c r="M254" s="70"/>
      <c r="N254" s="69"/>
      <c r="O254" s="93"/>
      <c r="P254" s="94"/>
      <c r="Q254" s="95"/>
      <c r="R254" s="92"/>
      <c r="S254" s="96"/>
      <c r="T254" s="93"/>
      <c r="U254" s="97"/>
      <c r="V254" s="98"/>
      <c r="W254" s="99"/>
      <c r="X254" s="92"/>
      <c r="Y254" s="96"/>
      <c r="Z254" s="100"/>
      <c r="AA254" s="70"/>
      <c r="AB254" s="70"/>
      <c r="AC254" s="70"/>
      <c r="AD254" s="70"/>
      <c r="AE254" s="70"/>
      <c r="AF254" s="70"/>
      <c r="AG254" s="70"/>
      <c r="AH254" s="70"/>
      <c r="AI254" s="70"/>
      <c r="AJ254" s="70"/>
      <c r="AO254" s="70"/>
      <c r="AP254" s="93"/>
      <c r="AQ254" s="94"/>
      <c r="AR254" s="95"/>
      <c r="AS254" s="92"/>
      <c r="AT254" s="96"/>
      <c r="AU254" s="93"/>
      <c r="AV254" s="97"/>
      <c r="AW254" s="98"/>
      <c r="AX254" s="99"/>
      <c r="AY254" s="92"/>
      <c r="AZ254" s="96"/>
      <c r="BA254" s="100"/>
    </row>
    <row r="255" spans="4:53" ht="12.75" x14ac:dyDescent="0.2">
      <c r="D255" s="70"/>
      <c r="E255" s="70"/>
      <c r="F255" s="70"/>
      <c r="G255" s="70"/>
      <c r="H255" s="70"/>
      <c r="I255" s="69"/>
      <c r="J255" s="70"/>
      <c r="K255" s="70"/>
      <c r="L255" s="70"/>
      <c r="M255" s="70"/>
      <c r="N255" s="69"/>
      <c r="O255" s="93"/>
      <c r="P255" s="94"/>
      <c r="Q255" s="95"/>
      <c r="R255" s="92"/>
      <c r="S255" s="96"/>
      <c r="T255" s="93"/>
      <c r="U255" s="97"/>
      <c r="V255" s="98"/>
      <c r="W255" s="99"/>
      <c r="X255" s="92"/>
      <c r="Y255" s="96"/>
      <c r="Z255" s="100"/>
      <c r="AA255" s="70"/>
      <c r="AB255" s="70"/>
      <c r="AC255" s="70"/>
      <c r="AD255" s="70"/>
      <c r="AE255" s="70"/>
      <c r="AF255" s="70"/>
      <c r="AG255" s="70"/>
      <c r="AH255" s="70"/>
      <c r="AI255" s="70"/>
      <c r="AJ255" s="70"/>
      <c r="AO255" s="70"/>
      <c r="AP255" s="93"/>
      <c r="AQ255" s="94"/>
      <c r="AR255" s="95"/>
      <c r="AS255" s="92"/>
      <c r="AT255" s="96"/>
      <c r="AU255" s="93"/>
      <c r="AV255" s="97"/>
      <c r="AW255" s="98"/>
      <c r="AX255" s="99"/>
      <c r="AY255" s="92"/>
      <c r="AZ255" s="96"/>
      <c r="BA255" s="100"/>
    </row>
    <row r="256" spans="4:53" ht="12.75" x14ac:dyDescent="0.2">
      <c r="D256" s="70"/>
      <c r="E256" s="70"/>
      <c r="F256" s="70"/>
      <c r="G256" s="70"/>
      <c r="H256" s="70"/>
      <c r="I256" s="69"/>
      <c r="J256" s="70"/>
      <c r="K256" s="70"/>
      <c r="L256" s="70"/>
      <c r="M256" s="70"/>
      <c r="N256" s="69"/>
      <c r="O256" s="93"/>
      <c r="P256" s="94"/>
      <c r="Q256" s="95"/>
      <c r="R256" s="92"/>
      <c r="S256" s="96"/>
      <c r="T256" s="93"/>
      <c r="U256" s="97"/>
      <c r="V256" s="98"/>
      <c r="W256" s="99"/>
      <c r="X256" s="92"/>
      <c r="Y256" s="96"/>
      <c r="Z256" s="100"/>
      <c r="AA256" s="70"/>
      <c r="AB256" s="70"/>
      <c r="AC256" s="70"/>
      <c r="AD256" s="70"/>
      <c r="AE256" s="70"/>
      <c r="AF256" s="70"/>
      <c r="AG256" s="70"/>
      <c r="AH256" s="70"/>
      <c r="AI256" s="70"/>
      <c r="AJ256" s="70"/>
      <c r="AO256" s="70"/>
      <c r="AP256" s="93"/>
      <c r="AQ256" s="94"/>
      <c r="AR256" s="95"/>
      <c r="AS256" s="92"/>
      <c r="AT256" s="96"/>
      <c r="AU256" s="93"/>
      <c r="AV256" s="97"/>
      <c r="AW256" s="98"/>
      <c r="AX256" s="99"/>
      <c r="AY256" s="92"/>
      <c r="AZ256" s="96"/>
      <c r="BA256" s="100"/>
    </row>
    <row r="257" spans="4:53" ht="12.75" x14ac:dyDescent="0.2">
      <c r="D257" s="70"/>
      <c r="E257" s="70"/>
      <c r="F257" s="70"/>
      <c r="G257" s="70"/>
      <c r="H257" s="70"/>
      <c r="I257" s="69"/>
      <c r="J257" s="70"/>
      <c r="K257" s="70"/>
      <c r="L257" s="70"/>
      <c r="M257" s="70"/>
      <c r="N257" s="69"/>
      <c r="O257" s="93"/>
      <c r="P257" s="94"/>
      <c r="Q257" s="95"/>
      <c r="R257" s="92"/>
      <c r="S257" s="96"/>
      <c r="T257" s="93"/>
      <c r="U257" s="97"/>
      <c r="V257" s="98"/>
      <c r="W257" s="99"/>
      <c r="X257" s="92"/>
      <c r="Y257" s="96"/>
      <c r="Z257" s="100"/>
      <c r="AA257" s="70"/>
      <c r="AB257" s="70"/>
      <c r="AC257" s="70"/>
      <c r="AD257" s="70"/>
      <c r="AE257" s="70"/>
      <c r="AF257" s="70"/>
      <c r="AG257" s="70"/>
      <c r="AH257" s="70"/>
      <c r="AI257" s="70"/>
      <c r="AJ257" s="70"/>
      <c r="AO257" s="70"/>
      <c r="AP257" s="93"/>
      <c r="AQ257" s="94"/>
      <c r="AR257" s="95"/>
      <c r="AS257" s="92"/>
      <c r="AT257" s="96"/>
      <c r="AU257" s="93"/>
      <c r="AV257" s="97"/>
      <c r="AW257" s="98"/>
      <c r="AX257" s="99"/>
      <c r="AY257" s="92"/>
      <c r="AZ257" s="96"/>
      <c r="BA257" s="100"/>
    </row>
    <row r="258" spans="4:53" ht="12.75" x14ac:dyDescent="0.2">
      <c r="D258" s="70"/>
      <c r="E258" s="70"/>
      <c r="F258" s="70"/>
      <c r="G258" s="70"/>
      <c r="H258" s="70"/>
      <c r="I258" s="69"/>
      <c r="J258" s="70"/>
      <c r="K258" s="70"/>
      <c r="L258" s="70"/>
      <c r="M258" s="70"/>
      <c r="N258" s="69"/>
      <c r="O258" s="93"/>
      <c r="P258" s="94"/>
      <c r="Q258" s="95"/>
      <c r="R258" s="92"/>
      <c r="S258" s="96"/>
      <c r="T258" s="93"/>
      <c r="U258" s="97"/>
      <c r="V258" s="98"/>
      <c r="W258" s="99"/>
      <c r="X258" s="92"/>
      <c r="Y258" s="96"/>
      <c r="Z258" s="100"/>
      <c r="AA258" s="70"/>
      <c r="AB258" s="70"/>
      <c r="AC258" s="70"/>
      <c r="AD258" s="70"/>
      <c r="AE258" s="70"/>
      <c r="AF258" s="70"/>
      <c r="AG258" s="70"/>
      <c r="AH258" s="70"/>
      <c r="AI258" s="70"/>
      <c r="AJ258" s="70"/>
      <c r="AO258" s="70"/>
      <c r="AP258" s="93"/>
      <c r="AQ258" s="94"/>
      <c r="AR258" s="95"/>
      <c r="AS258" s="92"/>
      <c r="AT258" s="96"/>
      <c r="AU258" s="93"/>
      <c r="AV258" s="97"/>
      <c r="AW258" s="98"/>
      <c r="AX258" s="99"/>
      <c r="AY258" s="92"/>
      <c r="AZ258" s="96"/>
      <c r="BA258" s="100"/>
    </row>
    <row r="259" spans="4:53" ht="12.75" x14ac:dyDescent="0.2">
      <c r="D259" s="70"/>
      <c r="E259" s="70"/>
      <c r="F259" s="70"/>
      <c r="G259" s="70"/>
      <c r="H259" s="70"/>
      <c r="I259" s="69"/>
      <c r="J259" s="70"/>
      <c r="K259" s="70"/>
      <c r="L259" s="70"/>
      <c r="M259" s="70"/>
      <c r="N259" s="69"/>
      <c r="O259" s="93"/>
      <c r="P259" s="94"/>
      <c r="Q259" s="95"/>
      <c r="R259" s="92"/>
      <c r="S259" s="96"/>
      <c r="T259" s="93"/>
      <c r="U259" s="97"/>
      <c r="V259" s="98"/>
      <c r="W259" s="99"/>
      <c r="X259" s="92"/>
      <c r="Y259" s="96"/>
      <c r="Z259" s="100"/>
      <c r="AA259" s="70"/>
      <c r="AB259" s="70"/>
      <c r="AC259" s="70"/>
      <c r="AD259" s="70"/>
      <c r="AE259" s="70"/>
      <c r="AF259" s="70"/>
      <c r="AG259" s="70"/>
      <c r="AH259" s="70"/>
      <c r="AI259" s="70"/>
      <c r="AJ259" s="70"/>
      <c r="AO259" s="70"/>
      <c r="AP259" s="93"/>
      <c r="AQ259" s="94"/>
      <c r="AR259" s="95"/>
      <c r="AS259" s="92"/>
      <c r="AT259" s="96"/>
      <c r="AU259" s="93"/>
      <c r="AV259" s="97"/>
      <c r="AW259" s="98"/>
      <c r="AX259" s="99"/>
      <c r="AY259" s="92"/>
      <c r="AZ259" s="96"/>
      <c r="BA259" s="100"/>
    </row>
    <row r="260" spans="4:53" ht="12.75" x14ac:dyDescent="0.2">
      <c r="D260" s="70"/>
      <c r="E260" s="70"/>
      <c r="F260" s="70"/>
      <c r="G260" s="70"/>
      <c r="H260" s="70"/>
      <c r="I260" s="69"/>
      <c r="J260" s="70"/>
      <c r="K260" s="70"/>
      <c r="L260" s="70"/>
      <c r="M260" s="70"/>
      <c r="N260" s="69"/>
      <c r="O260" s="93"/>
      <c r="P260" s="94"/>
      <c r="Q260" s="95"/>
      <c r="R260" s="92"/>
      <c r="S260" s="96"/>
      <c r="T260" s="93"/>
      <c r="U260" s="97"/>
      <c r="V260" s="98"/>
      <c r="W260" s="99"/>
      <c r="X260" s="92"/>
      <c r="Y260" s="96"/>
      <c r="Z260" s="100"/>
      <c r="AA260" s="70"/>
      <c r="AB260" s="70"/>
      <c r="AC260" s="70"/>
      <c r="AD260" s="70"/>
      <c r="AE260" s="70"/>
      <c r="AF260" s="70"/>
      <c r="AG260" s="70"/>
      <c r="AH260" s="70"/>
      <c r="AI260" s="70"/>
      <c r="AJ260" s="70"/>
      <c r="AO260" s="70"/>
      <c r="AP260" s="93"/>
      <c r="AQ260" s="94"/>
      <c r="AR260" s="95"/>
      <c r="AS260" s="92"/>
      <c r="AT260" s="96"/>
      <c r="AU260" s="93"/>
      <c r="AV260" s="97"/>
      <c r="AW260" s="98"/>
      <c r="AX260" s="99"/>
      <c r="AY260" s="92"/>
      <c r="AZ260" s="96"/>
      <c r="BA260" s="100"/>
    </row>
    <row r="261" spans="4:53" ht="12.75" x14ac:dyDescent="0.2">
      <c r="D261" s="70"/>
      <c r="E261" s="70"/>
      <c r="F261" s="70"/>
      <c r="G261" s="70"/>
      <c r="H261" s="70"/>
      <c r="I261" s="69"/>
      <c r="J261" s="70"/>
      <c r="K261" s="70"/>
      <c r="L261" s="70"/>
      <c r="M261" s="70"/>
      <c r="N261" s="69"/>
      <c r="O261" s="93"/>
      <c r="P261" s="94"/>
      <c r="Q261" s="95"/>
      <c r="R261" s="92"/>
      <c r="S261" s="96"/>
      <c r="T261" s="93"/>
      <c r="U261" s="97"/>
      <c r="V261" s="98"/>
      <c r="W261" s="99"/>
      <c r="X261" s="92"/>
      <c r="Y261" s="96"/>
      <c r="Z261" s="100"/>
      <c r="AA261" s="70"/>
      <c r="AB261" s="70"/>
      <c r="AC261" s="70"/>
      <c r="AD261" s="70"/>
      <c r="AE261" s="70"/>
      <c r="AF261" s="70"/>
      <c r="AG261" s="70"/>
      <c r="AH261" s="70"/>
      <c r="AI261" s="70"/>
      <c r="AJ261" s="70"/>
      <c r="AO261" s="70"/>
      <c r="AP261" s="93"/>
      <c r="AQ261" s="94"/>
      <c r="AR261" s="95"/>
      <c r="AS261" s="92"/>
      <c r="AT261" s="96"/>
      <c r="AU261" s="93"/>
      <c r="AV261" s="97"/>
      <c r="AW261" s="98"/>
      <c r="AX261" s="99"/>
      <c r="AY261" s="92"/>
      <c r="AZ261" s="96"/>
      <c r="BA261" s="100"/>
    </row>
    <row r="262" spans="4:53" ht="12.75" x14ac:dyDescent="0.2">
      <c r="D262" s="70"/>
      <c r="E262" s="70"/>
      <c r="F262" s="70"/>
      <c r="G262" s="70"/>
      <c r="H262" s="70"/>
      <c r="I262" s="69"/>
      <c r="J262" s="70"/>
      <c r="K262" s="70"/>
      <c r="L262" s="70"/>
      <c r="M262" s="70"/>
      <c r="N262" s="69"/>
      <c r="O262" s="93"/>
      <c r="P262" s="94"/>
      <c r="Q262" s="95"/>
      <c r="R262" s="92"/>
      <c r="S262" s="96"/>
      <c r="T262" s="93"/>
      <c r="U262" s="97"/>
      <c r="V262" s="98"/>
      <c r="W262" s="99"/>
      <c r="X262" s="92"/>
      <c r="Y262" s="96"/>
      <c r="Z262" s="100"/>
      <c r="AA262" s="70"/>
      <c r="AB262" s="70"/>
      <c r="AC262" s="70"/>
      <c r="AD262" s="70"/>
      <c r="AE262" s="70"/>
      <c r="AF262" s="70"/>
      <c r="AG262" s="70"/>
      <c r="AH262" s="70"/>
      <c r="AI262" s="70"/>
      <c r="AJ262" s="70"/>
      <c r="AO262" s="70"/>
      <c r="AP262" s="93"/>
      <c r="AQ262" s="94"/>
      <c r="AR262" s="95"/>
      <c r="AS262" s="92"/>
      <c r="AT262" s="96"/>
      <c r="AU262" s="93"/>
      <c r="AV262" s="97"/>
      <c r="AW262" s="98"/>
      <c r="AX262" s="99"/>
      <c r="AY262" s="92"/>
      <c r="AZ262" s="96"/>
      <c r="BA262" s="100"/>
    </row>
    <row r="263" spans="4:53" ht="12.75" x14ac:dyDescent="0.2">
      <c r="D263" s="70"/>
      <c r="E263" s="70"/>
      <c r="F263" s="70"/>
      <c r="G263" s="70"/>
      <c r="H263" s="70"/>
      <c r="I263" s="69"/>
      <c r="J263" s="70"/>
      <c r="K263" s="70"/>
      <c r="L263" s="70"/>
      <c r="M263" s="70"/>
      <c r="N263" s="69"/>
      <c r="O263" s="93"/>
      <c r="P263" s="94"/>
      <c r="Q263" s="95"/>
      <c r="R263" s="92"/>
      <c r="S263" s="96"/>
      <c r="T263" s="93"/>
      <c r="U263" s="97"/>
      <c r="V263" s="98"/>
      <c r="W263" s="99"/>
      <c r="X263" s="92"/>
      <c r="Y263" s="96"/>
      <c r="Z263" s="100"/>
      <c r="AA263" s="70"/>
      <c r="AB263" s="70"/>
      <c r="AC263" s="70"/>
      <c r="AD263" s="70"/>
      <c r="AE263" s="70"/>
      <c r="AF263" s="70"/>
      <c r="AG263" s="70"/>
      <c r="AH263" s="70"/>
      <c r="AI263" s="70"/>
      <c r="AJ263" s="70"/>
      <c r="AO263" s="70"/>
      <c r="AP263" s="93"/>
      <c r="AQ263" s="94"/>
      <c r="AR263" s="95"/>
      <c r="AS263" s="92"/>
      <c r="AT263" s="96"/>
      <c r="AU263" s="93"/>
      <c r="AV263" s="97"/>
      <c r="AW263" s="98"/>
      <c r="AX263" s="99"/>
      <c r="AY263" s="92"/>
      <c r="AZ263" s="96"/>
      <c r="BA263" s="100"/>
    </row>
    <row r="264" spans="4:53" ht="12.75" x14ac:dyDescent="0.2">
      <c r="D264" s="70"/>
      <c r="E264" s="70"/>
      <c r="F264" s="70"/>
      <c r="G264" s="70"/>
      <c r="H264" s="70"/>
      <c r="I264" s="69"/>
      <c r="J264" s="70"/>
      <c r="K264" s="70"/>
      <c r="L264" s="70"/>
      <c r="M264" s="70"/>
      <c r="N264" s="69"/>
      <c r="O264" s="93"/>
      <c r="P264" s="94"/>
      <c r="Q264" s="95"/>
      <c r="R264" s="92"/>
      <c r="S264" s="96"/>
      <c r="T264" s="93"/>
      <c r="U264" s="97"/>
      <c r="V264" s="98"/>
      <c r="W264" s="99"/>
      <c r="X264" s="92"/>
      <c r="Y264" s="96"/>
      <c r="Z264" s="100"/>
      <c r="AA264" s="70"/>
      <c r="AB264" s="70"/>
      <c r="AC264" s="70"/>
      <c r="AD264" s="70"/>
      <c r="AE264" s="70"/>
      <c r="AF264" s="70"/>
      <c r="AG264" s="70"/>
      <c r="AH264" s="70"/>
      <c r="AI264" s="70"/>
      <c r="AJ264" s="70"/>
      <c r="AO264" s="70"/>
      <c r="AP264" s="93"/>
      <c r="AQ264" s="94"/>
      <c r="AR264" s="95"/>
      <c r="AS264" s="92"/>
      <c r="AT264" s="96"/>
      <c r="AU264" s="93"/>
      <c r="AV264" s="97"/>
      <c r="AW264" s="98"/>
      <c r="AX264" s="99"/>
      <c r="AY264" s="92"/>
      <c r="AZ264" s="96"/>
      <c r="BA264" s="100"/>
    </row>
    <row r="265" spans="4:53" ht="12.75" x14ac:dyDescent="0.2">
      <c r="D265" s="70"/>
      <c r="E265" s="70"/>
      <c r="F265" s="70"/>
      <c r="G265" s="70"/>
      <c r="H265" s="70"/>
      <c r="I265" s="69"/>
      <c r="J265" s="70"/>
      <c r="K265" s="70"/>
      <c r="L265" s="70"/>
      <c r="M265" s="70"/>
      <c r="N265" s="69"/>
      <c r="O265" s="93"/>
      <c r="P265" s="94"/>
      <c r="Q265" s="95"/>
      <c r="R265" s="92"/>
      <c r="S265" s="96"/>
      <c r="T265" s="93"/>
      <c r="U265" s="97"/>
      <c r="V265" s="98"/>
      <c r="W265" s="99"/>
      <c r="X265" s="92"/>
      <c r="Y265" s="96"/>
      <c r="Z265" s="100"/>
      <c r="AA265" s="70"/>
      <c r="AB265" s="70"/>
      <c r="AC265" s="70"/>
      <c r="AD265" s="70"/>
      <c r="AE265" s="70"/>
      <c r="AF265" s="70"/>
      <c r="AG265" s="70"/>
      <c r="AH265" s="70"/>
      <c r="AI265" s="70"/>
      <c r="AJ265" s="70"/>
      <c r="AO265" s="70"/>
      <c r="AP265" s="93"/>
      <c r="AQ265" s="94"/>
      <c r="AR265" s="95"/>
      <c r="AS265" s="92"/>
      <c r="AT265" s="96"/>
      <c r="AU265" s="93"/>
      <c r="AV265" s="97"/>
      <c r="AW265" s="98"/>
      <c r="AX265" s="99"/>
      <c r="AY265" s="92"/>
      <c r="AZ265" s="96"/>
      <c r="BA265" s="100"/>
    </row>
    <row r="266" spans="4:53" ht="12.75" x14ac:dyDescent="0.2">
      <c r="D266" s="70"/>
      <c r="E266" s="70"/>
      <c r="F266" s="70"/>
      <c r="G266" s="70"/>
      <c r="H266" s="70"/>
      <c r="I266" s="69"/>
      <c r="J266" s="70"/>
      <c r="K266" s="70"/>
      <c r="L266" s="70"/>
      <c r="M266" s="70"/>
      <c r="N266" s="69"/>
      <c r="O266" s="93"/>
      <c r="P266" s="94"/>
      <c r="Q266" s="95"/>
      <c r="R266" s="92"/>
      <c r="S266" s="96"/>
      <c r="T266" s="93"/>
      <c r="U266" s="97"/>
      <c r="V266" s="98"/>
      <c r="W266" s="99"/>
      <c r="X266" s="92"/>
      <c r="Y266" s="96"/>
      <c r="Z266" s="100"/>
      <c r="AA266" s="70"/>
      <c r="AB266" s="70"/>
      <c r="AC266" s="70"/>
      <c r="AD266" s="70"/>
      <c r="AE266" s="70"/>
      <c r="AF266" s="70"/>
      <c r="AG266" s="70"/>
      <c r="AH266" s="70"/>
      <c r="AI266" s="70"/>
      <c r="AJ266" s="70"/>
      <c r="AO266" s="70"/>
      <c r="AP266" s="93"/>
      <c r="AQ266" s="94"/>
      <c r="AR266" s="95"/>
      <c r="AS266" s="92"/>
      <c r="AT266" s="96"/>
      <c r="AU266" s="93"/>
      <c r="AV266" s="97"/>
      <c r="AW266" s="98"/>
      <c r="AX266" s="99"/>
      <c r="AY266" s="92"/>
      <c r="AZ266" s="96"/>
      <c r="BA266" s="100"/>
    </row>
    <row r="267" spans="4:53" ht="12.75" x14ac:dyDescent="0.2">
      <c r="D267" s="70"/>
      <c r="E267" s="70"/>
      <c r="F267" s="70"/>
      <c r="G267" s="70"/>
      <c r="H267" s="70"/>
      <c r="I267" s="69"/>
      <c r="J267" s="70"/>
      <c r="K267" s="70"/>
      <c r="L267" s="70"/>
      <c r="M267" s="70"/>
      <c r="N267" s="69"/>
      <c r="O267" s="93"/>
      <c r="P267" s="94"/>
      <c r="Q267" s="95"/>
      <c r="R267" s="92"/>
      <c r="S267" s="96"/>
      <c r="T267" s="93"/>
      <c r="U267" s="97"/>
      <c r="V267" s="98"/>
      <c r="W267" s="99"/>
      <c r="X267" s="92"/>
      <c r="Y267" s="96"/>
      <c r="Z267" s="100"/>
      <c r="AA267" s="70"/>
      <c r="AB267" s="70"/>
      <c r="AC267" s="70"/>
      <c r="AD267" s="70"/>
      <c r="AE267" s="70"/>
      <c r="AF267" s="70"/>
      <c r="AG267" s="70"/>
      <c r="AH267" s="70"/>
      <c r="AI267" s="70"/>
      <c r="AJ267" s="70"/>
      <c r="AO267" s="70"/>
      <c r="AP267" s="93"/>
      <c r="AQ267" s="94"/>
      <c r="AR267" s="95"/>
      <c r="AS267" s="92"/>
      <c r="AT267" s="96"/>
      <c r="AU267" s="93"/>
      <c r="AV267" s="97"/>
      <c r="AW267" s="98"/>
      <c r="AX267" s="99"/>
      <c r="AY267" s="92"/>
      <c r="AZ267" s="96"/>
      <c r="BA267" s="100"/>
    </row>
    <row r="268" spans="4:53" ht="12.75" x14ac:dyDescent="0.2">
      <c r="D268" s="70"/>
      <c r="E268" s="70"/>
      <c r="F268" s="70"/>
      <c r="G268" s="70"/>
      <c r="H268" s="70"/>
      <c r="I268" s="69"/>
      <c r="J268" s="70"/>
      <c r="K268" s="70"/>
      <c r="L268" s="70"/>
      <c r="M268" s="70"/>
      <c r="N268" s="69"/>
      <c r="O268" s="93"/>
      <c r="P268" s="94"/>
      <c r="Q268" s="95"/>
      <c r="R268" s="92"/>
      <c r="S268" s="96"/>
      <c r="T268" s="93"/>
      <c r="U268" s="97"/>
      <c r="V268" s="98"/>
      <c r="W268" s="99"/>
      <c r="X268" s="92"/>
      <c r="Y268" s="96"/>
      <c r="Z268" s="100"/>
      <c r="AA268" s="70"/>
      <c r="AB268" s="70"/>
      <c r="AC268" s="70"/>
      <c r="AD268" s="70"/>
      <c r="AE268" s="70"/>
      <c r="AF268" s="70"/>
      <c r="AG268" s="70"/>
      <c r="AH268" s="70"/>
      <c r="AI268" s="70"/>
      <c r="AJ268" s="70"/>
      <c r="AO268" s="70"/>
      <c r="AP268" s="93"/>
      <c r="AQ268" s="94"/>
      <c r="AR268" s="95"/>
      <c r="AS268" s="92"/>
      <c r="AT268" s="96"/>
      <c r="AU268" s="93"/>
      <c r="AV268" s="97"/>
      <c r="AW268" s="98"/>
      <c r="AX268" s="99"/>
      <c r="AY268" s="92"/>
      <c r="AZ268" s="96"/>
      <c r="BA268" s="100"/>
    </row>
    <row r="269" spans="4:53" ht="12.75" x14ac:dyDescent="0.2">
      <c r="D269" s="70"/>
      <c r="E269" s="70"/>
      <c r="F269" s="70"/>
      <c r="G269" s="70"/>
      <c r="H269" s="70"/>
      <c r="I269" s="69"/>
      <c r="J269" s="70"/>
      <c r="K269" s="70"/>
      <c r="L269" s="70"/>
      <c r="M269" s="70"/>
      <c r="N269" s="69"/>
      <c r="O269" s="93"/>
      <c r="P269" s="94"/>
      <c r="Q269" s="95"/>
      <c r="R269" s="92"/>
      <c r="S269" s="96"/>
      <c r="T269" s="93"/>
      <c r="U269" s="97"/>
      <c r="V269" s="98"/>
      <c r="W269" s="99"/>
      <c r="X269" s="92"/>
      <c r="Y269" s="96"/>
      <c r="Z269" s="100"/>
      <c r="AA269" s="70"/>
      <c r="AB269" s="70"/>
      <c r="AC269" s="70"/>
      <c r="AD269" s="70"/>
      <c r="AE269" s="70"/>
      <c r="AF269" s="70"/>
      <c r="AG269" s="70"/>
      <c r="AH269" s="70"/>
      <c r="AI269" s="70"/>
      <c r="AJ269" s="70"/>
      <c r="AO269" s="70"/>
      <c r="AP269" s="93"/>
      <c r="AQ269" s="94"/>
      <c r="AR269" s="95"/>
      <c r="AS269" s="92"/>
      <c r="AT269" s="96"/>
      <c r="AU269" s="93"/>
      <c r="AV269" s="97"/>
      <c r="AW269" s="98"/>
      <c r="AX269" s="99"/>
      <c r="AY269" s="92"/>
      <c r="AZ269" s="96"/>
      <c r="BA269" s="100"/>
    </row>
    <row r="270" spans="4:53" ht="12.75" x14ac:dyDescent="0.2">
      <c r="D270" s="70"/>
      <c r="E270" s="70"/>
      <c r="F270" s="70"/>
      <c r="G270" s="70"/>
      <c r="H270" s="70"/>
      <c r="I270" s="69"/>
      <c r="J270" s="70"/>
      <c r="K270" s="70"/>
      <c r="L270" s="70"/>
      <c r="M270" s="70"/>
      <c r="N270" s="69"/>
      <c r="O270" s="93"/>
      <c r="P270" s="94"/>
      <c r="Q270" s="95"/>
      <c r="R270" s="92"/>
      <c r="S270" s="96"/>
      <c r="T270" s="93"/>
      <c r="U270" s="97"/>
      <c r="V270" s="98"/>
      <c r="W270" s="99"/>
      <c r="X270" s="92"/>
      <c r="Y270" s="96"/>
      <c r="Z270" s="100"/>
      <c r="AA270" s="70"/>
      <c r="AB270" s="70"/>
      <c r="AC270" s="70"/>
      <c r="AD270" s="70"/>
      <c r="AE270" s="70"/>
      <c r="AF270" s="70"/>
      <c r="AG270" s="70"/>
      <c r="AH270" s="70"/>
      <c r="AI270" s="70"/>
      <c r="AJ270" s="70"/>
      <c r="AO270" s="70"/>
      <c r="AP270" s="93"/>
      <c r="AQ270" s="94"/>
      <c r="AR270" s="95"/>
      <c r="AS270" s="92"/>
      <c r="AT270" s="96"/>
      <c r="AU270" s="93"/>
      <c r="AV270" s="97"/>
      <c r="AW270" s="98"/>
      <c r="AX270" s="99"/>
      <c r="AY270" s="92"/>
      <c r="AZ270" s="96"/>
      <c r="BA270" s="100"/>
    </row>
    <row r="271" spans="4:53" ht="12.75" x14ac:dyDescent="0.2">
      <c r="D271" s="70"/>
      <c r="E271" s="70"/>
      <c r="F271" s="70"/>
      <c r="G271" s="70"/>
      <c r="H271" s="70"/>
      <c r="I271" s="69"/>
      <c r="J271" s="70"/>
      <c r="K271" s="70"/>
      <c r="L271" s="70"/>
      <c r="M271" s="70"/>
      <c r="N271" s="69"/>
      <c r="O271" s="93"/>
      <c r="P271" s="94"/>
      <c r="Q271" s="95"/>
      <c r="R271" s="92"/>
      <c r="S271" s="96"/>
      <c r="T271" s="93"/>
      <c r="U271" s="97"/>
      <c r="V271" s="98"/>
      <c r="W271" s="99"/>
      <c r="X271" s="92"/>
      <c r="Y271" s="96"/>
      <c r="Z271" s="100"/>
      <c r="AA271" s="70"/>
      <c r="AB271" s="70"/>
      <c r="AC271" s="70"/>
      <c r="AD271" s="70"/>
      <c r="AE271" s="70"/>
      <c r="AF271" s="70"/>
      <c r="AG271" s="70"/>
      <c r="AH271" s="70"/>
      <c r="AI271" s="70"/>
      <c r="AJ271" s="70"/>
      <c r="AO271" s="70"/>
      <c r="AP271" s="93"/>
      <c r="AQ271" s="94"/>
      <c r="AR271" s="95"/>
      <c r="AS271" s="92"/>
      <c r="AT271" s="96"/>
      <c r="AU271" s="93"/>
      <c r="AV271" s="97"/>
      <c r="AW271" s="98"/>
      <c r="AX271" s="99"/>
      <c r="AY271" s="92"/>
      <c r="AZ271" s="96"/>
      <c r="BA271" s="100"/>
    </row>
    <row r="272" spans="4:53" ht="12.75" x14ac:dyDescent="0.2">
      <c r="D272" s="70"/>
      <c r="E272" s="70"/>
      <c r="F272" s="70"/>
      <c r="G272" s="70"/>
      <c r="H272" s="70"/>
      <c r="I272" s="69"/>
      <c r="J272" s="70"/>
      <c r="K272" s="70"/>
      <c r="L272" s="70"/>
      <c r="M272" s="70"/>
      <c r="N272" s="69"/>
      <c r="O272" s="93"/>
      <c r="P272" s="94"/>
      <c r="Q272" s="95"/>
      <c r="R272" s="92"/>
      <c r="S272" s="96"/>
      <c r="T272" s="93"/>
      <c r="U272" s="97"/>
      <c r="V272" s="98"/>
      <c r="W272" s="99"/>
      <c r="X272" s="92"/>
      <c r="Y272" s="96"/>
      <c r="Z272" s="100"/>
      <c r="AA272" s="70"/>
      <c r="AB272" s="70"/>
      <c r="AC272" s="70"/>
      <c r="AD272" s="70"/>
      <c r="AE272" s="70"/>
      <c r="AF272" s="70"/>
      <c r="AG272" s="70"/>
      <c r="AH272" s="70"/>
      <c r="AI272" s="70"/>
      <c r="AJ272" s="70"/>
      <c r="AO272" s="70"/>
      <c r="AP272" s="93"/>
      <c r="AQ272" s="94"/>
      <c r="AR272" s="95"/>
      <c r="AS272" s="92"/>
      <c r="AT272" s="96"/>
      <c r="AU272" s="93"/>
      <c r="AV272" s="97"/>
      <c r="AW272" s="98"/>
      <c r="AX272" s="99"/>
      <c r="AY272" s="92"/>
      <c r="AZ272" s="96"/>
      <c r="BA272" s="100"/>
    </row>
    <row r="273" spans="4:53" ht="12.75" x14ac:dyDescent="0.2">
      <c r="D273" s="70"/>
      <c r="E273" s="70"/>
      <c r="F273" s="70"/>
      <c r="G273" s="70"/>
      <c r="H273" s="70"/>
      <c r="I273" s="69"/>
      <c r="J273" s="70"/>
      <c r="K273" s="70"/>
      <c r="L273" s="70"/>
      <c r="M273" s="70"/>
      <c r="N273" s="69"/>
      <c r="O273" s="93"/>
      <c r="P273" s="94"/>
      <c r="Q273" s="95"/>
      <c r="R273" s="92"/>
      <c r="S273" s="96"/>
      <c r="T273" s="93"/>
      <c r="U273" s="97"/>
      <c r="V273" s="98"/>
      <c r="W273" s="99"/>
      <c r="X273" s="92"/>
      <c r="Y273" s="96"/>
      <c r="Z273" s="100"/>
      <c r="AA273" s="70"/>
      <c r="AB273" s="70"/>
      <c r="AC273" s="70"/>
      <c r="AD273" s="70"/>
      <c r="AE273" s="70"/>
      <c r="AF273" s="70"/>
      <c r="AG273" s="70"/>
      <c r="AH273" s="70"/>
      <c r="AI273" s="70"/>
      <c r="AJ273" s="70"/>
      <c r="AO273" s="70"/>
      <c r="AP273" s="93"/>
      <c r="AQ273" s="94"/>
      <c r="AR273" s="95"/>
      <c r="AS273" s="92"/>
      <c r="AT273" s="96"/>
      <c r="AU273" s="93"/>
      <c r="AV273" s="97"/>
      <c r="AW273" s="98"/>
      <c r="AX273" s="99"/>
      <c r="AY273" s="92"/>
      <c r="AZ273" s="96"/>
      <c r="BA273" s="100"/>
    </row>
    <row r="274" spans="4:53" ht="12.75" x14ac:dyDescent="0.2">
      <c r="D274" s="70"/>
      <c r="E274" s="70"/>
      <c r="F274" s="70"/>
      <c r="G274" s="70"/>
      <c r="H274" s="70"/>
      <c r="I274" s="69"/>
      <c r="J274" s="70"/>
      <c r="K274" s="70"/>
      <c r="L274" s="70"/>
      <c r="M274" s="70"/>
      <c r="N274" s="69"/>
      <c r="O274" s="93"/>
      <c r="P274" s="94"/>
      <c r="Q274" s="95"/>
      <c r="R274" s="92"/>
      <c r="S274" s="96"/>
      <c r="T274" s="93"/>
      <c r="U274" s="97"/>
      <c r="V274" s="98"/>
      <c r="W274" s="99"/>
      <c r="X274" s="92"/>
      <c r="Y274" s="96"/>
      <c r="Z274" s="100"/>
      <c r="AA274" s="70"/>
      <c r="AB274" s="70"/>
      <c r="AC274" s="70"/>
      <c r="AD274" s="70"/>
      <c r="AE274" s="70"/>
      <c r="AF274" s="70"/>
      <c r="AG274" s="70"/>
      <c r="AH274" s="70"/>
      <c r="AI274" s="70"/>
      <c r="AJ274" s="70"/>
      <c r="AO274" s="70"/>
      <c r="AP274" s="93"/>
      <c r="AQ274" s="94"/>
      <c r="AR274" s="95"/>
      <c r="AS274" s="92"/>
      <c r="AT274" s="96"/>
      <c r="AU274" s="93"/>
      <c r="AV274" s="97"/>
      <c r="AW274" s="98"/>
      <c r="AX274" s="99"/>
      <c r="AY274" s="92"/>
      <c r="AZ274" s="96"/>
      <c r="BA274" s="100"/>
    </row>
    <row r="275" spans="4:53" ht="12.75" x14ac:dyDescent="0.2">
      <c r="D275" s="70"/>
      <c r="E275" s="70"/>
      <c r="F275" s="70"/>
      <c r="G275" s="70"/>
      <c r="H275" s="70"/>
      <c r="I275" s="69"/>
      <c r="J275" s="70"/>
      <c r="K275" s="70"/>
      <c r="L275" s="70"/>
      <c r="M275" s="70"/>
      <c r="N275" s="69"/>
      <c r="O275" s="93"/>
      <c r="P275" s="94"/>
      <c r="Q275" s="95"/>
      <c r="R275" s="92"/>
      <c r="S275" s="96"/>
      <c r="T275" s="93"/>
      <c r="U275" s="97"/>
      <c r="V275" s="98"/>
      <c r="W275" s="99"/>
      <c r="X275" s="92"/>
      <c r="Y275" s="96"/>
      <c r="Z275" s="100"/>
      <c r="AA275" s="70"/>
      <c r="AB275" s="70"/>
      <c r="AC275" s="70"/>
      <c r="AD275" s="70"/>
      <c r="AE275" s="70"/>
      <c r="AF275" s="70"/>
      <c r="AG275" s="70"/>
      <c r="AH275" s="70"/>
      <c r="AI275" s="70"/>
      <c r="AJ275" s="70"/>
      <c r="AO275" s="70"/>
      <c r="AP275" s="93"/>
      <c r="AQ275" s="94"/>
      <c r="AR275" s="95"/>
      <c r="AS275" s="92"/>
      <c r="AT275" s="96"/>
      <c r="AU275" s="93"/>
      <c r="AV275" s="97"/>
      <c r="AW275" s="98"/>
      <c r="AX275" s="99"/>
      <c r="AY275" s="92"/>
      <c r="AZ275" s="96"/>
      <c r="BA275" s="100"/>
    </row>
    <row r="276" spans="4:53" ht="12.75" x14ac:dyDescent="0.2">
      <c r="D276" s="70"/>
      <c r="E276" s="70"/>
      <c r="F276" s="70"/>
      <c r="G276" s="70"/>
      <c r="H276" s="70"/>
      <c r="I276" s="69"/>
      <c r="J276" s="70"/>
      <c r="K276" s="70"/>
      <c r="L276" s="70"/>
      <c r="M276" s="70"/>
      <c r="N276" s="69"/>
      <c r="O276" s="93"/>
      <c r="P276" s="94"/>
      <c r="Q276" s="95"/>
      <c r="R276" s="92"/>
      <c r="S276" s="96"/>
      <c r="T276" s="93"/>
      <c r="U276" s="97"/>
      <c r="V276" s="98"/>
      <c r="W276" s="99"/>
      <c r="X276" s="92"/>
      <c r="Y276" s="96"/>
      <c r="Z276" s="100"/>
      <c r="AA276" s="70"/>
      <c r="AB276" s="70"/>
      <c r="AC276" s="70"/>
      <c r="AD276" s="70"/>
      <c r="AE276" s="70"/>
      <c r="AF276" s="70"/>
      <c r="AG276" s="70"/>
      <c r="AH276" s="70"/>
      <c r="AI276" s="70"/>
      <c r="AJ276" s="70"/>
      <c r="AO276" s="70"/>
      <c r="AP276" s="93"/>
      <c r="AQ276" s="94"/>
      <c r="AR276" s="95"/>
      <c r="AS276" s="92"/>
      <c r="AT276" s="96"/>
      <c r="AU276" s="93"/>
      <c r="AV276" s="97"/>
      <c r="AW276" s="98"/>
      <c r="AX276" s="99"/>
      <c r="AY276" s="92"/>
      <c r="AZ276" s="96"/>
      <c r="BA276" s="100"/>
    </row>
    <row r="277" spans="4:53" ht="12.75" x14ac:dyDescent="0.2">
      <c r="D277" s="70"/>
      <c r="E277" s="70"/>
      <c r="F277" s="70"/>
      <c r="G277" s="70"/>
      <c r="H277" s="70"/>
      <c r="I277" s="69"/>
      <c r="J277" s="70"/>
      <c r="K277" s="70"/>
      <c r="L277" s="70"/>
      <c r="M277" s="70"/>
      <c r="N277" s="69"/>
      <c r="O277" s="93"/>
      <c r="P277" s="94"/>
      <c r="Q277" s="95"/>
      <c r="R277" s="92"/>
      <c r="S277" s="96"/>
      <c r="T277" s="93"/>
      <c r="U277" s="97"/>
      <c r="V277" s="98"/>
      <c r="W277" s="99"/>
      <c r="X277" s="92"/>
      <c r="Y277" s="96"/>
      <c r="Z277" s="100"/>
      <c r="AA277" s="70"/>
      <c r="AB277" s="70"/>
      <c r="AC277" s="70"/>
      <c r="AD277" s="70"/>
      <c r="AE277" s="70"/>
      <c r="AF277" s="70"/>
      <c r="AG277" s="70"/>
      <c r="AH277" s="70"/>
      <c r="AI277" s="70"/>
      <c r="AJ277" s="70"/>
      <c r="AO277" s="70"/>
      <c r="AP277" s="93"/>
      <c r="AQ277" s="94"/>
      <c r="AR277" s="95"/>
      <c r="AS277" s="92"/>
      <c r="AT277" s="96"/>
      <c r="AU277" s="93"/>
      <c r="AV277" s="97"/>
      <c r="AW277" s="98"/>
      <c r="AX277" s="99"/>
      <c r="AY277" s="92"/>
      <c r="AZ277" s="96"/>
      <c r="BA277" s="100"/>
    </row>
    <row r="278" spans="4:53" ht="12.75" x14ac:dyDescent="0.2">
      <c r="D278" s="70"/>
      <c r="E278" s="70"/>
      <c r="F278" s="70"/>
      <c r="G278" s="70"/>
      <c r="H278" s="70"/>
      <c r="I278" s="69"/>
      <c r="J278" s="70"/>
      <c r="K278" s="70"/>
      <c r="L278" s="70"/>
      <c r="M278" s="70"/>
      <c r="N278" s="69"/>
      <c r="O278" s="93"/>
      <c r="P278" s="94"/>
      <c r="Q278" s="95"/>
      <c r="R278" s="92"/>
      <c r="S278" s="96"/>
      <c r="T278" s="93"/>
      <c r="U278" s="97"/>
      <c r="V278" s="98"/>
      <c r="W278" s="99"/>
      <c r="X278" s="92"/>
      <c r="Y278" s="96"/>
      <c r="Z278" s="100"/>
      <c r="AA278" s="70"/>
      <c r="AB278" s="70"/>
      <c r="AC278" s="70"/>
      <c r="AD278" s="70"/>
      <c r="AE278" s="70"/>
      <c r="AF278" s="70"/>
      <c r="AG278" s="70"/>
      <c r="AH278" s="70"/>
      <c r="AI278" s="70"/>
      <c r="AJ278" s="70"/>
      <c r="AO278" s="70"/>
      <c r="AP278" s="93"/>
      <c r="AQ278" s="94"/>
      <c r="AR278" s="95"/>
      <c r="AS278" s="92"/>
      <c r="AT278" s="96"/>
      <c r="AU278" s="93"/>
      <c r="AV278" s="97"/>
      <c r="AW278" s="98"/>
      <c r="AX278" s="99"/>
      <c r="AY278" s="92"/>
      <c r="AZ278" s="96"/>
      <c r="BA278" s="100"/>
    </row>
    <row r="279" spans="4:53" ht="12.75" x14ac:dyDescent="0.2">
      <c r="D279" s="70"/>
      <c r="E279" s="70"/>
      <c r="F279" s="70"/>
      <c r="G279" s="70"/>
      <c r="H279" s="70"/>
      <c r="I279" s="69"/>
      <c r="J279" s="70"/>
      <c r="K279" s="70"/>
      <c r="L279" s="70"/>
      <c r="M279" s="70"/>
      <c r="N279" s="69"/>
      <c r="O279" s="93"/>
      <c r="P279" s="94"/>
      <c r="Q279" s="95"/>
      <c r="R279" s="92"/>
      <c r="S279" s="96"/>
      <c r="T279" s="93"/>
      <c r="U279" s="97"/>
      <c r="V279" s="98"/>
      <c r="W279" s="99"/>
      <c r="X279" s="92"/>
      <c r="Y279" s="96"/>
      <c r="Z279" s="100"/>
      <c r="AA279" s="70"/>
      <c r="AB279" s="70"/>
      <c r="AC279" s="70"/>
      <c r="AD279" s="70"/>
      <c r="AE279" s="70"/>
      <c r="AF279" s="70"/>
      <c r="AG279" s="70"/>
      <c r="AH279" s="70"/>
      <c r="AI279" s="70"/>
      <c r="AJ279" s="70"/>
      <c r="AO279" s="70"/>
      <c r="AP279" s="93"/>
      <c r="AQ279" s="94"/>
      <c r="AR279" s="95"/>
      <c r="AS279" s="92"/>
      <c r="AT279" s="96"/>
      <c r="AU279" s="93"/>
      <c r="AV279" s="97"/>
      <c r="AW279" s="98"/>
      <c r="AX279" s="99"/>
      <c r="AY279" s="92"/>
      <c r="AZ279" s="96"/>
      <c r="BA279" s="100"/>
    </row>
    <row r="280" spans="4:53" ht="12.75" x14ac:dyDescent="0.2">
      <c r="D280" s="70"/>
      <c r="E280" s="70"/>
      <c r="F280" s="70"/>
      <c r="G280" s="70"/>
      <c r="H280" s="70"/>
      <c r="I280" s="69"/>
      <c r="J280" s="70"/>
      <c r="K280" s="70"/>
      <c r="L280" s="70"/>
      <c r="M280" s="70"/>
      <c r="N280" s="69"/>
      <c r="O280" s="93"/>
      <c r="P280" s="94"/>
      <c r="Q280" s="95"/>
      <c r="R280" s="92"/>
      <c r="S280" s="96"/>
      <c r="T280" s="93"/>
      <c r="U280" s="97"/>
      <c r="V280" s="98"/>
      <c r="W280" s="99"/>
      <c r="X280" s="92"/>
      <c r="Y280" s="96"/>
      <c r="Z280" s="100"/>
      <c r="AA280" s="70"/>
      <c r="AB280" s="70"/>
      <c r="AC280" s="70"/>
      <c r="AD280" s="70"/>
      <c r="AE280" s="70"/>
      <c r="AF280" s="70"/>
      <c r="AG280" s="70"/>
      <c r="AH280" s="70"/>
      <c r="AI280" s="70"/>
      <c r="AJ280" s="70"/>
      <c r="AO280" s="70"/>
      <c r="AP280" s="93"/>
      <c r="AQ280" s="94"/>
      <c r="AR280" s="95"/>
      <c r="AS280" s="92"/>
      <c r="AT280" s="96"/>
      <c r="AU280" s="93"/>
      <c r="AV280" s="97"/>
      <c r="AW280" s="98"/>
      <c r="AX280" s="99"/>
      <c r="AY280" s="92"/>
      <c r="AZ280" s="96"/>
      <c r="BA280" s="100"/>
    </row>
    <row r="281" spans="4:53" ht="12.75" x14ac:dyDescent="0.2">
      <c r="D281" s="70"/>
      <c r="E281" s="70"/>
      <c r="F281" s="70"/>
      <c r="G281" s="70"/>
      <c r="H281" s="70"/>
      <c r="I281" s="69"/>
      <c r="J281" s="70"/>
      <c r="K281" s="70"/>
      <c r="L281" s="70"/>
      <c r="M281" s="70"/>
      <c r="N281" s="69"/>
      <c r="O281" s="93"/>
      <c r="P281" s="94"/>
      <c r="Q281" s="95"/>
      <c r="R281" s="92"/>
      <c r="S281" s="96"/>
      <c r="T281" s="93"/>
      <c r="U281" s="97"/>
      <c r="V281" s="98"/>
      <c r="W281" s="99"/>
      <c r="X281" s="92"/>
      <c r="Y281" s="96"/>
      <c r="Z281" s="100"/>
      <c r="AA281" s="70"/>
      <c r="AB281" s="70"/>
      <c r="AC281" s="70"/>
      <c r="AD281" s="70"/>
      <c r="AE281" s="70"/>
      <c r="AF281" s="70"/>
      <c r="AG281" s="70"/>
      <c r="AH281" s="70"/>
      <c r="AI281" s="70"/>
      <c r="AJ281" s="70"/>
      <c r="AO281" s="70"/>
      <c r="AP281" s="93"/>
      <c r="AQ281" s="94"/>
      <c r="AR281" s="95"/>
      <c r="AS281" s="92"/>
      <c r="AT281" s="96"/>
      <c r="AU281" s="93"/>
      <c r="AV281" s="97"/>
      <c r="AW281" s="98"/>
      <c r="AX281" s="99"/>
      <c r="AY281" s="92"/>
      <c r="AZ281" s="96"/>
      <c r="BA281" s="100"/>
    </row>
    <row r="282" spans="4:53" ht="12.75" x14ac:dyDescent="0.2">
      <c r="D282" s="70"/>
      <c r="E282" s="70"/>
      <c r="F282" s="70"/>
      <c r="G282" s="70"/>
      <c r="H282" s="70"/>
      <c r="I282" s="69"/>
      <c r="J282" s="70"/>
      <c r="K282" s="70"/>
      <c r="L282" s="70"/>
      <c r="M282" s="70"/>
      <c r="N282" s="69"/>
      <c r="O282" s="93"/>
      <c r="P282" s="94"/>
      <c r="Q282" s="95"/>
      <c r="R282" s="92"/>
      <c r="S282" s="96"/>
      <c r="T282" s="93"/>
      <c r="U282" s="97"/>
      <c r="V282" s="98"/>
      <c r="W282" s="99"/>
      <c r="X282" s="92"/>
      <c r="Y282" s="96"/>
      <c r="Z282" s="100"/>
      <c r="AA282" s="70"/>
      <c r="AB282" s="70"/>
      <c r="AC282" s="70"/>
      <c r="AD282" s="70"/>
      <c r="AE282" s="70"/>
      <c r="AF282" s="70"/>
      <c r="AG282" s="70"/>
      <c r="AH282" s="70"/>
      <c r="AI282" s="70"/>
      <c r="AJ282" s="70"/>
      <c r="AO282" s="70"/>
      <c r="AP282" s="93"/>
      <c r="AQ282" s="94"/>
      <c r="AR282" s="95"/>
      <c r="AS282" s="92"/>
      <c r="AT282" s="96"/>
      <c r="AU282" s="93"/>
      <c r="AV282" s="97"/>
      <c r="AW282" s="98"/>
      <c r="AX282" s="99"/>
      <c r="AY282" s="92"/>
      <c r="AZ282" s="96"/>
      <c r="BA282" s="100"/>
    </row>
    <row r="283" spans="4:53" ht="12.75" x14ac:dyDescent="0.2">
      <c r="D283" s="70"/>
      <c r="E283" s="70"/>
      <c r="F283" s="70"/>
      <c r="G283" s="70"/>
      <c r="H283" s="70"/>
      <c r="I283" s="69"/>
      <c r="J283" s="70"/>
      <c r="K283" s="70"/>
      <c r="L283" s="70"/>
      <c r="M283" s="70"/>
      <c r="N283" s="69"/>
      <c r="O283" s="93"/>
      <c r="P283" s="94"/>
      <c r="Q283" s="95"/>
      <c r="R283" s="92"/>
      <c r="S283" s="96"/>
      <c r="T283" s="93"/>
      <c r="U283" s="97"/>
      <c r="V283" s="98"/>
      <c r="W283" s="99"/>
      <c r="X283" s="92"/>
      <c r="Y283" s="96"/>
      <c r="Z283" s="100"/>
      <c r="AA283" s="70"/>
      <c r="AB283" s="70"/>
      <c r="AC283" s="70"/>
      <c r="AD283" s="70"/>
      <c r="AE283" s="70"/>
      <c r="AF283" s="70"/>
      <c r="AG283" s="70"/>
      <c r="AH283" s="70"/>
      <c r="AI283" s="70"/>
      <c r="AJ283" s="70"/>
      <c r="AO283" s="70"/>
      <c r="AP283" s="93"/>
      <c r="AQ283" s="94"/>
      <c r="AR283" s="95"/>
      <c r="AS283" s="92"/>
      <c r="AT283" s="96"/>
      <c r="AU283" s="93"/>
      <c r="AV283" s="97"/>
      <c r="AW283" s="98"/>
      <c r="AX283" s="99"/>
      <c r="AY283" s="92"/>
      <c r="AZ283" s="96"/>
      <c r="BA283" s="100"/>
    </row>
    <row r="284" spans="4:53" ht="12.75" x14ac:dyDescent="0.2">
      <c r="D284" s="70"/>
      <c r="E284" s="70"/>
      <c r="F284" s="70"/>
      <c r="G284" s="70"/>
      <c r="H284" s="70"/>
      <c r="I284" s="69"/>
      <c r="J284" s="70"/>
      <c r="K284" s="70"/>
      <c r="L284" s="70"/>
      <c r="M284" s="70"/>
      <c r="N284" s="69"/>
      <c r="O284" s="93"/>
      <c r="P284" s="94"/>
      <c r="Q284" s="95"/>
      <c r="R284" s="92"/>
      <c r="S284" s="96"/>
      <c r="T284" s="93"/>
      <c r="U284" s="97"/>
      <c r="V284" s="98"/>
      <c r="W284" s="99"/>
      <c r="X284" s="92"/>
      <c r="Y284" s="96"/>
      <c r="Z284" s="100"/>
      <c r="AA284" s="70"/>
      <c r="AB284" s="70"/>
      <c r="AC284" s="70"/>
      <c r="AD284" s="70"/>
      <c r="AE284" s="70"/>
      <c r="AF284" s="70"/>
      <c r="AG284" s="70"/>
      <c r="AH284" s="70"/>
      <c r="AI284" s="70"/>
      <c r="AJ284" s="70"/>
      <c r="AO284" s="70"/>
      <c r="AP284" s="93"/>
      <c r="AQ284" s="94"/>
      <c r="AR284" s="95"/>
      <c r="AS284" s="92"/>
      <c r="AT284" s="96"/>
      <c r="AU284" s="93"/>
      <c r="AV284" s="97"/>
      <c r="AW284" s="98"/>
      <c r="AX284" s="99"/>
      <c r="AY284" s="92"/>
      <c r="AZ284" s="96"/>
      <c r="BA284" s="100"/>
    </row>
    <row r="285" spans="4:53" ht="12.75" x14ac:dyDescent="0.2">
      <c r="D285" s="70"/>
      <c r="E285" s="70"/>
      <c r="F285" s="70"/>
      <c r="G285" s="70"/>
      <c r="H285" s="70"/>
      <c r="I285" s="69"/>
      <c r="J285" s="70"/>
      <c r="K285" s="70"/>
      <c r="L285" s="70"/>
      <c r="M285" s="70"/>
      <c r="N285" s="69"/>
      <c r="O285" s="93"/>
      <c r="P285" s="94"/>
      <c r="Q285" s="95"/>
      <c r="R285" s="92"/>
      <c r="S285" s="96"/>
      <c r="T285" s="93"/>
      <c r="U285" s="97"/>
      <c r="V285" s="98"/>
      <c r="W285" s="99"/>
      <c r="X285" s="92"/>
      <c r="Y285" s="96"/>
      <c r="Z285" s="100"/>
      <c r="AA285" s="70"/>
      <c r="AB285" s="70"/>
      <c r="AC285" s="70"/>
      <c r="AD285" s="70"/>
      <c r="AE285" s="70"/>
      <c r="AF285" s="70"/>
      <c r="AG285" s="70"/>
      <c r="AH285" s="70"/>
      <c r="AI285" s="70"/>
      <c r="AJ285" s="70"/>
      <c r="AO285" s="70"/>
      <c r="AP285" s="93"/>
      <c r="AQ285" s="94"/>
      <c r="AR285" s="95"/>
      <c r="AS285" s="92"/>
      <c r="AT285" s="96"/>
      <c r="AU285" s="93"/>
      <c r="AV285" s="97"/>
      <c r="AW285" s="98"/>
      <c r="AX285" s="99"/>
      <c r="AY285" s="92"/>
      <c r="AZ285" s="96"/>
      <c r="BA285" s="100"/>
    </row>
    <row r="286" spans="4:53" ht="12.75" x14ac:dyDescent="0.2">
      <c r="D286" s="70"/>
      <c r="E286" s="70"/>
      <c r="F286" s="70"/>
      <c r="G286" s="70"/>
      <c r="H286" s="70"/>
      <c r="I286" s="69"/>
      <c r="J286" s="70"/>
      <c r="K286" s="70"/>
      <c r="L286" s="70"/>
      <c r="M286" s="70"/>
      <c r="N286" s="69"/>
      <c r="O286" s="93"/>
      <c r="P286" s="94"/>
      <c r="Q286" s="95"/>
      <c r="R286" s="92"/>
      <c r="S286" s="96"/>
      <c r="T286" s="93"/>
      <c r="U286" s="97"/>
      <c r="V286" s="98"/>
      <c r="W286" s="99"/>
      <c r="X286" s="92"/>
      <c r="Y286" s="96"/>
      <c r="Z286" s="100"/>
      <c r="AA286" s="70"/>
      <c r="AB286" s="70"/>
      <c r="AC286" s="70"/>
      <c r="AD286" s="70"/>
      <c r="AE286" s="70"/>
      <c r="AF286" s="70"/>
      <c r="AG286" s="70"/>
      <c r="AH286" s="70"/>
      <c r="AI286" s="70"/>
      <c r="AJ286" s="70"/>
      <c r="AO286" s="70"/>
      <c r="AP286" s="93"/>
      <c r="AQ286" s="94"/>
      <c r="AR286" s="95"/>
      <c r="AS286" s="92"/>
      <c r="AT286" s="96"/>
      <c r="AU286" s="93"/>
      <c r="AV286" s="97"/>
      <c r="AW286" s="98"/>
      <c r="AX286" s="99"/>
      <c r="AY286" s="92"/>
      <c r="AZ286" s="96"/>
      <c r="BA286" s="100"/>
    </row>
    <row r="287" spans="4:53" ht="12.75" x14ac:dyDescent="0.2">
      <c r="D287" s="70"/>
      <c r="E287" s="70"/>
      <c r="F287" s="70"/>
      <c r="G287" s="70"/>
      <c r="H287" s="70"/>
      <c r="I287" s="69"/>
      <c r="J287" s="70"/>
      <c r="K287" s="70"/>
      <c r="L287" s="70"/>
      <c r="M287" s="70"/>
      <c r="N287" s="69"/>
      <c r="O287" s="93"/>
      <c r="P287" s="94"/>
      <c r="Q287" s="95"/>
      <c r="R287" s="92"/>
      <c r="S287" s="96"/>
      <c r="T287" s="93"/>
      <c r="U287" s="97"/>
      <c r="V287" s="98"/>
      <c r="W287" s="99"/>
      <c r="X287" s="92"/>
      <c r="Y287" s="96"/>
      <c r="Z287" s="100"/>
      <c r="AA287" s="70"/>
      <c r="AB287" s="70"/>
      <c r="AC287" s="70"/>
      <c r="AD287" s="70"/>
      <c r="AE287" s="70"/>
      <c r="AF287" s="70"/>
      <c r="AG287" s="70"/>
      <c r="AH287" s="70"/>
      <c r="AI287" s="70"/>
      <c r="AJ287" s="70"/>
      <c r="AO287" s="70"/>
      <c r="AP287" s="93"/>
      <c r="AQ287" s="94"/>
      <c r="AR287" s="95"/>
      <c r="AS287" s="92"/>
      <c r="AT287" s="96"/>
      <c r="AU287" s="93"/>
      <c r="AV287" s="97"/>
      <c r="AW287" s="98"/>
      <c r="AX287" s="99"/>
      <c r="AY287" s="92"/>
      <c r="AZ287" s="96"/>
      <c r="BA287" s="100"/>
    </row>
    <row r="288" spans="4:53" ht="12.75" x14ac:dyDescent="0.2">
      <c r="D288" s="70"/>
      <c r="E288" s="70"/>
      <c r="F288" s="70"/>
      <c r="G288" s="70"/>
      <c r="H288" s="70"/>
      <c r="I288" s="69"/>
      <c r="J288" s="70"/>
      <c r="K288" s="70"/>
      <c r="L288" s="70"/>
      <c r="M288" s="70"/>
      <c r="N288" s="69"/>
      <c r="O288" s="93"/>
      <c r="P288" s="94"/>
      <c r="Q288" s="95"/>
      <c r="R288" s="92"/>
      <c r="S288" s="96"/>
      <c r="T288" s="93"/>
      <c r="U288" s="97"/>
      <c r="V288" s="98"/>
      <c r="W288" s="99"/>
      <c r="X288" s="92"/>
      <c r="Y288" s="96"/>
      <c r="Z288" s="100"/>
      <c r="AA288" s="70"/>
      <c r="AB288" s="70"/>
      <c r="AC288" s="70"/>
      <c r="AD288" s="70"/>
      <c r="AE288" s="70"/>
      <c r="AF288" s="70"/>
      <c r="AG288" s="70"/>
      <c r="AH288" s="70"/>
      <c r="AI288" s="70"/>
      <c r="AJ288" s="70"/>
      <c r="AO288" s="70"/>
      <c r="AP288" s="93"/>
      <c r="AQ288" s="94"/>
      <c r="AR288" s="95"/>
      <c r="AS288" s="92"/>
      <c r="AT288" s="96"/>
      <c r="AU288" s="93"/>
      <c r="AV288" s="97"/>
      <c r="AW288" s="98"/>
      <c r="AX288" s="99"/>
      <c r="AY288" s="92"/>
      <c r="AZ288" s="96"/>
      <c r="BA288" s="100"/>
    </row>
    <row r="289" spans="4:53" ht="12.75" x14ac:dyDescent="0.2">
      <c r="D289" s="70"/>
      <c r="E289" s="70"/>
      <c r="F289" s="70"/>
      <c r="G289" s="70"/>
      <c r="H289" s="70"/>
      <c r="I289" s="69"/>
      <c r="J289" s="70"/>
      <c r="K289" s="70"/>
      <c r="L289" s="70"/>
      <c r="M289" s="70"/>
      <c r="N289" s="69"/>
      <c r="O289" s="93"/>
      <c r="P289" s="94"/>
      <c r="Q289" s="95"/>
      <c r="R289" s="92"/>
      <c r="S289" s="96"/>
      <c r="T289" s="93"/>
      <c r="U289" s="97"/>
      <c r="V289" s="98"/>
      <c r="W289" s="99"/>
      <c r="X289" s="92"/>
      <c r="Y289" s="96"/>
      <c r="Z289" s="100"/>
      <c r="AA289" s="70"/>
      <c r="AB289" s="70"/>
      <c r="AC289" s="70"/>
      <c r="AD289" s="70"/>
      <c r="AE289" s="70"/>
      <c r="AF289" s="70"/>
      <c r="AG289" s="70"/>
      <c r="AH289" s="70"/>
      <c r="AI289" s="70"/>
      <c r="AJ289" s="70"/>
      <c r="AO289" s="70"/>
      <c r="AP289" s="93"/>
      <c r="AQ289" s="94"/>
      <c r="AR289" s="95"/>
      <c r="AS289" s="92"/>
      <c r="AT289" s="96"/>
      <c r="AU289" s="93"/>
      <c r="AV289" s="97"/>
      <c r="AW289" s="98"/>
      <c r="AX289" s="99"/>
      <c r="AY289" s="92"/>
      <c r="AZ289" s="96"/>
      <c r="BA289" s="100"/>
    </row>
    <row r="290" spans="4:53" ht="12.75" x14ac:dyDescent="0.2">
      <c r="D290" s="70"/>
      <c r="E290" s="70"/>
      <c r="F290" s="70"/>
      <c r="G290" s="70"/>
      <c r="H290" s="70"/>
      <c r="I290" s="69"/>
      <c r="J290" s="70"/>
      <c r="K290" s="70"/>
      <c r="L290" s="70"/>
      <c r="M290" s="70"/>
      <c r="N290" s="69"/>
      <c r="O290" s="93"/>
      <c r="P290" s="94"/>
      <c r="Q290" s="95"/>
      <c r="R290" s="92"/>
      <c r="S290" s="96"/>
      <c r="T290" s="93"/>
      <c r="U290" s="97"/>
      <c r="V290" s="98"/>
      <c r="W290" s="99"/>
      <c r="X290" s="92"/>
      <c r="Y290" s="96"/>
      <c r="Z290" s="100"/>
      <c r="AA290" s="70"/>
      <c r="AB290" s="70"/>
      <c r="AC290" s="70"/>
      <c r="AD290" s="70"/>
      <c r="AE290" s="70"/>
      <c r="AF290" s="70"/>
      <c r="AG290" s="70"/>
      <c r="AH290" s="70"/>
      <c r="AI290" s="70"/>
      <c r="AJ290" s="70"/>
      <c r="AO290" s="70"/>
      <c r="AP290" s="93"/>
      <c r="AQ290" s="94"/>
      <c r="AR290" s="95"/>
      <c r="AS290" s="92"/>
      <c r="AT290" s="96"/>
      <c r="AU290" s="93"/>
      <c r="AV290" s="97"/>
      <c r="AW290" s="98"/>
      <c r="AX290" s="99"/>
      <c r="AY290" s="92"/>
      <c r="AZ290" s="96"/>
      <c r="BA290" s="100"/>
    </row>
    <row r="291" spans="4:53" ht="12.75" x14ac:dyDescent="0.2">
      <c r="D291" s="70"/>
      <c r="E291" s="70"/>
      <c r="F291" s="70"/>
      <c r="G291" s="70"/>
      <c r="H291" s="70"/>
      <c r="I291" s="69"/>
      <c r="J291" s="70"/>
      <c r="K291" s="70"/>
      <c r="L291" s="70"/>
      <c r="M291" s="70"/>
      <c r="N291" s="69"/>
      <c r="O291" s="93"/>
      <c r="P291" s="94"/>
      <c r="Q291" s="95"/>
      <c r="R291" s="92"/>
      <c r="S291" s="96"/>
      <c r="T291" s="93"/>
      <c r="U291" s="97"/>
      <c r="V291" s="98"/>
      <c r="W291" s="99"/>
      <c r="X291" s="92"/>
      <c r="Y291" s="96"/>
      <c r="Z291" s="100"/>
      <c r="AA291" s="70"/>
      <c r="AB291" s="70"/>
      <c r="AC291" s="70"/>
      <c r="AD291" s="70"/>
      <c r="AE291" s="70"/>
      <c r="AF291" s="70"/>
      <c r="AG291" s="70"/>
      <c r="AH291" s="70"/>
      <c r="AI291" s="70"/>
      <c r="AJ291" s="70"/>
      <c r="AO291" s="70"/>
      <c r="AP291" s="93"/>
      <c r="AQ291" s="94"/>
      <c r="AR291" s="95"/>
      <c r="AS291" s="92"/>
      <c r="AT291" s="96"/>
      <c r="AU291" s="93"/>
      <c r="AV291" s="97"/>
      <c r="AW291" s="98"/>
      <c r="AX291" s="99"/>
      <c r="AY291" s="92"/>
      <c r="AZ291" s="96"/>
      <c r="BA291" s="100"/>
    </row>
    <row r="292" spans="4:53" ht="12.75" x14ac:dyDescent="0.2">
      <c r="AB292" s="70"/>
      <c r="AO292" s="70"/>
      <c r="AP292" s="93"/>
      <c r="AQ292" s="94"/>
      <c r="AR292" s="95"/>
      <c r="AS292" s="92"/>
      <c r="AT292" s="96"/>
      <c r="AU292" s="93"/>
      <c r="AV292" s="97"/>
      <c r="AW292" s="98"/>
      <c r="AX292" s="99"/>
      <c r="AY292" s="92"/>
      <c r="AZ292" s="96"/>
      <c r="BA292" s="100"/>
    </row>
    <row r="293" spans="4:53" ht="12.75" x14ac:dyDescent="0.2">
      <c r="AB293" s="70"/>
      <c r="AO293" s="70"/>
      <c r="AP293" s="93"/>
      <c r="AQ293" s="94"/>
      <c r="AR293" s="95"/>
      <c r="AS293" s="92"/>
      <c r="AT293" s="96"/>
      <c r="AU293" s="93"/>
      <c r="AV293" s="97"/>
      <c r="AW293" s="98"/>
      <c r="AX293" s="99"/>
      <c r="AY293" s="92"/>
      <c r="AZ293" s="96"/>
      <c r="BA293" s="100"/>
    </row>
    <row r="294" spans="4:53" ht="12.75" x14ac:dyDescent="0.2">
      <c r="AB294" s="70"/>
      <c r="AO294" s="70"/>
      <c r="AP294" s="93"/>
      <c r="AQ294" s="94"/>
      <c r="AR294" s="95"/>
      <c r="AS294" s="92"/>
      <c r="AT294" s="96"/>
      <c r="AU294" s="93"/>
      <c r="AV294" s="97"/>
      <c r="AW294" s="98"/>
      <c r="AX294" s="99"/>
      <c r="AY294" s="92"/>
      <c r="AZ294" s="96"/>
      <c r="BA294" s="100"/>
    </row>
    <row r="295" spans="4:53" ht="12.75" x14ac:dyDescent="0.2">
      <c r="AB295" s="70"/>
      <c r="AO295" s="70"/>
      <c r="AP295" s="93"/>
      <c r="AQ295" s="94"/>
      <c r="AR295" s="95"/>
      <c r="AS295" s="92"/>
      <c r="AT295" s="96"/>
      <c r="AU295" s="93"/>
      <c r="AV295" s="97"/>
      <c r="AW295" s="98"/>
      <c r="AX295" s="99"/>
      <c r="AY295" s="92"/>
      <c r="AZ295" s="96"/>
      <c r="BA295" s="100"/>
    </row>
    <row r="296" spans="4:53" ht="12.75" x14ac:dyDescent="0.2">
      <c r="AB296" s="70"/>
      <c r="AO296" s="70"/>
      <c r="AP296" s="93"/>
      <c r="AQ296" s="94"/>
      <c r="AR296" s="95"/>
      <c r="AS296" s="92"/>
      <c r="AT296" s="96"/>
      <c r="AU296" s="93"/>
      <c r="AV296" s="97"/>
      <c r="AW296" s="98"/>
      <c r="AX296" s="99"/>
      <c r="AY296" s="92"/>
      <c r="AZ296" s="96"/>
      <c r="BA296" s="100"/>
    </row>
    <row r="297" spans="4:53" ht="12.75" x14ac:dyDescent="0.2">
      <c r="AB297" s="70"/>
      <c r="AO297" s="70"/>
      <c r="AP297" s="93"/>
      <c r="AQ297" s="94"/>
      <c r="AR297" s="95"/>
      <c r="AS297" s="92"/>
      <c r="AT297" s="96"/>
      <c r="AU297" s="93"/>
      <c r="AV297" s="97"/>
      <c r="AW297" s="98"/>
      <c r="AX297" s="99"/>
      <c r="AY297" s="92"/>
      <c r="AZ297" s="96"/>
      <c r="BA297" s="100"/>
    </row>
    <row r="298" spans="4:53" ht="12.75" x14ac:dyDescent="0.2">
      <c r="AB298" s="70"/>
      <c r="AO298" s="70"/>
      <c r="AP298" s="93"/>
      <c r="AQ298" s="94"/>
      <c r="AR298" s="95"/>
      <c r="AS298" s="92"/>
      <c r="AT298" s="96"/>
      <c r="AU298" s="93"/>
      <c r="AV298" s="97"/>
      <c r="AW298" s="98"/>
      <c r="AX298" s="99"/>
      <c r="AY298" s="92"/>
      <c r="AZ298" s="96"/>
      <c r="BA298" s="100"/>
    </row>
    <row r="299" spans="4:53" ht="12.75" x14ac:dyDescent="0.2">
      <c r="AB299" s="70"/>
      <c r="AO299" s="70"/>
      <c r="AP299" s="93"/>
      <c r="AQ299" s="94"/>
      <c r="AR299" s="95"/>
      <c r="AS299" s="92"/>
      <c r="AT299" s="96"/>
      <c r="AU299" s="93"/>
      <c r="AV299" s="97"/>
      <c r="AW299" s="98"/>
      <c r="AX299" s="99"/>
      <c r="AY299" s="92"/>
      <c r="AZ299" s="96"/>
      <c r="BA299" s="100"/>
    </row>
    <row r="300" spans="4:53" ht="12.75" x14ac:dyDescent="0.2">
      <c r="AB300" s="70"/>
      <c r="AO300" s="70"/>
      <c r="AP300" s="93"/>
      <c r="AQ300" s="94"/>
      <c r="AR300" s="95"/>
      <c r="AS300" s="92"/>
      <c r="AT300" s="96"/>
      <c r="AU300" s="93"/>
      <c r="AV300" s="97"/>
      <c r="AW300" s="98"/>
      <c r="AX300" s="99"/>
      <c r="AY300" s="92"/>
      <c r="AZ300" s="96"/>
      <c r="BA300" s="100"/>
    </row>
    <row r="301" spans="4:53" ht="12.75" x14ac:dyDescent="0.2">
      <c r="AB301" s="70"/>
      <c r="AO301" s="70"/>
      <c r="AP301" s="93"/>
      <c r="AQ301" s="94"/>
      <c r="AR301" s="95"/>
      <c r="AS301" s="92"/>
      <c r="AT301" s="96"/>
      <c r="AU301" s="93"/>
      <c r="AV301" s="97"/>
      <c r="AW301" s="98"/>
      <c r="AX301" s="99"/>
      <c r="AY301" s="92"/>
      <c r="AZ301" s="96"/>
      <c r="BA301" s="100"/>
    </row>
    <row r="302" spans="4:53" ht="12.75" x14ac:dyDescent="0.2">
      <c r="AB302" s="70"/>
      <c r="AO302" s="70"/>
      <c r="AP302" s="93"/>
      <c r="AQ302" s="94"/>
      <c r="AR302" s="95"/>
      <c r="AS302" s="92"/>
      <c r="AT302" s="96"/>
      <c r="AU302" s="93"/>
      <c r="AV302" s="97"/>
      <c r="AW302" s="98"/>
      <c r="AX302" s="99"/>
      <c r="AY302" s="92"/>
      <c r="AZ302" s="96"/>
      <c r="BA302" s="100"/>
    </row>
    <row r="303" spans="4:53" ht="12.75" x14ac:dyDescent="0.2">
      <c r="AB303" s="70"/>
      <c r="AO303" s="70"/>
      <c r="AP303" s="93"/>
      <c r="AQ303" s="94"/>
      <c r="AR303" s="95"/>
      <c r="AS303" s="92"/>
      <c r="AT303" s="96"/>
      <c r="AU303" s="93"/>
      <c r="AV303" s="97"/>
      <c r="AW303" s="98"/>
      <c r="AX303" s="99"/>
      <c r="AY303" s="92"/>
      <c r="AZ303" s="96"/>
      <c r="BA303" s="100"/>
    </row>
    <row r="304" spans="4:53" ht="12.75" x14ac:dyDescent="0.2">
      <c r="AB304" s="70"/>
      <c r="AO304" s="70"/>
      <c r="AP304" s="93"/>
      <c r="AQ304" s="94"/>
      <c r="AR304" s="95"/>
      <c r="AS304" s="92"/>
      <c r="AT304" s="96"/>
      <c r="AU304" s="93"/>
      <c r="AV304" s="97"/>
      <c r="AW304" s="98"/>
      <c r="AX304" s="99"/>
      <c r="AY304" s="92"/>
      <c r="AZ304" s="96"/>
      <c r="BA304" s="100"/>
    </row>
    <row r="305" spans="28:53" ht="12.75" x14ac:dyDescent="0.2">
      <c r="AB305" s="70"/>
      <c r="AO305" s="70"/>
      <c r="AP305" s="93"/>
      <c r="AQ305" s="94"/>
      <c r="AR305" s="95"/>
      <c r="AS305" s="92"/>
      <c r="AT305" s="96"/>
      <c r="AU305" s="93"/>
      <c r="AV305" s="97"/>
      <c r="AW305" s="98"/>
      <c r="AX305" s="99"/>
      <c r="AY305" s="92"/>
      <c r="AZ305" s="96"/>
      <c r="BA305" s="100"/>
    </row>
    <row r="306" spans="28:53" ht="12.75" x14ac:dyDescent="0.2">
      <c r="AB306" s="70"/>
      <c r="AO306" s="70"/>
      <c r="AP306" s="93"/>
      <c r="AQ306" s="94"/>
      <c r="AR306" s="95"/>
      <c r="AS306" s="92"/>
      <c r="AT306" s="96"/>
      <c r="AU306" s="93"/>
      <c r="AV306" s="97"/>
      <c r="AW306" s="98"/>
      <c r="AX306" s="99"/>
      <c r="AY306" s="92"/>
      <c r="AZ306" s="96"/>
      <c r="BA306" s="100"/>
    </row>
    <row r="307" spans="28:53" ht="12.75" x14ac:dyDescent="0.2">
      <c r="AB307" s="70"/>
      <c r="AO307" s="70"/>
      <c r="AP307" s="93"/>
      <c r="AQ307" s="94"/>
      <c r="AR307" s="95"/>
      <c r="AS307" s="92"/>
      <c r="AT307" s="96"/>
      <c r="AU307" s="93"/>
      <c r="AV307" s="97"/>
      <c r="AW307" s="98"/>
      <c r="AX307" s="99"/>
      <c r="AY307" s="92"/>
      <c r="AZ307" s="96"/>
      <c r="BA307" s="100"/>
    </row>
    <row r="308" spans="28:53" ht="12.75" x14ac:dyDescent="0.2">
      <c r="AB308" s="70"/>
      <c r="AO308" s="70"/>
      <c r="AP308" s="93"/>
      <c r="AQ308" s="94"/>
      <c r="AR308" s="95"/>
      <c r="AS308" s="92"/>
      <c r="AT308" s="96"/>
      <c r="AU308" s="93"/>
      <c r="AV308" s="97"/>
      <c r="AW308" s="98"/>
      <c r="AX308" s="99"/>
      <c r="AY308" s="92"/>
      <c r="AZ308" s="96"/>
      <c r="BA308" s="100"/>
    </row>
    <row r="309" spans="28:53" ht="12.75" x14ac:dyDescent="0.2">
      <c r="AB309" s="70"/>
      <c r="AO309" s="70"/>
      <c r="AP309" s="93"/>
      <c r="AQ309" s="94"/>
      <c r="AR309" s="95"/>
      <c r="AS309" s="92"/>
      <c r="AT309" s="96"/>
      <c r="AU309" s="93"/>
      <c r="AV309" s="97"/>
      <c r="AW309" s="98"/>
      <c r="AX309" s="99"/>
      <c r="AY309" s="92"/>
      <c r="AZ309" s="96"/>
      <c r="BA309" s="100"/>
    </row>
    <row r="310" spans="28:53" ht="12.75" x14ac:dyDescent="0.2">
      <c r="AB310" s="70"/>
      <c r="AO310" s="70"/>
      <c r="AP310" s="93"/>
      <c r="AQ310" s="94"/>
      <c r="AR310" s="95"/>
      <c r="AS310" s="92"/>
      <c r="AT310" s="96"/>
      <c r="AU310" s="93"/>
      <c r="AV310" s="97"/>
      <c r="AW310" s="98"/>
      <c r="AX310" s="99"/>
      <c r="AY310" s="92"/>
      <c r="AZ310" s="96"/>
      <c r="BA310" s="100"/>
    </row>
    <row r="311" spans="28:53" ht="12.75" x14ac:dyDescent="0.2">
      <c r="AB311" s="70"/>
      <c r="AO311" s="70"/>
      <c r="AP311" s="93"/>
      <c r="AQ311" s="94"/>
      <c r="AR311" s="95"/>
      <c r="AS311" s="92"/>
      <c r="AT311" s="96"/>
      <c r="AU311" s="93"/>
      <c r="AV311" s="97"/>
      <c r="AW311" s="98"/>
      <c r="AX311" s="99"/>
      <c r="AY311" s="92"/>
      <c r="AZ311" s="96"/>
      <c r="BA311" s="100"/>
    </row>
    <row r="312" spans="28:53" ht="12.75" x14ac:dyDescent="0.2">
      <c r="AB312" s="70"/>
      <c r="AO312" s="70"/>
      <c r="AP312" s="93"/>
      <c r="AQ312" s="94"/>
      <c r="AR312" s="95"/>
      <c r="AS312" s="92"/>
      <c r="AT312" s="96"/>
      <c r="AU312" s="93"/>
      <c r="AV312" s="97"/>
      <c r="AW312" s="98"/>
      <c r="AX312" s="99"/>
      <c r="AY312" s="92"/>
      <c r="AZ312" s="96"/>
      <c r="BA312" s="100"/>
    </row>
    <row r="313" spans="28:53" ht="12.75" x14ac:dyDescent="0.2">
      <c r="AB313" s="70"/>
      <c r="AO313" s="70"/>
      <c r="AP313" s="93"/>
      <c r="AQ313" s="94"/>
      <c r="AR313" s="95"/>
      <c r="AS313" s="92"/>
      <c r="AT313" s="96"/>
      <c r="AU313" s="93"/>
      <c r="AV313" s="97"/>
      <c r="AW313" s="98"/>
      <c r="AX313" s="99"/>
      <c r="AY313" s="92"/>
      <c r="AZ313" s="96"/>
      <c r="BA313" s="100"/>
    </row>
    <row r="314" spans="28:53" ht="12.75" x14ac:dyDescent="0.2">
      <c r="AB314" s="70"/>
      <c r="AO314" s="70"/>
      <c r="AP314" s="93"/>
      <c r="AQ314" s="94"/>
      <c r="AR314" s="95"/>
      <c r="AS314" s="92"/>
      <c r="AT314" s="96"/>
      <c r="AU314" s="93"/>
      <c r="AV314" s="97"/>
      <c r="AW314" s="98"/>
      <c r="AX314" s="99"/>
      <c r="AY314" s="92"/>
      <c r="AZ314" s="96"/>
      <c r="BA314" s="100"/>
    </row>
    <row r="315" spans="28:53" ht="12.75" x14ac:dyDescent="0.2">
      <c r="AB315" s="70"/>
      <c r="AO315" s="70"/>
      <c r="AP315" s="93"/>
      <c r="AQ315" s="94"/>
      <c r="AR315" s="95"/>
      <c r="AS315" s="92"/>
      <c r="AT315" s="96"/>
      <c r="AU315" s="93"/>
      <c r="AV315" s="97"/>
      <c r="AW315" s="98"/>
      <c r="AX315" s="99"/>
      <c r="AY315" s="92"/>
      <c r="AZ315" s="96"/>
      <c r="BA315" s="100"/>
    </row>
    <row r="316" spans="28:53" ht="12.75" x14ac:dyDescent="0.2">
      <c r="AB316" s="70"/>
      <c r="AO316" s="70"/>
      <c r="AP316" s="93"/>
      <c r="AQ316" s="94"/>
      <c r="AR316" s="95"/>
      <c r="AS316" s="92"/>
      <c r="AT316" s="96"/>
      <c r="AU316" s="93"/>
      <c r="AV316" s="97"/>
      <c r="AW316" s="98"/>
      <c r="AX316" s="99"/>
      <c r="AY316" s="92"/>
      <c r="AZ316" s="96"/>
      <c r="BA316" s="100"/>
    </row>
    <row r="317" spans="28:53" ht="12.75" x14ac:dyDescent="0.2">
      <c r="AB317" s="70"/>
      <c r="AO317" s="70"/>
      <c r="AP317" s="93"/>
      <c r="AQ317" s="94"/>
      <c r="AR317" s="95"/>
      <c r="AS317" s="92"/>
      <c r="AT317" s="96"/>
      <c r="AU317" s="93"/>
      <c r="AV317" s="97"/>
      <c r="AW317" s="98"/>
      <c r="AX317" s="99"/>
      <c r="AY317" s="92"/>
      <c r="AZ317" s="96"/>
      <c r="BA317" s="100"/>
    </row>
    <row r="318" spans="28:53" ht="12.75" x14ac:dyDescent="0.2">
      <c r="AB318" s="70"/>
      <c r="AO318" s="70"/>
      <c r="AP318" s="93"/>
      <c r="AQ318" s="94"/>
      <c r="AR318" s="95"/>
      <c r="AS318" s="92"/>
      <c r="AT318" s="96"/>
      <c r="AU318" s="93"/>
      <c r="AV318" s="97"/>
      <c r="AW318" s="98"/>
      <c r="AX318" s="99"/>
      <c r="AY318" s="92"/>
      <c r="AZ318" s="96"/>
      <c r="BA318" s="100"/>
    </row>
    <row r="319" spans="28:53" ht="12.75" x14ac:dyDescent="0.2">
      <c r="AB319" s="70"/>
      <c r="AO319" s="70"/>
      <c r="AP319" s="93"/>
      <c r="AQ319" s="94"/>
      <c r="AR319" s="95"/>
      <c r="AS319" s="92"/>
      <c r="AT319" s="96"/>
      <c r="AU319" s="93"/>
      <c r="AV319" s="97"/>
      <c r="AW319" s="98"/>
      <c r="AX319" s="99"/>
      <c r="AY319" s="92"/>
      <c r="AZ319" s="96"/>
      <c r="BA319" s="100"/>
    </row>
    <row r="320" spans="28:53" ht="12.75" x14ac:dyDescent="0.2">
      <c r="AB320" s="70"/>
      <c r="AO320" s="70"/>
      <c r="AP320" s="93"/>
      <c r="AQ320" s="94"/>
      <c r="AR320" s="95"/>
      <c r="AS320" s="92"/>
      <c r="AT320" s="96"/>
      <c r="AU320" s="93"/>
      <c r="AV320" s="97"/>
      <c r="AW320" s="98"/>
      <c r="AX320" s="99"/>
      <c r="AY320" s="92"/>
      <c r="AZ320" s="96"/>
      <c r="BA320" s="100"/>
    </row>
    <row r="321" spans="28:53" ht="12.75" x14ac:dyDescent="0.2">
      <c r="AB321" s="70"/>
      <c r="AO321" s="70"/>
      <c r="AP321" s="93"/>
      <c r="AQ321" s="94"/>
      <c r="AR321" s="95"/>
      <c r="AS321" s="92"/>
      <c r="AT321" s="96"/>
      <c r="AU321" s="93"/>
      <c r="AV321" s="97"/>
      <c r="AW321" s="98"/>
      <c r="AX321" s="99"/>
      <c r="AY321" s="92"/>
      <c r="AZ321" s="96"/>
      <c r="BA321" s="100"/>
    </row>
    <row r="322" spans="28:53" ht="12.75" x14ac:dyDescent="0.2">
      <c r="AB322" s="70"/>
      <c r="AO322" s="70"/>
      <c r="AP322" s="93"/>
      <c r="AQ322" s="94"/>
      <c r="AR322" s="95"/>
      <c r="AS322" s="92"/>
      <c r="AT322" s="96"/>
      <c r="AU322" s="93"/>
      <c r="AV322" s="97"/>
      <c r="AW322" s="98"/>
      <c r="AX322" s="99"/>
      <c r="AY322" s="92"/>
      <c r="AZ322" s="96"/>
      <c r="BA322" s="100"/>
    </row>
    <row r="323" spans="28:53" ht="12.75" x14ac:dyDescent="0.2">
      <c r="AB323" s="70"/>
      <c r="AO323" s="70"/>
      <c r="AP323" s="93"/>
      <c r="AQ323" s="94"/>
      <c r="AR323" s="95"/>
      <c r="AS323" s="92"/>
      <c r="AT323" s="96"/>
      <c r="AU323" s="93"/>
      <c r="AV323" s="97"/>
      <c r="AW323" s="98"/>
      <c r="AX323" s="99"/>
      <c r="AY323" s="92"/>
      <c r="AZ323" s="96"/>
      <c r="BA323" s="100"/>
    </row>
    <row r="324" spans="28:53" ht="12.75" x14ac:dyDescent="0.2">
      <c r="AB324" s="70"/>
      <c r="AO324" s="70"/>
      <c r="AP324" s="93"/>
      <c r="AQ324" s="94"/>
      <c r="AR324" s="95"/>
      <c r="AS324" s="92"/>
      <c r="AT324" s="96"/>
      <c r="AU324" s="93"/>
      <c r="AV324" s="97"/>
      <c r="AW324" s="98"/>
      <c r="AX324" s="99"/>
      <c r="AY324" s="92"/>
      <c r="AZ324" s="96"/>
      <c r="BA324" s="100"/>
    </row>
    <row r="325" spans="28:53" ht="12.75" x14ac:dyDescent="0.2">
      <c r="AB325" s="70"/>
      <c r="AO325" s="70"/>
      <c r="AP325" s="93"/>
      <c r="AQ325" s="94"/>
      <c r="AR325" s="95"/>
      <c r="AS325" s="92"/>
      <c r="AT325" s="96"/>
      <c r="AU325" s="93"/>
      <c r="AV325" s="97"/>
      <c r="AW325" s="98"/>
      <c r="AX325" s="99"/>
      <c r="AY325" s="92"/>
      <c r="AZ325" s="96"/>
      <c r="BA325" s="100"/>
    </row>
    <row r="326" spans="28:53" ht="12.75" x14ac:dyDescent="0.2">
      <c r="AB326" s="70"/>
      <c r="AO326" s="70"/>
      <c r="AP326" s="93"/>
      <c r="AQ326" s="94"/>
      <c r="AR326" s="95"/>
      <c r="AS326" s="92"/>
      <c r="AT326" s="96"/>
      <c r="AU326" s="93"/>
      <c r="AV326" s="97"/>
      <c r="AW326" s="98"/>
      <c r="AX326" s="99"/>
      <c r="AY326" s="92"/>
      <c r="AZ326" s="96"/>
      <c r="BA326" s="100"/>
    </row>
    <row r="327" spans="28:53" ht="12.75" x14ac:dyDescent="0.2">
      <c r="AB327" s="70"/>
      <c r="AO327" s="70"/>
      <c r="AP327" s="93"/>
      <c r="AQ327" s="94"/>
      <c r="AR327" s="95"/>
      <c r="AS327" s="92"/>
      <c r="AT327" s="96"/>
      <c r="AU327" s="93"/>
      <c r="AV327" s="97"/>
      <c r="AW327" s="98"/>
      <c r="AX327" s="99"/>
      <c r="AY327" s="92"/>
      <c r="AZ327" s="96"/>
      <c r="BA327" s="100"/>
    </row>
    <row r="328" spans="28:53" ht="12.75" x14ac:dyDescent="0.2">
      <c r="AB328" s="70"/>
      <c r="AO328" s="70"/>
      <c r="AP328" s="93"/>
      <c r="AQ328" s="94"/>
      <c r="AR328" s="95"/>
      <c r="AS328" s="92"/>
      <c r="AT328" s="96"/>
      <c r="AU328" s="93"/>
      <c r="AV328" s="97"/>
      <c r="AW328" s="98"/>
      <c r="AX328" s="99"/>
      <c r="AY328" s="92"/>
      <c r="AZ328" s="96"/>
      <c r="BA328" s="100"/>
    </row>
    <row r="329" spans="28:53" ht="12.75" x14ac:dyDescent="0.2">
      <c r="AB329" s="70"/>
      <c r="AO329" s="70"/>
      <c r="AP329" s="93"/>
      <c r="AQ329" s="94"/>
      <c r="AR329" s="95"/>
      <c r="AS329" s="92"/>
      <c r="AT329" s="96"/>
      <c r="AU329" s="93"/>
      <c r="AV329" s="97"/>
      <c r="AW329" s="98"/>
      <c r="AX329" s="99"/>
      <c r="AY329" s="92"/>
      <c r="AZ329" s="96"/>
      <c r="BA329" s="100"/>
    </row>
    <row r="330" spans="28:53" ht="12.75" x14ac:dyDescent="0.2">
      <c r="AB330" s="70"/>
      <c r="AO330" s="70"/>
      <c r="AP330" s="93"/>
      <c r="AQ330" s="94"/>
      <c r="AR330" s="95"/>
      <c r="AS330" s="92"/>
      <c r="AT330" s="96"/>
      <c r="AU330" s="93"/>
      <c r="AV330" s="97"/>
      <c r="AW330" s="98"/>
      <c r="AX330" s="99"/>
      <c r="AY330" s="92"/>
      <c r="AZ330" s="96"/>
      <c r="BA330" s="100"/>
    </row>
    <row r="331" spans="28:53" ht="12.75" x14ac:dyDescent="0.2">
      <c r="AB331" s="70"/>
      <c r="AO331" s="70"/>
      <c r="AP331" s="93"/>
      <c r="AQ331" s="94"/>
      <c r="AR331" s="95"/>
      <c r="AS331" s="92"/>
      <c r="AT331" s="96"/>
      <c r="AU331" s="93"/>
      <c r="AV331" s="97"/>
      <c r="AW331" s="98"/>
      <c r="AX331" s="99"/>
      <c r="AY331" s="92"/>
      <c r="AZ331" s="96"/>
      <c r="BA331" s="100"/>
    </row>
    <row r="332" spans="28:53" ht="12.75" x14ac:dyDescent="0.2">
      <c r="AB332" s="70"/>
      <c r="AO332" s="70"/>
      <c r="AP332" s="93"/>
      <c r="AQ332" s="94"/>
      <c r="AR332" s="95"/>
      <c r="AS332" s="92"/>
      <c r="AT332" s="96"/>
      <c r="AU332" s="93"/>
      <c r="AV332" s="97"/>
      <c r="AW332" s="98"/>
      <c r="AX332" s="99"/>
      <c r="AY332" s="92"/>
      <c r="AZ332" s="96"/>
      <c r="BA332" s="100"/>
    </row>
    <row r="333" spans="28:53" ht="12.75" x14ac:dyDescent="0.2">
      <c r="AB333" s="70"/>
      <c r="AO333" s="70"/>
      <c r="AP333" s="93"/>
      <c r="AQ333" s="94"/>
      <c r="AR333" s="95"/>
      <c r="AS333" s="92"/>
      <c r="AT333" s="96"/>
      <c r="AU333" s="93"/>
      <c r="AV333" s="97"/>
      <c r="AW333" s="98"/>
      <c r="AX333" s="99"/>
      <c r="AY333" s="92"/>
      <c r="AZ333" s="96"/>
      <c r="BA333" s="100"/>
    </row>
    <row r="334" spans="28:53" ht="12.75" x14ac:dyDescent="0.2">
      <c r="AB334" s="70"/>
      <c r="AO334" s="70"/>
      <c r="AP334" s="93"/>
      <c r="AQ334" s="94"/>
      <c r="AR334" s="95"/>
      <c r="AS334" s="92"/>
      <c r="AT334" s="96"/>
      <c r="AU334" s="93"/>
      <c r="AV334" s="97"/>
      <c r="AW334" s="98"/>
      <c r="AX334" s="99"/>
      <c r="AY334" s="92"/>
      <c r="AZ334" s="96"/>
      <c r="BA334" s="100"/>
    </row>
    <row r="335" spans="28:53" ht="12.75" x14ac:dyDescent="0.2">
      <c r="AB335" s="70"/>
      <c r="AO335" s="70"/>
      <c r="AP335" s="93"/>
      <c r="AQ335" s="94"/>
      <c r="AR335" s="95"/>
      <c r="AS335" s="92"/>
      <c r="AT335" s="96"/>
      <c r="AU335" s="93"/>
      <c r="AV335" s="97"/>
      <c r="AW335" s="98"/>
      <c r="AX335" s="99"/>
      <c r="AY335" s="92"/>
      <c r="AZ335" s="96"/>
      <c r="BA335" s="100"/>
    </row>
    <row r="336" spans="28:53" ht="12.75" x14ac:dyDescent="0.2">
      <c r="AB336" s="70"/>
      <c r="AO336" s="70"/>
      <c r="AP336" s="93"/>
      <c r="AQ336" s="94"/>
      <c r="AR336" s="95"/>
      <c r="AS336" s="92"/>
      <c r="AT336" s="96"/>
      <c r="AU336" s="93"/>
      <c r="AV336" s="97"/>
      <c r="AW336" s="98"/>
      <c r="AX336" s="99"/>
      <c r="AY336" s="92"/>
      <c r="AZ336" s="96"/>
      <c r="BA336" s="100"/>
    </row>
    <row r="337" spans="28:53" ht="12.75" x14ac:dyDescent="0.2">
      <c r="AB337" s="70"/>
      <c r="AO337" s="70"/>
      <c r="AP337" s="93"/>
      <c r="AQ337" s="94"/>
      <c r="AR337" s="95"/>
      <c r="AS337" s="92"/>
      <c r="AT337" s="96"/>
      <c r="AU337" s="93"/>
      <c r="AV337" s="97"/>
      <c r="AW337" s="98"/>
      <c r="AX337" s="99"/>
      <c r="AY337" s="92"/>
      <c r="AZ337" s="96"/>
      <c r="BA337" s="100"/>
    </row>
    <row r="338" spans="28:53" ht="12.75" x14ac:dyDescent="0.2">
      <c r="AB338" s="70"/>
      <c r="AO338" s="70"/>
      <c r="AP338" s="93"/>
      <c r="AQ338" s="94"/>
      <c r="AR338" s="95"/>
      <c r="AS338" s="92"/>
      <c r="AT338" s="96"/>
      <c r="AU338" s="93"/>
      <c r="AV338" s="97"/>
      <c r="AW338" s="98"/>
      <c r="AX338" s="99"/>
      <c r="AY338" s="92"/>
      <c r="AZ338" s="96"/>
      <c r="BA338" s="100"/>
    </row>
    <row r="339" spans="28:53" ht="12.75" x14ac:dyDescent="0.2">
      <c r="AB339" s="70"/>
      <c r="AO339" s="70"/>
      <c r="AP339" s="93"/>
      <c r="AQ339" s="94"/>
      <c r="AR339" s="95"/>
      <c r="AS339" s="92"/>
      <c r="AT339" s="96"/>
      <c r="AU339" s="93"/>
      <c r="AV339" s="97"/>
      <c r="AW339" s="98"/>
      <c r="AX339" s="99"/>
      <c r="AY339" s="92"/>
      <c r="AZ339" s="96"/>
      <c r="BA339" s="100"/>
    </row>
    <row r="340" spans="28:53" ht="12.75" x14ac:dyDescent="0.2">
      <c r="AB340" s="70"/>
      <c r="AO340" s="70"/>
      <c r="AP340" s="93"/>
      <c r="AQ340" s="94"/>
      <c r="AR340" s="95"/>
      <c r="AS340" s="92"/>
      <c r="AT340" s="96"/>
      <c r="AU340" s="93"/>
      <c r="AV340" s="97"/>
      <c r="AW340" s="98"/>
      <c r="AX340" s="99"/>
      <c r="AY340" s="92"/>
      <c r="AZ340" s="96"/>
      <c r="BA340" s="100"/>
    </row>
    <row r="341" spans="28:53" ht="12.75" x14ac:dyDescent="0.2">
      <c r="AB341" s="70"/>
      <c r="AO341" s="70"/>
      <c r="AP341" s="93"/>
      <c r="AQ341" s="94"/>
      <c r="AR341" s="95"/>
      <c r="AS341" s="92"/>
      <c r="AT341" s="96"/>
      <c r="AU341" s="93"/>
      <c r="AV341" s="97"/>
      <c r="AW341" s="98"/>
      <c r="AX341" s="99"/>
      <c r="AY341" s="92"/>
      <c r="AZ341" s="96"/>
      <c r="BA341" s="100"/>
    </row>
    <row r="342" spans="28:53" ht="12.75" x14ac:dyDescent="0.2">
      <c r="AB342" s="70"/>
      <c r="AO342" s="70"/>
      <c r="AP342" s="93"/>
      <c r="AQ342" s="94"/>
      <c r="AR342" s="95"/>
      <c r="AS342" s="92"/>
      <c r="AT342" s="96"/>
      <c r="AU342" s="93"/>
      <c r="AV342" s="97"/>
      <c r="AW342" s="98"/>
      <c r="AX342" s="99"/>
      <c r="AY342" s="92"/>
      <c r="AZ342" s="96"/>
      <c r="BA342" s="100"/>
    </row>
    <row r="343" spans="28:53" ht="12.75" x14ac:dyDescent="0.2">
      <c r="AB343" s="70"/>
      <c r="AO343" s="70"/>
      <c r="AP343" s="93"/>
      <c r="AQ343" s="94"/>
      <c r="AR343" s="95"/>
      <c r="AS343" s="92"/>
      <c r="AT343" s="96"/>
      <c r="AU343" s="93"/>
      <c r="AV343" s="97"/>
      <c r="AW343" s="98"/>
      <c r="AX343" s="99"/>
      <c r="AY343" s="92"/>
      <c r="AZ343" s="96"/>
      <c r="BA343" s="100"/>
    </row>
    <row r="344" spans="28:53" ht="12.75" x14ac:dyDescent="0.2">
      <c r="AB344" s="70"/>
      <c r="AO344" s="70"/>
      <c r="AP344" s="93"/>
      <c r="AQ344" s="94"/>
      <c r="AR344" s="95"/>
      <c r="AS344" s="92"/>
      <c r="AT344" s="96"/>
      <c r="AU344" s="93"/>
      <c r="AV344" s="97"/>
      <c r="AW344" s="98"/>
      <c r="AX344" s="99"/>
      <c r="AY344" s="92"/>
      <c r="AZ344" s="96"/>
      <c r="BA344" s="100"/>
    </row>
    <row r="345" spans="28:53" ht="12.75" x14ac:dyDescent="0.2">
      <c r="AB345" s="70"/>
      <c r="AO345" s="70"/>
      <c r="AP345" s="93"/>
      <c r="AQ345" s="94"/>
      <c r="AR345" s="95"/>
      <c r="AS345" s="92"/>
      <c r="AT345" s="96"/>
      <c r="AU345" s="93"/>
      <c r="AV345" s="97"/>
      <c r="AW345" s="98"/>
      <c r="AX345" s="99"/>
      <c r="AY345" s="92"/>
      <c r="AZ345" s="96"/>
      <c r="BA345" s="100"/>
    </row>
    <row r="346" spans="28:53" ht="12.75" x14ac:dyDescent="0.2">
      <c r="AB346" s="70"/>
      <c r="AO346" s="70"/>
      <c r="AP346" s="93"/>
      <c r="AQ346" s="94"/>
      <c r="AR346" s="95"/>
      <c r="AS346" s="92"/>
      <c r="AT346" s="96"/>
      <c r="AU346" s="93"/>
      <c r="AV346" s="97"/>
      <c r="AW346" s="98"/>
      <c r="AX346" s="99"/>
      <c r="AY346" s="92"/>
      <c r="AZ346" s="96"/>
      <c r="BA346" s="100"/>
    </row>
    <row r="347" spans="28:53" ht="12.75" x14ac:dyDescent="0.2">
      <c r="AB347" s="70"/>
      <c r="AO347" s="70"/>
      <c r="AP347" s="93"/>
      <c r="AQ347" s="94"/>
      <c r="AR347" s="95"/>
      <c r="AS347" s="92"/>
      <c r="AT347" s="96"/>
      <c r="AU347" s="93"/>
      <c r="AV347" s="97"/>
      <c r="AW347" s="98"/>
      <c r="AX347" s="99"/>
      <c r="AY347" s="92"/>
      <c r="AZ347" s="96"/>
      <c r="BA347" s="100"/>
    </row>
    <row r="348" spans="28:53" ht="12.75" x14ac:dyDescent="0.2">
      <c r="AB348" s="70"/>
      <c r="AO348" s="70"/>
      <c r="AP348" s="93"/>
      <c r="AQ348" s="94"/>
      <c r="AR348" s="95"/>
      <c r="AS348" s="92"/>
      <c r="AT348" s="96"/>
      <c r="AU348" s="93"/>
      <c r="AV348" s="97"/>
      <c r="AW348" s="98"/>
      <c r="AX348" s="99"/>
      <c r="AY348" s="92"/>
      <c r="AZ348" s="96"/>
      <c r="BA348" s="100"/>
    </row>
    <row r="349" spans="28:53" ht="12.75" x14ac:dyDescent="0.2">
      <c r="AB349" s="70"/>
      <c r="AO349" s="70"/>
      <c r="AP349" s="93"/>
      <c r="AQ349" s="94"/>
      <c r="AR349" s="95"/>
      <c r="AS349" s="92"/>
      <c r="AT349" s="96"/>
      <c r="AU349" s="93"/>
      <c r="AV349" s="97"/>
      <c r="AW349" s="98"/>
      <c r="AX349" s="99"/>
      <c r="AY349" s="92"/>
      <c r="AZ349" s="96"/>
      <c r="BA349" s="100"/>
    </row>
    <row r="350" spans="28:53" ht="12.75" x14ac:dyDescent="0.2">
      <c r="AB350" s="70"/>
      <c r="AO350" s="70"/>
      <c r="AP350" s="93"/>
      <c r="AQ350" s="94"/>
      <c r="AR350" s="95"/>
      <c r="AS350" s="92"/>
      <c r="AT350" s="96"/>
      <c r="AU350" s="93"/>
      <c r="AV350" s="97"/>
      <c r="AW350" s="98"/>
      <c r="AX350" s="99"/>
      <c r="AY350" s="92"/>
      <c r="AZ350" s="96"/>
      <c r="BA350" s="100"/>
    </row>
    <row r="351" spans="28:53" ht="12.75" x14ac:dyDescent="0.2">
      <c r="AB351" s="70"/>
      <c r="AO351" s="70"/>
      <c r="AP351" s="93"/>
      <c r="AQ351" s="94"/>
      <c r="AR351" s="95"/>
      <c r="AS351" s="92"/>
      <c r="AT351" s="96"/>
      <c r="AU351" s="93"/>
      <c r="AV351" s="97"/>
      <c r="AW351" s="98"/>
      <c r="AX351" s="99"/>
      <c r="AY351" s="92"/>
      <c r="AZ351" s="96"/>
      <c r="BA351" s="100"/>
    </row>
    <row r="352" spans="28:53" ht="12.75" x14ac:dyDescent="0.2">
      <c r="AB352" s="70"/>
      <c r="AO352" s="70"/>
      <c r="AP352" s="93"/>
      <c r="AQ352" s="94"/>
      <c r="AR352" s="95"/>
      <c r="AS352" s="92"/>
      <c r="AT352" s="96"/>
      <c r="AU352" s="93"/>
      <c r="AV352" s="97"/>
      <c r="AW352" s="98"/>
      <c r="AX352" s="99"/>
      <c r="AY352" s="92"/>
      <c r="AZ352" s="96"/>
      <c r="BA352" s="100"/>
    </row>
    <row r="353" spans="28:53" ht="12.75" x14ac:dyDescent="0.2">
      <c r="AB353" s="70"/>
      <c r="AO353" s="70"/>
      <c r="AP353" s="93"/>
      <c r="AQ353" s="94"/>
      <c r="AR353" s="95"/>
      <c r="AS353" s="92"/>
      <c r="AT353" s="96"/>
      <c r="AU353" s="93"/>
      <c r="AV353" s="97"/>
      <c r="AW353" s="98"/>
      <c r="AX353" s="99"/>
      <c r="AY353" s="92"/>
      <c r="AZ353" s="96"/>
      <c r="BA353" s="100"/>
    </row>
    <row r="354" spans="28:53" ht="12.75" x14ac:dyDescent="0.2">
      <c r="AB354" s="70"/>
      <c r="AO354" s="70"/>
      <c r="AP354" s="93"/>
      <c r="AQ354" s="94"/>
      <c r="AR354" s="95"/>
      <c r="AS354" s="92"/>
      <c r="AT354" s="96"/>
      <c r="AU354" s="93"/>
      <c r="AV354" s="97"/>
      <c r="AW354" s="98"/>
      <c r="AX354" s="99"/>
      <c r="AY354" s="92"/>
      <c r="AZ354" s="96"/>
      <c r="BA354" s="100"/>
    </row>
    <row r="355" spans="28:53" ht="12.75" x14ac:dyDescent="0.2">
      <c r="AB355" s="70"/>
      <c r="AO355" s="70"/>
      <c r="AP355" s="93"/>
      <c r="AQ355" s="94"/>
      <c r="AR355" s="95"/>
      <c r="AS355" s="92"/>
      <c r="AT355" s="96"/>
      <c r="AU355" s="93"/>
      <c r="AV355" s="97"/>
      <c r="AW355" s="98"/>
      <c r="AX355" s="99"/>
      <c r="AY355" s="92"/>
      <c r="AZ355" s="96"/>
      <c r="BA355" s="100"/>
    </row>
    <row r="356" spans="28:53" ht="12.75" x14ac:dyDescent="0.2">
      <c r="AB356" s="70"/>
      <c r="AO356" s="70"/>
      <c r="AP356" s="93"/>
      <c r="AQ356" s="94"/>
      <c r="AR356" s="95"/>
      <c r="AS356" s="92"/>
      <c r="AT356" s="96"/>
      <c r="AU356" s="93"/>
      <c r="AV356" s="97"/>
      <c r="AW356" s="98"/>
      <c r="AX356" s="99"/>
      <c r="AY356" s="92"/>
      <c r="AZ356" s="96"/>
      <c r="BA356" s="100"/>
    </row>
    <row r="357" spans="28:53" ht="12.75" x14ac:dyDescent="0.2">
      <c r="AB357" s="70"/>
      <c r="AO357" s="70"/>
      <c r="AP357" s="93"/>
      <c r="AQ357" s="94"/>
      <c r="AR357" s="95"/>
      <c r="AS357" s="92"/>
      <c r="AT357" s="96"/>
      <c r="AU357" s="93"/>
      <c r="AV357" s="97"/>
      <c r="AW357" s="98"/>
      <c r="AX357" s="99"/>
      <c r="AY357" s="92"/>
      <c r="AZ357" s="96"/>
      <c r="BA357" s="100"/>
    </row>
    <row r="358" spans="28:53" ht="12.75" x14ac:dyDescent="0.2">
      <c r="AB358" s="70"/>
      <c r="AO358" s="70"/>
      <c r="AP358" s="93"/>
      <c r="AQ358" s="94"/>
      <c r="AR358" s="95"/>
      <c r="AS358" s="92"/>
      <c r="AT358" s="96"/>
      <c r="AU358" s="93"/>
      <c r="AV358" s="97"/>
      <c r="AW358" s="98"/>
      <c r="AX358" s="99"/>
      <c r="AY358" s="92"/>
      <c r="AZ358" s="96"/>
      <c r="BA358" s="100"/>
    </row>
    <row r="359" spans="28:53" ht="12.75" x14ac:dyDescent="0.2">
      <c r="AB359" s="70"/>
      <c r="AO359" s="70"/>
      <c r="AP359" s="93"/>
      <c r="AQ359" s="94"/>
      <c r="AR359" s="95"/>
      <c r="AS359" s="92"/>
      <c r="AT359" s="96"/>
      <c r="AU359" s="93"/>
      <c r="AV359" s="97"/>
      <c r="AW359" s="98"/>
      <c r="AX359" s="99"/>
      <c r="AY359" s="92"/>
      <c r="AZ359" s="96"/>
      <c r="BA359" s="100"/>
    </row>
    <row r="360" spans="28:53" ht="12.75" x14ac:dyDescent="0.2">
      <c r="AB360" s="70"/>
      <c r="AO360" s="70"/>
      <c r="AP360" s="93"/>
      <c r="AQ360" s="94"/>
      <c r="AR360" s="95"/>
      <c r="AS360" s="92"/>
      <c r="AT360" s="96"/>
      <c r="AU360" s="93"/>
      <c r="AV360" s="97"/>
      <c r="AW360" s="98"/>
      <c r="AX360" s="99"/>
      <c r="AY360" s="92"/>
      <c r="AZ360" s="96"/>
      <c r="BA360" s="100"/>
    </row>
    <row r="361" spans="28:53" ht="12.75" x14ac:dyDescent="0.2">
      <c r="AB361" s="70"/>
      <c r="AO361" s="70"/>
      <c r="AP361" s="93"/>
      <c r="AQ361" s="94"/>
      <c r="AR361" s="95"/>
      <c r="AS361" s="92"/>
      <c r="AT361" s="96"/>
      <c r="AU361" s="93"/>
      <c r="AV361" s="97"/>
      <c r="AW361" s="98"/>
      <c r="AX361" s="99"/>
      <c r="AY361" s="92"/>
      <c r="AZ361" s="96"/>
      <c r="BA361" s="100"/>
    </row>
    <row r="362" spans="28:53" ht="12.75" x14ac:dyDescent="0.2">
      <c r="AB362" s="70"/>
      <c r="AO362" s="70"/>
      <c r="AP362" s="93"/>
      <c r="AQ362" s="94"/>
      <c r="AR362" s="95"/>
      <c r="AS362" s="92"/>
      <c r="AT362" s="96"/>
      <c r="AU362" s="93"/>
      <c r="AV362" s="97"/>
      <c r="AW362" s="98"/>
      <c r="AX362" s="99"/>
      <c r="AY362" s="92"/>
      <c r="AZ362" s="96"/>
      <c r="BA362" s="100"/>
    </row>
    <row r="363" spans="28:53" ht="12.75" x14ac:dyDescent="0.2">
      <c r="AB363" s="70"/>
      <c r="AO363" s="70"/>
      <c r="AP363" s="93"/>
      <c r="AQ363" s="94"/>
      <c r="AR363" s="95"/>
      <c r="AS363" s="92"/>
      <c r="AT363" s="96"/>
      <c r="AU363" s="93"/>
      <c r="AV363" s="97"/>
      <c r="AW363" s="98"/>
      <c r="AX363" s="99"/>
      <c r="AY363" s="92"/>
      <c r="AZ363" s="96"/>
      <c r="BA363" s="100"/>
    </row>
    <row r="364" spans="28:53" ht="12.75" x14ac:dyDescent="0.2">
      <c r="AB364" s="70"/>
      <c r="AO364" s="70"/>
      <c r="AP364" s="93"/>
      <c r="AQ364" s="94"/>
      <c r="AR364" s="95"/>
      <c r="AS364" s="92"/>
      <c r="AT364" s="96"/>
      <c r="AU364" s="93"/>
      <c r="AV364" s="97"/>
      <c r="AW364" s="98"/>
      <c r="AX364" s="99"/>
      <c r="AY364" s="92"/>
      <c r="AZ364" s="96"/>
      <c r="BA364" s="100"/>
    </row>
    <row r="365" spans="28:53" ht="12.75" x14ac:dyDescent="0.2">
      <c r="AB365" s="70"/>
      <c r="AO365" s="70"/>
      <c r="AP365" s="93"/>
      <c r="AQ365" s="94"/>
      <c r="AR365" s="95"/>
      <c r="AS365" s="92"/>
      <c r="AT365" s="96"/>
      <c r="AU365" s="93"/>
      <c r="AV365" s="97"/>
      <c r="AW365" s="98"/>
      <c r="AX365" s="99"/>
      <c r="AY365" s="92"/>
      <c r="AZ365" s="96"/>
      <c r="BA365" s="100"/>
    </row>
    <row r="366" spans="28:53" ht="12.75" x14ac:dyDescent="0.2">
      <c r="AB366" s="70"/>
      <c r="AO366" s="70"/>
      <c r="AP366" s="93"/>
      <c r="AQ366" s="94"/>
      <c r="AR366" s="95"/>
      <c r="AS366" s="92"/>
      <c r="AT366" s="96"/>
      <c r="AU366" s="93"/>
      <c r="AV366" s="97"/>
      <c r="AW366" s="98"/>
      <c r="AX366" s="99"/>
      <c r="AY366" s="92"/>
      <c r="AZ366" s="96"/>
      <c r="BA366" s="100"/>
    </row>
    <row r="367" spans="28:53" ht="12.75" x14ac:dyDescent="0.2">
      <c r="AB367" s="70"/>
      <c r="AO367" s="70"/>
      <c r="AP367" s="93"/>
      <c r="AQ367" s="94"/>
      <c r="AR367" s="95"/>
      <c r="AS367" s="92"/>
      <c r="AT367" s="96"/>
      <c r="AU367" s="93"/>
      <c r="AV367" s="97"/>
      <c r="AW367" s="98"/>
      <c r="AX367" s="99"/>
      <c r="AY367" s="92"/>
      <c r="AZ367" s="96"/>
      <c r="BA367" s="100"/>
    </row>
    <row r="368" spans="28:53" ht="12.75" x14ac:dyDescent="0.2">
      <c r="AB368" s="70"/>
      <c r="AO368" s="70"/>
      <c r="AP368" s="93"/>
      <c r="AQ368" s="94"/>
      <c r="AR368" s="95"/>
      <c r="AS368" s="92"/>
      <c r="AT368" s="96"/>
      <c r="AU368" s="93"/>
      <c r="AV368" s="97"/>
      <c r="AW368" s="98"/>
      <c r="AX368" s="99"/>
      <c r="AY368" s="92"/>
      <c r="AZ368" s="96"/>
      <c r="BA368" s="100"/>
    </row>
    <row r="369" spans="28:53" ht="12.75" x14ac:dyDescent="0.2">
      <c r="AB369" s="70"/>
      <c r="AO369" s="70"/>
      <c r="AP369" s="93"/>
      <c r="AQ369" s="94"/>
      <c r="AR369" s="95"/>
      <c r="AS369" s="92"/>
      <c r="AT369" s="96"/>
      <c r="AU369" s="93"/>
      <c r="AV369" s="97"/>
      <c r="AW369" s="98"/>
      <c r="AX369" s="99"/>
      <c r="AY369" s="92"/>
      <c r="AZ369" s="96"/>
      <c r="BA369" s="100"/>
    </row>
    <row r="370" spans="28:53" ht="12.75" x14ac:dyDescent="0.2">
      <c r="AB370" s="70"/>
      <c r="AO370" s="70"/>
      <c r="AP370" s="93"/>
      <c r="AQ370" s="94"/>
      <c r="AR370" s="95"/>
      <c r="AS370" s="92"/>
      <c r="AT370" s="96"/>
      <c r="AU370" s="93"/>
      <c r="AV370" s="97"/>
      <c r="AW370" s="98"/>
      <c r="AX370" s="99"/>
      <c r="AY370" s="92"/>
      <c r="AZ370" s="96"/>
      <c r="BA370" s="100"/>
    </row>
    <row r="371" spans="28:53" ht="12.75" x14ac:dyDescent="0.2">
      <c r="AB371" s="70"/>
      <c r="AO371" s="70"/>
      <c r="AP371" s="93"/>
      <c r="AQ371" s="94"/>
      <c r="AR371" s="95"/>
      <c r="AS371" s="92"/>
      <c r="AT371" s="96"/>
      <c r="AU371" s="93"/>
      <c r="AV371" s="97"/>
      <c r="AW371" s="98"/>
      <c r="AX371" s="99"/>
      <c r="AY371" s="92"/>
      <c r="AZ371" s="96"/>
      <c r="BA371" s="100"/>
    </row>
    <row r="372" spans="28:53" ht="12.75" x14ac:dyDescent="0.2">
      <c r="AB372" s="70"/>
      <c r="AO372" s="70"/>
      <c r="AP372" s="93"/>
      <c r="AQ372" s="94"/>
      <c r="AR372" s="95"/>
      <c r="AS372" s="92"/>
      <c r="AT372" s="96"/>
      <c r="AU372" s="93"/>
      <c r="AV372" s="97"/>
      <c r="AW372" s="98"/>
      <c r="AX372" s="99"/>
      <c r="AY372" s="92"/>
      <c r="AZ372" s="96"/>
      <c r="BA372" s="100"/>
    </row>
    <row r="373" spans="28:53" ht="12.75" x14ac:dyDescent="0.2">
      <c r="AB373" s="70"/>
      <c r="AO373" s="70"/>
      <c r="AP373" s="93"/>
      <c r="AQ373" s="94"/>
      <c r="AR373" s="95"/>
      <c r="AS373" s="92"/>
      <c r="AT373" s="96"/>
      <c r="AU373" s="93"/>
      <c r="AV373" s="97"/>
      <c r="AW373" s="98"/>
      <c r="AX373" s="99"/>
      <c r="AY373" s="92"/>
      <c r="AZ373" s="96"/>
      <c r="BA373" s="100"/>
    </row>
    <row r="374" spans="28:53" ht="12.75" x14ac:dyDescent="0.2">
      <c r="AB374" s="70"/>
      <c r="AO374" s="70"/>
      <c r="AP374" s="93"/>
      <c r="AQ374" s="94"/>
      <c r="AR374" s="95"/>
      <c r="AS374" s="92"/>
      <c r="AT374" s="96"/>
      <c r="AU374" s="93"/>
      <c r="AV374" s="97"/>
      <c r="AW374" s="98"/>
      <c r="AX374" s="99"/>
      <c r="AY374" s="92"/>
      <c r="AZ374" s="96"/>
      <c r="BA374" s="100"/>
    </row>
    <row r="375" spans="28:53" ht="12.75" x14ac:dyDescent="0.2">
      <c r="AB375" s="70"/>
      <c r="AO375" s="70"/>
      <c r="AP375" s="93"/>
      <c r="AQ375" s="94"/>
      <c r="AR375" s="95"/>
      <c r="AS375" s="92"/>
      <c r="AT375" s="96"/>
      <c r="AU375" s="93"/>
      <c r="AV375" s="97"/>
      <c r="AW375" s="98"/>
      <c r="AX375" s="99"/>
      <c r="AY375" s="92"/>
      <c r="AZ375" s="96"/>
      <c r="BA375" s="100"/>
    </row>
    <row r="376" spans="28:53" ht="12.75" x14ac:dyDescent="0.2">
      <c r="AB376" s="70"/>
      <c r="AO376" s="70"/>
      <c r="AP376" s="93"/>
      <c r="AQ376" s="94"/>
      <c r="AR376" s="95"/>
      <c r="AS376" s="92"/>
      <c r="AT376" s="96"/>
      <c r="AU376" s="93"/>
      <c r="AV376" s="97"/>
      <c r="AW376" s="98"/>
      <c r="AX376" s="99"/>
      <c r="AY376" s="92"/>
      <c r="AZ376" s="96"/>
      <c r="BA376" s="100"/>
    </row>
    <row r="377" spans="28:53" ht="12.75" x14ac:dyDescent="0.2">
      <c r="AB377" s="70"/>
      <c r="AO377" s="70"/>
      <c r="AP377" s="93"/>
      <c r="AQ377" s="94"/>
      <c r="AR377" s="95"/>
      <c r="AS377" s="92"/>
      <c r="AT377" s="96"/>
      <c r="AU377" s="93"/>
      <c r="AV377" s="97"/>
      <c r="AW377" s="98"/>
      <c r="AX377" s="99"/>
      <c r="AY377" s="92"/>
      <c r="AZ377" s="96"/>
      <c r="BA377" s="100"/>
    </row>
    <row r="378" spans="28:53" ht="12.75" x14ac:dyDescent="0.2">
      <c r="AB378" s="70"/>
      <c r="AO378" s="70"/>
      <c r="AP378" s="93"/>
      <c r="AQ378" s="94"/>
      <c r="AR378" s="95"/>
      <c r="AS378" s="92"/>
      <c r="AT378" s="96"/>
      <c r="AU378" s="93"/>
      <c r="AV378" s="97"/>
      <c r="AW378" s="98"/>
      <c r="AX378" s="99"/>
      <c r="AY378" s="92"/>
      <c r="AZ378" s="96"/>
      <c r="BA378" s="100"/>
    </row>
    <row r="379" spans="28:53" ht="12.75" x14ac:dyDescent="0.2">
      <c r="AB379" s="70"/>
      <c r="AO379" s="70"/>
      <c r="AP379" s="93"/>
      <c r="AQ379" s="94"/>
      <c r="AR379" s="95"/>
      <c r="AS379" s="92"/>
      <c r="AT379" s="96"/>
      <c r="AU379" s="93"/>
      <c r="AV379" s="97"/>
      <c r="AW379" s="98"/>
      <c r="AX379" s="99"/>
      <c r="AY379" s="92"/>
      <c r="AZ379" s="96"/>
      <c r="BA379" s="100"/>
    </row>
    <row r="380" spans="28:53" ht="12.75" x14ac:dyDescent="0.2">
      <c r="AB380" s="70"/>
      <c r="AO380" s="70"/>
      <c r="AP380" s="93"/>
      <c r="AQ380" s="94"/>
      <c r="AR380" s="95"/>
      <c r="AS380" s="92"/>
      <c r="AT380" s="96"/>
      <c r="AU380" s="93"/>
      <c r="AV380" s="97"/>
      <c r="AW380" s="98"/>
      <c r="AX380" s="99"/>
      <c r="AY380" s="92"/>
      <c r="AZ380" s="96"/>
      <c r="BA380" s="100"/>
    </row>
    <row r="381" spans="28:53" ht="12.75" x14ac:dyDescent="0.2">
      <c r="AB381" s="70"/>
      <c r="AO381" s="70"/>
      <c r="AP381" s="93"/>
      <c r="AQ381" s="94"/>
      <c r="AR381" s="95"/>
      <c r="AS381" s="92"/>
      <c r="AT381" s="96"/>
      <c r="AU381" s="93"/>
      <c r="AV381" s="97"/>
      <c r="AW381" s="98"/>
      <c r="AX381" s="99"/>
      <c r="AY381" s="92"/>
      <c r="AZ381" s="96"/>
      <c r="BA381" s="100"/>
    </row>
    <row r="382" spans="28:53" ht="12.75" x14ac:dyDescent="0.2">
      <c r="AB382" s="70"/>
      <c r="AO382" s="70"/>
      <c r="AP382" s="93"/>
      <c r="AQ382" s="94"/>
      <c r="AR382" s="95"/>
      <c r="AS382" s="92"/>
      <c r="AT382" s="96"/>
      <c r="AU382" s="93"/>
      <c r="AV382" s="97"/>
      <c r="AW382" s="98"/>
      <c r="AX382" s="99"/>
      <c r="AY382" s="92"/>
      <c r="AZ382" s="96"/>
      <c r="BA382" s="100"/>
    </row>
    <row r="383" spans="28:53" ht="12.75" x14ac:dyDescent="0.2">
      <c r="AB383" s="70"/>
      <c r="AO383" s="70"/>
      <c r="AP383" s="93"/>
      <c r="AQ383" s="94"/>
      <c r="AR383" s="95"/>
      <c r="AS383" s="92"/>
      <c r="AT383" s="96"/>
      <c r="AU383" s="93"/>
      <c r="AV383" s="97"/>
      <c r="AW383" s="98"/>
      <c r="AX383" s="99"/>
      <c r="AY383" s="92"/>
      <c r="AZ383" s="96"/>
      <c r="BA383" s="100"/>
    </row>
    <row r="384" spans="28:53" ht="12.75" x14ac:dyDescent="0.2">
      <c r="AB384" s="70"/>
      <c r="AO384" s="70"/>
      <c r="AP384" s="93"/>
      <c r="AQ384" s="94"/>
      <c r="AR384" s="95"/>
      <c r="AS384" s="92"/>
      <c r="AT384" s="96"/>
      <c r="AU384" s="93"/>
      <c r="AV384" s="97"/>
      <c r="AW384" s="98"/>
      <c r="AX384" s="99"/>
      <c r="AY384" s="92"/>
      <c r="AZ384" s="96"/>
      <c r="BA384" s="100"/>
    </row>
    <row r="385" spans="28:53" ht="12.75" x14ac:dyDescent="0.2">
      <c r="AB385" s="70"/>
      <c r="AO385" s="70"/>
      <c r="AP385" s="93"/>
      <c r="AQ385" s="94"/>
      <c r="AR385" s="95"/>
      <c r="AS385" s="92"/>
      <c r="AT385" s="96"/>
      <c r="AU385" s="93"/>
      <c r="AV385" s="97"/>
      <c r="AW385" s="98"/>
      <c r="AX385" s="99"/>
      <c r="AY385" s="92"/>
      <c r="AZ385" s="96"/>
      <c r="BA385" s="100"/>
    </row>
    <row r="386" spans="28:53" ht="12.75" x14ac:dyDescent="0.2">
      <c r="AB386" s="70"/>
      <c r="AO386" s="70"/>
      <c r="AP386" s="93"/>
      <c r="AQ386" s="94"/>
      <c r="AR386" s="95"/>
      <c r="AS386" s="92"/>
      <c r="AT386" s="96"/>
      <c r="AU386" s="93"/>
      <c r="AV386" s="97"/>
      <c r="AW386" s="98"/>
      <c r="AX386" s="99"/>
      <c r="AY386" s="92"/>
      <c r="AZ386" s="96"/>
      <c r="BA386" s="100"/>
    </row>
    <row r="387" spans="28:53" ht="12.75" x14ac:dyDescent="0.2">
      <c r="AB387" s="70"/>
      <c r="AO387" s="70"/>
      <c r="AP387" s="93"/>
      <c r="AQ387" s="94"/>
      <c r="AR387" s="95"/>
      <c r="AS387" s="92"/>
      <c r="AT387" s="96"/>
      <c r="AU387" s="93"/>
      <c r="AV387" s="97"/>
      <c r="AW387" s="98"/>
      <c r="AX387" s="99"/>
      <c r="AY387" s="92"/>
      <c r="AZ387" s="96"/>
      <c r="BA387" s="100"/>
    </row>
    <row r="388" spans="28:53" ht="12.75" x14ac:dyDescent="0.2">
      <c r="AB388" s="70"/>
      <c r="AO388" s="70"/>
      <c r="AP388" s="93"/>
      <c r="AQ388" s="94"/>
      <c r="AR388" s="95"/>
      <c r="AS388" s="92"/>
      <c r="AT388" s="96"/>
      <c r="AU388" s="93"/>
      <c r="AV388" s="97"/>
      <c r="AW388" s="98"/>
      <c r="AX388" s="99"/>
      <c r="AY388" s="92"/>
      <c r="AZ388" s="96"/>
      <c r="BA388" s="100"/>
    </row>
    <row r="389" spans="28:53" ht="12.75" x14ac:dyDescent="0.2">
      <c r="AB389" s="70"/>
      <c r="AO389" s="70"/>
      <c r="AP389" s="93"/>
      <c r="AQ389" s="94"/>
      <c r="AR389" s="95"/>
      <c r="AS389" s="92"/>
      <c r="AT389" s="96"/>
      <c r="AU389" s="93"/>
      <c r="AV389" s="97"/>
      <c r="AW389" s="98"/>
      <c r="AX389" s="99"/>
      <c r="AY389" s="92"/>
      <c r="AZ389" s="96"/>
      <c r="BA389" s="100"/>
    </row>
    <row r="390" spans="28:53" ht="12.75" x14ac:dyDescent="0.2">
      <c r="AB390" s="70"/>
      <c r="AO390" s="70"/>
      <c r="AP390" s="93"/>
      <c r="AQ390" s="94"/>
      <c r="AR390" s="95"/>
      <c r="AS390" s="92"/>
      <c r="AT390" s="96"/>
      <c r="AU390" s="93"/>
      <c r="AV390" s="97"/>
      <c r="AW390" s="98"/>
      <c r="AX390" s="99"/>
      <c r="AY390" s="92"/>
      <c r="AZ390" s="96"/>
      <c r="BA390" s="100"/>
    </row>
    <row r="391" spans="28:53" ht="12.75" x14ac:dyDescent="0.2">
      <c r="AB391" s="70"/>
      <c r="AO391" s="70"/>
      <c r="AP391" s="93"/>
      <c r="AQ391" s="94"/>
      <c r="AR391" s="95"/>
      <c r="AS391" s="92"/>
      <c r="AT391" s="96"/>
      <c r="AU391" s="93"/>
      <c r="AV391" s="97"/>
      <c r="AW391" s="98"/>
      <c r="AX391" s="99"/>
      <c r="AY391" s="92"/>
      <c r="AZ391" s="96"/>
      <c r="BA391" s="100"/>
    </row>
    <row r="392" spans="28:53" ht="12.75" x14ac:dyDescent="0.2">
      <c r="AB392" s="70"/>
      <c r="AO392" s="70"/>
      <c r="AP392" s="93"/>
      <c r="AQ392" s="94"/>
      <c r="AR392" s="95"/>
      <c r="AS392" s="92"/>
      <c r="AT392" s="96"/>
      <c r="AU392" s="93"/>
      <c r="AV392" s="97"/>
      <c r="AW392" s="98"/>
      <c r="AX392" s="99"/>
      <c r="AY392" s="92"/>
      <c r="AZ392" s="96"/>
      <c r="BA392" s="100"/>
    </row>
    <row r="393" spans="28:53" ht="12.75" x14ac:dyDescent="0.2">
      <c r="AB393" s="70"/>
      <c r="AO393" s="70"/>
      <c r="AP393" s="93"/>
      <c r="AQ393" s="94"/>
      <c r="AR393" s="95"/>
      <c r="AS393" s="92"/>
      <c r="AT393" s="96"/>
      <c r="AU393" s="93"/>
      <c r="AV393" s="97"/>
      <c r="AW393" s="98"/>
      <c r="AX393" s="99"/>
      <c r="AY393" s="92"/>
      <c r="AZ393" s="96"/>
      <c r="BA393" s="100"/>
    </row>
    <row r="394" spans="28:53" ht="12.75" x14ac:dyDescent="0.2">
      <c r="AB394" s="70"/>
      <c r="AO394" s="70"/>
      <c r="AP394" s="93"/>
      <c r="AQ394" s="94"/>
      <c r="AR394" s="95"/>
      <c r="AS394" s="92"/>
      <c r="AT394" s="96"/>
      <c r="AU394" s="93"/>
      <c r="AV394" s="97"/>
      <c r="AW394" s="98"/>
      <c r="AX394" s="99"/>
      <c r="AY394" s="92"/>
      <c r="AZ394" s="96"/>
      <c r="BA394" s="100"/>
    </row>
    <row r="395" spans="28:53" ht="12.75" x14ac:dyDescent="0.2">
      <c r="AB395" s="70"/>
      <c r="AO395" s="70"/>
      <c r="AP395" s="93"/>
      <c r="AQ395" s="94"/>
      <c r="AR395" s="95"/>
      <c r="AS395" s="92"/>
      <c r="AT395" s="96"/>
      <c r="AU395" s="93"/>
      <c r="AV395" s="97"/>
      <c r="AW395" s="98"/>
      <c r="AX395" s="99"/>
      <c r="AY395" s="92"/>
      <c r="AZ395" s="96"/>
      <c r="BA395" s="100"/>
    </row>
    <row r="396" spans="28:53" ht="12.75" x14ac:dyDescent="0.2">
      <c r="AB396" s="70"/>
      <c r="AO396" s="70"/>
      <c r="AP396" s="93"/>
      <c r="AQ396" s="94"/>
      <c r="AR396" s="95"/>
      <c r="AS396" s="92"/>
      <c r="AT396" s="96"/>
      <c r="AU396" s="93"/>
      <c r="AV396" s="97"/>
      <c r="AW396" s="98"/>
      <c r="AX396" s="99"/>
      <c r="AY396" s="92"/>
      <c r="AZ396" s="96"/>
      <c r="BA396" s="100"/>
    </row>
    <row r="397" spans="28:53" ht="12.75" x14ac:dyDescent="0.2">
      <c r="AB397" s="70"/>
      <c r="AO397" s="70"/>
      <c r="AP397" s="93"/>
      <c r="AQ397" s="94"/>
      <c r="AR397" s="95"/>
      <c r="AS397" s="92"/>
      <c r="AT397" s="96"/>
      <c r="AU397" s="93"/>
      <c r="AV397" s="97"/>
      <c r="AW397" s="98"/>
      <c r="AX397" s="99"/>
      <c r="AY397" s="92"/>
      <c r="AZ397" s="96"/>
      <c r="BA397" s="100"/>
    </row>
    <row r="398" spans="28:53" ht="12.75" x14ac:dyDescent="0.2">
      <c r="AB398" s="70"/>
      <c r="AO398" s="70"/>
      <c r="AP398" s="93"/>
      <c r="AQ398" s="94"/>
      <c r="AR398" s="95"/>
      <c r="AS398" s="92"/>
      <c r="AT398" s="96"/>
      <c r="AU398" s="93"/>
      <c r="AV398" s="97"/>
      <c r="AW398" s="98"/>
      <c r="AX398" s="99"/>
      <c r="AY398" s="92"/>
      <c r="AZ398" s="96"/>
      <c r="BA398" s="100"/>
    </row>
    <row r="399" spans="28:53" ht="12.75" x14ac:dyDescent="0.2">
      <c r="AB399" s="70"/>
      <c r="AO399" s="70"/>
      <c r="AP399" s="93"/>
      <c r="AQ399" s="94"/>
      <c r="AR399" s="95"/>
      <c r="AS399" s="92"/>
      <c r="AT399" s="96"/>
      <c r="AU399" s="93"/>
      <c r="AV399" s="97"/>
      <c r="AW399" s="98"/>
      <c r="AX399" s="99"/>
      <c r="AY399" s="92"/>
      <c r="AZ399" s="96"/>
      <c r="BA399" s="100"/>
    </row>
    <row r="400" spans="28:53" ht="12.75" x14ac:dyDescent="0.2">
      <c r="AB400" s="70"/>
      <c r="AO400" s="70"/>
      <c r="AP400" s="93"/>
      <c r="AQ400" s="94"/>
      <c r="AR400" s="95"/>
      <c r="AS400" s="92"/>
      <c r="AT400" s="96"/>
      <c r="AU400" s="93"/>
      <c r="AV400" s="97"/>
      <c r="AW400" s="98"/>
      <c r="AX400" s="99"/>
      <c r="AY400" s="92"/>
      <c r="AZ400" s="96"/>
      <c r="BA400" s="100"/>
    </row>
    <row r="401" spans="28:53" ht="12.75" x14ac:dyDescent="0.2">
      <c r="AB401" s="70"/>
      <c r="AO401" s="70"/>
      <c r="AP401" s="93"/>
      <c r="AQ401" s="94"/>
      <c r="AR401" s="95"/>
      <c r="AS401" s="92"/>
      <c r="AT401" s="96"/>
      <c r="AU401" s="93"/>
      <c r="AV401" s="97"/>
      <c r="AW401" s="98"/>
      <c r="AX401" s="99"/>
      <c r="AY401" s="92"/>
      <c r="AZ401" s="96"/>
      <c r="BA401" s="100"/>
    </row>
    <row r="402" spans="28:53" ht="12.75" x14ac:dyDescent="0.2">
      <c r="AB402" s="70"/>
      <c r="AO402" s="70"/>
      <c r="AP402" s="93"/>
      <c r="AQ402" s="94"/>
      <c r="AR402" s="95"/>
      <c r="AS402" s="92"/>
      <c r="AT402" s="96"/>
      <c r="AU402" s="93"/>
      <c r="AV402" s="97"/>
      <c r="AW402" s="98"/>
      <c r="AX402" s="99"/>
      <c r="AY402" s="92"/>
      <c r="AZ402" s="96"/>
      <c r="BA402" s="100"/>
    </row>
    <row r="403" spans="28:53" ht="12.75" x14ac:dyDescent="0.2">
      <c r="AB403" s="70"/>
      <c r="AO403" s="70"/>
      <c r="AP403" s="93"/>
      <c r="AQ403" s="94"/>
      <c r="AR403" s="95"/>
      <c r="AS403" s="92"/>
      <c r="AT403" s="96"/>
      <c r="AU403" s="93"/>
      <c r="AV403" s="97"/>
      <c r="AW403" s="98"/>
      <c r="AX403" s="99"/>
      <c r="AY403" s="92"/>
      <c r="AZ403" s="96"/>
      <c r="BA403" s="100"/>
    </row>
    <row r="404" spans="28:53" ht="12.75" x14ac:dyDescent="0.2">
      <c r="AB404" s="70"/>
      <c r="AO404" s="70"/>
      <c r="AP404" s="93"/>
      <c r="AQ404" s="94"/>
      <c r="AR404" s="95"/>
      <c r="AS404" s="92"/>
      <c r="AT404" s="96"/>
      <c r="AU404" s="93"/>
      <c r="AV404" s="97"/>
      <c r="AW404" s="98"/>
      <c r="AX404" s="99"/>
      <c r="AY404" s="92"/>
      <c r="AZ404" s="96"/>
      <c r="BA404" s="100"/>
    </row>
    <row r="405" spans="28:53" ht="12.75" x14ac:dyDescent="0.2">
      <c r="AB405" s="70"/>
      <c r="AO405" s="70"/>
      <c r="AP405" s="93"/>
      <c r="AQ405" s="94"/>
      <c r="AR405" s="95"/>
      <c r="AS405" s="92"/>
      <c r="AT405" s="96"/>
      <c r="AU405" s="93"/>
      <c r="AV405" s="97"/>
      <c r="AW405" s="98"/>
      <c r="AX405" s="99"/>
      <c r="AY405" s="92"/>
      <c r="AZ405" s="96"/>
      <c r="BA405" s="100"/>
    </row>
    <row r="406" spans="28:53" ht="12.75" x14ac:dyDescent="0.2">
      <c r="AB406" s="70"/>
      <c r="AO406" s="70"/>
      <c r="AP406" s="93"/>
      <c r="AQ406" s="94"/>
      <c r="AR406" s="95"/>
      <c r="AS406" s="92"/>
      <c r="AT406" s="96"/>
      <c r="AU406" s="93"/>
      <c r="AV406" s="97"/>
      <c r="AW406" s="98"/>
      <c r="AX406" s="99"/>
      <c r="AY406" s="92"/>
      <c r="AZ406" s="96"/>
      <c r="BA406" s="100"/>
    </row>
    <row r="407" spans="28:53" ht="12.75" x14ac:dyDescent="0.2">
      <c r="AB407" s="70"/>
      <c r="AO407" s="70"/>
      <c r="AP407" s="93"/>
      <c r="AQ407" s="94"/>
      <c r="AR407" s="95"/>
      <c r="AS407" s="92"/>
      <c r="AT407" s="96"/>
      <c r="AU407" s="93"/>
      <c r="AV407" s="97"/>
      <c r="AW407" s="98"/>
      <c r="AX407" s="99"/>
      <c r="AY407" s="92"/>
      <c r="AZ407" s="96"/>
      <c r="BA407" s="100"/>
    </row>
    <row r="408" spans="28:53" ht="12.75" x14ac:dyDescent="0.2">
      <c r="AB408" s="70"/>
      <c r="AO408" s="70"/>
      <c r="AP408" s="93"/>
      <c r="AQ408" s="94"/>
      <c r="AR408" s="95"/>
      <c r="AS408" s="92"/>
      <c r="AT408" s="96"/>
      <c r="AU408" s="93"/>
      <c r="AV408" s="97"/>
      <c r="AW408" s="98"/>
      <c r="AX408" s="99"/>
      <c r="AY408" s="92"/>
      <c r="AZ408" s="96"/>
      <c r="BA408" s="100"/>
    </row>
    <row r="409" spans="28:53" ht="12.75" x14ac:dyDescent="0.2">
      <c r="AB409" s="70"/>
      <c r="AO409" s="70"/>
      <c r="AP409" s="93"/>
      <c r="AQ409" s="94"/>
      <c r="AR409" s="95"/>
      <c r="AS409" s="92"/>
      <c r="AT409" s="96"/>
      <c r="AU409" s="93"/>
      <c r="AV409" s="97"/>
      <c r="AW409" s="98"/>
      <c r="AX409" s="99"/>
      <c r="AY409" s="92"/>
      <c r="AZ409" s="96"/>
      <c r="BA409" s="100"/>
    </row>
    <row r="410" spans="28:53" ht="12.75" x14ac:dyDescent="0.2">
      <c r="AB410" s="70"/>
      <c r="AO410" s="70"/>
      <c r="AP410" s="93"/>
      <c r="AQ410" s="94"/>
      <c r="AR410" s="95"/>
      <c r="AS410" s="92"/>
      <c r="AT410" s="96"/>
      <c r="AU410" s="93"/>
      <c r="AV410" s="97"/>
      <c r="AW410" s="98"/>
      <c r="AX410" s="99"/>
      <c r="AY410" s="92"/>
      <c r="AZ410" s="96"/>
      <c r="BA410" s="100"/>
    </row>
    <row r="411" spans="28:53" ht="12.75" x14ac:dyDescent="0.2">
      <c r="AB411" s="70"/>
      <c r="AO411" s="70"/>
      <c r="AP411" s="93"/>
      <c r="AQ411" s="94"/>
      <c r="AR411" s="95"/>
      <c r="AS411" s="92"/>
      <c r="AT411" s="96"/>
      <c r="AU411" s="93"/>
      <c r="AV411" s="97"/>
      <c r="AW411" s="98"/>
      <c r="AX411" s="99"/>
      <c r="AY411" s="92"/>
      <c r="AZ411" s="96"/>
      <c r="BA411" s="100"/>
    </row>
    <row r="412" spans="28:53" ht="12.75" x14ac:dyDescent="0.2">
      <c r="AB412" s="70"/>
      <c r="AO412" s="70"/>
      <c r="AP412" s="93"/>
      <c r="AQ412" s="94"/>
      <c r="AR412" s="95"/>
      <c r="AS412" s="92"/>
      <c r="AT412" s="96"/>
      <c r="AU412" s="93"/>
      <c r="AV412" s="97"/>
      <c r="AW412" s="98"/>
      <c r="AX412" s="99"/>
      <c r="AY412" s="92"/>
      <c r="AZ412" s="96"/>
      <c r="BA412" s="100"/>
    </row>
    <row r="413" spans="28:53" ht="12.75" x14ac:dyDescent="0.2">
      <c r="AB413" s="70"/>
      <c r="AO413" s="70"/>
      <c r="AP413" s="93"/>
      <c r="AQ413" s="94"/>
      <c r="AR413" s="95"/>
      <c r="AS413" s="92"/>
      <c r="AT413" s="96"/>
      <c r="AU413" s="93"/>
      <c r="AV413" s="97"/>
      <c r="AW413" s="98"/>
      <c r="AX413" s="99"/>
      <c r="AY413" s="92"/>
      <c r="AZ413" s="96"/>
      <c r="BA413" s="100"/>
    </row>
    <row r="414" spans="28:53" ht="12.75" x14ac:dyDescent="0.2">
      <c r="AB414" s="70"/>
      <c r="AO414" s="70"/>
      <c r="AP414" s="93"/>
      <c r="AQ414" s="94"/>
      <c r="AR414" s="95"/>
      <c r="AS414" s="92"/>
      <c r="AT414" s="96"/>
      <c r="AU414" s="93"/>
      <c r="AV414" s="97"/>
      <c r="AW414" s="98"/>
      <c r="AX414" s="99"/>
      <c r="AY414" s="92"/>
      <c r="AZ414" s="96"/>
      <c r="BA414" s="100"/>
    </row>
    <row r="415" spans="28:53" ht="12.75" x14ac:dyDescent="0.2">
      <c r="AB415" s="70"/>
      <c r="AO415" s="70"/>
      <c r="AP415" s="93"/>
      <c r="AQ415" s="94"/>
      <c r="AR415" s="95"/>
      <c r="AS415" s="92"/>
      <c r="AT415" s="96"/>
      <c r="AU415" s="93"/>
      <c r="AV415" s="97"/>
      <c r="AW415" s="98"/>
      <c r="AX415" s="99"/>
      <c r="AY415" s="92"/>
      <c r="AZ415" s="96"/>
      <c r="BA415" s="100"/>
    </row>
    <row r="416" spans="28:53" ht="12.75" x14ac:dyDescent="0.2">
      <c r="AB416" s="70"/>
      <c r="AO416" s="70"/>
      <c r="AP416" s="93"/>
      <c r="AQ416" s="94"/>
      <c r="AR416" s="95"/>
      <c r="AS416" s="92"/>
      <c r="AT416" s="96"/>
      <c r="AU416" s="93"/>
      <c r="AV416" s="97"/>
      <c r="AW416" s="98"/>
      <c r="AX416" s="99"/>
      <c r="AY416" s="92"/>
      <c r="AZ416" s="96"/>
      <c r="BA416" s="100"/>
    </row>
    <row r="417" spans="28:53" ht="12.75" x14ac:dyDescent="0.2">
      <c r="AB417" s="70"/>
      <c r="AO417" s="70"/>
      <c r="AP417" s="93"/>
      <c r="AQ417" s="94"/>
      <c r="AR417" s="95"/>
      <c r="AS417" s="92"/>
      <c r="AT417" s="96"/>
      <c r="AU417" s="93"/>
      <c r="AV417" s="97"/>
      <c r="AW417" s="98"/>
      <c r="AX417" s="99"/>
      <c r="AY417" s="92"/>
      <c r="AZ417" s="96"/>
      <c r="BA417" s="100"/>
    </row>
    <row r="418" spans="28:53" ht="12.75" x14ac:dyDescent="0.2">
      <c r="AB418" s="70"/>
      <c r="AO418" s="70"/>
      <c r="AP418" s="93"/>
      <c r="AQ418" s="94"/>
      <c r="AR418" s="95"/>
      <c r="AS418" s="92"/>
      <c r="AT418" s="96"/>
      <c r="AU418" s="93"/>
      <c r="AV418" s="97"/>
      <c r="AW418" s="98"/>
      <c r="AX418" s="99"/>
      <c r="AY418" s="92"/>
      <c r="AZ418" s="96"/>
      <c r="BA418" s="100"/>
    </row>
    <row r="419" spans="28:53" ht="12.75" x14ac:dyDescent="0.2">
      <c r="AB419" s="70"/>
      <c r="AO419" s="70"/>
      <c r="AP419" s="93"/>
      <c r="AQ419" s="94"/>
      <c r="AR419" s="95"/>
      <c r="AS419" s="92"/>
      <c r="AT419" s="96"/>
      <c r="AU419" s="93"/>
      <c r="AV419" s="97"/>
      <c r="AW419" s="98"/>
      <c r="AX419" s="99"/>
      <c r="AY419" s="92"/>
      <c r="AZ419" s="96"/>
      <c r="BA419" s="100"/>
    </row>
    <row r="420" spans="28:53" ht="12.75" x14ac:dyDescent="0.2">
      <c r="AB420" s="70"/>
      <c r="AO420" s="70"/>
      <c r="AP420" s="93"/>
      <c r="AQ420" s="94"/>
      <c r="AR420" s="95"/>
      <c r="AS420" s="92"/>
      <c r="AT420" s="96"/>
      <c r="AU420" s="93"/>
      <c r="AV420" s="97"/>
      <c r="AW420" s="98"/>
      <c r="AX420" s="99"/>
      <c r="AY420" s="92"/>
      <c r="AZ420" s="96"/>
      <c r="BA420" s="100"/>
    </row>
    <row r="421" spans="28:53" ht="12.75" x14ac:dyDescent="0.2">
      <c r="AB421" s="70"/>
      <c r="AO421" s="70"/>
      <c r="AP421" s="93"/>
      <c r="AQ421" s="94"/>
      <c r="AR421" s="95"/>
      <c r="AS421" s="92"/>
      <c r="AT421" s="96"/>
      <c r="AU421" s="93"/>
      <c r="AV421" s="97"/>
      <c r="AW421" s="98"/>
      <c r="AX421" s="99"/>
      <c r="AY421" s="92"/>
      <c r="AZ421" s="96"/>
      <c r="BA421" s="100"/>
    </row>
    <row r="422" spans="28:53" ht="12.75" x14ac:dyDescent="0.2">
      <c r="AB422" s="70"/>
      <c r="AO422" s="70"/>
      <c r="AP422" s="93"/>
      <c r="AQ422" s="94"/>
      <c r="AR422" s="95"/>
      <c r="AS422" s="92"/>
      <c r="AT422" s="96"/>
      <c r="AU422" s="93"/>
      <c r="AV422" s="97"/>
      <c r="AW422" s="98"/>
      <c r="AX422" s="99"/>
      <c r="AY422" s="92"/>
      <c r="AZ422" s="96"/>
      <c r="BA422" s="100"/>
    </row>
    <row r="423" spans="28:53" ht="12.75" x14ac:dyDescent="0.2">
      <c r="AB423" s="70"/>
      <c r="AO423" s="70"/>
      <c r="AP423" s="93"/>
      <c r="AQ423" s="94"/>
      <c r="AR423" s="95"/>
      <c r="AS423" s="92"/>
      <c r="AT423" s="96"/>
      <c r="AU423" s="93"/>
      <c r="AV423" s="97"/>
      <c r="AW423" s="98"/>
      <c r="AX423" s="99"/>
      <c r="AY423" s="92"/>
      <c r="AZ423" s="96"/>
      <c r="BA423" s="100"/>
    </row>
    <row r="424" spans="28:53" ht="12.75" x14ac:dyDescent="0.2">
      <c r="AB424" s="70"/>
      <c r="AO424" s="70"/>
      <c r="AP424" s="93"/>
      <c r="AQ424" s="94"/>
      <c r="AR424" s="95"/>
      <c r="AS424" s="92"/>
      <c r="AT424" s="96"/>
      <c r="AU424" s="93"/>
      <c r="AV424" s="97"/>
      <c r="AW424" s="98"/>
      <c r="AX424" s="99"/>
      <c r="AY424" s="92"/>
      <c r="AZ424" s="96"/>
      <c r="BA424" s="100"/>
    </row>
    <row r="425" spans="28:53" ht="12.75" x14ac:dyDescent="0.2">
      <c r="AB425" s="70"/>
      <c r="AO425" s="70"/>
      <c r="AP425" s="93"/>
      <c r="AQ425" s="94"/>
      <c r="AR425" s="95"/>
      <c r="AS425" s="92"/>
      <c r="AT425" s="96"/>
      <c r="AU425" s="93"/>
      <c r="AV425" s="97"/>
      <c r="AW425" s="98"/>
      <c r="AX425" s="99"/>
      <c r="AY425" s="92"/>
      <c r="AZ425" s="96"/>
      <c r="BA425" s="100"/>
    </row>
    <row r="426" spans="28:53" ht="12.75" x14ac:dyDescent="0.2">
      <c r="AB426" s="70"/>
      <c r="AO426" s="70"/>
      <c r="AP426" s="93"/>
      <c r="AQ426" s="94"/>
      <c r="AR426" s="95"/>
      <c r="AS426" s="92"/>
      <c r="AT426" s="96"/>
      <c r="AU426" s="93"/>
      <c r="AV426" s="97"/>
      <c r="AW426" s="98"/>
      <c r="AX426" s="99"/>
      <c r="AY426" s="92"/>
      <c r="AZ426" s="96"/>
      <c r="BA426" s="100"/>
    </row>
    <row r="427" spans="28:53" ht="12.75" x14ac:dyDescent="0.2">
      <c r="AB427" s="70"/>
      <c r="AO427" s="70"/>
      <c r="AP427" s="93"/>
      <c r="AQ427" s="94"/>
      <c r="AR427" s="95"/>
      <c r="AS427" s="92"/>
      <c r="AT427" s="96"/>
      <c r="AU427" s="93"/>
      <c r="AV427" s="97"/>
      <c r="AW427" s="98"/>
      <c r="AX427" s="99"/>
      <c r="AY427" s="92"/>
      <c r="AZ427" s="96"/>
      <c r="BA427" s="100"/>
    </row>
    <row r="428" spans="28:53" ht="12.75" x14ac:dyDescent="0.2">
      <c r="AB428" s="70"/>
      <c r="AO428" s="70"/>
      <c r="AP428" s="93"/>
      <c r="AQ428" s="94"/>
      <c r="AR428" s="95"/>
      <c r="AS428" s="92"/>
      <c r="AT428" s="96"/>
      <c r="AU428" s="93"/>
      <c r="AV428" s="97"/>
      <c r="AW428" s="98"/>
      <c r="AX428" s="99"/>
      <c r="AY428" s="92"/>
      <c r="AZ428" s="96"/>
      <c r="BA428" s="100"/>
    </row>
    <row r="429" spans="28:53" ht="12.75" x14ac:dyDescent="0.2">
      <c r="AB429" s="70"/>
      <c r="AO429" s="70"/>
      <c r="AP429" s="93"/>
      <c r="AQ429" s="94"/>
      <c r="AR429" s="95"/>
      <c r="AS429" s="92"/>
      <c r="AT429" s="96"/>
      <c r="AU429" s="93"/>
      <c r="AV429" s="97"/>
      <c r="AW429" s="98"/>
      <c r="AX429" s="99"/>
      <c r="AY429" s="92"/>
      <c r="AZ429" s="96"/>
      <c r="BA429" s="100"/>
    </row>
    <row r="430" spans="28:53" ht="12.75" x14ac:dyDescent="0.2">
      <c r="AB430" s="70"/>
      <c r="AO430" s="70"/>
      <c r="AP430" s="93"/>
      <c r="AQ430" s="94"/>
      <c r="AR430" s="95"/>
      <c r="AS430" s="92"/>
      <c r="AT430" s="96"/>
      <c r="AU430" s="93"/>
      <c r="AV430" s="97"/>
      <c r="AW430" s="98"/>
      <c r="AX430" s="99"/>
      <c r="AY430" s="92"/>
      <c r="AZ430" s="96"/>
      <c r="BA430" s="100"/>
    </row>
    <row r="431" spans="28:53" ht="12.75" x14ac:dyDescent="0.2">
      <c r="AB431" s="70"/>
      <c r="AO431" s="70"/>
      <c r="AP431" s="93"/>
      <c r="AQ431" s="94"/>
      <c r="AR431" s="95"/>
      <c r="AS431" s="92"/>
      <c r="AT431" s="96"/>
      <c r="AU431" s="93"/>
      <c r="AV431" s="97"/>
      <c r="AW431" s="98"/>
      <c r="AX431" s="99"/>
      <c r="AY431" s="92"/>
      <c r="AZ431" s="96"/>
      <c r="BA431" s="100"/>
    </row>
    <row r="432" spans="28:53" ht="12.75" x14ac:dyDescent="0.2">
      <c r="AB432" s="70"/>
      <c r="AO432" s="70"/>
      <c r="AP432" s="93"/>
      <c r="AQ432" s="94"/>
      <c r="AR432" s="95"/>
      <c r="AS432" s="92"/>
      <c r="AT432" s="96"/>
      <c r="AU432" s="93"/>
      <c r="AV432" s="97"/>
      <c r="AW432" s="98"/>
      <c r="AX432" s="99"/>
      <c r="AY432" s="92"/>
      <c r="AZ432" s="96"/>
      <c r="BA432" s="100"/>
    </row>
    <row r="433" spans="28:53" ht="12.75" x14ac:dyDescent="0.2">
      <c r="AB433" s="70"/>
      <c r="AO433" s="70"/>
      <c r="AP433" s="93"/>
      <c r="AQ433" s="94"/>
      <c r="AR433" s="95"/>
      <c r="AS433" s="92"/>
      <c r="AT433" s="96"/>
      <c r="AU433" s="93"/>
      <c r="AV433" s="97"/>
      <c r="AW433" s="98"/>
      <c r="AX433" s="99"/>
      <c r="AY433" s="92"/>
      <c r="AZ433" s="96"/>
      <c r="BA433" s="100"/>
    </row>
    <row r="434" spans="28:53" ht="12.75" x14ac:dyDescent="0.2">
      <c r="AB434" s="70"/>
      <c r="AO434" s="70"/>
      <c r="AP434" s="93"/>
      <c r="AQ434" s="94"/>
      <c r="AR434" s="95"/>
      <c r="AS434" s="92"/>
      <c r="AT434" s="96"/>
      <c r="AU434" s="93"/>
      <c r="AV434" s="97"/>
      <c r="AW434" s="98"/>
      <c r="AX434" s="99"/>
      <c r="AY434" s="92"/>
      <c r="AZ434" s="96"/>
      <c r="BA434" s="100"/>
    </row>
    <row r="435" spans="28:53" ht="12.75" x14ac:dyDescent="0.2">
      <c r="AB435" s="70"/>
      <c r="AO435" s="70"/>
      <c r="AP435" s="93"/>
      <c r="AQ435" s="94"/>
      <c r="AR435" s="95"/>
      <c r="AS435" s="92"/>
      <c r="AT435" s="96"/>
      <c r="AU435" s="93"/>
      <c r="AV435" s="97"/>
      <c r="AW435" s="98"/>
      <c r="AX435" s="99"/>
      <c r="AY435" s="92"/>
      <c r="AZ435" s="96"/>
      <c r="BA435" s="100"/>
    </row>
    <row r="436" spans="28:53" ht="12.75" x14ac:dyDescent="0.2">
      <c r="AB436" s="70"/>
      <c r="AO436" s="70"/>
      <c r="AP436" s="93"/>
      <c r="AQ436" s="94"/>
      <c r="AR436" s="95"/>
      <c r="AS436" s="92"/>
      <c r="AT436" s="96"/>
      <c r="AU436" s="93"/>
      <c r="AV436" s="97"/>
      <c r="AW436" s="98"/>
      <c r="AX436" s="99"/>
      <c r="AY436" s="92"/>
      <c r="AZ436" s="96"/>
      <c r="BA436" s="100"/>
    </row>
    <row r="437" spans="28:53" ht="12.75" x14ac:dyDescent="0.2">
      <c r="AB437" s="70"/>
      <c r="AO437" s="70"/>
      <c r="AP437" s="93"/>
      <c r="AQ437" s="94"/>
      <c r="AR437" s="95"/>
      <c r="AS437" s="92"/>
      <c r="AT437" s="96"/>
      <c r="AU437" s="93"/>
      <c r="AV437" s="97"/>
      <c r="AW437" s="98"/>
      <c r="AX437" s="99"/>
      <c r="AY437" s="92"/>
      <c r="AZ437" s="96"/>
      <c r="BA437" s="100"/>
    </row>
    <row r="438" spans="28:53" ht="12.75" x14ac:dyDescent="0.2">
      <c r="AB438" s="70"/>
      <c r="AO438" s="70"/>
      <c r="AP438" s="93"/>
      <c r="AQ438" s="94"/>
      <c r="AR438" s="95"/>
      <c r="AS438" s="92"/>
      <c r="AT438" s="96"/>
      <c r="AU438" s="93"/>
      <c r="AV438" s="97"/>
      <c r="AW438" s="98"/>
      <c r="AX438" s="99"/>
      <c r="AY438" s="92"/>
      <c r="AZ438" s="96"/>
      <c r="BA438" s="100"/>
    </row>
    <row r="439" spans="28:53" ht="12.75" x14ac:dyDescent="0.2">
      <c r="AB439" s="70"/>
      <c r="AO439" s="70"/>
      <c r="AP439" s="93"/>
      <c r="AQ439" s="94"/>
      <c r="AR439" s="95"/>
      <c r="AS439" s="92"/>
      <c r="AT439" s="96"/>
      <c r="AU439" s="93"/>
      <c r="AV439" s="97"/>
      <c r="AW439" s="98"/>
      <c r="AX439" s="99"/>
      <c r="AY439" s="92"/>
      <c r="AZ439" s="96"/>
      <c r="BA439" s="100"/>
    </row>
    <row r="440" spans="28:53" ht="12.75" x14ac:dyDescent="0.2">
      <c r="AB440" s="70"/>
      <c r="AO440" s="70"/>
      <c r="AP440" s="93"/>
      <c r="AQ440" s="94"/>
      <c r="AR440" s="95"/>
      <c r="AS440" s="92"/>
      <c r="AT440" s="96"/>
      <c r="AU440" s="93"/>
      <c r="AV440" s="97"/>
      <c r="AW440" s="98"/>
      <c r="AX440" s="99"/>
      <c r="AY440" s="92"/>
      <c r="AZ440" s="96"/>
      <c r="BA440" s="100"/>
    </row>
    <row r="441" spans="28:53" ht="12.75" x14ac:dyDescent="0.2">
      <c r="AB441" s="70"/>
      <c r="AO441" s="70"/>
      <c r="AP441" s="93"/>
      <c r="AQ441" s="94"/>
      <c r="AR441" s="95"/>
      <c r="AS441" s="92"/>
      <c r="AT441" s="96"/>
      <c r="AU441" s="93"/>
      <c r="AV441" s="97"/>
      <c r="AW441" s="98"/>
      <c r="AX441" s="99"/>
      <c r="AY441" s="92"/>
      <c r="AZ441" s="96"/>
      <c r="BA441" s="100"/>
    </row>
    <row r="442" spans="28:53" ht="12.75" x14ac:dyDescent="0.2">
      <c r="AB442" s="70"/>
      <c r="AO442" s="70"/>
      <c r="AP442" s="93"/>
      <c r="AQ442" s="94"/>
      <c r="AR442" s="95"/>
      <c r="AS442" s="92"/>
      <c r="AT442" s="96"/>
      <c r="AU442" s="93"/>
      <c r="AV442" s="97"/>
      <c r="AW442" s="98"/>
      <c r="AX442" s="99"/>
      <c r="AY442" s="92"/>
      <c r="AZ442" s="96"/>
      <c r="BA442" s="100"/>
    </row>
    <row r="443" spans="28:53" ht="12.75" x14ac:dyDescent="0.2">
      <c r="AB443" s="70"/>
      <c r="AO443" s="70"/>
      <c r="AP443" s="93"/>
      <c r="AQ443" s="94"/>
      <c r="AR443" s="95"/>
      <c r="AS443" s="92"/>
      <c r="AT443" s="96"/>
      <c r="AU443" s="93"/>
      <c r="AV443" s="97"/>
      <c r="AW443" s="98"/>
      <c r="AX443" s="99"/>
      <c r="AY443" s="92"/>
      <c r="AZ443" s="96"/>
      <c r="BA443" s="100"/>
    </row>
    <row r="444" spans="28:53" ht="12.75" x14ac:dyDescent="0.2">
      <c r="AB444" s="70"/>
      <c r="AO444" s="70"/>
      <c r="AP444" s="93"/>
      <c r="AQ444" s="94"/>
      <c r="AR444" s="95"/>
      <c r="AS444" s="92"/>
      <c r="AT444" s="96"/>
      <c r="AU444" s="93"/>
      <c r="AV444" s="97"/>
      <c r="AW444" s="98"/>
      <c r="AX444" s="99"/>
      <c r="AY444" s="92"/>
      <c r="AZ444" s="96"/>
      <c r="BA444" s="100"/>
    </row>
    <row r="445" spans="28:53" ht="12.75" x14ac:dyDescent="0.2">
      <c r="AB445" s="70"/>
      <c r="AO445" s="70"/>
      <c r="AP445" s="93"/>
      <c r="AQ445" s="94"/>
      <c r="AR445" s="95"/>
      <c r="AS445" s="92"/>
      <c r="AT445" s="96"/>
      <c r="AU445" s="93"/>
      <c r="AV445" s="97"/>
      <c r="AW445" s="98"/>
      <c r="AX445" s="99"/>
      <c r="AY445" s="92"/>
      <c r="AZ445" s="96"/>
      <c r="BA445" s="100"/>
    </row>
    <row r="446" spans="28:53" ht="12.75" x14ac:dyDescent="0.2">
      <c r="AB446" s="70"/>
      <c r="AO446" s="70"/>
      <c r="AP446" s="93"/>
      <c r="AQ446" s="94"/>
      <c r="AR446" s="95"/>
      <c r="AS446" s="92"/>
      <c r="AT446" s="96"/>
      <c r="AU446" s="93"/>
      <c r="AV446" s="97"/>
      <c r="AW446" s="98"/>
      <c r="AX446" s="99"/>
      <c r="AY446" s="92"/>
      <c r="AZ446" s="96"/>
      <c r="BA446" s="100"/>
    </row>
    <row r="447" spans="28:53" ht="12.75" x14ac:dyDescent="0.2">
      <c r="AB447" s="70"/>
      <c r="AO447" s="70"/>
      <c r="AP447" s="93"/>
      <c r="AQ447" s="94"/>
      <c r="AR447" s="95"/>
      <c r="AS447" s="92"/>
      <c r="AT447" s="96"/>
      <c r="AU447" s="93"/>
      <c r="AV447" s="97"/>
      <c r="AW447" s="98"/>
      <c r="AX447" s="99"/>
      <c r="AY447" s="92"/>
      <c r="AZ447" s="96"/>
      <c r="BA447" s="100"/>
    </row>
    <row r="448" spans="28:53" ht="12.75" x14ac:dyDescent="0.2">
      <c r="AB448" s="70"/>
      <c r="AO448" s="70"/>
      <c r="AP448" s="93"/>
      <c r="AQ448" s="94"/>
      <c r="AR448" s="95"/>
      <c r="AS448" s="92"/>
      <c r="AT448" s="96"/>
      <c r="AU448" s="93"/>
      <c r="AV448" s="97"/>
      <c r="AW448" s="98"/>
      <c r="AX448" s="99"/>
      <c r="AY448" s="92"/>
      <c r="AZ448" s="96"/>
      <c r="BA448" s="100"/>
    </row>
    <row r="449" spans="28:53" ht="12.75" x14ac:dyDescent="0.2">
      <c r="AB449" s="70"/>
      <c r="AO449" s="70"/>
      <c r="AP449" s="93"/>
      <c r="AQ449" s="94"/>
      <c r="AR449" s="95"/>
      <c r="AS449" s="92"/>
      <c r="AT449" s="96"/>
      <c r="AU449" s="93"/>
      <c r="AV449" s="97"/>
      <c r="AW449" s="98"/>
      <c r="AX449" s="99"/>
      <c r="AY449" s="92"/>
      <c r="AZ449" s="96"/>
      <c r="BA449" s="100"/>
    </row>
    <row r="450" spans="28:53" ht="12.75" x14ac:dyDescent="0.2">
      <c r="AB450" s="70"/>
      <c r="AO450" s="70"/>
      <c r="AP450" s="93"/>
      <c r="AQ450" s="94"/>
      <c r="AR450" s="95"/>
      <c r="AS450" s="92"/>
      <c r="AT450" s="96"/>
      <c r="AU450" s="93"/>
      <c r="AV450" s="97"/>
      <c r="AW450" s="98"/>
      <c r="AX450" s="99"/>
      <c r="AY450" s="92"/>
      <c r="AZ450" s="96"/>
      <c r="BA450" s="100"/>
    </row>
    <row r="451" spans="28:53" ht="12.75" x14ac:dyDescent="0.2">
      <c r="AB451" s="70"/>
      <c r="AO451" s="70"/>
      <c r="AP451" s="93"/>
      <c r="AQ451" s="94"/>
      <c r="AR451" s="95"/>
      <c r="AS451" s="92"/>
      <c r="AT451" s="96"/>
      <c r="AU451" s="93"/>
      <c r="AV451" s="97"/>
      <c r="AW451" s="98"/>
      <c r="AX451" s="99"/>
      <c r="AY451" s="92"/>
      <c r="AZ451" s="96"/>
      <c r="BA451" s="100"/>
    </row>
    <row r="452" spans="28:53" ht="12.75" x14ac:dyDescent="0.2">
      <c r="AB452" s="70"/>
      <c r="AO452" s="70"/>
      <c r="AP452" s="93"/>
      <c r="AQ452" s="94"/>
      <c r="AR452" s="95"/>
      <c r="AS452" s="92"/>
      <c r="AT452" s="96"/>
      <c r="AU452" s="93"/>
      <c r="AV452" s="97"/>
      <c r="AW452" s="98"/>
      <c r="AX452" s="99"/>
      <c r="AY452" s="92"/>
      <c r="AZ452" s="96"/>
      <c r="BA452" s="100"/>
    </row>
    <row r="453" spans="28:53" ht="12.75" x14ac:dyDescent="0.2">
      <c r="AB453" s="70"/>
      <c r="AO453" s="70"/>
      <c r="AP453" s="93"/>
      <c r="AQ453" s="94"/>
      <c r="AR453" s="95"/>
      <c r="AS453" s="92"/>
      <c r="AT453" s="96"/>
      <c r="AU453" s="93"/>
      <c r="AV453" s="97"/>
      <c r="AW453" s="98"/>
      <c r="AX453" s="99"/>
      <c r="AY453" s="92"/>
      <c r="AZ453" s="96"/>
      <c r="BA453" s="100"/>
    </row>
    <row r="454" spans="28:53" ht="12.75" x14ac:dyDescent="0.2">
      <c r="AB454" s="70"/>
      <c r="AO454" s="70"/>
      <c r="AP454" s="93"/>
      <c r="AQ454" s="94"/>
      <c r="AR454" s="95"/>
      <c r="AS454" s="92"/>
      <c r="AT454" s="96"/>
      <c r="AU454" s="93"/>
      <c r="AV454" s="97"/>
      <c r="AW454" s="98"/>
      <c r="AX454" s="99"/>
      <c r="AY454" s="92"/>
      <c r="AZ454" s="96"/>
      <c r="BA454" s="100"/>
    </row>
    <row r="455" spans="28:53" ht="12.75" x14ac:dyDescent="0.2">
      <c r="AB455" s="70"/>
      <c r="AO455" s="70"/>
      <c r="AP455" s="93"/>
      <c r="AQ455" s="94"/>
      <c r="AR455" s="95"/>
      <c r="AS455" s="92"/>
      <c r="AT455" s="96"/>
      <c r="AU455" s="93"/>
      <c r="AV455" s="97"/>
      <c r="AW455" s="98"/>
      <c r="AX455" s="99"/>
      <c r="AY455" s="92"/>
      <c r="AZ455" s="96"/>
      <c r="BA455" s="100"/>
    </row>
    <row r="456" spans="28:53" ht="12.75" x14ac:dyDescent="0.2">
      <c r="AB456" s="70"/>
      <c r="AO456" s="70"/>
      <c r="AP456" s="93"/>
      <c r="AQ456" s="94"/>
      <c r="AR456" s="95"/>
      <c r="AS456" s="92"/>
      <c r="AT456" s="96"/>
      <c r="AU456" s="93"/>
      <c r="AV456" s="97"/>
      <c r="AW456" s="98"/>
      <c r="AX456" s="99"/>
      <c r="AY456" s="92"/>
      <c r="AZ456" s="96"/>
      <c r="BA456" s="100"/>
    </row>
    <row r="457" spans="28:53" ht="12.75" x14ac:dyDescent="0.2">
      <c r="AB457" s="70"/>
      <c r="AO457" s="70"/>
      <c r="AP457" s="93"/>
      <c r="AQ457" s="94"/>
      <c r="AR457" s="95"/>
      <c r="AS457" s="92"/>
      <c r="AT457" s="96"/>
      <c r="AU457" s="93"/>
      <c r="AV457" s="97"/>
      <c r="AW457" s="98"/>
      <c r="AX457" s="99"/>
      <c r="AY457" s="92"/>
      <c r="AZ457" s="96"/>
      <c r="BA457" s="100"/>
    </row>
    <row r="458" spans="28:53" ht="12.75" x14ac:dyDescent="0.2">
      <c r="AB458" s="70"/>
      <c r="AO458" s="70"/>
      <c r="AP458" s="93"/>
      <c r="AQ458" s="94"/>
      <c r="AR458" s="95"/>
      <c r="AS458" s="92"/>
      <c r="AT458" s="96"/>
      <c r="AU458" s="93"/>
      <c r="AV458" s="97"/>
      <c r="AW458" s="98"/>
      <c r="AX458" s="99"/>
      <c r="AY458" s="92"/>
      <c r="AZ458" s="96"/>
      <c r="BA458" s="100"/>
    </row>
    <row r="459" spans="28:53" ht="12.75" x14ac:dyDescent="0.2">
      <c r="AB459" s="70"/>
      <c r="AO459" s="70"/>
      <c r="AP459" s="93"/>
      <c r="AQ459" s="94"/>
      <c r="AR459" s="95"/>
      <c r="AS459" s="92"/>
      <c r="AT459" s="96"/>
      <c r="AU459" s="93"/>
      <c r="AV459" s="97"/>
      <c r="AW459" s="98"/>
      <c r="AX459" s="99"/>
      <c r="AY459" s="92"/>
      <c r="AZ459" s="96"/>
      <c r="BA459" s="100"/>
    </row>
    <row r="460" spans="28:53" ht="12.75" x14ac:dyDescent="0.2">
      <c r="AB460" s="70"/>
      <c r="AO460" s="70"/>
      <c r="AP460" s="93"/>
      <c r="AQ460" s="94"/>
      <c r="AR460" s="95"/>
      <c r="AS460" s="92"/>
      <c r="AT460" s="96"/>
      <c r="AU460" s="93"/>
      <c r="AV460" s="97"/>
      <c r="AW460" s="98"/>
      <c r="AX460" s="99"/>
      <c r="AY460" s="92"/>
      <c r="AZ460" s="96"/>
      <c r="BA460" s="100"/>
    </row>
    <row r="461" spans="28:53" ht="12.75" x14ac:dyDescent="0.2">
      <c r="AB461" s="70"/>
      <c r="AO461" s="70"/>
      <c r="AP461" s="93"/>
      <c r="AQ461" s="94"/>
      <c r="AR461" s="95"/>
      <c r="AS461" s="92"/>
      <c r="AT461" s="96"/>
      <c r="AU461" s="93"/>
      <c r="AV461" s="97"/>
      <c r="AW461" s="98"/>
      <c r="AX461" s="99"/>
      <c r="AY461" s="92"/>
      <c r="AZ461" s="96"/>
      <c r="BA461" s="100"/>
    </row>
    <row r="462" spans="28:53" ht="12.75" x14ac:dyDescent="0.2">
      <c r="AB462" s="70"/>
      <c r="AO462" s="70"/>
      <c r="AP462" s="93"/>
      <c r="AQ462" s="94"/>
      <c r="AR462" s="95"/>
      <c r="AS462" s="92"/>
      <c r="AT462" s="96"/>
      <c r="AU462" s="93"/>
      <c r="AV462" s="97"/>
      <c r="AW462" s="98"/>
      <c r="AX462" s="99"/>
      <c r="AY462" s="92"/>
      <c r="AZ462" s="96"/>
      <c r="BA462" s="100"/>
    </row>
    <row r="463" spans="28:53" ht="12.75" x14ac:dyDescent="0.2">
      <c r="AB463" s="70"/>
      <c r="AO463" s="70"/>
      <c r="AP463" s="93"/>
      <c r="AQ463" s="94"/>
      <c r="AR463" s="95"/>
      <c r="AS463" s="92"/>
      <c r="AT463" s="96"/>
      <c r="AU463" s="93"/>
      <c r="AV463" s="97"/>
      <c r="AW463" s="98"/>
      <c r="AX463" s="99"/>
      <c r="AY463" s="92"/>
      <c r="AZ463" s="96"/>
      <c r="BA463" s="100"/>
    </row>
    <row r="464" spans="28:53" ht="12.75" x14ac:dyDescent="0.2">
      <c r="AB464" s="70"/>
      <c r="AO464" s="70"/>
      <c r="AP464" s="93"/>
      <c r="AQ464" s="94"/>
      <c r="AR464" s="95"/>
      <c r="AS464" s="92"/>
      <c r="AT464" s="96"/>
      <c r="AU464" s="93"/>
      <c r="AV464" s="97"/>
      <c r="AW464" s="98"/>
      <c r="AX464" s="99"/>
      <c r="AY464" s="92"/>
      <c r="AZ464" s="96"/>
      <c r="BA464" s="100"/>
    </row>
    <row r="465" spans="28:53" ht="12.75" x14ac:dyDescent="0.2">
      <c r="AB465" s="70"/>
      <c r="AO465" s="70"/>
      <c r="AP465" s="93"/>
      <c r="AQ465" s="94"/>
      <c r="AR465" s="95"/>
      <c r="AS465" s="92"/>
      <c r="AT465" s="96"/>
      <c r="AU465" s="93"/>
      <c r="AV465" s="97"/>
      <c r="AW465" s="98"/>
      <c r="AX465" s="99"/>
      <c r="AY465" s="92"/>
      <c r="AZ465" s="96"/>
      <c r="BA465" s="100"/>
    </row>
    <row r="466" spans="28:53" ht="12.75" x14ac:dyDescent="0.2">
      <c r="AB466" s="70"/>
      <c r="AO466" s="70"/>
      <c r="AP466" s="93"/>
      <c r="AQ466" s="94"/>
      <c r="AR466" s="95"/>
      <c r="AS466" s="92"/>
      <c r="AT466" s="96"/>
      <c r="AU466" s="93"/>
      <c r="AV466" s="97"/>
      <c r="AW466" s="98"/>
      <c r="AX466" s="99"/>
      <c r="AY466" s="92"/>
      <c r="AZ466" s="96"/>
      <c r="BA466" s="100"/>
    </row>
    <row r="467" spans="28:53" ht="12.75" x14ac:dyDescent="0.2">
      <c r="AB467" s="70"/>
      <c r="AO467" s="70"/>
      <c r="AP467" s="93"/>
      <c r="AQ467" s="94"/>
      <c r="AR467" s="95"/>
      <c r="AS467" s="92"/>
      <c r="AT467" s="96"/>
      <c r="AU467" s="93"/>
      <c r="AV467" s="97"/>
      <c r="AW467" s="98"/>
      <c r="AX467" s="99"/>
      <c r="AY467" s="92"/>
      <c r="AZ467" s="96"/>
      <c r="BA467" s="100"/>
    </row>
    <row r="468" spans="28:53" ht="12.75" x14ac:dyDescent="0.2">
      <c r="AB468" s="70"/>
      <c r="AO468" s="70"/>
      <c r="AP468" s="93"/>
      <c r="AQ468" s="94"/>
      <c r="AR468" s="95"/>
      <c r="AS468" s="92"/>
      <c r="AT468" s="96"/>
      <c r="AU468" s="93"/>
      <c r="AV468" s="97"/>
      <c r="AW468" s="98"/>
      <c r="AX468" s="99"/>
      <c r="AY468" s="92"/>
      <c r="AZ468" s="96"/>
      <c r="BA468" s="100"/>
    </row>
    <row r="469" spans="28:53" ht="12.75" x14ac:dyDescent="0.2">
      <c r="AB469" s="70"/>
      <c r="AO469" s="70"/>
      <c r="AP469" s="93"/>
      <c r="AQ469" s="94"/>
      <c r="AR469" s="95"/>
      <c r="AS469" s="92"/>
      <c r="AT469" s="96"/>
      <c r="AU469" s="93"/>
      <c r="AV469" s="97"/>
      <c r="AW469" s="98"/>
      <c r="AX469" s="99"/>
      <c r="AY469" s="92"/>
      <c r="AZ469" s="96"/>
      <c r="BA469" s="100"/>
    </row>
    <row r="470" spans="28:53" ht="12.75" x14ac:dyDescent="0.2">
      <c r="AB470" s="70"/>
      <c r="AO470" s="70"/>
      <c r="AP470" s="93"/>
      <c r="AQ470" s="94"/>
      <c r="AR470" s="95"/>
      <c r="AS470" s="92"/>
      <c r="AT470" s="96"/>
      <c r="AU470" s="93"/>
      <c r="AV470" s="97"/>
      <c r="AW470" s="98"/>
      <c r="AX470" s="99"/>
      <c r="AY470" s="92"/>
      <c r="AZ470" s="96"/>
      <c r="BA470" s="100"/>
    </row>
    <row r="471" spans="28:53" ht="12.75" x14ac:dyDescent="0.2">
      <c r="AB471" s="70"/>
      <c r="AO471" s="70"/>
      <c r="AP471" s="93"/>
      <c r="AQ471" s="94"/>
      <c r="AR471" s="95"/>
      <c r="AS471" s="92"/>
      <c r="AT471" s="96"/>
      <c r="AU471" s="93"/>
      <c r="AV471" s="97"/>
      <c r="AW471" s="98"/>
      <c r="AX471" s="99"/>
      <c r="AY471" s="92"/>
      <c r="AZ471" s="96"/>
      <c r="BA471" s="100"/>
    </row>
    <row r="472" spans="28:53" ht="12.75" x14ac:dyDescent="0.2">
      <c r="AB472" s="70"/>
      <c r="AO472" s="70"/>
      <c r="AP472" s="93"/>
      <c r="AQ472" s="94"/>
      <c r="AR472" s="95"/>
      <c r="AS472" s="92"/>
      <c r="AT472" s="96"/>
      <c r="AU472" s="93"/>
      <c r="AV472" s="97"/>
      <c r="AW472" s="98"/>
      <c r="AX472" s="99"/>
      <c r="AY472" s="92"/>
      <c r="AZ472" s="96"/>
      <c r="BA472" s="100"/>
    </row>
    <row r="473" spans="28:53" ht="12.75" x14ac:dyDescent="0.2">
      <c r="AB473" s="70"/>
      <c r="AO473" s="70"/>
      <c r="AP473" s="93"/>
      <c r="AQ473" s="94"/>
      <c r="AR473" s="95"/>
      <c r="AS473" s="92"/>
      <c r="AT473" s="96"/>
      <c r="AU473" s="93"/>
      <c r="AV473" s="97"/>
      <c r="AW473" s="98"/>
      <c r="AX473" s="99"/>
      <c r="AY473" s="92"/>
      <c r="AZ473" s="96"/>
      <c r="BA473" s="100"/>
    </row>
    <row r="474" spans="28:53" ht="12.75" x14ac:dyDescent="0.2">
      <c r="AB474" s="70"/>
      <c r="AO474" s="70"/>
      <c r="AP474" s="93"/>
      <c r="AQ474" s="94"/>
      <c r="AR474" s="95"/>
      <c r="AS474" s="92"/>
      <c r="AT474" s="96"/>
      <c r="AU474" s="93"/>
      <c r="AV474" s="97"/>
      <c r="AW474" s="98"/>
      <c r="AX474" s="99"/>
      <c r="AY474" s="92"/>
      <c r="AZ474" s="96"/>
      <c r="BA474" s="100"/>
    </row>
    <row r="475" spans="28:53" ht="12.75" x14ac:dyDescent="0.2">
      <c r="AB475" s="70"/>
      <c r="AO475" s="70"/>
      <c r="AP475" s="93"/>
      <c r="AQ475" s="94"/>
      <c r="AR475" s="95"/>
      <c r="AS475" s="92"/>
      <c r="AT475" s="96"/>
      <c r="AU475" s="93"/>
      <c r="AV475" s="97"/>
      <c r="AW475" s="98"/>
      <c r="AX475" s="99"/>
      <c r="AY475" s="92"/>
      <c r="AZ475" s="96"/>
      <c r="BA475" s="100"/>
    </row>
    <row r="476" spans="28:53" ht="12.75" x14ac:dyDescent="0.2">
      <c r="AB476" s="70"/>
      <c r="AO476" s="70"/>
      <c r="AP476" s="93"/>
      <c r="AQ476" s="94"/>
      <c r="AR476" s="95"/>
      <c r="AS476" s="92"/>
      <c r="AT476" s="96"/>
      <c r="AU476" s="93"/>
      <c r="AV476" s="97"/>
      <c r="AW476" s="98"/>
      <c r="AX476" s="99"/>
      <c r="AY476" s="92"/>
      <c r="AZ476" s="96"/>
      <c r="BA476" s="100"/>
    </row>
    <row r="477" spans="28:53" ht="12.75" x14ac:dyDescent="0.2">
      <c r="AB477" s="70"/>
      <c r="AO477" s="70"/>
      <c r="AP477" s="93"/>
      <c r="AQ477" s="94"/>
      <c r="AR477" s="95"/>
      <c r="AS477" s="92"/>
      <c r="AT477" s="96"/>
      <c r="AU477" s="93"/>
      <c r="AV477" s="97"/>
      <c r="AW477" s="98"/>
      <c r="AX477" s="99"/>
      <c r="AY477" s="92"/>
      <c r="AZ477" s="96"/>
      <c r="BA477" s="100"/>
    </row>
    <row r="478" spans="28:53" ht="12.75" x14ac:dyDescent="0.2">
      <c r="AB478" s="70"/>
      <c r="AO478" s="70"/>
      <c r="AP478" s="93"/>
      <c r="AQ478" s="94"/>
      <c r="AR478" s="95"/>
      <c r="AS478" s="92"/>
      <c r="AT478" s="96"/>
      <c r="AU478" s="93"/>
      <c r="AV478" s="97"/>
      <c r="AW478" s="98"/>
      <c r="AX478" s="99"/>
      <c r="AY478" s="92"/>
      <c r="AZ478" s="96"/>
      <c r="BA478" s="100"/>
    </row>
    <row r="479" spans="28:53" ht="12.75" x14ac:dyDescent="0.2">
      <c r="AB479" s="70"/>
      <c r="AO479" s="70"/>
      <c r="AP479" s="93"/>
      <c r="AQ479" s="94"/>
      <c r="AR479" s="95"/>
      <c r="AS479" s="92"/>
      <c r="AT479" s="96"/>
      <c r="AU479" s="93"/>
      <c r="AV479" s="97"/>
      <c r="AW479" s="98"/>
      <c r="AX479" s="99"/>
      <c r="AY479" s="92"/>
      <c r="AZ479" s="96"/>
      <c r="BA479" s="100"/>
    </row>
    <row r="480" spans="28:53" ht="12.75" x14ac:dyDescent="0.2">
      <c r="AB480" s="70"/>
      <c r="AO480" s="70"/>
      <c r="AP480" s="93"/>
      <c r="AQ480" s="94"/>
      <c r="AR480" s="95"/>
      <c r="AS480" s="92"/>
      <c r="AT480" s="96"/>
      <c r="AU480" s="93"/>
      <c r="AV480" s="97"/>
      <c r="AW480" s="98"/>
      <c r="AX480" s="99"/>
      <c r="AY480" s="92"/>
      <c r="AZ480" s="96"/>
      <c r="BA480" s="100"/>
    </row>
    <row r="481" spans="28:53" ht="12.75" x14ac:dyDescent="0.2">
      <c r="AB481" s="70"/>
      <c r="AO481" s="70"/>
      <c r="AP481" s="93"/>
      <c r="AQ481" s="94"/>
      <c r="AR481" s="95"/>
      <c r="AS481" s="92"/>
      <c r="AT481" s="96"/>
      <c r="AU481" s="93"/>
      <c r="AV481" s="97"/>
      <c r="AW481" s="98"/>
      <c r="AX481" s="99"/>
      <c r="AY481" s="92"/>
      <c r="AZ481" s="96"/>
      <c r="BA481" s="100"/>
    </row>
    <row r="482" spans="28:53" ht="12.75" x14ac:dyDescent="0.2">
      <c r="AB482" s="70"/>
      <c r="AO482" s="70"/>
      <c r="AP482" s="93"/>
      <c r="AQ482" s="94"/>
      <c r="AR482" s="95"/>
      <c r="AS482" s="92"/>
      <c r="AT482" s="96"/>
      <c r="AU482" s="93"/>
      <c r="AV482" s="97"/>
      <c r="AW482" s="98"/>
      <c r="AX482" s="99"/>
      <c r="AY482" s="92"/>
      <c r="AZ482" s="96"/>
      <c r="BA482" s="100"/>
    </row>
    <row r="483" spans="28:53" ht="12.75" x14ac:dyDescent="0.2">
      <c r="AB483" s="70"/>
      <c r="AO483" s="70"/>
      <c r="AP483" s="93"/>
      <c r="AQ483" s="94"/>
      <c r="AR483" s="95"/>
      <c r="AS483" s="92"/>
      <c r="AT483" s="96"/>
      <c r="AU483" s="93"/>
      <c r="AV483" s="97"/>
      <c r="AW483" s="98"/>
      <c r="AX483" s="99"/>
      <c r="AY483" s="92"/>
      <c r="AZ483" s="96"/>
      <c r="BA483" s="100"/>
    </row>
    <row r="484" spans="28:53" ht="12.75" x14ac:dyDescent="0.2">
      <c r="AB484" s="70"/>
      <c r="AO484" s="70"/>
      <c r="AP484" s="93"/>
      <c r="AQ484" s="94"/>
      <c r="AR484" s="95"/>
      <c r="AS484" s="92"/>
      <c r="AT484" s="96"/>
      <c r="AU484" s="93"/>
      <c r="AV484" s="97"/>
      <c r="AW484" s="98"/>
      <c r="AX484" s="99"/>
      <c r="AY484" s="92"/>
      <c r="AZ484" s="96"/>
      <c r="BA484" s="100"/>
    </row>
    <row r="485" spans="28:53" ht="12.75" x14ac:dyDescent="0.2">
      <c r="AB485" s="70"/>
      <c r="AO485" s="70"/>
      <c r="AP485" s="93"/>
      <c r="AQ485" s="94"/>
      <c r="AR485" s="95"/>
      <c r="AS485" s="92"/>
      <c r="AT485" s="96"/>
      <c r="AU485" s="93"/>
      <c r="AV485" s="97"/>
      <c r="AW485" s="98"/>
      <c r="AX485" s="99"/>
      <c r="AY485" s="92"/>
      <c r="AZ485" s="96"/>
      <c r="BA485" s="100"/>
    </row>
    <row r="486" spans="28:53" ht="12.75" x14ac:dyDescent="0.2">
      <c r="AB486" s="70"/>
      <c r="AO486" s="70"/>
      <c r="AP486" s="93"/>
      <c r="AQ486" s="94"/>
      <c r="AR486" s="95"/>
      <c r="AS486" s="92"/>
      <c r="AT486" s="96"/>
      <c r="AU486" s="93"/>
      <c r="AV486" s="97"/>
      <c r="AW486" s="98"/>
      <c r="AX486" s="99"/>
      <c r="AY486" s="92"/>
      <c r="AZ486" s="96"/>
      <c r="BA486" s="100"/>
    </row>
    <row r="487" spans="28:53" ht="12.75" x14ac:dyDescent="0.2">
      <c r="AB487" s="70"/>
      <c r="AO487" s="70"/>
      <c r="AP487" s="93"/>
      <c r="AQ487" s="94"/>
      <c r="AR487" s="95"/>
      <c r="AS487" s="92"/>
      <c r="AT487" s="96"/>
      <c r="AU487" s="93"/>
      <c r="AV487" s="97"/>
      <c r="AW487" s="98"/>
      <c r="AX487" s="99"/>
      <c r="AY487" s="92"/>
      <c r="AZ487" s="96"/>
      <c r="BA487" s="100"/>
    </row>
    <row r="488" spans="28:53" ht="12.75" x14ac:dyDescent="0.2">
      <c r="AB488" s="70"/>
      <c r="AO488" s="70"/>
      <c r="AP488" s="93"/>
      <c r="AQ488" s="94"/>
      <c r="AR488" s="95"/>
      <c r="AS488" s="92"/>
      <c r="AT488" s="96"/>
      <c r="AU488" s="93"/>
      <c r="AV488" s="97"/>
      <c r="AW488" s="98"/>
      <c r="AX488" s="99"/>
      <c r="AY488" s="92"/>
      <c r="AZ488" s="96"/>
      <c r="BA488" s="100"/>
    </row>
    <row r="489" spans="28:53" ht="12.75" x14ac:dyDescent="0.2">
      <c r="AB489" s="70"/>
      <c r="AO489" s="70"/>
      <c r="AP489" s="93"/>
      <c r="AQ489" s="94"/>
      <c r="AR489" s="95"/>
      <c r="AS489" s="92"/>
      <c r="AT489" s="96"/>
      <c r="AU489" s="93"/>
      <c r="AV489" s="97"/>
      <c r="AW489" s="98"/>
      <c r="AX489" s="99"/>
      <c r="AY489" s="92"/>
      <c r="AZ489" s="96"/>
      <c r="BA489" s="100"/>
    </row>
    <row r="490" spans="28:53" ht="12.75" x14ac:dyDescent="0.2">
      <c r="AB490" s="70"/>
      <c r="AO490" s="70"/>
      <c r="AP490" s="93"/>
      <c r="AQ490" s="94"/>
      <c r="AR490" s="95"/>
      <c r="AS490" s="92"/>
      <c r="AT490" s="96"/>
      <c r="AU490" s="93"/>
      <c r="AV490" s="97"/>
      <c r="AW490" s="98"/>
      <c r="AX490" s="99"/>
      <c r="AY490" s="92"/>
      <c r="AZ490" s="96"/>
      <c r="BA490" s="100"/>
    </row>
    <row r="491" spans="28:53" ht="12.75" x14ac:dyDescent="0.2">
      <c r="AB491" s="70"/>
      <c r="AO491" s="70"/>
      <c r="AP491" s="93"/>
      <c r="AQ491" s="94"/>
      <c r="AR491" s="95"/>
      <c r="AS491" s="92"/>
      <c r="AT491" s="96"/>
      <c r="AU491" s="93"/>
      <c r="AV491" s="97"/>
      <c r="AW491" s="98"/>
      <c r="AX491" s="99"/>
      <c r="AY491" s="92"/>
      <c r="AZ491" s="96"/>
      <c r="BA491" s="100"/>
    </row>
    <row r="492" spans="28:53" ht="12.75" x14ac:dyDescent="0.2">
      <c r="AB492" s="70"/>
      <c r="AO492" s="70"/>
      <c r="AP492" s="93"/>
      <c r="AQ492" s="94"/>
      <c r="AR492" s="95"/>
      <c r="AS492" s="92"/>
      <c r="AT492" s="96"/>
      <c r="AU492" s="93"/>
      <c r="AV492" s="97"/>
      <c r="AW492" s="98"/>
      <c r="AX492" s="99"/>
      <c r="AY492" s="92"/>
      <c r="AZ492" s="96"/>
      <c r="BA492" s="100"/>
    </row>
    <row r="493" spans="28:53" ht="12.75" x14ac:dyDescent="0.2">
      <c r="AB493" s="70"/>
      <c r="AO493" s="70"/>
      <c r="AP493" s="93"/>
      <c r="AQ493" s="94"/>
      <c r="AR493" s="95"/>
      <c r="AS493" s="92"/>
      <c r="AT493" s="96"/>
      <c r="AU493" s="93"/>
      <c r="AV493" s="97"/>
      <c r="AW493" s="98"/>
      <c r="AX493" s="99"/>
      <c r="AY493" s="92"/>
      <c r="AZ493" s="96"/>
      <c r="BA493" s="100"/>
    </row>
    <row r="494" spans="28:53" ht="12.75" x14ac:dyDescent="0.2">
      <c r="AB494" s="70"/>
      <c r="AO494" s="70"/>
      <c r="AP494" s="93"/>
      <c r="AQ494" s="94"/>
      <c r="AR494" s="95"/>
      <c r="AS494" s="92"/>
      <c r="AT494" s="96"/>
      <c r="AU494" s="93"/>
      <c r="AV494" s="97"/>
      <c r="AW494" s="98"/>
      <c r="AX494" s="99"/>
      <c r="AY494" s="92"/>
      <c r="AZ494" s="96"/>
      <c r="BA494" s="100"/>
    </row>
    <row r="495" spans="28:53" ht="12.75" x14ac:dyDescent="0.2">
      <c r="AB495" s="70"/>
      <c r="AO495" s="70"/>
      <c r="AP495" s="93"/>
      <c r="AQ495" s="94"/>
      <c r="AR495" s="95"/>
      <c r="AS495" s="92"/>
      <c r="AT495" s="96"/>
      <c r="AU495" s="93"/>
      <c r="AV495" s="97"/>
      <c r="AW495" s="98"/>
      <c r="AX495" s="99"/>
      <c r="AY495" s="92"/>
      <c r="AZ495" s="96"/>
      <c r="BA495" s="100"/>
    </row>
    <row r="496" spans="28:53" ht="12.75" x14ac:dyDescent="0.2">
      <c r="AB496" s="70"/>
      <c r="AO496" s="70"/>
      <c r="AP496" s="93"/>
      <c r="AQ496" s="94"/>
      <c r="AR496" s="95"/>
      <c r="AS496" s="92"/>
      <c r="AT496" s="96"/>
      <c r="AU496" s="93"/>
      <c r="AV496" s="97"/>
      <c r="AW496" s="98"/>
      <c r="AX496" s="99"/>
      <c r="AY496" s="92"/>
      <c r="AZ496" s="96"/>
      <c r="BA496" s="100"/>
    </row>
    <row r="497" spans="28:53" ht="12.75" x14ac:dyDescent="0.2">
      <c r="AB497" s="70"/>
      <c r="AO497" s="70"/>
      <c r="AP497" s="93"/>
      <c r="AQ497" s="94"/>
      <c r="AR497" s="95"/>
      <c r="AS497" s="92"/>
      <c r="AT497" s="96"/>
      <c r="AU497" s="93"/>
      <c r="AV497" s="97"/>
      <c r="AW497" s="98"/>
      <c r="AX497" s="99"/>
      <c r="AY497" s="92"/>
      <c r="AZ497" s="96"/>
      <c r="BA497" s="100"/>
    </row>
    <row r="498" spans="28:53" ht="12.75" x14ac:dyDescent="0.2">
      <c r="AB498" s="70"/>
      <c r="AO498" s="70"/>
      <c r="AP498" s="93"/>
      <c r="AQ498" s="94"/>
      <c r="AR498" s="95"/>
      <c r="AS498" s="92"/>
      <c r="AT498" s="96"/>
      <c r="AU498" s="93"/>
      <c r="AV498" s="97"/>
      <c r="AW498" s="98"/>
      <c r="AX498" s="99"/>
      <c r="AY498" s="92"/>
      <c r="AZ498" s="96"/>
      <c r="BA498" s="100"/>
    </row>
    <row r="499" spans="28:53" ht="12.75" x14ac:dyDescent="0.2">
      <c r="AB499" s="70"/>
      <c r="AO499" s="70"/>
      <c r="AP499" s="93"/>
      <c r="AQ499" s="94"/>
      <c r="AR499" s="95"/>
      <c r="AS499" s="92"/>
      <c r="AT499" s="96"/>
      <c r="AU499" s="93"/>
      <c r="AV499" s="97"/>
      <c r="AW499" s="98"/>
      <c r="AX499" s="99"/>
      <c r="AY499" s="92"/>
      <c r="AZ499" s="96"/>
      <c r="BA499" s="100"/>
    </row>
    <row r="500" spans="28:53" ht="12.75" x14ac:dyDescent="0.2">
      <c r="AB500" s="70"/>
      <c r="AO500" s="70"/>
      <c r="AP500" s="93"/>
      <c r="AQ500" s="94"/>
      <c r="AR500" s="95"/>
      <c r="AS500" s="92"/>
      <c r="AT500" s="96"/>
      <c r="AU500" s="93"/>
      <c r="AV500" s="97"/>
      <c r="AW500" s="98"/>
      <c r="AX500" s="99"/>
      <c r="AY500" s="92"/>
      <c r="AZ500" s="96"/>
      <c r="BA500" s="100"/>
    </row>
    <row r="501" spans="28:53" ht="12.75" x14ac:dyDescent="0.2">
      <c r="AB501" s="70"/>
      <c r="AO501" s="70"/>
      <c r="AP501" s="93"/>
      <c r="AQ501" s="94"/>
      <c r="AR501" s="95"/>
      <c r="AS501" s="92"/>
      <c r="AT501" s="96"/>
      <c r="AU501" s="93"/>
      <c r="AV501" s="97"/>
      <c r="AW501" s="98"/>
      <c r="AX501" s="99"/>
      <c r="AY501" s="92"/>
      <c r="AZ501" s="96"/>
      <c r="BA501" s="100"/>
    </row>
    <row r="502" spans="28:53" ht="12.75" x14ac:dyDescent="0.2">
      <c r="AB502" s="70"/>
      <c r="AO502" s="70"/>
      <c r="AP502" s="93"/>
      <c r="AQ502" s="94"/>
      <c r="AR502" s="95"/>
      <c r="AS502" s="92"/>
      <c r="AT502" s="96"/>
      <c r="AU502" s="93"/>
      <c r="AV502" s="97"/>
      <c r="AW502" s="98"/>
      <c r="AX502" s="99"/>
      <c r="AY502" s="92"/>
      <c r="AZ502" s="96"/>
      <c r="BA502" s="100"/>
    </row>
    <row r="503" spans="28:53" ht="12.75" x14ac:dyDescent="0.2">
      <c r="AB503" s="70"/>
      <c r="AO503" s="70"/>
      <c r="AP503" s="93"/>
      <c r="AQ503" s="94"/>
      <c r="AR503" s="95"/>
      <c r="AS503" s="92"/>
      <c r="AT503" s="96"/>
      <c r="AU503" s="93"/>
      <c r="AV503" s="97"/>
      <c r="AW503" s="98"/>
      <c r="AX503" s="99"/>
      <c r="AY503" s="92"/>
      <c r="AZ503" s="96"/>
      <c r="BA503" s="100"/>
    </row>
    <row r="504" spans="28:53" ht="12.75" x14ac:dyDescent="0.2">
      <c r="AB504" s="70"/>
      <c r="AO504" s="70"/>
      <c r="AP504" s="93"/>
      <c r="AQ504" s="94"/>
      <c r="AR504" s="95"/>
      <c r="AS504" s="92"/>
      <c r="AT504" s="96"/>
      <c r="AU504" s="93"/>
      <c r="AV504" s="97"/>
      <c r="AW504" s="98"/>
      <c r="AX504" s="99"/>
      <c r="AY504" s="92"/>
      <c r="AZ504" s="96"/>
      <c r="BA504" s="100"/>
    </row>
    <row r="505" spans="28:53" ht="12.75" x14ac:dyDescent="0.2">
      <c r="AB505" s="70"/>
      <c r="AO505" s="70"/>
      <c r="AP505" s="93"/>
      <c r="AQ505" s="94"/>
      <c r="AR505" s="95"/>
      <c r="AS505" s="92"/>
      <c r="AT505" s="96"/>
      <c r="AU505" s="93"/>
      <c r="AV505" s="97"/>
      <c r="AW505" s="98"/>
      <c r="AX505" s="99"/>
      <c r="AY505" s="92"/>
      <c r="AZ505" s="96"/>
      <c r="BA505" s="100"/>
    </row>
    <row r="506" spans="28:53" ht="12.75" x14ac:dyDescent="0.2">
      <c r="AB506" s="70"/>
      <c r="AO506" s="70"/>
      <c r="AP506" s="93"/>
      <c r="AQ506" s="94"/>
      <c r="AR506" s="95"/>
      <c r="AS506" s="92"/>
      <c r="AT506" s="96"/>
      <c r="AU506" s="93"/>
      <c r="AV506" s="97"/>
      <c r="AW506" s="98"/>
      <c r="AX506" s="99"/>
      <c r="AY506" s="92"/>
      <c r="AZ506" s="96"/>
      <c r="BA506" s="100"/>
    </row>
    <row r="507" spans="28:53" ht="12.75" x14ac:dyDescent="0.2">
      <c r="AB507" s="70"/>
      <c r="AO507" s="70"/>
      <c r="AP507" s="93"/>
      <c r="AQ507" s="94"/>
      <c r="AR507" s="95"/>
      <c r="AS507" s="92"/>
      <c r="AT507" s="96"/>
      <c r="AU507" s="93"/>
      <c r="AV507" s="97"/>
      <c r="AW507" s="98"/>
      <c r="AX507" s="99"/>
      <c r="AY507" s="92"/>
      <c r="AZ507" s="96"/>
      <c r="BA507" s="100"/>
    </row>
    <row r="508" spans="28:53" ht="12.75" x14ac:dyDescent="0.2">
      <c r="AB508" s="70"/>
      <c r="AO508" s="70"/>
      <c r="AP508" s="93"/>
      <c r="AQ508" s="94"/>
      <c r="AR508" s="95"/>
      <c r="AS508" s="92"/>
      <c r="AT508" s="96"/>
      <c r="AU508" s="93"/>
      <c r="AV508" s="97"/>
      <c r="AW508" s="98"/>
      <c r="AX508" s="99"/>
      <c r="AY508" s="92"/>
      <c r="AZ508" s="96"/>
      <c r="BA508" s="100"/>
    </row>
    <row r="509" spans="28:53" ht="12.75" x14ac:dyDescent="0.2">
      <c r="AB509" s="70"/>
      <c r="AO509" s="70"/>
      <c r="AP509" s="93"/>
      <c r="AQ509" s="94"/>
      <c r="AR509" s="95"/>
      <c r="AS509" s="92"/>
      <c r="AT509" s="96"/>
      <c r="AU509" s="93"/>
      <c r="AV509" s="97"/>
      <c r="AW509" s="98"/>
      <c r="AX509" s="99"/>
      <c r="AY509" s="92"/>
      <c r="AZ509" s="96"/>
      <c r="BA509" s="100"/>
    </row>
    <row r="510" spans="28:53" ht="12.75" x14ac:dyDescent="0.2">
      <c r="AB510" s="70"/>
      <c r="AO510" s="70"/>
      <c r="AP510" s="93"/>
      <c r="AQ510" s="94"/>
      <c r="AR510" s="95"/>
      <c r="AS510" s="92"/>
      <c r="AT510" s="96"/>
      <c r="AU510" s="93"/>
      <c r="AV510" s="97"/>
      <c r="AW510" s="98"/>
      <c r="AX510" s="99"/>
      <c r="AY510" s="92"/>
      <c r="AZ510" s="96"/>
      <c r="BA510" s="100"/>
    </row>
    <row r="511" spans="28:53" ht="12.75" x14ac:dyDescent="0.2">
      <c r="AB511" s="70"/>
      <c r="AO511" s="70"/>
      <c r="AP511" s="93"/>
      <c r="AQ511" s="94"/>
      <c r="AR511" s="95"/>
      <c r="AS511" s="92"/>
      <c r="AT511" s="96"/>
      <c r="AU511" s="93"/>
      <c r="AV511" s="97"/>
      <c r="AW511" s="98"/>
      <c r="AX511" s="99"/>
      <c r="AY511" s="92"/>
      <c r="AZ511" s="96"/>
      <c r="BA511" s="100"/>
    </row>
    <row r="512" spans="28:53" ht="12.75" x14ac:dyDescent="0.2">
      <c r="AB512" s="70"/>
      <c r="AO512" s="70"/>
      <c r="AP512" s="93"/>
      <c r="AQ512" s="94"/>
      <c r="AR512" s="95"/>
      <c r="AS512" s="92"/>
      <c r="AT512" s="96"/>
      <c r="AU512" s="93"/>
      <c r="AV512" s="97"/>
      <c r="AW512" s="98"/>
      <c r="AX512" s="99"/>
      <c r="AY512" s="92"/>
      <c r="AZ512" s="96"/>
      <c r="BA512" s="100"/>
    </row>
    <row r="513" spans="28:53" ht="12.75" x14ac:dyDescent="0.2">
      <c r="AB513" s="70"/>
      <c r="AO513" s="70"/>
      <c r="AP513" s="93"/>
      <c r="AQ513" s="94"/>
      <c r="AR513" s="95"/>
      <c r="AS513" s="92"/>
      <c r="AT513" s="96"/>
      <c r="AU513" s="93"/>
      <c r="AV513" s="97"/>
      <c r="AW513" s="98"/>
      <c r="AX513" s="99"/>
      <c r="AY513" s="92"/>
      <c r="AZ513" s="96"/>
      <c r="BA513" s="100"/>
    </row>
    <row r="514" spans="28:53" ht="12.75" x14ac:dyDescent="0.2">
      <c r="AB514" s="70"/>
      <c r="AO514" s="70"/>
      <c r="AP514" s="93"/>
      <c r="AQ514" s="94"/>
      <c r="AR514" s="95"/>
      <c r="AS514" s="92"/>
      <c r="AT514" s="96"/>
      <c r="AU514" s="93"/>
      <c r="AV514" s="97"/>
      <c r="AW514" s="98"/>
      <c r="AX514" s="99"/>
      <c r="AY514" s="92"/>
      <c r="AZ514" s="96"/>
      <c r="BA514" s="100"/>
    </row>
    <row r="515" spans="28:53" ht="12.75" x14ac:dyDescent="0.2">
      <c r="AB515" s="70"/>
      <c r="AO515" s="70"/>
      <c r="AP515" s="93"/>
      <c r="AQ515" s="94"/>
      <c r="AR515" s="95"/>
      <c r="AS515" s="92"/>
      <c r="AT515" s="96"/>
      <c r="AU515" s="93"/>
      <c r="AV515" s="97"/>
      <c r="AW515" s="98"/>
      <c r="AX515" s="99"/>
      <c r="AY515" s="92"/>
      <c r="AZ515" s="96"/>
      <c r="BA515" s="100"/>
    </row>
    <row r="516" spans="28:53" ht="12.75" x14ac:dyDescent="0.2">
      <c r="AB516" s="70"/>
      <c r="AO516" s="70"/>
      <c r="AP516" s="93"/>
      <c r="AQ516" s="94"/>
      <c r="AR516" s="95"/>
      <c r="AS516" s="92"/>
      <c r="AT516" s="96"/>
      <c r="AU516" s="93"/>
      <c r="AV516" s="97"/>
      <c r="AW516" s="98"/>
      <c r="AX516" s="99"/>
      <c r="AY516" s="92"/>
      <c r="AZ516" s="96"/>
      <c r="BA516" s="100"/>
    </row>
    <row r="517" spans="28:53" ht="12.75" x14ac:dyDescent="0.2">
      <c r="AB517" s="70"/>
      <c r="AO517" s="70"/>
      <c r="AP517" s="93"/>
      <c r="AQ517" s="94"/>
      <c r="AR517" s="95"/>
      <c r="AS517" s="92"/>
      <c r="AT517" s="96"/>
      <c r="AU517" s="93"/>
      <c r="AV517" s="97"/>
      <c r="AW517" s="98"/>
      <c r="AX517" s="99"/>
      <c r="AY517" s="92"/>
      <c r="AZ517" s="96"/>
      <c r="BA517" s="100"/>
    </row>
    <row r="518" spans="28:53" ht="12.75" x14ac:dyDescent="0.2">
      <c r="AB518" s="70"/>
      <c r="AO518" s="70"/>
      <c r="AP518" s="93"/>
      <c r="AQ518" s="94"/>
      <c r="AR518" s="95"/>
      <c r="AS518" s="92"/>
      <c r="AT518" s="96"/>
      <c r="AU518" s="93"/>
      <c r="AV518" s="97"/>
      <c r="AW518" s="98"/>
      <c r="AX518" s="99"/>
      <c r="AY518" s="92"/>
      <c r="AZ518" s="96"/>
      <c r="BA518" s="100"/>
    </row>
    <row r="519" spans="28:53" ht="12.75" x14ac:dyDescent="0.2">
      <c r="AB519" s="70"/>
      <c r="AO519" s="70"/>
      <c r="AP519" s="93"/>
      <c r="AQ519" s="94"/>
      <c r="AR519" s="95"/>
      <c r="AS519" s="92"/>
      <c r="AT519" s="96"/>
      <c r="AU519" s="93"/>
      <c r="AV519" s="97"/>
      <c r="AW519" s="98"/>
      <c r="AX519" s="99"/>
      <c r="AY519" s="92"/>
      <c r="AZ519" s="96"/>
      <c r="BA519" s="100"/>
    </row>
    <row r="520" spans="28:53" ht="12.75" x14ac:dyDescent="0.2">
      <c r="AB520" s="70"/>
      <c r="AO520" s="70"/>
      <c r="AP520" s="93"/>
      <c r="AQ520" s="94"/>
      <c r="AR520" s="95"/>
      <c r="AS520" s="92"/>
      <c r="AT520" s="96"/>
      <c r="AU520" s="93"/>
      <c r="AV520" s="97"/>
      <c r="AW520" s="98"/>
      <c r="AX520" s="99"/>
      <c r="AY520" s="92"/>
      <c r="AZ520" s="96"/>
      <c r="BA520" s="100"/>
    </row>
    <row r="521" spans="28:53" ht="12.75" x14ac:dyDescent="0.2">
      <c r="AB521" s="70"/>
      <c r="AO521" s="70"/>
      <c r="AP521" s="93"/>
      <c r="AQ521" s="94"/>
      <c r="AR521" s="95"/>
      <c r="AS521" s="92"/>
      <c r="AT521" s="96"/>
      <c r="AU521" s="93"/>
      <c r="AV521" s="97"/>
      <c r="AW521" s="98"/>
      <c r="AX521" s="99"/>
      <c r="AY521" s="92"/>
      <c r="AZ521" s="96"/>
      <c r="BA521" s="100"/>
    </row>
    <row r="522" spans="28:53" ht="12.75" x14ac:dyDescent="0.2">
      <c r="AB522" s="70"/>
      <c r="AO522" s="70"/>
      <c r="AP522" s="93"/>
      <c r="AQ522" s="94"/>
      <c r="AR522" s="95"/>
      <c r="AS522" s="92"/>
      <c r="AT522" s="96"/>
      <c r="AU522" s="93"/>
      <c r="AV522" s="97"/>
      <c r="AW522" s="98"/>
      <c r="AX522" s="99"/>
      <c r="AY522" s="92"/>
      <c r="AZ522" s="96"/>
      <c r="BA522" s="100"/>
    </row>
    <row r="523" spans="28:53" ht="12.75" x14ac:dyDescent="0.2">
      <c r="AB523" s="70"/>
      <c r="AO523" s="70"/>
      <c r="AP523" s="93"/>
      <c r="AQ523" s="94"/>
      <c r="AR523" s="95"/>
      <c r="AS523" s="92"/>
      <c r="AT523" s="96"/>
      <c r="AU523" s="93"/>
      <c r="AV523" s="97"/>
      <c r="AW523" s="98"/>
      <c r="AX523" s="99"/>
      <c r="AY523" s="92"/>
      <c r="AZ523" s="96"/>
      <c r="BA523" s="100"/>
    </row>
    <row r="524" spans="28:53" ht="12.75" x14ac:dyDescent="0.2">
      <c r="AB524" s="70"/>
      <c r="AO524" s="70"/>
      <c r="AP524" s="93"/>
      <c r="AQ524" s="94"/>
      <c r="AR524" s="95"/>
      <c r="AS524" s="92"/>
      <c r="AT524" s="96"/>
      <c r="AU524" s="93"/>
      <c r="AV524" s="97"/>
      <c r="AW524" s="98"/>
      <c r="AX524" s="99"/>
      <c r="AY524" s="92"/>
      <c r="AZ524" s="96"/>
      <c r="BA524" s="100"/>
    </row>
    <row r="525" spans="28:53" ht="12.75" x14ac:dyDescent="0.2">
      <c r="AB525" s="70"/>
      <c r="AO525" s="70"/>
      <c r="AP525" s="93"/>
      <c r="AQ525" s="94"/>
      <c r="AR525" s="95"/>
      <c r="AS525" s="92"/>
      <c r="AT525" s="96"/>
      <c r="AU525" s="93"/>
      <c r="AV525" s="97"/>
      <c r="AW525" s="98"/>
      <c r="AX525" s="99"/>
      <c r="AY525" s="92"/>
      <c r="AZ525" s="96"/>
      <c r="BA525" s="100"/>
    </row>
    <row r="526" spans="28:53" ht="12.75" x14ac:dyDescent="0.2">
      <c r="AB526" s="70"/>
      <c r="AO526" s="70"/>
      <c r="AP526" s="93"/>
      <c r="AQ526" s="94"/>
      <c r="AR526" s="95"/>
      <c r="AS526" s="92"/>
      <c r="AT526" s="96"/>
      <c r="AU526" s="93"/>
      <c r="AV526" s="97"/>
      <c r="AW526" s="98"/>
      <c r="AX526" s="99"/>
      <c r="AY526" s="92"/>
      <c r="AZ526" s="96"/>
      <c r="BA526" s="100"/>
    </row>
    <row r="527" spans="28:53" ht="12.75" x14ac:dyDescent="0.2">
      <c r="AB527" s="70"/>
      <c r="AO527" s="70"/>
      <c r="AP527" s="93"/>
      <c r="AQ527" s="94"/>
      <c r="AR527" s="95"/>
      <c r="AS527" s="92"/>
      <c r="AT527" s="96"/>
      <c r="AU527" s="93"/>
      <c r="AV527" s="97"/>
      <c r="AW527" s="98"/>
      <c r="AX527" s="99"/>
      <c r="AY527" s="92"/>
      <c r="AZ527" s="96"/>
      <c r="BA527" s="100"/>
    </row>
    <row r="528" spans="28:53" ht="12.75" x14ac:dyDescent="0.2">
      <c r="AB528" s="70"/>
      <c r="AO528" s="70"/>
      <c r="AP528" s="93"/>
      <c r="AQ528" s="94"/>
      <c r="AR528" s="95"/>
      <c r="AS528" s="92"/>
      <c r="AT528" s="96"/>
      <c r="AU528" s="93"/>
      <c r="AV528" s="97"/>
      <c r="AW528" s="98"/>
      <c r="AX528" s="99"/>
      <c r="AY528" s="92"/>
      <c r="AZ528" s="96"/>
      <c r="BA528" s="100"/>
    </row>
    <row r="529" spans="28:53" ht="12.75" x14ac:dyDescent="0.2">
      <c r="AB529" s="70"/>
      <c r="AO529" s="70"/>
      <c r="AP529" s="93"/>
      <c r="AQ529" s="94"/>
      <c r="AR529" s="95"/>
      <c r="AS529" s="92"/>
      <c r="AT529" s="96"/>
      <c r="AU529" s="93"/>
      <c r="AV529" s="97"/>
      <c r="AW529" s="98"/>
      <c r="AX529" s="99"/>
      <c r="AY529" s="92"/>
      <c r="AZ529" s="96"/>
      <c r="BA529" s="100"/>
    </row>
    <row r="530" spans="28:53" ht="12.75" x14ac:dyDescent="0.2">
      <c r="AB530" s="70"/>
      <c r="AO530" s="70"/>
      <c r="AP530" s="93"/>
      <c r="AQ530" s="94"/>
      <c r="AR530" s="95"/>
      <c r="AS530" s="92"/>
      <c r="AT530" s="96"/>
      <c r="AU530" s="93"/>
      <c r="AV530" s="97"/>
      <c r="AW530" s="98"/>
      <c r="AX530" s="99"/>
      <c r="AY530" s="92"/>
      <c r="AZ530" s="96"/>
      <c r="BA530" s="100"/>
    </row>
    <row r="531" spans="28:53" ht="12.75" x14ac:dyDescent="0.2">
      <c r="AB531" s="70"/>
      <c r="AO531" s="70"/>
      <c r="AP531" s="93"/>
      <c r="AQ531" s="94"/>
      <c r="AR531" s="95"/>
      <c r="AS531" s="92"/>
      <c r="AT531" s="96"/>
      <c r="AU531" s="93"/>
      <c r="AV531" s="97"/>
      <c r="AW531" s="98"/>
      <c r="AX531" s="99"/>
      <c r="AY531" s="92"/>
      <c r="AZ531" s="96"/>
      <c r="BA531" s="100"/>
    </row>
    <row r="532" spans="28:53" ht="12.75" x14ac:dyDescent="0.2">
      <c r="AB532" s="70"/>
      <c r="AO532" s="70"/>
      <c r="AP532" s="93"/>
      <c r="AQ532" s="94"/>
      <c r="AR532" s="95"/>
      <c r="AS532" s="92"/>
      <c r="AT532" s="96"/>
      <c r="AU532" s="93"/>
      <c r="AV532" s="97"/>
      <c r="AW532" s="98"/>
      <c r="AX532" s="99"/>
      <c r="AY532" s="92"/>
      <c r="AZ532" s="96"/>
      <c r="BA532" s="100"/>
    </row>
    <row r="533" spans="28:53" ht="12.75" x14ac:dyDescent="0.2">
      <c r="AB533" s="70"/>
      <c r="AO533" s="70"/>
      <c r="AP533" s="93"/>
      <c r="AQ533" s="94"/>
      <c r="AR533" s="95"/>
      <c r="AS533" s="92"/>
      <c r="AT533" s="96"/>
      <c r="AU533" s="93"/>
      <c r="AV533" s="97"/>
      <c r="AW533" s="98"/>
      <c r="AX533" s="99"/>
      <c r="AY533" s="92"/>
      <c r="AZ533" s="96"/>
      <c r="BA533" s="100"/>
    </row>
    <row r="534" spans="28:53" ht="12.75" x14ac:dyDescent="0.2">
      <c r="AB534" s="70"/>
      <c r="AO534" s="70"/>
      <c r="AP534" s="93"/>
      <c r="AQ534" s="94"/>
      <c r="AR534" s="95"/>
      <c r="AS534" s="92"/>
      <c r="AT534" s="96"/>
      <c r="AU534" s="93"/>
      <c r="AV534" s="97"/>
      <c r="AW534" s="98"/>
      <c r="AX534" s="99"/>
      <c r="AY534" s="92"/>
      <c r="AZ534" s="96"/>
      <c r="BA534" s="100"/>
    </row>
    <row r="535" spans="28:53" ht="12.75" x14ac:dyDescent="0.2">
      <c r="AB535" s="70"/>
      <c r="AO535" s="70"/>
      <c r="AP535" s="93"/>
      <c r="AQ535" s="94"/>
      <c r="AR535" s="95"/>
      <c r="AS535" s="92"/>
      <c r="AT535" s="96"/>
      <c r="AU535" s="93"/>
      <c r="AV535" s="97"/>
      <c r="AW535" s="98"/>
      <c r="AX535" s="99"/>
      <c r="AY535" s="92"/>
      <c r="AZ535" s="96"/>
      <c r="BA535" s="100"/>
    </row>
    <row r="536" spans="28:53" ht="12.75" x14ac:dyDescent="0.2">
      <c r="AB536" s="70"/>
      <c r="AO536" s="70"/>
      <c r="AP536" s="93"/>
      <c r="AQ536" s="94"/>
      <c r="AR536" s="95"/>
      <c r="AS536" s="92"/>
      <c r="AT536" s="96"/>
      <c r="AU536" s="93"/>
      <c r="AV536" s="97"/>
      <c r="AW536" s="98"/>
      <c r="AX536" s="99"/>
      <c r="AY536" s="92"/>
      <c r="AZ536" s="96"/>
      <c r="BA536" s="100"/>
    </row>
    <row r="537" spans="28:53" ht="12.75" x14ac:dyDescent="0.2">
      <c r="AB537" s="70"/>
      <c r="AO537" s="70"/>
      <c r="AP537" s="93"/>
      <c r="AQ537" s="94"/>
      <c r="AR537" s="95"/>
      <c r="AS537" s="92"/>
      <c r="AT537" s="96"/>
      <c r="AU537" s="93"/>
      <c r="AV537" s="97"/>
      <c r="AW537" s="98"/>
      <c r="AX537" s="99"/>
      <c r="AY537" s="92"/>
      <c r="AZ537" s="96"/>
      <c r="BA537" s="100"/>
    </row>
    <row r="538" spans="28:53" ht="12.75" x14ac:dyDescent="0.2">
      <c r="AB538" s="70"/>
      <c r="AO538" s="70"/>
      <c r="AP538" s="93"/>
      <c r="AQ538" s="94"/>
      <c r="AR538" s="95"/>
      <c r="AS538" s="92"/>
      <c r="AT538" s="96"/>
      <c r="AU538" s="93"/>
      <c r="AV538" s="97"/>
      <c r="AW538" s="98"/>
      <c r="AX538" s="99"/>
      <c r="AY538" s="92"/>
      <c r="AZ538" s="96"/>
      <c r="BA538" s="100"/>
    </row>
    <row r="539" spans="28:53" ht="12.75" x14ac:dyDescent="0.2">
      <c r="AB539" s="70"/>
      <c r="AO539" s="70"/>
      <c r="AP539" s="93"/>
      <c r="AQ539" s="94"/>
      <c r="AR539" s="95"/>
      <c r="AS539" s="92"/>
      <c r="AT539" s="96"/>
      <c r="AU539" s="93"/>
      <c r="AV539" s="97"/>
      <c r="AW539" s="98"/>
      <c r="AX539" s="99"/>
      <c r="AY539" s="92"/>
      <c r="AZ539" s="96"/>
      <c r="BA539" s="100"/>
    </row>
    <row r="540" spans="28:53" ht="12.75" x14ac:dyDescent="0.2">
      <c r="AB540" s="70"/>
      <c r="AO540" s="70"/>
      <c r="AP540" s="93"/>
      <c r="AQ540" s="94"/>
      <c r="AR540" s="95"/>
      <c r="AS540" s="92"/>
      <c r="AT540" s="96"/>
      <c r="AU540" s="93"/>
      <c r="AV540" s="97"/>
      <c r="AW540" s="98"/>
      <c r="AX540" s="99"/>
      <c r="AY540" s="92"/>
      <c r="AZ540" s="96"/>
      <c r="BA540" s="100"/>
    </row>
    <row r="541" spans="28:53" ht="12.75" x14ac:dyDescent="0.2">
      <c r="AB541" s="70"/>
      <c r="AO541" s="70"/>
      <c r="AP541" s="93"/>
      <c r="AQ541" s="94"/>
      <c r="AR541" s="95"/>
      <c r="AS541" s="92"/>
      <c r="AT541" s="96"/>
      <c r="AU541" s="93"/>
      <c r="AV541" s="97"/>
      <c r="AW541" s="98"/>
      <c r="AX541" s="99"/>
      <c r="AY541" s="92"/>
      <c r="AZ541" s="96"/>
      <c r="BA541" s="100"/>
    </row>
    <row r="542" spans="28:53" ht="12.75" x14ac:dyDescent="0.2">
      <c r="AB542" s="70"/>
      <c r="AO542" s="70"/>
      <c r="AP542" s="93"/>
      <c r="AQ542" s="94"/>
      <c r="AR542" s="95"/>
      <c r="AS542" s="92"/>
      <c r="AT542" s="96"/>
      <c r="AU542" s="93"/>
      <c r="AV542" s="97"/>
      <c r="AW542" s="98"/>
      <c r="AX542" s="99"/>
      <c r="AY542" s="92"/>
      <c r="AZ542" s="96"/>
      <c r="BA542" s="100"/>
    </row>
    <row r="543" spans="28:53" ht="12.75" x14ac:dyDescent="0.2">
      <c r="AB543" s="70"/>
      <c r="AO543" s="70"/>
      <c r="AP543" s="93"/>
      <c r="AQ543" s="94"/>
      <c r="AR543" s="95"/>
      <c r="AS543" s="92"/>
      <c r="AT543" s="96"/>
      <c r="AU543" s="93"/>
      <c r="AV543" s="97"/>
      <c r="AW543" s="98"/>
      <c r="AX543" s="99"/>
      <c r="AY543" s="92"/>
      <c r="AZ543" s="96"/>
      <c r="BA543" s="100"/>
    </row>
    <row r="544" spans="28:53" ht="12.75" x14ac:dyDescent="0.2">
      <c r="AB544" s="70"/>
      <c r="AO544" s="70"/>
      <c r="AP544" s="93"/>
      <c r="AQ544" s="94"/>
      <c r="AR544" s="95"/>
      <c r="AS544" s="92"/>
      <c r="AT544" s="96"/>
      <c r="AU544" s="93"/>
      <c r="AV544" s="97"/>
      <c r="AW544" s="98"/>
      <c r="AX544" s="99"/>
      <c r="AY544" s="92"/>
      <c r="AZ544" s="96"/>
      <c r="BA544" s="100"/>
    </row>
    <row r="545" spans="28:53" ht="12.75" x14ac:dyDescent="0.2">
      <c r="AB545" s="70"/>
      <c r="AO545" s="70"/>
      <c r="AP545" s="93"/>
      <c r="AQ545" s="94"/>
      <c r="AR545" s="95"/>
      <c r="AS545" s="92"/>
      <c r="AT545" s="96"/>
      <c r="AU545" s="93"/>
      <c r="AV545" s="97"/>
      <c r="AW545" s="98"/>
      <c r="AX545" s="99"/>
      <c r="AY545" s="92"/>
      <c r="AZ545" s="96"/>
      <c r="BA545" s="100"/>
    </row>
    <row r="546" spans="28:53" ht="12.75" x14ac:dyDescent="0.2">
      <c r="AB546" s="70"/>
      <c r="AO546" s="70"/>
      <c r="AP546" s="93"/>
      <c r="AQ546" s="94"/>
      <c r="AR546" s="95"/>
      <c r="AS546" s="92"/>
      <c r="AT546" s="96"/>
      <c r="AU546" s="93"/>
      <c r="AV546" s="97"/>
      <c r="AW546" s="98"/>
      <c r="AX546" s="99"/>
      <c r="AY546" s="92"/>
      <c r="AZ546" s="96"/>
      <c r="BA546" s="100"/>
    </row>
    <row r="547" spans="28:53" ht="12.75" x14ac:dyDescent="0.2">
      <c r="AB547" s="70"/>
      <c r="AO547" s="70"/>
      <c r="AP547" s="93"/>
      <c r="AQ547" s="94"/>
      <c r="AR547" s="95"/>
      <c r="AS547" s="92"/>
      <c r="AT547" s="96"/>
      <c r="AU547" s="93"/>
      <c r="AV547" s="97"/>
      <c r="AW547" s="98"/>
      <c r="AX547" s="99"/>
      <c r="AY547" s="92"/>
      <c r="AZ547" s="96"/>
      <c r="BA547" s="100"/>
    </row>
    <row r="548" spans="28:53" ht="12.75" x14ac:dyDescent="0.2">
      <c r="AB548" s="70"/>
      <c r="AO548" s="70"/>
      <c r="AP548" s="93"/>
      <c r="AQ548" s="94"/>
      <c r="AR548" s="95"/>
      <c r="AS548" s="92"/>
      <c r="AT548" s="96"/>
      <c r="AU548" s="93"/>
      <c r="AV548" s="97"/>
      <c r="AW548" s="98"/>
      <c r="AX548" s="99"/>
      <c r="AY548" s="92"/>
      <c r="AZ548" s="96"/>
      <c r="BA548" s="100"/>
    </row>
    <row r="549" spans="28:53" ht="12.75" x14ac:dyDescent="0.2">
      <c r="AB549" s="70"/>
      <c r="AO549" s="70"/>
      <c r="AP549" s="93"/>
      <c r="AQ549" s="94"/>
      <c r="AR549" s="95"/>
      <c r="AS549" s="92"/>
      <c r="AT549" s="96"/>
      <c r="AU549" s="93"/>
      <c r="AV549" s="97"/>
      <c r="AW549" s="98"/>
      <c r="AX549" s="99"/>
      <c r="AY549" s="92"/>
      <c r="AZ549" s="96"/>
      <c r="BA549" s="100"/>
    </row>
    <row r="550" spans="28:53" ht="12.75" x14ac:dyDescent="0.2">
      <c r="AB550" s="70"/>
      <c r="AO550" s="70"/>
      <c r="AP550" s="93"/>
      <c r="AQ550" s="94"/>
      <c r="AR550" s="95"/>
      <c r="AS550" s="92"/>
      <c r="AT550" s="96"/>
      <c r="AU550" s="93"/>
      <c r="AV550" s="97"/>
      <c r="AW550" s="98"/>
      <c r="AX550" s="99"/>
      <c r="AY550" s="92"/>
      <c r="AZ550" s="96"/>
      <c r="BA550" s="100"/>
    </row>
    <row r="551" spans="28:53" ht="12.75" x14ac:dyDescent="0.2">
      <c r="AB551" s="70"/>
      <c r="AO551" s="70"/>
      <c r="AP551" s="93"/>
      <c r="AQ551" s="94"/>
      <c r="AR551" s="95"/>
      <c r="AS551" s="92"/>
      <c r="AT551" s="96"/>
      <c r="AU551" s="93"/>
      <c r="AV551" s="97"/>
      <c r="AW551" s="98"/>
      <c r="AX551" s="99"/>
      <c r="AY551" s="92"/>
      <c r="AZ551" s="96"/>
      <c r="BA551" s="100"/>
    </row>
    <row r="552" spans="28:53" ht="12.75" x14ac:dyDescent="0.2">
      <c r="AB552" s="70"/>
      <c r="AO552" s="70"/>
      <c r="AP552" s="93"/>
      <c r="AQ552" s="94"/>
      <c r="AR552" s="95"/>
      <c r="AS552" s="92"/>
      <c r="AT552" s="96"/>
      <c r="AU552" s="93"/>
      <c r="AV552" s="97"/>
      <c r="AW552" s="98"/>
      <c r="AX552" s="99"/>
      <c r="AY552" s="92"/>
      <c r="AZ552" s="96"/>
      <c r="BA552" s="100"/>
    </row>
    <row r="553" spans="28:53" ht="12.75" x14ac:dyDescent="0.2">
      <c r="AB553" s="70"/>
      <c r="AO553" s="70"/>
      <c r="AP553" s="93"/>
      <c r="AQ553" s="94"/>
      <c r="AR553" s="95"/>
      <c r="AS553" s="92"/>
      <c r="AT553" s="96"/>
      <c r="AU553" s="93"/>
      <c r="AV553" s="97"/>
      <c r="AW553" s="98"/>
      <c r="AX553" s="99"/>
      <c r="AY553" s="92"/>
      <c r="AZ553" s="96"/>
      <c r="BA553" s="100"/>
    </row>
    <row r="554" spans="28:53" ht="12.75" x14ac:dyDescent="0.2">
      <c r="AB554" s="70"/>
      <c r="AO554" s="70"/>
      <c r="AP554" s="93"/>
      <c r="AQ554" s="94"/>
      <c r="AR554" s="95"/>
      <c r="AS554" s="92"/>
      <c r="AT554" s="96"/>
      <c r="AU554" s="93"/>
      <c r="AV554" s="97"/>
      <c r="AW554" s="98"/>
      <c r="AX554" s="99"/>
      <c r="AY554" s="92"/>
      <c r="AZ554" s="96"/>
      <c r="BA554" s="100"/>
    </row>
    <row r="555" spans="28:53" ht="12.75" x14ac:dyDescent="0.2">
      <c r="AB555" s="70"/>
      <c r="AO555" s="70"/>
      <c r="AP555" s="93"/>
      <c r="AQ555" s="94"/>
      <c r="AR555" s="95"/>
      <c r="AS555" s="92"/>
      <c r="AT555" s="96"/>
      <c r="AU555" s="93"/>
      <c r="AV555" s="97"/>
      <c r="AW555" s="98"/>
      <c r="AX555" s="99"/>
      <c r="AY555" s="92"/>
      <c r="AZ555" s="96"/>
      <c r="BA555" s="100"/>
    </row>
    <row r="556" spans="28:53" ht="12.75" x14ac:dyDescent="0.2">
      <c r="AB556" s="70"/>
      <c r="AO556" s="70"/>
      <c r="AP556" s="93"/>
      <c r="AQ556" s="94"/>
      <c r="AR556" s="95"/>
      <c r="AS556" s="92"/>
      <c r="AT556" s="96"/>
      <c r="AU556" s="93"/>
      <c r="AV556" s="97"/>
      <c r="AW556" s="98"/>
      <c r="AX556" s="99"/>
      <c r="AY556" s="92"/>
      <c r="AZ556" s="96"/>
      <c r="BA556" s="100"/>
    </row>
    <row r="557" spans="28:53" ht="12.75" x14ac:dyDescent="0.2">
      <c r="AB557" s="70"/>
      <c r="AO557" s="70"/>
      <c r="AP557" s="93"/>
      <c r="AQ557" s="94"/>
      <c r="AR557" s="95"/>
      <c r="AS557" s="92"/>
      <c r="AT557" s="96"/>
      <c r="AU557" s="93"/>
      <c r="AV557" s="97"/>
      <c r="AW557" s="98"/>
      <c r="AX557" s="99"/>
      <c r="AY557" s="92"/>
      <c r="AZ557" s="96"/>
      <c r="BA557" s="100"/>
    </row>
    <row r="558" spans="28:53" ht="12.75" x14ac:dyDescent="0.2">
      <c r="AB558" s="70"/>
      <c r="AO558" s="70"/>
      <c r="AP558" s="93"/>
      <c r="AQ558" s="94"/>
      <c r="AR558" s="95"/>
      <c r="AS558" s="92"/>
      <c r="AT558" s="96"/>
      <c r="AU558" s="93"/>
      <c r="AV558" s="97"/>
      <c r="AW558" s="98"/>
      <c r="AX558" s="99"/>
      <c r="AY558" s="92"/>
      <c r="AZ558" s="96"/>
      <c r="BA558" s="100"/>
    </row>
    <row r="559" spans="28:53" ht="12.75" x14ac:dyDescent="0.2">
      <c r="AB559" s="70"/>
      <c r="AO559" s="70"/>
      <c r="AP559" s="93"/>
      <c r="AQ559" s="94"/>
      <c r="AR559" s="95"/>
      <c r="AS559" s="92"/>
      <c r="AT559" s="96"/>
      <c r="AU559" s="93"/>
      <c r="AV559" s="97"/>
      <c r="AW559" s="98"/>
      <c r="AX559" s="99"/>
      <c r="AY559" s="92"/>
      <c r="AZ559" s="96"/>
      <c r="BA559" s="100"/>
    </row>
    <row r="560" spans="28:53" ht="12.75" x14ac:dyDescent="0.2">
      <c r="AB560" s="70"/>
      <c r="AO560" s="70"/>
      <c r="AP560" s="93"/>
      <c r="AQ560" s="94"/>
      <c r="AR560" s="95"/>
      <c r="AS560" s="92"/>
      <c r="AT560" s="96"/>
      <c r="AU560" s="93"/>
      <c r="AV560" s="97"/>
      <c r="AW560" s="98"/>
      <c r="AX560" s="99"/>
      <c r="AY560" s="92"/>
      <c r="AZ560" s="96"/>
      <c r="BA560" s="100"/>
    </row>
    <row r="561" spans="28:53" ht="12.75" x14ac:dyDescent="0.2">
      <c r="AB561" s="70"/>
      <c r="AO561" s="70"/>
      <c r="AP561" s="93"/>
      <c r="AQ561" s="94"/>
      <c r="AR561" s="95"/>
      <c r="AS561" s="92"/>
      <c r="AT561" s="96"/>
      <c r="AU561" s="93"/>
      <c r="AV561" s="97"/>
      <c r="AW561" s="98"/>
      <c r="AX561" s="99"/>
      <c r="AY561" s="92"/>
      <c r="AZ561" s="96"/>
      <c r="BA561" s="100"/>
    </row>
    <row r="562" spans="28:53" ht="12.75" x14ac:dyDescent="0.2">
      <c r="AB562" s="70"/>
      <c r="AO562" s="70"/>
      <c r="AP562" s="93"/>
      <c r="AQ562" s="94"/>
      <c r="AR562" s="95"/>
      <c r="AS562" s="92"/>
      <c r="AT562" s="96"/>
      <c r="AU562" s="93"/>
      <c r="AV562" s="97"/>
      <c r="AW562" s="98"/>
      <c r="AX562" s="99"/>
      <c r="AY562" s="92"/>
      <c r="AZ562" s="96"/>
      <c r="BA562" s="100"/>
    </row>
    <row r="563" spans="28:53" ht="12.75" x14ac:dyDescent="0.2">
      <c r="AB563" s="70"/>
      <c r="AO563" s="70"/>
      <c r="AP563" s="93"/>
      <c r="AQ563" s="94"/>
      <c r="AR563" s="95"/>
      <c r="AS563" s="92"/>
      <c r="AT563" s="96"/>
      <c r="AU563" s="93"/>
      <c r="AV563" s="97"/>
      <c r="AW563" s="98"/>
      <c r="AX563" s="99"/>
      <c r="AY563" s="92"/>
      <c r="AZ563" s="96"/>
      <c r="BA563" s="100"/>
    </row>
    <row r="564" spans="28:53" ht="12.75" x14ac:dyDescent="0.2">
      <c r="AB564" s="70"/>
      <c r="AO564" s="70"/>
      <c r="AP564" s="93"/>
      <c r="AQ564" s="94"/>
      <c r="AR564" s="95"/>
      <c r="AS564" s="92"/>
      <c r="AT564" s="96"/>
      <c r="AU564" s="93"/>
      <c r="AV564" s="97"/>
      <c r="AW564" s="98"/>
      <c r="AX564" s="99"/>
      <c r="AY564" s="92"/>
      <c r="AZ564" s="96"/>
      <c r="BA564" s="100"/>
    </row>
    <row r="565" spans="28:53" ht="12.75" x14ac:dyDescent="0.2">
      <c r="AB565" s="70"/>
      <c r="AO565" s="70"/>
      <c r="AP565" s="93"/>
      <c r="AQ565" s="94"/>
      <c r="AR565" s="95"/>
      <c r="AS565" s="92"/>
      <c r="AT565" s="96"/>
      <c r="AU565" s="93"/>
      <c r="AV565" s="97"/>
      <c r="AW565" s="98"/>
      <c r="AX565" s="99"/>
      <c r="AY565" s="92"/>
      <c r="AZ565" s="96"/>
      <c r="BA565" s="100"/>
    </row>
    <row r="566" spans="28:53" ht="12.75" x14ac:dyDescent="0.2">
      <c r="AB566" s="70"/>
      <c r="AO566" s="70"/>
      <c r="AP566" s="93"/>
      <c r="AQ566" s="94"/>
      <c r="AR566" s="95"/>
      <c r="AS566" s="92"/>
      <c r="AT566" s="96"/>
      <c r="AU566" s="93"/>
      <c r="AV566" s="97"/>
      <c r="AW566" s="98"/>
      <c r="AX566" s="99"/>
      <c r="AY566" s="92"/>
      <c r="AZ566" s="96"/>
      <c r="BA566" s="100"/>
    </row>
    <row r="567" spans="28:53" ht="12.75" x14ac:dyDescent="0.2">
      <c r="AB567" s="70"/>
      <c r="AO567" s="70"/>
      <c r="AP567" s="93"/>
      <c r="AQ567" s="94"/>
      <c r="AR567" s="95"/>
      <c r="AS567" s="92"/>
      <c r="AT567" s="96"/>
      <c r="AU567" s="93"/>
      <c r="AV567" s="97"/>
      <c r="AW567" s="98"/>
      <c r="AX567" s="99"/>
      <c r="AY567" s="92"/>
      <c r="AZ567" s="96"/>
      <c r="BA567" s="100"/>
    </row>
    <row r="568" spans="28:53" ht="12.75" x14ac:dyDescent="0.2">
      <c r="AB568" s="70"/>
      <c r="AO568" s="70"/>
      <c r="AP568" s="93"/>
      <c r="AQ568" s="94"/>
      <c r="AR568" s="95"/>
      <c r="AS568" s="92"/>
      <c r="AT568" s="96"/>
      <c r="AU568" s="93"/>
      <c r="AV568" s="97"/>
      <c r="AW568" s="98"/>
      <c r="AX568" s="99"/>
      <c r="AY568" s="92"/>
      <c r="AZ568" s="96"/>
      <c r="BA568" s="100"/>
    </row>
    <row r="569" spans="28:53" ht="12.75" x14ac:dyDescent="0.2">
      <c r="AB569" s="70"/>
      <c r="AO569" s="70"/>
      <c r="AP569" s="93"/>
      <c r="AQ569" s="94"/>
      <c r="AR569" s="95"/>
      <c r="AS569" s="92"/>
      <c r="AT569" s="96"/>
      <c r="AU569" s="93"/>
      <c r="AV569" s="97"/>
      <c r="AW569" s="98"/>
      <c r="AX569" s="99"/>
      <c r="AY569" s="92"/>
      <c r="AZ569" s="96"/>
      <c r="BA569" s="100"/>
    </row>
    <row r="570" spans="28:53" ht="12.75" x14ac:dyDescent="0.2">
      <c r="AB570" s="70"/>
      <c r="AO570" s="70"/>
      <c r="AP570" s="93"/>
      <c r="AQ570" s="94"/>
      <c r="AR570" s="95"/>
      <c r="AS570" s="92"/>
      <c r="AT570" s="96"/>
      <c r="AU570" s="93"/>
      <c r="AV570" s="97"/>
      <c r="AW570" s="98"/>
      <c r="AX570" s="99"/>
      <c r="AY570" s="92"/>
      <c r="AZ570" s="96"/>
      <c r="BA570" s="100"/>
    </row>
    <row r="571" spans="28:53" ht="12.75" x14ac:dyDescent="0.2">
      <c r="AB571" s="70"/>
      <c r="AO571" s="70"/>
      <c r="AP571" s="93"/>
      <c r="AQ571" s="94"/>
      <c r="AR571" s="95"/>
      <c r="AS571" s="92"/>
      <c r="AT571" s="96"/>
      <c r="AU571" s="93"/>
      <c r="AV571" s="97"/>
      <c r="AW571" s="98"/>
      <c r="AX571" s="99"/>
      <c r="AY571" s="92"/>
      <c r="AZ571" s="96"/>
      <c r="BA571" s="100"/>
    </row>
    <row r="572" spans="28:53" ht="12.75" x14ac:dyDescent="0.2">
      <c r="AB572" s="70"/>
      <c r="AO572" s="70"/>
      <c r="AP572" s="93"/>
      <c r="AQ572" s="94"/>
      <c r="AR572" s="95"/>
      <c r="AS572" s="92"/>
      <c r="AT572" s="96"/>
      <c r="AU572" s="93"/>
      <c r="AV572" s="97"/>
      <c r="AW572" s="98"/>
      <c r="AX572" s="99"/>
      <c r="AY572" s="92"/>
      <c r="AZ572" s="96"/>
      <c r="BA572" s="100"/>
    </row>
    <row r="573" spans="28:53" ht="12.75" x14ac:dyDescent="0.2">
      <c r="AB573" s="70"/>
      <c r="AO573" s="70"/>
      <c r="AP573" s="93"/>
      <c r="AQ573" s="94"/>
      <c r="AR573" s="95"/>
      <c r="AS573" s="92"/>
      <c r="AT573" s="96"/>
      <c r="AU573" s="93"/>
      <c r="AV573" s="97"/>
      <c r="AW573" s="98"/>
      <c r="AX573" s="99"/>
      <c r="AY573" s="92"/>
      <c r="AZ573" s="96"/>
      <c r="BA573" s="100"/>
    </row>
    <row r="574" spans="28:53" ht="12.75" x14ac:dyDescent="0.2">
      <c r="AB574" s="70"/>
      <c r="AO574" s="70"/>
      <c r="AP574" s="93"/>
      <c r="AQ574" s="94"/>
      <c r="AR574" s="95"/>
      <c r="AS574" s="92"/>
      <c r="AT574" s="96"/>
      <c r="AU574" s="93"/>
      <c r="AV574" s="97"/>
      <c r="AW574" s="98"/>
      <c r="AX574" s="99"/>
      <c r="AY574" s="92"/>
      <c r="AZ574" s="96"/>
      <c r="BA574" s="100"/>
    </row>
    <row r="575" spans="28:53" ht="12.75" x14ac:dyDescent="0.2">
      <c r="AB575" s="70"/>
      <c r="AO575" s="70"/>
      <c r="AP575" s="93"/>
      <c r="AQ575" s="94"/>
      <c r="AR575" s="95"/>
      <c r="AS575" s="92"/>
      <c r="AT575" s="96"/>
      <c r="AU575" s="93"/>
      <c r="AV575" s="97"/>
      <c r="AW575" s="98"/>
      <c r="AX575" s="99"/>
      <c r="AY575" s="92"/>
      <c r="AZ575" s="96"/>
      <c r="BA575" s="100"/>
    </row>
    <row r="576" spans="28:53" ht="12.75" x14ac:dyDescent="0.2">
      <c r="AB576" s="70"/>
      <c r="AO576" s="70"/>
      <c r="AP576" s="93"/>
      <c r="AQ576" s="94"/>
      <c r="AR576" s="95"/>
      <c r="AS576" s="92"/>
      <c r="AT576" s="96"/>
      <c r="AU576" s="93"/>
      <c r="AV576" s="97"/>
      <c r="AW576" s="98"/>
      <c r="AX576" s="99"/>
      <c r="AY576" s="92"/>
      <c r="AZ576" s="96"/>
      <c r="BA576" s="100"/>
    </row>
    <row r="577" spans="28:53" ht="12.75" x14ac:dyDescent="0.2">
      <c r="AB577" s="70"/>
      <c r="AO577" s="70"/>
      <c r="AP577" s="93"/>
      <c r="AQ577" s="94"/>
      <c r="AR577" s="95"/>
      <c r="AS577" s="92"/>
      <c r="AT577" s="96"/>
      <c r="AU577" s="93"/>
      <c r="AV577" s="97"/>
      <c r="AW577" s="98"/>
      <c r="AX577" s="99"/>
      <c r="AY577" s="92"/>
      <c r="AZ577" s="96"/>
      <c r="BA577" s="100"/>
    </row>
    <row r="578" spans="28:53" ht="12.75" x14ac:dyDescent="0.2">
      <c r="AB578" s="70"/>
      <c r="AO578" s="70"/>
      <c r="AP578" s="93"/>
      <c r="AQ578" s="94"/>
      <c r="AR578" s="95"/>
      <c r="AS578" s="92"/>
      <c r="AT578" s="96"/>
      <c r="AU578" s="93"/>
      <c r="AV578" s="97"/>
      <c r="AW578" s="98"/>
      <c r="AX578" s="99"/>
      <c r="AY578" s="92"/>
      <c r="AZ578" s="96"/>
      <c r="BA578" s="100"/>
    </row>
    <row r="579" spans="28:53" ht="12.75" x14ac:dyDescent="0.2">
      <c r="AB579" s="70"/>
      <c r="AO579" s="70"/>
      <c r="AP579" s="93"/>
      <c r="AQ579" s="94"/>
      <c r="AR579" s="95"/>
      <c r="AS579" s="92"/>
      <c r="AT579" s="96"/>
      <c r="AU579" s="93"/>
      <c r="AV579" s="97"/>
      <c r="AW579" s="98"/>
      <c r="AX579" s="99"/>
      <c r="AY579" s="92"/>
      <c r="AZ579" s="96"/>
      <c r="BA579" s="100"/>
    </row>
    <row r="580" spans="28:53" ht="12.75" x14ac:dyDescent="0.2">
      <c r="AB580" s="70"/>
      <c r="AO580" s="70"/>
      <c r="AP580" s="93"/>
      <c r="AQ580" s="94"/>
      <c r="AR580" s="95"/>
      <c r="AS580" s="92"/>
      <c r="AT580" s="96"/>
      <c r="AU580" s="93"/>
      <c r="AV580" s="97"/>
      <c r="AW580" s="98"/>
      <c r="AX580" s="99"/>
      <c r="AY580" s="92"/>
      <c r="AZ580" s="96"/>
      <c r="BA580" s="100"/>
    </row>
    <row r="581" spans="28:53" ht="12.75" x14ac:dyDescent="0.2">
      <c r="AB581" s="70"/>
      <c r="AO581" s="70"/>
      <c r="AP581" s="93"/>
      <c r="AQ581" s="94"/>
      <c r="AR581" s="95"/>
      <c r="AS581" s="92"/>
      <c r="AT581" s="96"/>
      <c r="AU581" s="93"/>
      <c r="AV581" s="97"/>
      <c r="AW581" s="98"/>
      <c r="AX581" s="99"/>
      <c r="AY581" s="92"/>
      <c r="AZ581" s="96"/>
      <c r="BA581" s="100"/>
    </row>
    <row r="582" spans="28:53" ht="12.75" x14ac:dyDescent="0.2">
      <c r="AB582" s="70"/>
      <c r="AO582" s="70"/>
      <c r="AP582" s="93"/>
      <c r="AQ582" s="94"/>
      <c r="AR582" s="95"/>
      <c r="AS582" s="92"/>
      <c r="AT582" s="96"/>
      <c r="AU582" s="93"/>
      <c r="AV582" s="97"/>
      <c r="AW582" s="98"/>
      <c r="AX582" s="99"/>
      <c r="AY582" s="92"/>
      <c r="AZ582" s="96"/>
      <c r="BA582" s="100"/>
    </row>
    <row r="583" spans="28:53" ht="12.75" x14ac:dyDescent="0.2">
      <c r="AB583" s="70"/>
      <c r="AO583" s="70"/>
      <c r="AP583" s="93"/>
      <c r="AQ583" s="94"/>
      <c r="AR583" s="95"/>
      <c r="AS583" s="92"/>
      <c r="AT583" s="96"/>
      <c r="AU583" s="93"/>
      <c r="AV583" s="97"/>
      <c r="AW583" s="98"/>
      <c r="AX583" s="99"/>
      <c r="AY583" s="92"/>
      <c r="AZ583" s="96"/>
      <c r="BA583" s="100"/>
    </row>
    <row r="584" spans="28:53" ht="12.75" x14ac:dyDescent="0.2">
      <c r="AB584" s="70"/>
      <c r="AO584" s="70"/>
      <c r="AP584" s="93"/>
      <c r="AQ584" s="94"/>
      <c r="AR584" s="95"/>
      <c r="AS584" s="92"/>
      <c r="AT584" s="96"/>
      <c r="AU584" s="93"/>
      <c r="AV584" s="97"/>
      <c r="AW584" s="98"/>
      <c r="AX584" s="99"/>
      <c r="AY584" s="92"/>
      <c r="AZ584" s="96"/>
      <c r="BA584" s="100"/>
    </row>
    <row r="585" spans="28:53" ht="12.75" x14ac:dyDescent="0.2">
      <c r="AB585" s="70"/>
      <c r="AO585" s="70"/>
      <c r="AP585" s="93"/>
      <c r="AQ585" s="94"/>
      <c r="AR585" s="95"/>
      <c r="AS585" s="92"/>
      <c r="AT585" s="96"/>
      <c r="AU585" s="93"/>
      <c r="AV585" s="97"/>
      <c r="AW585" s="98"/>
      <c r="AX585" s="99"/>
      <c r="AY585" s="92"/>
      <c r="AZ585" s="96"/>
      <c r="BA585" s="100"/>
    </row>
    <row r="586" spans="28:53" ht="12.75" x14ac:dyDescent="0.2">
      <c r="AB586" s="70"/>
      <c r="AO586" s="70"/>
      <c r="AP586" s="93"/>
      <c r="AQ586" s="94"/>
      <c r="AR586" s="95"/>
      <c r="AS586" s="92"/>
      <c r="AT586" s="96"/>
      <c r="AU586" s="93"/>
      <c r="AV586" s="97"/>
      <c r="AW586" s="98"/>
      <c r="AX586" s="99"/>
      <c r="AY586" s="92"/>
      <c r="AZ586" s="96"/>
      <c r="BA586" s="100"/>
    </row>
    <row r="587" spans="28:53" ht="12.75" x14ac:dyDescent="0.2">
      <c r="AB587" s="70"/>
      <c r="AO587" s="70"/>
      <c r="AP587" s="93"/>
      <c r="AQ587" s="94"/>
      <c r="AR587" s="95"/>
      <c r="AS587" s="92"/>
      <c r="AT587" s="96"/>
      <c r="AU587" s="93"/>
      <c r="AV587" s="97"/>
      <c r="AW587" s="98"/>
      <c r="AX587" s="99"/>
      <c r="AY587" s="92"/>
      <c r="AZ587" s="96"/>
      <c r="BA587" s="100"/>
    </row>
    <row r="588" spans="28:53" ht="12.75" x14ac:dyDescent="0.2">
      <c r="AB588" s="70"/>
      <c r="AO588" s="70"/>
      <c r="AP588" s="93"/>
      <c r="AQ588" s="94"/>
      <c r="AR588" s="95"/>
      <c r="AS588" s="92"/>
      <c r="AT588" s="96"/>
      <c r="AU588" s="93"/>
      <c r="AV588" s="97"/>
      <c r="AW588" s="98"/>
      <c r="AX588" s="99"/>
      <c r="AY588" s="92"/>
      <c r="AZ588" s="96"/>
      <c r="BA588" s="100"/>
    </row>
    <row r="589" spans="28:53" ht="12.75" x14ac:dyDescent="0.2">
      <c r="AB589" s="70"/>
      <c r="AO589" s="70"/>
      <c r="AP589" s="93"/>
      <c r="AQ589" s="94"/>
      <c r="AR589" s="95"/>
      <c r="AS589" s="92"/>
      <c r="AT589" s="96"/>
      <c r="AU589" s="93"/>
      <c r="AV589" s="97"/>
      <c r="AW589" s="98"/>
      <c r="AX589" s="99"/>
      <c r="AY589" s="92"/>
      <c r="AZ589" s="96"/>
      <c r="BA589" s="100"/>
    </row>
    <row r="590" spans="28:53" ht="12.75" x14ac:dyDescent="0.2">
      <c r="AB590" s="70"/>
      <c r="AO590" s="70"/>
      <c r="AP590" s="93"/>
      <c r="AQ590" s="94"/>
      <c r="AR590" s="95"/>
      <c r="AS590" s="92"/>
      <c r="AT590" s="96"/>
      <c r="AU590" s="93"/>
      <c r="AV590" s="97"/>
      <c r="AW590" s="98"/>
      <c r="AX590" s="99"/>
      <c r="AY590" s="92"/>
      <c r="AZ590" s="96"/>
      <c r="BA590" s="100"/>
    </row>
    <row r="591" spans="28:53" ht="12.75" x14ac:dyDescent="0.2">
      <c r="AB591" s="70"/>
      <c r="AO591" s="70"/>
      <c r="AP591" s="93"/>
      <c r="AQ591" s="94"/>
      <c r="AR591" s="95"/>
      <c r="AS591" s="92"/>
      <c r="AT591" s="96"/>
      <c r="AU591" s="93"/>
      <c r="AV591" s="97"/>
      <c r="AW591" s="98"/>
      <c r="AX591" s="99"/>
      <c r="AY591" s="92"/>
      <c r="AZ591" s="96"/>
      <c r="BA591" s="100"/>
    </row>
    <row r="592" spans="28:53" ht="12.75" x14ac:dyDescent="0.2">
      <c r="AB592" s="70"/>
      <c r="AO592" s="70"/>
      <c r="AP592" s="93"/>
      <c r="AQ592" s="94"/>
      <c r="AR592" s="95"/>
      <c r="AS592" s="92"/>
      <c r="AT592" s="96"/>
      <c r="AU592" s="93"/>
      <c r="AV592" s="97"/>
      <c r="AW592" s="98"/>
      <c r="AX592" s="99"/>
      <c r="AY592" s="92"/>
      <c r="AZ592" s="96"/>
      <c r="BA592" s="100"/>
    </row>
    <row r="593" spans="28:53" ht="12.75" x14ac:dyDescent="0.2">
      <c r="AB593" s="70"/>
      <c r="AO593" s="70"/>
      <c r="AP593" s="93"/>
      <c r="AQ593" s="94"/>
      <c r="AR593" s="95"/>
      <c r="AS593" s="92"/>
      <c r="AT593" s="96"/>
      <c r="AU593" s="93"/>
      <c r="AV593" s="97"/>
      <c r="AW593" s="98"/>
      <c r="AX593" s="99"/>
      <c r="AY593" s="92"/>
      <c r="AZ593" s="96"/>
      <c r="BA593" s="100"/>
    </row>
    <row r="594" spans="28:53" ht="12.75" x14ac:dyDescent="0.2">
      <c r="AB594" s="70"/>
      <c r="AO594" s="70"/>
      <c r="AP594" s="93"/>
      <c r="AQ594" s="94"/>
      <c r="AR594" s="95"/>
      <c r="AS594" s="92"/>
      <c r="AT594" s="96"/>
      <c r="AU594" s="93"/>
      <c r="AV594" s="97"/>
      <c r="AW594" s="98"/>
      <c r="AX594" s="99"/>
      <c r="AY594" s="92"/>
      <c r="AZ594" s="96"/>
      <c r="BA594" s="100"/>
    </row>
    <row r="595" spans="28:53" ht="12.75" x14ac:dyDescent="0.2">
      <c r="AB595" s="70"/>
      <c r="AO595" s="70"/>
      <c r="AP595" s="93"/>
      <c r="AQ595" s="94"/>
      <c r="AR595" s="95"/>
      <c r="AS595" s="92"/>
      <c r="AT595" s="96"/>
      <c r="AU595" s="93"/>
      <c r="AV595" s="97"/>
      <c r="AW595" s="98"/>
      <c r="AX595" s="99"/>
      <c r="AY595" s="92"/>
      <c r="AZ595" s="96"/>
      <c r="BA595" s="100"/>
    </row>
    <row r="596" spans="28:53" ht="12.75" x14ac:dyDescent="0.2">
      <c r="AB596" s="70"/>
      <c r="AO596" s="70"/>
      <c r="AP596" s="93"/>
      <c r="AQ596" s="94"/>
      <c r="AR596" s="95"/>
      <c r="AS596" s="92"/>
      <c r="AT596" s="96"/>
      <c r="AU596" s="93"/>
      <c r="AV596" s="97"/>
      <c r="AW596" s="98"/>
      <c r="AX596" s="99"/>
      <c r="AY596" s="92"/>
      <c r="AZ596" s="96"/>
      <c r="BA596" s="100"/>
    </row>
    <row r="597" spans="28:53" ht="12.75" x14ac:dyDescent="0.2">
      <c r="AB597" s="70"/>
      <c r="AO597" s="70"/>
      <c r="AP597" s="93"/>
      <c r="AQ597" s="94"/>
      <c r="AR597" s="95"/>
      <c r="AS597" s="92"/>
      <c r="AT597" s="96"/>
      <c r="AU597" s="93"/>
      <c r="AV597" s="97"/>
      <c r="AW597" s="98"/>
      <c r="AX597" s="99"/>
      <c r="AY597" s="92"/>
      <c r="AZ597" s="96"/>
      <c r="BA597" s="100"/>
    </row>
    <row r="598" spans="28:53" ht="12.75" x14ac:dyDescent="0.2">
      <c r="AB598" s="70"/>
      <c r="AO598" s="70"/>
      <c r="AP598" s="93"/>
      <c r="AQ598" s="94"/>
      <c r="AR598" s="95"/>
      <c r="AS598" s="92"/>
      <c r="AT598" s="96"/>
      <c r="AU598" s="93"/>
      <c r="AV598" s="97"/>
      <c r="AW598" s="98"/>
      <c r="AX598" s="99"/>
      <c r="AY598" s="92"/>
      <c r="AZ598" s="96"/>
      <c r="BA598" s="100"/>
    </row>
    <row r="599" spans="28:53" ht="12.75" x14ac:dyDescent="0.2">
      <c r="AB599" s="70"/>
      <c r="AO599" s="70"/>
      <c r="AP599" s="93"/>
      <c r="AQ599" s="94"/>
      <c r="AR599" s="95"/>
      <c r="AS599" s="92"/>
      <c r="AT599" s="96"/>
      <c r="AU599" s="93"/>
      <c r="AV599" s="97"/>
      <c r="AW599" s="98"/>
      <c r="AX599" s="99"/>
      <c r="AY599" s="92"/>
      <c r="AZ599" s="96"/>
      <c r="BA599" s="100"/>
    </row>
    <row r="600" spans="28:53" ht="12.75" x14ac:dyDescent="0.2">
      <c r="AB600" s="70"/>
      <c r="AO600" s="70"/>
      <c r="AP600" s="93"/>
      <c r="AQ600" s="94"/>
      <c r="AR600" s="95"/>
      <c r="AS600" s="92"/>
      <c r="AT600" s="96"/>
      <c r="AU600" s="93"/>
      <c r="AV600" s="97"/>
      <c r="AW600" s="98"/>
      <c r="AX600" s="99"/>
      <c r="AY600" s="92"/>
      <c r="AZ600" s="96"/>
      <c r="BA600" s="100"/>
    </row>
    <row r="601" spans="28:53" ht="12.75" x14ac:dyDescent="0.2">
      <c r="AB601" s="70"/>
      <c r="AO601" s="70"/>
      <c r="AP601" s="93"/>
      <c r="AQ601" s="94"/>
      <c r="AR601" s="95"/>
      <c r="AS601" s="92"/>
      <c r="AT601" s="96"/>
      <c r="AU601" s="93"/>
      <c r="AV601" s="97"/>
      <c r="AW601" s="98"/>
      <c r="AX601" s="99"/>
      <c r="AY601" s="92"/>
      <c r="AZ601" s="96"/>
      <c r="BA601" s="100"/>
    </row>
    <row r="602" spans="28:53" ht="12.75" x14ac:dyDescent="0.2">
      <c r="AB602" s="70"/>
      <c r="AO602" s="70"/>
      <c r="AP602" s="93"/>
      <c r="AQ602" s="94"/>
      <c r="AR602" s="95"/>
      <c r="AS602" s="92"/>
      <c r="AT602" s="96"/>
      <c r="AU602" s="93"/>
      <c r="AV602" s="97"/>
      <c r="AW602" s="98"/>
      <c r="AX602" s="99"/>
      <c r="AY602" s="92"/>
      <c r="AZ602" s="96"/>
      <c r="BA602" s="100"/>
    </row>
    <row r="603" spans="28:53" ht="12.75" x14ac:dyDescent="0.2">
      <c r="AB603" s="70"/>
      <c r="AO603" s="70"/>
      <c r="AP603" s="93"/>
      <c r="AQ603" s="94"/>
      <c r="AR603" s="95"/>
      <c r="AS603" s="92"/>
      <c r="AT603" s="96"/>
      <c r="AU603" s="93"/>
      <c r="AV603" s="97"/>
      <c r="AW603" s="98"/>
      <c r="AX603" s="99"/>
      <c r="AY603" s="92"/>
      <c r="AZ603" s="96"/>
      <c r="BA603" s="100"/>
    </row>
    <row r="604" spans="28:53" ht="12.75" x14ac:dyDescent="0.2">
      <c r="AB604" s="70"/>
      <c r="AO604" s="70"/>
      <c r="AP604" s="93"/>
      <c r="AQ604" s="94"/>
      <c r="AR604" s="95"/>
      <c r="AS604" s="92"/>
      <c r="AT604" s="96"/>
      <c r="AU604" s="93"/>
      <c r="AV604" s="97"/>
      <c r="AW604" s="98"/>
      <c r="AX604" s="99"/>
      <c r="AY604" s="92"/>
      <c r="AZ604" s="96"/>
      <c r="BA604" s="100"/>
    </row>
    <row r="605" spans="28:53" ht="12.75" x14ac:dyDescent="0.2">
      <c r="AB605" s="70"/>
      <c r="AO605" s="70"/>
      <c r="AP605" s="93"/>
      <c r="AQ605" s="94"/>
      <c r="AR605" s="95"/>
      <c r="AS605" s="92"/>
      <c r="AT605" s="96"/>
      <c r="AU605" s="93"/>
      <c r="AV605" s="97"/>
      <c r="AW605" s="98"/>
      <c r="AX605" s="99"/>
      <c r="AY605" s="92"/>
      <c r="AZ605" s="96"/>
      <c r="BA605" s="100"/>
    </row>
    <row r="606" spans="28:53" ht="12.75" x14ac:dyDescent="0.2">
      <c r="AB606" s="70"/>
      <c r="AO606" s="70"/>
      <c r="AP606" s="93"/>
      <c r="AQ606" s="94"/>
      <c r="AR606" s="95"/>
      <c r="AS606" s="92"/>
      <c r="AT606" s="96"/>
      <c r="AU606" s="93"/>
      <c r="AV606" s="97"/>
      <c r="AW606" s="98"/>
      <c r="AX606" s="99"/>
      <c r="AY606" s="92"/>
      <c r="AZ606" s="96"/>
      <c r="BA606" s="100"/>
    </row>
    <row r="607" spans="28:53" ht="12.75" x14ac:dyDescent="0.2">
      <c r="AB607" s="70"/>
      <c r="AO607" s="70"/>
      <c r="AP607" s="93"/>
      <c r="AQ607" s="94"/>
      <c r="AR607" s="95"/>
      <c r="AS607" s="92"/>
      <c r="AT607" s="96"/>
      <c r="AU607" s="93"/>
      <c r="AV607" s="97"/>
      <c r="AW607" s="98"/>
      <c r="AX607" s="99"/>
      <c r="AY607" s="92"/>
      <c r="AZ607" s="96"/>
      <c r="BA607" s="100"/>
    </row>
    <row r="608" spans="28:53" ht="12.75" x14ac:dyDescent="0.2">
      <c r="AB608" s="70"/>
      <c r="AO608" s="70"/>
      <c r="AP608" s="93"/>
      <c r="AQ608" s="94"/>
      <c r="AR608" s="95"/>
      <c r="AS608" s="92"/>
      <c r="AT608" s="96"/>
      <c r="AU608" s="93"/>
      <c r="AV608" s="97"/>
      <c r="AW608" s="98"/>
      <c r="AX608" s="99"/>
      <c r="AY608" s="92"/>
      <c r="AZ608" s="96"/>
      <c r="BA608" s="100"/>
    </row>
    <row r="609" spans="28:53" ht="12.75" x14ac:dyDescent="0.2">
      <c r="AB609" s="70"/>
      <c r="AO609" s="70"/>
      <c r="AP609" s="93"/>
      <c r="AQ609" s="94"/>
      <c r="AR609" s="95"/>
      <c r="AS609" s="92"/>
      <c r="AT609" s="96"/>
      <c r="AU609" s="93"/>
      <c r="AV609" s="97"/>
      <c r="AW609" s="98"/>
      <c r="AX609" s="99"/>
      <c r="AY609" s="92"/>
      <c r="AZ609" s="96"/>
      <c r="BA609" s="100"/>
    </row>
    <row r="610" spans="28:53" ht="12.75" x14ac:dyDescent="0.2">
      <c r="AB610" s="70"/>
      <c r="AO610" s="70"/>
      <c r="AP610" s="93"/>
      <c r="AQ610" s="94"/>
      <c r="AR610" s="95"/>
      <c r="AS610" s="92"/>
      <c r="AT610" s="96"/>
      <c r="AU610" s="93"/>
      <c r="AV610" s="97"/>
      <c r="AW610" s="98"/>
      <c r="AX610" s="99"/>
      <c r="AY610" s="92"/>
      <c r="AZ610" s="96"/>
      <c r="BA610" s="100"/>
    </row>
    <row r="611" spans="28:53" ht="12.75" x14ac:dyDescent="0.2">
      <c r="AB611" s="70"/>
      <c r="AO611" s="70"/>
      <c r="AP611" s="93"/>
      <c r="AQ611" s="94"/>
      <c r="AR611" s="95"/>
      <c r="AS611" s="92"/>
      <c r="AT611" s="96"/>
      <c r="AU611" s="93"/>
      <c r="AV611" s="97"/>
      <c r="AW611" s="98"/>
      <c r="AX611" s="99"/>
      <c r="AY611" s="92"/>
      <c r="AZ611" s="96"/>
      <c r="BA611" s="100"/>
    </row>
    <row r="612" spans="28:53" ht="12.75" x14ac:dyDescent="0.2">
      <c r="AB612" s="70"/>
      <c r="AO612" s="70"/>
      <c r="AP612" s="93"/>
      <c r="AQ612" s="94"/>
      <c r="AR612" s="95"/>
      <c r="AS612" s="92"/>
      <c r="AT612" s="96"/>
      <c r="AU612" s="93"/>
      <c r="AV612" s="97"/>
      <c r="AW612" s="98"/>
      <c r="AX612" s="99"/>
      <c r="AY612" s="92"/>
      <c r="AZ612" s="96"/>
      <c r="BA612" s="100"/>
    </row>
    <row r="613" spans="28:53" ht="12.75" x14ac:dyDescent="0.2">
      <c r="AB613" s="70"/>
      <c r="AO613" s="70"/>
      <c r="AP613" s="93"/>
      <c r="AQ613" s="94"/>
      <c r="AR613" s="95"/>
      <c r="AS613" s="92"/>
      <c r="AT613" s="96"/>
      <c r="AU613" s="93"/>
      <c r="AV613" s="97"/>
      <c r="AW613" s="98"/>
      <c r="AX613" s="99"/>
      <c r="AY613" s="92"/>
      <c r="AZ613" s="96"/>
      <c r="BA613" s="100"/>
    </row>
    <row r="614" spans="28:53" ht="12.75" x14ac:dyDescent="0.2">
      <c r="AB614" s="70"/>
      <c r="AO614" s="70"/>
      <c r="AP614" s="93"/>
      <c r="AQ614" s="94"/>
      <c r="AR614" s="95"/>
      <c r="AS614" s="92"/>
      <c r="AT614" s="96"/>
      <c r="AU614" s="93"/>
      <c r="AV614" s="97"/>
      <c r="AW614" s="98"/>
      <c r="AX614" s="99"/>
      <c r="AY614" s="92"/>
      <c r="AZ614" s="96"/>
      <c r="BA614" s="100"/>
    </row>
    <row r="615" spans="28:53" ht="12.75" x14ac:dyDescent="0.2">
      <c r="AB615" s="70"/>
      <c r="AO615" s="70"/>
      <c r="AP615" s="93"/>
      <c r="AQ615" s="94"/>
      <c r="AR615" s="95"/>
      <c r="AS615" s="92"/>
      <c r="AT615" s="96"/>
      <c r="AU615" s="93"/>
      <c r="AV615" s="97"/>
      <c r="AW615" s="98"/>
      <c r="AX615" s="99"/>
      <c r="AY615" s="92"/>
      <c r="AZ615" s="96"/>
      <c r="BA615" s="100"/>
    </row>
    <row r="616" spans="28:53" ht="12.75" x14ac:dyDescent="0.2">
      <c r="AB616" s="70"/>
      <c r="AO616" s="70"/>
      <c r="AP616" s="93"/>
      <c r="AQ616" s="94"/>
      <c r="AR616" s="95"/>
      <c r="AS616" s="92"/>
      <c r="AT616" s="96"/>
      <c r="AU616" s="93"/>
      <c r="AV616" s="97"/>
      <c r="AW616" s="98"/>
      <c r="AX616" s="99"/>
      <c r="AY616" s="92"/>
      <c r="AZ616" s="96"/>
      <c r="BA616" s="100"/>
    </row>
    <row r="617" spans="28:53" ht="12.75" x14ac:dyDescent="0.2">
      <c r="AB617" s="70"/>
      <c r="AO617" s="70"/>
      <c r="AP617" s="93"/>
      <c r="AQ617" s="94"/>
      <c r="AR617" s="95"/>
      <c r="AS617" s="92"/>
      <c r="AT617" s="96"/>
      <c r="AU617" s="93"/>
      <c r="AV617" s="97"/>
      <c r="AW617" s="98"/>
      <c r="AX617" s="99"/>
      <c r="AY617" s="92"/>
      <c r="AZ617" s="96"/>
      <c r="BA617" s="100"/>
    </row>
    <row r="618" spans="28:53" ht="12.75" x14ac:dyDescent="0.2">
      <c r="AB618" s="70"/>
      <c r="AO618" s="70"/>
      <c r="AP618" s="93"/>
      <c r="AQ618" s="94"/>
      <c r="AR618" s="95"/>
      <c r="AS618" s="92"/>
      <c r="AT618" s="96"/>
      <c r="AU618" s="93"/>
      <c r="AV618" s="97"/>
      <c r="AW618" s="98"/>
      <c r="AX618" s="99"/>
      <c r="AY618" s="92"/>
      <c r="AZ618" s="96"/>
      <c r="BA618" s="100"/>
    </row>
    <row r="619" spans="28:53" ht="12.75" x14ac:dyDescent="0.2">
      <c r="AB619" s="70"/>
      <c r="AO619" s="70"/>
      <c r="AP619" s="93"/>
      <c r="AQ619" s="94"/>
      <c r="AR619" s="95"/>
      <c r="AS619" s="92"/>
      <c r="AT619" s="96"/>
      <c r="AU619" s="93"/>
      <c r="AV619" s="97"/>
      <c r="AW619" s="98"/>
      <c r="AX619" s="99"/>
      <c r="AY619" s="92"/>
      <c r="AZ619" s="96"/>
      <c r="BA619" s="100"/>
    </row>
    <row r="620" spans="28:53" ht="12.75" x14ac:dyDescent="0.2">
      <c r="AB620" s="70"/>
      <c r="AO620" s="70"/>
      <c r="AP620" s="93"/>
      <c r="AQ620" s="94"/>
      <c r="AR620" s="95"/>
      <c r="AS620" s="92"/>
      <c r="AT620" s="96"/>
      <c r="AU620" s="93"/>
      <c r="AV620" s="97"/>
      <c r="AW620" s="98"/>
      <c r="AX620" s="99"/>
      <c r="AY620" s="92"/>
      <c r="AZ620" s="96"/>
      <c r="BA620" s="100"/>
    </row>
    <row r="621" spans="28:53" ht="12.75" x14ac:dyDescent="0.2">
      <c r="AB621" s="70"/>
      <c r="AO621" s="70"/>
      <c r="AP621" s="93"/>
      <c r="AQ621" s="94"/>
      <c r="AR621" s="95"/>
      <c r="AS621" s="92"/>
      <c r="AT621" s="96"/>
      <c r="AU621" s="93"/>
      <c r="AV621" s="97"/>
      <c r="AW621" s="98"/>
      <c r="AX621" s="99"/>
      <c r="AY621" s="92"/>
      <c r="AZ621" s="96"/>
      <c r="BA621" s="100"/>
    </row>
    <row r="622" spans="28:53" ht="12.75" x14ac:dyDescent="0.2">
      <c r="AB622" s="70"/>
      <c r="AO622" s="70"/>
      <c r="AP622" s="93"/>
      <c r="AQ622" s="94"/>
      <c r="AR622" s="95"/>
      <c r="AS622" s="92"/>
      <c r="AT622" s="96"/>
      <c r="AU622" s="93"/>
      <c r="AV622" s="97"/>
      <c r="AW622" s="98"/>
      <c r="AX622" s="99"/>
      <c r="AY622" s="92"/>
      <c r="AZ622" s="96"/>
      <c r="BA622" s="100"/>
    </row>
    <row r="623" spans="28:53" ht="12.75" x14ac:dyDescent="0.2">
      <c r="AB623" s="70"/>
      <c r="AO623" s="70"/>
      <c r="AP623" s="93"/>
      <c r="AQ623" s="94"/>
      <c r="AR623" s="95"/>
      <c r="AS623" s="92"/>
      <c r="AT623" s="96"/>
      <c r="AU623" s="93"/>
      <c r="AV623" s="97"/>
      <c r="AW623" s="98"/>
      <c r="AX623" s="99"/>
      <c r="AY623" s="92"/>
      <c r="AZ623" s="96"/>
      <c r="BA623" s="100"/>
    </row>
    <row r="624" spans="28:53" ht="12.75" x14ac:dyDescent="0.2">
      <c r="AB624" s="70"/>
      <c r="AO624" s="70"/>
      <c r="AP624" s="93"/>
      <c r="AQ624" s="94"/>
      <c r="AR624" s="95"/>
      <c r="AS624" s="92"/>
      <c r="AT624" s="96"/>
      <c r="AU624" s="93"/>
      <c r="AV624" s="97"/>
      <c r="AW624" s="98"/>
      <c r="AX624" s="99"/>
      <c r="AY624" s="92"/>
      <c r="AZ624" s="96"/>
      <c r="BA624" s="100"/>
    </row>
    <row r="625" spans="28:53" ht="12.75" x14ac:dyDescent="0.2">
      <c r="AB625" s="70"/>
      <c r="AO625" s="70"/>
      <c r="AP625" s="93"/>
      <c r="AQ625" s="94"/>
      <c r="AR625" s="95"/>
      <c r="AS625" s="92"/>
      <c r="AT625" s="96"/>
      <c r="AU625" s="93"/>
      <c r="AV625" s="97"/>
      <c r="AW625" s="98"/>
      <c r="AX625" s="99"/>
      <c r="AY625" s="92"/>
      <c r="AZ625" s="96"/>
      <c r="BA625" s="100"/>
    </row>
    <row r="626" spans="28:53" ht="12.75" x14ac:dyDescent="0.2">
      <c r="AB626" s="70"/>
      <c r="AO626" s="70"/>
      <c r="AP626" s="93"/>
      <c r="AQ626" s="94"/>
      <c r="AR626" s="95"/>
      <c r="AS626" s="92"/>
      <c r="AT626" s="96"/>
      <c r="AU626" s="93"/>
      <c r="AV626" s="97"/>
      <c r="AW626" s="98"/>
      <c r="AX626" s="99"/>
      <c r="AY626" s="92"/>
      <c r="AZ626" s="96"/>
      <c r="BA626" s="100"/>
    </row>
    <row r="627" spans="28:53" ht="12.75" x14ac:dyDescent="0.2">
      <c r="AB627" s="70"/>
      <c r="AO627" s="70"/>
      <c r="AP627" s="93"/>
      <c r="AQ627" s="94"/>
      <c r="AR627" s="95"/>
      <c r="AS627" s="92"/>
      <c r="AT627" s="96"/>
      <c r="AU627" s="93"/>
      <c r="AV627" s="97"/>
      <c r="AW627" s="98"/>
      <c r="AX627" s="99"/>
      <c r="AY627" s="92"/>
      <c r="AZ627" s="96"/>
      <c r="BA627" s="100"/>
    </row>
    <row r="628" spans="28:53" ht="12.75" x14ac:dyDescent="0.2">
      <c r="AB628" s="70"/>
      <c r="AO628" s="70"/>
      <c r="AP628" s="93"/>
      <c r="AQ628" s="94"/>
      <c r="AR628" s="95"/>
      <c r="AS628" s="92"/>
      <c r="AT628" s="96"/>
      <c r="AU628" s="93"/>
      <c r="AV628" s="97"/>
      <c r="AW628" s="98"/>
      <c r="AX628" s="99"/>
      <c r="AY628" s="92"/>
      <c r="AZ628" s="96"/>
      <c r="BA628" s="100"/>
    </row>
    <row r="629" spans="28:53" ht="12.75" x14ac:dyDescent="0.2">
      <c r="AB629" s="70"/>
      <c r="AO629" s="70"/>
      <c r="AP629" s="93"/>
      <c r="AQ629" s="94"/>
      <c r="AR629" s="95"/>
      <c r="AS629" s="92"/>
      <c r="AT629" s="96"/>
      <c r="AU629" s="93"/>
      <c r="AV629" s="97"/>
      <c r="AW629" s="98"/>
      <c r="AX629" s="99"/>
      <c r="AY629" s="92"/>
      <c r="AZ629" s="96"/>
      <c r="BA629" s="100"/>
    </row>
    <row r="630" spans="28:53" ht="12.75" x14ac:dyDescent="0.2">
      <c r="AB630" s="70"/>
      <c r="AO630" s="70"/>
      <c r="AP630" s="93"/>
      <c r="AQ630" s="94"/>
      <c r="AR630" s="95"/>
      <c r="AS630" s="92"/>
      <c r="AT630" s="96"/>
      <c r="AU630" s="93"/>
      <c r="AV630" s="97"/>
      <c r="AW630" s="98"/>
      <c r="AX630" s="99"/>
      <c r="AY630" s="92"/>
      <c r="AZ630" s="96"/>
      <c r="BA630" s="100"/>
    </row>
    <row r="631" spans="28:53" ht="12.75" x14ac:dyDescent="0.2">
      <c r="AB631" s="70"/>
      <c r="AO631" s="70"/>
      <c r="AP631" s="93"/>
      <c r="AQ631" s="94"/>
      <c r="AR631" s="95"/>
      <c r="AS631" s="92"/>
      <c r="AT631" s="96"/>
      <c r="AU631" s="93"/>
      <c r="AV631" s="97"/>
      <c r="AW631" s="98"/>
      <c r="AX631" s="99"/>
      <c r="AY631" s="92"/>
      <c r="AZ631" s="96"/>
      <c r="BA631" s="100"/>
    </row>
    <row r="632" spans="28:53" ht="12.75" x14ac:dyDescent="0.2">
      <c r="AB632" s="70"/>
      <c r="AO632" s="70"/>
      <c r="AP632" s="93"/>
      <c r="AQ632" s="94"/>
      <c r="AR632" s="95"/>
      <c r="AS632" s="92"/>
      <c r="AT632" s="96"/>
      <c r="AU632" s="93"/>
      <c r="AV632" s="97"/>
      <c r="AW632" s="98"/>
      <c r="AX632" s="99"/>
      <c r="AY632" s="92"/>
      <c r="AZ632" s="96"/>
      <c r="BA632" s="100"/>
    </row>
    <row r="633" spans="28:53" ht="12.75" x14ac:dyDescent="0.2">
      <c r="AB633" s="70"/>
      <c r="AO633" s="70"/>
      <c r="AP633" s="93"/>
      <c r="AQ633" s="94"/>
      <c r="AR633" s="95"/>
      <c r="AS633" s="92"/>
      <c r="AT633" s="96"/>
      <c r="AU633" s="93"/>
      <c r="AV633" s="97"/>
      <c r="AW633" s="98"/>
      <c r="AX633" s="99"/>
      <c r="AY633" s="92"/>
      <c r="AZ633" s="96"/>
      <c r="BA633" s="100"/>
    </row>
    <row r="634" spans="28:53" ht="12.75" x14ac:dyDescent="0.2">
      <c r="AB634" s="70"/>
      <c r="AO634" s="70"/>
      <c r="AP634" s="93"/>
      <c r="AQ634" s="94"/>
      <c r="AR634" s="95"/>
      <c r="AS634" s="92"/>
      <c r="AT634" s="96"/>
      <c r="AU634" s="93"/>
      <c r="AV634" s="97"/>
      <c r="AW634" s="98"/>
      <c r="AX634" s="99"/>
      <c r="AY634" s="92"/>
      <c r="AZ634" s="96"/>
      <c r="BA634" s="100"/>
    </row>
    <row r="635" spans="28:53" ht="12.75" x14ac:dyDescent="0.2">
      <c r="AB635" s="70"/>
      <c r="AO635" s="70"/>
      <c r="AP635" s="93"/>
      <c r="AQ635" s="94"/>
      <c r="AR635" s="95"/>
      <c r="AS635" s="92"/>
      <c r="AT635" s="96"/>
      <c r="AU635" s="93"/>
      <c r="AV635" s="97"/>
      <c r="AW635" s="98"/>
      <c r="AX635" s="99"/>
      <c r="AY635" s="92"/>
      <c r="AZ635" s="96"/>
      <c r="BA635" s="100"/>
    </row>
    <row r="636" spans="28:53" ht="12.75" x14ac:dyDescent="0.2">
      <c r="AB636" s="70"/>
      <c r="AO636" s="70"/>
      <c r="AP636" s="93"/>
      <c r="AQ636" s="94"/>
      <c r="AR636" s="95"/>
      <c r="AS636" s="92"/>
      <c r="AT636" s="96"/>
      <c r="AU636" s="93"/>
      <c r="AV636" s="97"/>
      <c r="AW636" s="98"/>
      <c r="AX636" s="99"/>
      <c r="AY636" s="92"/>
      <c r="AZ636" s="96"/>
      <c r="BA636" s="100"/>
    </row>
    <row r="637" spans="28:53" ht="12.75" x14ac:dyDescent="0.2">
      <c r="AB637" s="70"/>
      <c r="AO637" s="70"/>
      <c r="AP637" s="93"/>
      <c r="AQ637" s="94"/>
      <c r="AR637" s="95"/>
      <c r="AS637" s="92"/>
      <c r="AT637" s="96"/>
      <c r="AU637" s="93"/>
      <c r="AV637" s="97"/>
      <c r="AW637" s="98"/>
      <c r="AX637" s="99"/>
      <c r="AY637" s="92"/>
      <c r="AZ637" s="96"/>
      <c r="BA637" s="100"/>
    </row>
    <row r="638" spans="28:53" ht="12.75" x14ac:dyDescent="0.2">
      <c r="AB638" s="70"/>
      <c r="AO638" s="70"/>
      <c r="AP638" s="93"/>
      <c r="AQ638" s="94"/>
      <c r="AR638" s="95"/>
      <c r="AS638" s="92"/>
      <c r="AT638" s="96"/>
      <c r="AU638" s="93"/>
      <c r="AV638" s="97"/>
      <c r="AW638" s="98"/>
      <c r="AX638" s="99"/>
      <c r="AY638" s="92"/>
      <c r="AZ638" s="96"/>
      <c r="BA638" s="100"/>
    </row>
    <row r="639" spans="28:53" ht="12.75" x14ac:dyDescent="0.2">
      <c r="AB639" s="70"/>
      <c r="AO639" s="70"/>
      <c r="AP639" s="93"/>
      <c r="AQ639" s="94"/>
      <c r="AR639" s="95"/>
      <c r="AS639" s="92"/>
      <c r="AT639" s="96"/>
      <c r="AU639" s="93"/>
      <c r="AV639" s="97"/>
      <c r="AW639" s="98"/>
      <c r="AX639" s="99"/>
      <c r="AY639" s="92"/>
      <c r="AZ639" s="96"/>
      <c r="BA639" s="100"/>
    </row>
    <row r="640" spans="28:53" ht="12.75" x14ac:dyDescent="0.2">
      <c r="AB640" s="70"/>
      <c r="AO640" s="70"/>
      <c r="AP640" s="93"/>
      <c r="AQ640" s="94"/>
      <c r="AR640" s="95"/>
      <c r="AS640" s="92"/>
      <c r="AT640" s="96"/>
      <c r="AU640" s="93"/>
      <c r="AV640" s="97"/>
      <c r="AW640" s="98"/>
      <c r="AX640" s="99"/>
      <c r="AY640" s="92"/>
      <c r="AZ640" s="96"/>
      <c r="BA640" s="100"/>
    </row>
    <row r="641" spans="28:53" ht="12.75" x14ac:dyDescent="0.2">
      <c r="AB641" s="70"/>
      <c r="AO641" s="70"/>
      <c r="AP641" s="93"/>
      <c r="AQ641" s="94"/>
      <c r="AR641" s="95"/>
      <c r="AS641" s="92"/>
      <c r="AT641" s="96"/>
      <c r="AU641" s="93"/>
      <c r="AV641" s="97"/>
      <c r="AW641" s="98"/>
      <c r="AX641" s="99"/>
      <c r="AY641" s="92"/>
      <c r="AZ641" s="96"/>
      <c r="BA641" s="100"/>
    </row>
    <row r="642" spans="28:53" ht="12.75" x14ac:dyDescent="0.2">
      <c r="AB642" s="70"/>
      <c r="AO642" s="70"/>
      <c r="AP642" s="93"/>
      <c r="AQ642" s="94"/>
      <c r="AR642" s="95"/>
      <c r="AS642" s="92"/>
      <c r="AT642" s="96"/>
      <c r="AU642" s="93"/>
      <c r="AV642" s="97"/>
      <c r="AW642" s="98"/>
      <c r="AX642" s="99"/>
      <c r="AY642" s="92"/>
      <c r="AZ642" s="96"/>
      <c r="BA642" s="100"/>
    </row>
    <row r="643" spans="28:53" ht="12.75" x14ac:dyDescent="0.2">
      <c r="AB643" s="70"/>
      <c r="AO643" s="70"/>
      <c r="AP643" s="93"/>
      <c r="AQ643" s="94"/>
      <c r="AR643" s="95"/>
      <c r="AS643" s="92"/>
      <c r="AT643" s="96"/>
      <c r="AU643" s="93"/>
      <c r="AV643" s="97"/>
      <c r="AW643" s="98"/>
      <c r="AX643" s="99"/>
      <c r="AY643" s="92"/>
      <c r="AZ643" s="96"/>
      <c r="BA643" s="100"/>
    </row>
    <row r="644" spans="28:53" ht="12.75" x14ac:dyDescent="0.2">
      <c r="AB644" s="70"/>
      <c r="AO644" s="70"/>
      <c r="AP644" s="93"/>
      <c r="AQ644" s="94"/>
      <c r="AR644" s="95"/>
      <c r="AS644" s="92"/>
      <c r="AT644" s="96"/>
      <c r="AU644" s="93"/>
      <c r="AV644" s="97"/>
      <c r="AW644" s="98"/>
      <c r="AX644" s="99"/>
      <c r="AY644" s="92"/>
      <c r="AZ644" s="96"/>
      <c r="BA644" s="100"/>
    </row>
    <row r="645" spans="28:53" ht="12.75" x14ac:dyDescent="0.2">
      <c r="AB645" s="70"/>
      <c r="AO645" s="70"/>
      <c r="AP645" s="93"/>
      <c r="AQ645" s="94"/>
      <c r="AR645" s="95"/>
      <c r="AS645" s="92"/>
      <c r="AT645" s="96"/>
      <c r="AU645" s="93"/>
      <c r="AV645" s="97"/>
      <c r="AW645" s="98"/>
      <c r="AX645" s="99"/>
      <c r="AY645" s="92"/>
      <c r="AZ645" s="96"/>
      <c r="BA645" s="100"/>
    </row>
    <row r="646" spans="28:53" ht="12.75" x14ac:dyDescent="0.2">
      <c r="AB646" s="70"/>
      <c r="AO646" s="70"/>
      <c r="AP646" s="93"/>
      <c r="AQ646" s="94"/>
      <c r="AR646" s="95"/>
      <c r="AS646" s="92"/>
      <c r="AT646" s="96"/>
      <c r="AU646" s="93"/>
      <c r="AV646" s="97"/>
      <c r="AW646" s="98"/>
      <c r="AX646" s="99"/>
      <c r="AY646" s="92"/>
      <c r="AZ646" s="96"/>
      <c r="BA646" s="100"/>
    </row>
    <row r="647" spans="28:53" ht="12.75" x14ac:dyDescent="0.2">
      <c r="AB647" s="70"/>
      <c r="AO647" s="70"/>
      <c r="AP647" s="93"/>
      <c r="AQ647" s="94"/>
      <c r="AR647" s="95"/>
      <c r="AS647" s="92"/>
      <c r="AT647" s="96"/>
      <c r="AU647" s="93"/>
      <c r="AV647" s="97"/>
      <c r="AW647" s="98"/>
      <c r="AX647" s="99"/>
      <c r="AY647" s="92"/>
      <c r="AZ647" s="96"/>
      <c r="BA647" s="100"/>
    </row>
    <row r="648" spans="28:53" ht="12.75" x14ac:dyDescent="0.2">
      <c r="AB648" s="70"/>
      <c r="AO648" s="70"/>
      <c r="AP648" s="93"/>
      <c r="AQ648" s="94"/>
      <c r="AR648" s="95"/>
      <c r="AS648" s="92"/>
      <c r="AT648" s="96"/>
      <c r="AU648" s="93"/>
      <c r="AV648" s="97"/>
      <c r="AW648" s="98"/>
      <c r="AX648" s="99"/>
      <c r="AY648" s="92"/>
      <c r="AZ648" s="96"/>
      <c r="BA648" s="100"/>
    </row>
    <row r="649" spans="28:53" ht="12.75" x14ac:dyDescent="0.2">
      <c r="AB649" s="70"/>
      <c r="AO649" s="70"/>
      <c r="AP649" s="93"/>
      <c r="AQ649" s="94"/>
      <c r="AR649" s="95"/>
      <c r="AS649" s="92"/>
      <c r="AT649" s="96"/>
      <c r="AU649" s="93"/>
      <c r="AV649" s="97"/>
      <c r="AW649" s="98"/>
      <c r="AX649" s="99"/>
      <c r="AY649" s="92"/>
      <c r="AZ649" s="96"/>
      <c r="BA649" s="100"/>
    </row>
    <row r="650" spans="28:53" ht="12.75" x14ac:dyDescent="0.2">
      <c r="AB650" s="70"/>
      <c r="AO650" s="70"/>
      <c r="AP650" s="93"/>
      <c r="AQ650" s="94"/>
      <c r="AR650" s="95"/>
      <c r="AS650" s="92"/>
      <c r="AT650" s="96"/>
      <c r="AU650" s="93"/>
      <c r="AV650" s="97"/>
      <c r="AW650" s="98"/>
      <c r="AX650" s="99"/>
      <c r="AY650" s="92"/>
      <c r="AZ650" s="96"/>
      <c r="BA650" s="100"/>
    </row>
    <row r="651" spans="28:53" ht="12.75" x14ac:dyDescent="0.2">
      <c r="AB651" s="70"/>
      <c r="AO651" s="70"/>
      <c r="AP651" s="93"/>
      <c r="AQ651" s="94"/>
      <c r="AR651" s="95"/>
      <c r="AS651" s="92"/>
      <c r="AT651" s="96"/>
      <c r="AU651" s="93"/>
      <c r="AV651" s="97"/>
      <c r="AW651" s="98"/>
      <c r="AX651" s="99"/>
      <c r="AY651" s="92"/>
      <c r="AZ651" s="96"/>
      <c r="BA651" s="100"/>
    </row>
    <row r="652" spans="28:53" ht="12.75" x14ac:dyDescent="0.2">
      <c r="AB652" s="70"/>
      <c r="AO652" s="70"/>
      <c r="AP652" s="93"/>
      <c r="AQ652" s="94"/>
      <c r="AR652" s="95"/>
      <c r="AS652" s="92"/>
      <c r="AT652" s="96"/>
      <c r="AU652" s="93"/>
      <c r="AV652" s="97"/>
      <c r="AW652" s="98"/>
      <c r="AX652" s="99"/>
      <c r="AY652" s="92"/>
      <c r="AZ652" s="96"/>
      <c r="BA652" s="100"/>
    </row>
    <row r="653" spans="28:53" ht="12.75" x14ac:dyDescent="0.2">
      <c r="AB653" s="70"/>
      <c r="AO653" s="70"/>
      <c r="AP653" s="93"/>
      <c r="AQ653" s="94"/>
      <c r="AR653" s="95"/>
      <c r="AS653" s="92"/>
      <c r="AT653" s="96"/>
      <c r="AU653" s="93"/>
      <c r="AV653" s="97"/>
      <c r="AW653" s="98"/>
      <c r="AX653" s="99"/>
      <c r="AY653" s="92"/>
      <c r="AZ653" s="96"/>
      <c r="BA653" s="100"/>
    </row>
    <row r="654" spans="28:53" ht="12.75" x14ac:dyDescent="0.2">
      <c r="AB654" s="70"/>
      <c r="AO654" s="70"/>
      <c r="AP654" s="93"/>
      <c r="AQ654" s="94"/>
      <c r="AR654" s="95"/>
      <c r="AS654" s="92"/>
      <c r="AT654" s="96"/>
      <c r="AU654" s="93"/>
      <c r="AV654" s="97"/>
      <c r="AW654" s="98"/>
      <c r="AX654" s="99"/>
      <c r="AY654" s="92"/>
      <c r="AZ654" s="96"/>
      <c r="BA654" s="100"/>
    </row>
    <row r="655" spans="28:53" ht="12.75" x14ac:dyDescent="0.2">
      <c r="AB655" s="70"/>
      <c r="AO655" s="70"/>
      <c r="AP655" s="93"/>
      <c r="AQ655" s="94"/>
      <c r="AR655" s="95"/>
      <c r="AS655" s="92"/>
      <c r="AT655" s="96"/>
      <c r="AU655" s="93"/>
      <c r="AV655" s="97"/>
      <c r="AW655" s="98"/>
      <c r="AX655" s="99"/>
      <c r="AY655" s="92"/>
      <c r="AZ655" s="96"/>
      <c r="BA655" s="100"/>
    </row>
    <row r="656" spans="28:53" ht="12.75" x14ac:dyDescent="0.2">
      <c r="AB656" s="70"/>
      <c r="AO656" s="70"/>
      <c r="AP656" s="93"/>
      <c r="AQ656" s="94"/>
      <c r="AR656" s="95"/>
      <c r="AS656" s="92"/>
      <c r="AT656" s="96"/>
      <c r="AU656" s="93"/>
      <c r="AV656" s="97"/>
      <c r="AW656" s="98"/>
      <c r="AX656" s="99"/>
      <c r="AY656" s="92"/>
      <c r="AZ656" s="96"/>
      <c r="BA656" s="100"/>
    </row>
    <row r="657" spans="28:53" ht="12.75" x14ac:dyDescent="0.2">
      <c r="AB657" s="70"/>
      <c r="AO657" s="70"/>
      <c r="AP657" s="93"/>
      <c r="AQ657" s="94"/>
      <c r="AR657" s="95"/>
      <c r="AS657" s="92"/>
      <c r="AT657" s="96"/>
      <c r="AU657" s="93"/>
      <c r="AV657" s="97"/>
      <c r="AW657" s="98"/>
      <c r="AX657" s="99"/>
      <c r="AY657" s="92"/>
      <c r="AZ657" s="96"/>
      <c r="BA657" s="100"/>
    </row>
    <row r="658" spans="28:53" ht="12.75" x14ac:dyDescent="0.2">
      <c r="AB658" s="70"/>
      <c r="AO658" s="70"/>
      <c r="AP658" s="93"/>
      <c r="AQ658" s="94"/>
      <c r="AR658" s="95"/>
      <c r="AS658" s="92"/>
      <c r="AT658" s="96"/>
      <c r="AU658" s="93"/>
      <c r="AV658" s="97"/>
      <c r="AW658" s="98"/>
      <c r="AX658" s="99"/>
      <c r="AY658" s="92"/>
      <c r="AZ658" s="96"/>
      <c r="BA658" s="100"/>
    </row>
    <row r="659" spans="28:53" ht="12.75" x14ac:dyDescent="0.2">
      <c r="AB659" s="70"/>
      <c r="AO659" s="70"/>
      <c r="AP659" s="93"/>
      <c r="AQ659" s="94"/>
      <c r="AR659" s="95"/>
      <c r="AS659" s="92"/>
      <c r="AT659" s="96"/>
      <c r="AU659" s="93"/>
      <c r="AV659" s="97"/>
      <c r="AW659" s="98"/>
      <c r="AX659" s="99"/>
      <c r="AY659" s="92"/>
      <c r="AZ659" s="96"/>
      <c r="BA659" s="100"/>
    </row>
    <row r="660" spans="28:53" ht="12.75" x14ac:dyDescent="0.2">
      <c r="AB660" s="70"/>
      <c r="AO660" s="70"/>
      <c r="AP660" s="93"/>
      <c r="AQ660" s="94"/>
      <c r="AR660" s="95"/>
      <c r="AS660" s="92"/>
      <c r="AT660" s="96"/>
      <c r="AU660" s="93"/>
      <c r="AV660" s="97"/>
      <c r="AW660" s="98"/>
      <c r="AX660" s="99"/>
      <c r="AY660" s="92"/>
      <c r="AZ660" s="96"/>
      <c r="BA660" s="100"/>
    </row>
    <row r="661" spans="28:53" ht="12.75" x14ac:dyDescent="0.2">
      <c r="AB661" s="70"/>
      <c r="AO661" s="70"/>
      <c r="AP661" s="93"/>
      <c r="AQ661" s="94"/>
      <c r="AR661" s="95"/>
      <c r="AS661" s="92"/>
      <c r="AT661" s="96"/>
      <c r="AU661" s="93"/>
      <c r="AV661" s="97"/>
      <c r="AW661" s="98"/>
      <c r="AX661" s="99"/>
      <c r="AY661" s="92"/>
      <c r="AZ661" s="96"/>
      <c r="BA661" s="100"/>
    </row>
    <row r="662" spans="28:53" ht="12.75" x14ac:dyDescent="0.2">
      <c r="AB662" s="70"/>
      <c r="AO662" s="70"/>
      <c r="AP662" s="93"/>
      <c r="AQ662" s="94"/>
      <c r="AR662" s="95"/>
      <c r="AS662" s="92"/>
      <c r="AT662" s="96"/>
      <c r="AU662" s="93"/>
      <c r="AV662" s="97"/>
      <c r="AW662" s="98"/>
      <c r="AX662" s="99"/>
      <c r="AY662" s="92"/>
      <c r="AZ662" s="96"/>
      <c r="BA662" s="100"/>
    </row>
    <row r="663" spans="28:53" ht="12.75" x14ac:dyDescent="0.2">
      <c r="AB663" s="70"/>
      <c r="AO663" s="70"/>
      <c r="AP663" s="93"/>
      <c r="AQ663" s="94"/>
      <c r="AR663" s="95"/>
      <c r="AS663" s="92"/>
      <c r="AT663" s="96"/>
      <c r="AU663" s="93"/>
      <c r="AV663" s="97"/>
      <c r="AW663" s="98"/>
      <c r="AX663" s="99"/>
      <c r="AY663" s="92"/>
      <c r="AZ663" s="96"/>
      <c r="BA663" s="100"/>
    </row>
    <row r="664" spans="28:53" ht="12.75" x14ac:dyDescent="0.2">
      <c r="AB664" s="70"/>
      <c r="AO664" s="70"/>
      <c r="AP664" s="93"/>
      <c r="AQ664" s="94"/>
      <c r="AR664" s="95"/>
      <c r="AS664" s="92"/>
      <c r="AT664" s="96"/>
      <c r="AU664" s="93"/>
      <c r="AV664" s="97"/>
      <c r="AW664" s="98"/>
      <c r="AX664" s="99"/>
      <c r="AY664" s="92"/>
      <c r="AZ664" s="96"/>
      <c r="BA664" s="100"/>
    </row>
    <row r="665" spans="28:53" ht="12.75" x14ac:dyDescent="0.2">
      <c r="AB665" s="70"/>
      <c r="AO665" s="70"/>
      <c r="AP665" s="93"/>
      <c r="AQ665" s="94"/>
      <c r="AR665" s="95"/>
      <c r="AS665" s="92"/>
      <c r="AT665" s="96"/>
      <c r="AU665" s="93"/>
      <c r="AV665" s="97"/>
      <c r="AW665" s="98"/>
      <c r="AX665" s="99"/>
      <c r="AY665" s="92"/>
      <c r="AZ665" s="96"/>
      <c r="BA665" s="100"/>
    </row>
    <row r="666" spans="28:53" ht="12.75" x14ac:dyDescent="0.2">
      <c r="AB666" s="70"/>
      <c r="AO666" s="70"/>
      <c r="AP666" s="93"/>
      <c r="AQ666" s="94"/>
      <c r="AR666" s="95"/>
      <c r="AS666" s="92"/>
      <c r="AT666" s="96"/>
      <c r="AU666" s="93"/>
      <c r="AV666" s="97"/>
      <c r="AW666" s="98"/>
      <c r="AX666" s="99"/>
      <c r="AY666" s="92"/>
      <c r="AZ666" s="96"/>
      <c r="BA666" s="100"/>
    </row>
    <row r="667" spans="28:53" ht="12.75" x14ac:dyDescent="0.2">
      <c r="AB667" s="70"/>
      <c r="AO667" s="70"/>
      <c r="AP667" s="93"/>
      <c r="AQ667" s="94"/>
      <c r="AR667" s="95"/>
      <c r="AS667" s="92"/>
      <c r="AT667" s="96"/>
      <c r="AU667" s="93"/>
      <c r="AV667" s="97"/>
      <c r="AW667" s="98"/>
      <c r="AX667" s="99"/>
      <c r="AY667" s="92"/>
      <c r="AZ667" s="96"/>
      <c r="BA667" s="100"/>
    </row>
    <row r="668" spans="28:53" ht="12.75" x14ac:dyDescent="0.2">
      <c r="AB668" s="70"/>
      <c r="AO668" s="70"/>
      <c r="AP668" s="93"/>
      <c r="AQ668" s="94"/>
      <c r="AR668" s="95"/>
      <c r="AS668" s="92"/>
      <c r="AT668" s="96"/>
      <c r="AU668" s="93"/>
      <c r="AV668" s="97"/>
      <c r="AW668" s="98"/>
      <c r="AX668" s="99"/>
      <c r="AY668" s="92"/>
      <c r="AZ668" s="96"/>
      <c r="BA668" s="100"/>
    </row>
    <row r="669" spans="28:53" ht="12.75" x14ac:dyDescent="0.2">
      <c r="AB669" s="70"/>
      <c r="AO669" s="70"/>
      <c r="AP669" s="93"/>
      <c r="AQ669" s="94"/>
      <c r="AR669" s="95"/>
      <c r="AS669" s="92"/>
      <c r="AT669" s="96"/>
      <c r="AU669" s="93"/>
      <c r="AV669" s="97"/>
      <c r="AW669" s="98"/>
      <c r="AX669" s="99"/>
      <c r="AY669" s="92"/>
      <c r="AZ669" s="96"/>
      <c r="BA669" s="100"/>
    </row>
    <row r="670" spans="28:53" ht="12.75" x14ac:dyDescent="0.2">
      <c r="AB670" s="70"/>
      <c r="AO670" s="70"/>
      <c r="AP670" s="93"/>
      <c r="AQ670" s="94"/>
      <c r="AR670" s="95"/>
      <c r="AS670" s="92"/>
      <c r="AT670" s="96"/>
      <c r="AU670" s="93"/>
      <c r="AV670" s="97"/>
      <c r="AW670" s="98"/>
      <c r="AX670" s="99"/>
      <c r="AY670" s="92"/>
      <c r="AZ670" s="96"/>
      <c r="BA670" s="100"/>
    </row>
    <row r="671" spans="28:53" ht="12.75" x14ac:dyDescent="0.2">
      <c r="AB671" s="70"/>
      <c r="AO671" s="70"/>
      <c r="AP671" s="93"/>
      <c r="AQ671" s="94"/>
      <c r="AR671" s="95"/>
      <c r="AS671" s="92"/>
      <c r="AT671" s="96"/>
      <c r="AU671" s="93"/>
      <c r="AV671" s="97"/>
      <c r="AW671" s="98"/>
      <c r="AX671" s="99"/>
      <c r="AY671" s="92"/>
      <c r="AZ671" s="96"/>
      <c r="BA671" s="100"/>
    </row>
    <row r="672" spans="28:53" ht="12.75" x14ac:dyDescent="0.2">
      <c r="AB672" s="70"/>
      <c r="AO672" s="70"/>
      <c r="AP672" s="93"/>
      <c r="AQ672" s="94"/>
      <c r="AR672" s="95"/>
      <c r="AS672" s="92"/>
      <c r="AT672" s="96"/>
      <c r="AU672" s="93"/>
      <c r="AV672" s="97"/>
      <c r="AW672" s="98"/>
      <c r="AX672" s="99"/>
      <c r="AY672" s="92"/>
      <c r="AZ672" s="96"/>
      <c r="BA672" s="100"/>
    </row>
    <row r="673" spans="28:53" ht="12.75" x14ac:dyDescent="0.2">
      <c r="AB673" s="70"/>
      <c r="AO673" s="70"/>
      <c r="AP673" s="93"/>
      <c r="AQ673" s="94"/>
      <c r="AR673" s="95"/>
      <c r="AS673" s="92"/>
      <c r="AT673" s="96"/>
      <c r="AU673" s="93"/>
      <c r="AV673" s="97"/>
      <c r="AW673" s="98"/>
      <c r="AX673" s="99"/>
      <c r="AY673" s="92"/>
      <c r="AZ673" s="96"/>
      <c r="BA673" s="100"/>
    </row>
    <row r="674" spans="28:53" ht="12.75" x14ac:dyDescent="0.2">
      <c r="AB674" s="70"/>
      <c r="AO674" s="70"/>
      <c r="AP674" s="93"/>
      <c r="AQ674" s="94"/>
      <c r="AR674" s="95"/>
      <c r="AS674" s="92"/>
      <c r="AT674" s="96"/>
      <c r="AU674" s="93"/>
      <c r="AV674" s="97"/>
      <c r="AW674" s="98"/>
      <c r="AX674" s="99"/>
      <c r="AY674" s="92"/>
      <c r="AZ674" s="96"/>
      <c r="BA674" s="100"/>
    </row>
    <row r="675" spans="28:53" ht="12.75" x14ac:dyDescent="0.2">
      <c r="AB675" s="70"/>
      <c r="AO675" s="70"/>
      <c r="AP675" s="93"/>
      <c r="AQ675" s="94"/>
      <c r="AR675" s="95"/>
      <c r="AS675" s="92"/>
      <c r="AT675" s="96"/>
      <c r="AU675" s="93"/>
      <c r="AV675" s="97"/>
      <c r="AW675" s="98"/>
      <c r="AX675" s="99"/>
      <c r="AY675" s="92"/>
      <c r="AZ675" s="96"/>
      <c r="BA675" s="100"/>
    </row>
    <row r="676" spans="28:53" ht="12.75" x14ac:dyDescent="0.2">
      <c r="AB676" s="70"/>
      <c r="AO676" s="70"/>
      <c r="AP676" s="93"/>
      <c r="AQ676" s="94"/>
      <c r="AR676" s="95"/>
      <c r="AS676" s="92"/>
      <c r="AT676" s="96"/>
      <c r="AU676" s="93"/>
      <c r="AV676" s="97"/>
      <c r="AW676" s="98"/>
      <c r="AX676" s="99"/>
      <c r="AY676" s="92"/>
      <c r="AZ676" s="96"/>
      <c r="BA676" s="100"/>
    </row>
    <row r="677" spans="28:53" ht="12.75" x14ac:dyDescent="0.2">
      <c r="AB677" s="70"/>
      <c r="AO677" s="70"/>
      <c r="AP677" s="93"/>
      <c r="AQ677" s="94"/>
      <c r="AR677" s="95"/>
      <c r="AS677" s="92"/>
      <c r="AT677" s="96"/>
      <c r="AU677" s="93"/>
      <c r="AV677" s="97"/>
      <c r="AW677" s="98"/>
      <c r="AX677" s="99"/>
      <c r="AY677" s="92"/>
      <c r="AZ677" s="96"/>
      <c r="BA677" s="100"/>
    </row>
    <row r="678" spans="28:53" ht="12.75" x14ac:dyDescent="0.2">
      <c r="AB678" s="70"/>
      <c r="AO678" s="70"/>
      <c r="AP678" s="93"/>
      <c r="AQ678" s="94"/>
      <c r="AR678" s="95"/>
      <c r="AS678" s="92"/>
      <c r="AT678" s="96"/>
      <c r="AU678" s="93"/>
      <c r="AV678" s="97"/>
      <c r="AW678" s="98"/>
      <c r="AX678" s="99"/>
      <c r="AY678" s="92"/>
      <c r="AZ678" s="96"/>
      <c r="BA678" s="100"/>
    </row>
    <row r="679" spans="28:53" ht="12.75" x14ac:dyDescent="0.2">
      <c r="AB679" s="70"/>
      <c r="AO679" s="70"/>
      <c r="AP679" s="93"/>
      <c r="AQ679" s="94"/>
      <c r="AR679" s="95"/>
      <c r="AS679" s="92"/>
      <c r="AT679" s="96"/>
      <c r="AU679" s="93"/>
      <c r="AV679" s="97"/>
      <c r="AW679" s="98"/>
      <c r="AX679" s="99"/>
      <c r="AY679" s="92"/>
      <c r="AZ679" s="96"/>
      <c r="BA679" s="100"/>
    </row>
    <row r="680" spans="28:53" ht="12.75" x14ac:dyDescent="0.2">
      <c r="AB680" s="70"/>
      <c r="AO680" s="70"/>
      <c r="AP680" s="93"/>
      <c r="AQ680" s="94"/>
      <c r="AR680" s="95"/>
      <c r="AS680" s="92"/>
      <c r="AT680" s="96"/>
      <c r="AU680" s="93"/>
      <c r="AV680" s="97"/>
      <c r="AW680" s="98"/>
      <c r="AX680" s="99"/>
      <c r="AY680" s="92"/>
      <c r="AZ680" s="96"/>
      <c r="BA680" s="100"/>
    </row>
    <row r="681" spans="28:53" ht="12.75" x14ac:dyDescent="0.2">
      <c r="AB681" s="70"/>
      <c r="AO681" s="70"/>
      <c r="AP681" s="93"/>
      <c r="AQ681" s="94"/>
      <c r="AR681" s="95"/>
      <c r="AS681" s="92"/>
      <c r="AT681" s="96"/>
      <c r="AU681" s="93"/>
      <c r="AV681" s="97"/>
      <c r="AW681" s="98"/>
      <c r="AX681" s="99"/>
      <c r="AY681" s="92"/>
      <c r="AZ681" s="96"/>
      <c r="BA681" s="100"/>
    </row>
    <row r="682" spans="28:53" ht="12.75" x14ac:dyDescent="0.2">
      <c r="AB682" s="70"/>
      <c r="AO682" s="70"/>
      <c r="AP682" s="93"/>
      <c r="AQ682" s="94"/>
      <c r="AR682" s="95"/>
      <c r="AS682" s="92"/>
      <c r="AT682" s="96"/>
      <c r="AU682" s="93"/>
      <c r="AV682" s="97"/>
      <c r="AW682" s="98"/>
      <c r="AX682" s="99"/>
      <c r="AY682" s="92"/>
      <c r="AZ682" s="96"/>
      <c r="BA682" s="100"/>
    </row>
    <row r="683" spans="28:53" ht="12.75" x14ac:dyDescent="0.2">
      <c r="AB683" s="70"/>
      <c r="AO683" s="70"/>
      <c r="AP683" s="93"/>
      <c r="AQ683" s="94"/>
      <c r="AR683" s="95"/>
      <c r="AS683" s="92"/>
      <c r="AT683" s="96"/>
      <c r="AU683" s="93"/>
      <c r="AV683" s="97"/>
      <c r="AW683" s="98"/>
      <c r="AX683" s="99"/>
      <c r="AY683" s="92"/>
      <c r="AZ683" s="96"/>
      <c r="BA683" s="100"/>
    </row>
    <row r="684" spans="28:53" ht="12.75" x14ac:dyDescent="0.2">
      <c r="AB684" s="70"/>
      <c r="AO684" s="70"/>
      <c r="AP684" s="93"/>
      <c r="AQ684" s="94"/>
      <c r="AR684" s="95"/>
      <c r="AS684" s="92"/>
      <c r="AT684" s="96"/>
      <c r="AU684" s="93"/>
      <c r="AV684" s="97"/>
      <c r="AW684" s="98"/>
      <c r="AX684" s="99"/>
      <c r="AY684" s="92"/>
      <c r="AZ684" s="96"/>
      <c r="BA684" s="100"/>
    </row>
    <row r="685" spans="28:53" ht="12.75" x14ac:dyDescent="0.2">
      <c r="AB685" s="70"/>
      <c r="AO685" s="70"/>
      <c r="AP685" s="93"/>
      <c r="AQ685" s="94"/>
      <c r="AR685" s="95"/>
      <c r="AS685" s="92"/>
      <c r="AT685" s="96"/>
      <c r="AU685" s="93"/>
      <c r="AV685" s="97"/>
      <c r="AW685" s="98"/>
      <c r="AX685" s="99"/>
      <c r="AY685" s="92"/>
      <c r="AZ685" s="96"/>
      <c r="BA685" s="100"/>
    </row>
    <row r="686" spans="28:53" ht="12.75" x14ac:dyDescent="0.2">
      <c r="AB686" s="70"/>
      <c r="AO686" s="70"/>
      <c r="AP686" s="93"/>
      <c r="AQ686" s="94"/>
      <c r="AR686" s="95"/>
      <c r="AS686" s="92"/>
      <c r="AT686" s="96"/>
      <c r="AU686" s="93"/>
      <c r="AV686" s="97"/>
      <c r="AW686" s="98"/>
      <c r="AX686" s="99"/>
      <c r="AY686" s="92"/>
      <c r="AZ686" s="96"/>
      <c r="BA686" s="100"/>
    </row>
    <row r="687" spans="28:53" ht="12.75" x14ac:dyDescent="0.2">
      <c r="AB687" s="70"/>
      <c r="AO687" s="70"/>
      <c r="AP687" s="93"/>
      <c r="AQ687" s="94"/>
      <c r="AR687" s="95"/>
      <c r="AS687" s="92"/>
      <c r="AT687" s="96"/>
      <c r="AU687" s="93"/>
      <c r="AV687" s="97"/>
      <c r="AW687" s="98"/>
      <c r="AX687" s="99"/>
      <c r="AY687" s="92"/>
      <c r="AZ687" s="96"/>
      <c r="BA687" s="100"/>
    </row>
    <row r="688" spans="28:53" ht="12.75" x14ac:dyDescent="0.2">
      <c r="AB688" s="70"/>
      <c r="AO688" s="70"/>
      <c r="AP688" s="93"/>
      <c r="AQ688" s="94"/>
      <c r="AR688" s="95"/>
      <c r="AS688" s="92"/>
      <c r="AT688" s="96"/>
      <c r="AU688" s="93"/>
      <c r="AV688" s="97"/>
      <c r="AW688" s="98"/>
      <c r="AX688" s="99"/>
      <c r="AY688" s="92"/>
      <c r="AZ688" s="96"/>
      <c r="BA688" s="100"/>
    </row>
    <row r="689" spans="28:53" ht="12.75" x14ac:dyDescent="0.2">
      <c r="AB689" s="70"/>
      <c r="AO689" s="70"/>
      <c r="AP689" s="93"/>
      <c r="AQ689" s="94"/>
      <c r="AR689" s="95"/>
      <c r="AS689" s="92"/>
      <c r="AT689" s="96"/>
      <c r="AU689" s="93"/>
      <c r="AV689" s="97"/>
      <c r="AW689" s="98"/>
      <c r="AX689" s="99"/>
      <c r="AY689" s="92"/>
      <c r="AZ689" s="96"/>
      <c r="BA689" s="100"/>
    </row>
    <row r="690" spans="28:53" ht="12.75" x14ac:dyDescent="0.2">
      <c r="AB690" s="70"/>
      <c r="AO690" s="70"/>
      <c r="AP690" s="93"/>
      <c r="AQ690" s="94"/>
      <c r="AR690" s="95"/>
      <c r="AS690" s="92"/>
      <c r="AT690" s="96"/>
      <c r="AU690" s="93"/>
      <c r="AV690" s="97"/>
      <c r="AW690" s="98"/>
      <c r="AX690" s="99"/>
      <c r="AY690" s="92"/>
      <c r="AZ690" s="96"/>
      <c r="BA690" s="100"/>
    </row>
    <row r="691" spans="28:53" ht="12.75" x14ac:dyDescent="0.2">
      <c r="AB691" s="70"/>
      <c r="AO691" s="70"/>
      <c r="AP691" s="93"/>
      <c r="AQ691" s="94"/>
      <c r="AR691" s="95"/>
      <c r="AS691" s="92"/>
      <c r="AT691" s="96"/>
      <c r="AU691" s="93"/>
      <c r="AV691" s="97"/>
      <c r="AW691" s="98"/>
      <c r="AX691" s="99"/>
      <c r="AY691" s="92"/>
      <c r="AZ691" s="96"/>
      <c r="BA691" s="100"/>
    </row>
    <row r="692" spans="28:53" ht="12.75" x14ac:dyDescent="0.2">
      <c r="AB692" s="70"/>
      <c r="AO692" s="70"/>
      <c r="AP692" s="93"/>
      <c r="AQ692" s="94"/>
      <c r="AR692" s="95"/>
      <c r="AS692" s="92"/>
      <c r="AT692" s="96"/>
      <c r="AU692" s="93"/>
      <c r="AV692" s="97"/>
      <c r="AW692" s="98"/>
      <c r="AX692" s="99"/>
      <c r="AY692" s="92"/>
      <c r="AZ692" s="96"/>
      <c r="BA692" s="100"/>
    </row>
    <row r="693" spans="28:53" ht="12.75" x14ac:dyDescent="0.2">
      <c r="AB693" s="70"/>
      <c r="AO693" s="70"/>
      <c r="AP693" s="93"/>
      <c r="AQ693" s="94"/>
      <c r="AR693" s="95"/>
      <c r="AS693" s="92"/>
      <c r="AT693" s="96"/>
      <c r="AU693" s="93"/>
      <c r="AV693" s="97"/>
      <c r="AW693" s="98"/>
      <c r="AX693" s="99"/>
      <c r="AY693" s="92"/>
      <c r="AZ693" s="96"/>
      <c r="BA693" s="100"/>
    </row>
    <row r="694" spans="28:53" ht="12.75" x14ac:dyDescent="0.2">
      <c r="AB694" s="70"/>
      <c r="AO694" s="70"/>
      <c r="AP694" s="93"/>
      <c r="AQ694" s="94"/>
      <c r="AR694" s="95"/>
      <c r="AS694" s="92"/>
      <c r="AT694" s="96"/>
      <c r="AU694" s="93"/>
      <c r="AV694" s="97"/>
      <c r="AW694" s="98"/>
      <c r="AX694" s="99"/>
      <c r="AY694" s="92"/>
      <c r="AZ694" s="96"/>
      <c r="BA694" s="100"/>
    </row>
    <row r="695" spans="28:53" ht="12.75" x14ac:dyDescent="0.2">
      <c r="AB695" s="70"/>
      <c r="AO695" s="70"/>
      <c r="AP695" s="93"/>
      <c r="AQ695" s="94"/>
      <c r="AR695" s="95"/>
      <c r="AS695" s="92"/>
      <c r="AT695" s="96"/>
      <c r="AU695" s="93"/>
      <c r="AV695" s="97"/>
      <c r="AW695" s="98"/>
      <c r="AX695" s="99"/>
      <c r="AY695" s="92"/>
      <c r="AZ695" s="96"/>
      <c r="BA695" s="100"/>
    </row>
    <row r="696" spans="28:53" ht="12.75" x14ac:dyDescent="0.2">
      <c r="AB696" s="70"/>
      <c r="AO696" s="70"/>
      <c r="AP696" s="93"/>
      <c r="AQ696" s="94"/>
      <c r="AR696" s="95"/>
      <c r="AS696" s="92"/>
      <c r="AT696" s="96"/>
      <c r="AU696" s="93"/>
      <c r="AV696" s="97"/>
      <c r="AW696" s="98"/>
      <c r="AX696" s="99"/>
      <c r="AY696" s="92"/>
      <c r="AZ696" s="96"/>
      <c r="BA696" s="100"/>
    </row>
    <row r="697" spans="28:53" ht="12.75" x14ac:dyDescent="0.2">
      <c r="AB697" s="70"/>
      <c r="AO697" s="70"/>
      <c r="AP697" s="93"/>
      <c r="AQ697" s="94"/>
      <c r="AR697" s="95"/>
      <c r="AS697" s="92"/>
      <c r="AT697" s="96"/>
      <c r="AU697" s="93"/>
      <c r="AV697" s="97"/>
      <c r="AW697" s="98"/>
      <c r="AX697" s="99"/>
      <c r="AY697" s="92"/>
      <c r="AZ697" s="96"/>
      <c r="BA697" s="100"/>
    </row>
    <row r="698" spans="28:53" ht="12.75" x14ac:dyDescent="0.2">
      <c r="AB698" s="70"/>
      <c r="AO698" s="70"/>
      <c r="AP698" s="93"/>
      <c r="AQ698" s="94"/>
      <c r="AR698" s="95"/>
      <c r="AS698" s="92"/>
      <c r="AT698" s="96"/>
      <c r="AU698" s="93"/>
      <c r="AV698" s="97"/>
      <c r="AW698" s="98"/>
      <c r="AX698" s="99"/>
      <c r="AY698" s="92"/>
      <c r="AZ698" s="96"/>
      <c r="BA698" s="100"/>
    </row>
    <row r="699" spans="28:53" ht="12.75" x14ac:dyDescent="0.2">
      <c r="AB699" s="70"/>
      <c r="AO699" s="70"/>
      <c r="AP699" s="93"/>
      <c r="AQ699" s="94"/>
      <c r="AR699" s="95"/>
      <c r="AS699" s="92"/>
      <c r="AT699" s="96"/>
      <c r="AU699" s="93"/>
      <c r="AV699" s="97"/>
      <c r="AW699" s="98"/>
      <c r="AX699" s="99"/>
      <c r="AY699" s="92"/>
      <c r="AZ699" s="96"/>
      <c r="BA699" s="100"/>
    </row>
    <row r="700" spans="28:53" ht="12.75" x14ac:dyDescent="0.2">
      <c r="AB700" s="70"/>
      <c r="AO700" s="70"/>
      <c r="AP700" s="93"/>
      <c r="AQ700" s="94"/>
      <c r="AR700" s="95"/>
      <c r="AS700" s="92"/>
      <c r="AT700" s="96"/>
      <c r="AU700" s="93"/>
      <c r="AV700" s="97"/>
      <c r="AW700" s="98"/>
      <c r="AX700" s="99"/>
      <c r="AY700" s="92"/>
      <c r="AZ700" s="96"/>
      <c r="BA700" s="100"/>
    </row>
    <row r="701" spans="28:53" ht="12.75" x14ac:dyDescent="0.2">
      <c r="AB701" s="70"/>
      <c r="AO701" s="70"/>
      <c r="AP701" s="93"/>
      <c r="AQ701" s="94"/>
      <c r="AR701" s="95"/>
      <c r="AS701" s="92"/>
      <c r="AT701" s="96"/>
      <c r="AU701" s="93"/>
      <c r="AV701" s="97"/>
      <c r="AW701" s="98"/>
      <c r="AX701" s="99"/>
      <c r="AY701" s="92"/>
      <c r="AZ701" s="96"/>
      <c r="BA701" s="100"/>
    </row>
    <row r="702" spans="28:53" ht="12.75" x14ac:dyDescent="0.2">
      <c r="AB702" s="70"/>
      <c r="AO702" s="70"/>
      <c r="AP702" s="93"/>
      <c r="AQ702" s="94"/>
      <c r="AR702" s="95"/>
      <c r="AS702" s="92"/>
      <c r="AT702" s="96"/>
      <c r="AU702" s="93"/>
      <c r="AV702" s="97"/>
      <c r="AW702" s="98"/>
      <c r="AX702" s="99"/>
      <c r="AY702" s="92"/>
      <c r="AZ702" s="96"/>
      <c r="BA702" s="100"/>
    </row>
    <row r="703" spans="28:53" ht="12.75" x14ac:dyDescent="0.2">
      <c r="AB703" s="70"/>
      <c r="AO703" s="70"/>
      <c r="AP703" s="93"/>
      <c r="AQ703" s="94"/>
      <c r="AR703" s="95"/>
      <c r="AS703" s="92"/>
      <c r="AT703" s="96"/>
      <c r="AU703" s="93"/>
      <c r="AV703" s="97"/>
      <c r="AW703" s="98"/>
      <c r="AX703" s="99"/>
      <c r="AY703" s="92"/>
      <c r="AZ703" s="96"/>
      <c r="BA703" s="100"/>
    </row>
    <row r="704" spans="28:53" ht="12.75" x14ac:dyDescent="0.2">
      <c r="AB704" s="70"/>
      <c r="AO704" s="70"/>
      <c r="AP704" s="93"/>
      <c r="AQ704" s="94"/>
      <c r="AR704" s="95"/>
      <c r="AS704" s="92"/>
      <c r="AT704" s="96"/>
      <c r="AU704" s="93"/>
      <c r="AV704" s="97"/>
      <c r="AW704" s="98"/>
      <c r="AX704" s="99"/>
      <c r="AY704" s="92"/>
      <c r="AZ704" s="96"/>
      <c r="BA704" s="100"/>
    </row>
    <row r="705" spans="28:53" ht="12.75" x14ac:dyDescent="0.2">
      <c r="AB705" s="70"/>
      <c r="AO705" s="70"/>
      <c r="AP705" s="93"/>
      <c r="AQ705" s="94"/>
      <c r="AR705" s="95"/>
      <c r="AS705" s="92"/>
      <c r="AT705" s="96"/>
      <c r="AU705" s="93"/>
      <c r="AV705" s="97"/>
      <c r="AW705" s="98"/>
      <c r="AX705" s="99"/>
      <c r="AY705" s="92"/>
      <c r="AZ705" s="96"/>
      <c r="BA705" s="100"/>
    </row>
    <row r="706" spans="28:53" ht="12.75" x14ac:dyDescent="0.2">
      <c r="AB706" s="70"/>
      <c r="AO706" s="70"/>
      <c r="AP706" s="93"/>
      <c r="AQ706" s="94"/>
      <c r="AR706" s="95"/>
      <c r="AS706" s="92"/>
      <c r="AT706" s="96"/>
      <c r="AU706" s="93"/>
      <c r="AV706" s="97"/>
      <c r="AW706" s="98"/>
      <c r="AX706" s="99"/>
      <c r="AY706" s="92"/>
      <c r="AZ706" s="96"/>
      <c r="BA706" s="100"/>
    </row>
    <row r="707" spans="28:53" ht="12.75" x14ac:dyDescent="0.2">
      <c r="AB707" s="70"/>
      <c r="AO707" s="70"/>
      <c r="AP707" s="93"/>
      <c r="AQ707" s="94"/>
      <c r="AR707" s="95"/>
      <c r="AS707" s="92"/>
      <c r="AT707" s="96"/>
      <c r="AU707" s="93"/>
      <c r="AV707" s="97"/>
      <c r="AW707" s="98"/>
      <c r="AX707" s="99"/>
      <c r="AY707" s="92"/>
      <c r="AZ707" s="96"/>
      <c r="BA707" s="100"/>
    </row>
    <row r="708" spans="28:53" ht="12.75" x14ac:dyDescent="0.2">
      <c r="AB708" s="70"/>
      <c r="AO708" s="70"/>
      <c r="AP708" s="93"/>
      <c r="AQ708" s="94"/>
      <c r="AR708" s="95"/>
      <c r="AS708" s="92"/>
      <c r="AT708" s="96"/>
      <c r="AU708" s="93"/>
      <c r="AV708" s="97"/>
      <c r="AW708" s="98"/>
      <c r="AX708" s="99"/>
      <c r="AY708" s="92"/>
      <c r="AZ708" s="96"/>
      <c r="BA708" s="100"/>
    </row>
    <row r="709" spans="28:53" ht="12.75" x14ac:dyDescent="0.2">
      <c r="AB709" s="70"/>
      <c r="AO709" s="70"/>
      <c r="AP709" s="93"/>
      <c r="AQ709" s="94"/>
      <c r="AR709" s="95"/>
      <c r="AS709" s="92"/>
      <c r="AT709" s="96"/>
      <c r="AU709" s="93"/>
      <c r="AV709" s="97"/>
      <c r="AW709" s="98"/>
      <c r="AX709" s="99"/>
      <c r="AY709" s="92"/>
      <c r="AZ709" s="96"/>
      <c r="BA709" s="100"/>
    </row>
    <row r="710" spans="28:53" ht="12.75" x14ac:dyDescent="0.2">
      <c r="AB710" s="70"/>
      <c r="AO710" s="70"/>
      <c r="AP710" s="93"/>
      <c r="AQ710" s="94"/>
      <c r="AR710" s="95"/>
      <c r="AS710" s="92"/>
      <c r="AT710" s="96"/>
      <c r="AU710" s="93"/>
      <c r="AV710" s="97"/>
      <c r="AW710" s="98"/>
      <c r="AX710" s="99"/>
      <c r="AY710" s="92"/>
      <c r="AZ710" s="96"/>
      <c r="BA710" s="100"/>
    </row>
    <row r="711" spans="28:53" ht="12.75" x14ac:dyDescent="0.2">
      <c r="AB711" s="70"/>
      <c r="AO711" s="70"/>
      <c r="AP711" s="93"/>
      <c r="AQ711" s="94"/>
      <c r="AR711" s="95"/>
      <c r="AS711" s="92"/>
      <c r="AT711" s="96"/>
      <c r="AU711" s="93"/>
      <c r="AV711" s="97"/>
      <c r="AW711" s="98"/>
      <c r="AX711" s="99"/>
      <c r="AY711" s="92"/>
      <c r="AZ711" s="96"/>
      <c r="BA711" s="100"/>
    </row>
    <row r="712" spans="28:53" ht="12.75" x14ac:dyDescent="0.2">
      <c r="AB712" s="70"/>
      <c r="AO712" s="70"/>
      <c r="AP712" s="93"/>
      <c r="AQ712" s="94"/>
      <c r="AR712" s="95"/>
      <c r="AS712" s="92"/>
      <c r="AT712" s="96"/>
      <c r="AU712" s="93"/>
      <c r="AV712" s="97"/>
      <c r="AW712" s="98"/>
      <c r="AX712" s="99"/>
      <c r="AY712" s="92"/>
      <c r="AZ712" s="96"/>
      <c r="BA712" s="100"/>
    </row>
    <row r="713" spans="28:53" ht="12.75" x14ac:dyDescent="0.2">
      <c r="AB713" s="70"/>
      <c r="AO713" s="70"/>
      <c r="AP713" s="93"/>
      <c r="AQ713" s="94"/>
      <c r="AR713" s="95"/>
      <c r="AS713" s="92"/>
      <c r="AT713" s="96"/>
      <c r="AU713" s="93"/>
      <c r="AV713" s="97"/>
      <c r="AW713" s="98"/>
      <c r="AX713" s="99"/>
      <c r="AY713" s="92"/>
      <c r="AZ713" s="96"/>
      <c r="BA713" s="100"/>
    </row>
    <row r="714" spans="28:53" ht="12.75" x14ac:dyDescent="0.2">
      <c r="AB714" s="70"/>
      <c r="AO714" s="70"/>
      <c r="AP714" s="93"/>
      <c r="AQ714" s="94"/>
      <c r="AR714" s="95"/>
      <c r="AS714" s="92"/>
      <c r="AT714" s="96"/>
      <c r="AU714" s="93"/>
      <c r="AV714" s="97"/>
      <c r="AW714" s="98"/>
      <c r="AX714" s="99"/>
      <c r="AY714" s="92"/>
      <c r="AZ714" s="96"/>
      <c r="BA714" s="100"/>
    </row>
    <row r="715" spans="28:53" ht="12.75" x14ac:dyDescent="0.2">
      <c r="AB715" s="70"/>
      <c r="AO715" s="70"/>
      <c r="AP715" s="93"/>
      <c r="AQ715" s="94"/>
      <c r="AR715" s="95"/>
      <c r="AS715" s="92"/>
      <c r="AT715" s="96"/>
      <c r="AU715" s="93"/>
      <c r="AV715" s="97"/>
      <c r="AW715" s="98"/>
      <c r="AX715" s="99"/>
      <c r="AY715" s="92"/>
      <c r="AZ715" s="96"/>
      <c r="BA715" s="100"/>
    </row>
    <row r="716" spans="28:53" ht="12.75" x14ac:dyDescent="0.2">
      <c r="AB716" s="70"/>
      <c r="AO716" s="70"/>
      <c r="AP716" s="93"/>
      <c r="AQ716" s="94"/>
      <c r="AR716" s="95"/>
      <c r="AS716" s="92"/>
      <c r="AT716" s="96"/>
      <c r="AU716" s="93"/>
      <c r="AV716" s="97"/>
      <c r="AW716" s="98"/>
      <c r="AX716" s="99"/>
      <c r="AY716" s="92"/>
      <c r="AZ716" s="96"/>
      <c r="BA716" s="100"/>
    </row>
    <row r="717" spans="28:53" ht="12.75" x14ac:dyDescent="0.2">
      <c r="AB717" s="70"/>
      <c r="AO717" s="70"/>
      <c r="AP717" s="93"/>
      <c r="AQ717" s="94"/>
      <c r="AR717" s="95"/>
      <c r="AS717" s="92"/>
      <c r="AT717" s="96"/>
      <c r="AU717" s="93"/>
      <c r="AV717" s="97"/>
      <c r="AW717" s="98"/>
      <c r="AX717" s="99"/>
      <c r="AY717" s="92"/>
      <c r="AZ717" s="96"/>
      <c r="BA717" s="100"/>
    </row>
    <row r="718" spans="28:53" ht="12.75" x14ac:dyDescent="0.2">
      <c r="AB718" s="70"/>
      <c r="AO718" s="70"/>
      <c r="AP718" s="93"/>
      <c r="AQ718" s="94"/>
      <c r="AR718" s="95"/>
      <c r="AS718" s="92"/>
      <c r="AT718" s="96"/>
      <c r="AU718" s="93"/>
      <c r="AV718" s="97"/>
      <c r="AW718" s="98"/>
      <c r="AX718" s="99"/>
      <c r="AY718" s="92"/>
      <c r="AZ718" s="96"/>
      <c r="BA718" s="100"/>
    </row>
    <row r="719" spans="28:53" ht="12.75" x14ac:dyDescent="0.2">
      <c r="AB719" s="70"/>
      <c r="AO719" s="70"/>
      <c r="AP719" s="93"/>
      <c r="AQ719" s="94"/>
      <c r="AR719" s="95"/>
      <c r="AS719" s="92"/>
      <c r="AT719" s="96"/>
      <c r="AU719" s="93"/>
      <c r="AV719" s="97"/>
      <c r="AW719" s="98"/>
      <c r="AX719" s="99"/>
      <c r="AY719" s="92"/>
      <c r="AZ719" s="96"/>
      <c r="BA719" s="100"/>
    </row>
    <row r="720" spans="28:53" ht="12.75" x14ac:dyDescent="0.2">
      <c r="AB720" s="70"/>
      <c r="AO720" s="70"/>
      <c r="AP720" s="93"/>
      <c r="AQ720" s="94"/>
      <c r="AR720" s="95"/>
      <c r="AS720" s="92"/>
      <c r="AT720" s="96"/>
      <c r="AU720" s="93"/>
      <c r="AV720" s="97"/>
      <c r="AW720" s="98"/>
      <c r="AX720" s="99"/>
      <c r="AY720" s="92"/>
      <c r="AZ720" s="96"/>
      <c r="BA720" s="100"/>
    </row>
    <row r="721" spans="28:53" ht="12.75" x14ac:dyDescent="0.2">
      <c r="AB721" s="70"/>
      <c r="AO721" s="70"/>
      <c r="AP721" s="93"/>
      <c r="AQ721" s="94"/>
      <c r="AR721" s="95"/>
      <c r="AS721" s="92"/>
      <c r="AT721" s="96"/>
      <c r="AU721" s="93"/>
      <c r="AV721" s="97"/>
      <c r="AW721" s="98"/>
      <c r="AX721" s="99"/>
      <c r="AY721" s="92"/>
      <c r="AZ721" s="96"/>
      <c r="BA721" s="100"/>
    </row>
    <row r="722" spans="28:53" ht="12.75" x14ac:dyDescent="0.2">
      <c r="AB722" s="70"/>
      <c r="AO722" s="70"/>
      <c r="AP722" s="93"/>
      <c r="AQ722" s="94"/>
      <c r="AR722" s="95"/>
      <c r="AS722" s="92"/>
      <c r="AT722" s="96"/>
      <c r="AU722" s="93"/>
      <c r="AV722" s="97"/>
      <c r="AW722" s="98"/>
      <c r="AX722" s="99"/>
      <c r="AY722" s="92"/>
      <c r="AZ722" s="96"/>
      <c r="BA722" s="100"/>
    </row>
    <row r="723" spans="28:53" ht="12.75" x14ac:dyDescent="0.2">
      <c r="AB723" s="70"/>
      <c r="AO723" s="70"/>
      <c r="AP723" s="93"/>
      <c r="AQ723" s="94"/>
      <c r="AR723" s="95"/>
      <c r="AS723" s="92"/>
      <c r="AT723" s="96"/>
      <c r="AU723" s="93"/>
      <c r="AV723" s="97"/>
      <c r="AW723" s="98"/>
      <c r="AX723" s="99"/>
      <c r="AY723" s="92"/>
      <c r="AZ723" s="96"/>
      <c r="BA723" s="100"/>
    </row>
    <row r="724" spans="28:53" ht="12.75" x14ac:dyDescent="0.2">
      <c r="AB724" s="70"/>
      <c r="AO724" s="70"/>
      <c r="AP724" s="93"/>
      <c r="AQ724" s="94"/>
      <c r="AR724" s="95"/>
      <c r="AS724" s="92"/>
      <c r="AT724" s="96"/>
      <c r="AU724" s="93"/>
      <c r="AV724" s="97"/>
      <c r="AW724" s="98"/>
      <c r="AX724" s="99"/>
      <c r="AY724" s="92"/>
      <c r="AZ724" s="96"/>
      <c r="BA724" s="100"/>
    </row>
    <row r="725" spans="28:53" ht="12.75" x14ac:dyDescent="0.2">
      <c r="AB725" s="70"/>
      <c r="AO725" s="70"/>
      <c r="AP725" s="93"/>
      <c r="AQ725" s="94"/>
      <c r="AR725" s="95"/>
      <c r="AS725" s="92"/>
      <c r="AT725" s="96"/>
      <c r="AU725" s="93"/>
      <c r="AV725" s="97"/>
      <c r="AW725" s="98"/>
      <c r="AX725" s="99"/>
      <c r="AY725" s="92"/>
      <c r="AZ725" s="96"/>
      <c r="BA725" s="100"/>
    </row>
    <row r="726" spans="28:53" ht="12.75" x14ac:dyDescent="0.2">
      <c r="AB726" s="70"/>
      <c r="AO726" s="70"/>
      <c r="AP726" s="93"/>
      <c r="AQ726" s="94"/>
      <c r="AR726" s="95"/>
      <c r="AS726" s="92"/>
      <c r="AT726" s="96"/>
      <c r="AU726" s="93"/>
      <c r="AV726" s="97"/>
      <c r="AW726" s="98"/>
      <c r="AX726" s="99"/>
      <c r="AY726" s="92"/>
      <c r="AZ726" s="96"/>
      <c r="BA726" s="100"/>
    </row>
    <row r="727" spans="28:53" ht="12.75" x14ac:dyDescent="0.2">
      <c r="AB727" s="70"/>
      <c r="AO727" s="70"/>
      <c r="AP727" s="93"/>
      <c r="AQ727" s="94"/>
      <c r="AR727" s="95"/>
      <c r="AS727" s="92"/>
      <c r="AT727" s="96"/>
      <c r="AU727" s="93"/>
      <c r="AV727" s="97"/>
      <c r="AW727" s="98"/>
      <c r="AX727" s="99"/>
      <c r="AY727" s="92"/>
      <c r="AZ727" s="96"/>
      <c r="BA727" s="100"/>
    </row>
    <row r="728" spans="28:53" ht="12.75" x14ac:dyDescent="0.2">
      <c r="AB728" s="70"/>
      <c r="AO728" s="70"/>
      <c r="AP728" s="93"/>
      <c r="AQ728" s="94"/>
      <c r="AR728" s="95"/>
      <c r="AS728" s="92"/>
      <c r="AT728" s="96"/>
      <c r="AU728" s="93"/>
      <c r="AV728" s="97"/>
      <c r="AW728" s="98"/>
      <c r="AX728" s="99"/>
      <c r="AY728" s="92"/>
      <c r="AZ728" s="96"/>
      <c r="BA728" s="100"/>
    </row>
    <row r="729" spans="28:53" ht="12.75" x14ac:dyDescent="0.2">
      <c r="AB729" s="70"/>
      <c r="AO729" s="70"/>
      <c r="AP729" s="93"/>
      <c r="AQ729" s="94"/>
      <c r="AR729" s="95"/>
      <c r="AS729" s="92"/>
      <c r="AT729" s="96"/>
      <c r="AU729" s="93"/>
      <c r="AV729" s="97"/>
      <c r="AW729" s="98"/>
      <c r="AX729" s="99"/>
      <c r="AY729" s="92"/>
      <c r="AZ729" s="96"/>
      <c r="BA729" s="100"/>
    </row>
    <row r="730" spans="28:53" ht="12.75" x14ac:dyDescent="0.2">
      <c r="AB730" s="70"/>
      <c r="AO730" s="70"/>
      <c r="AP730" s="93"/>
      <c r="AQ730" s="94"/>
      <c r="AR730" s="95"/>
      <c r="AS730" s="92"/>
      <c r="AT730" s="96"/>
      <c r="AU730" s="93"/>
      <c r="AV730" s="97"/>
      <c r="AW730" s="98"/>
      <c r="AX730" s="99"/>
      <c r="AY730" s="92"/>
      <c r="AZ730" s="96"/>
      <c r="BA730" s="100"/>
    </row>
    <row r="731" spans="28:53" ht="12.75" x14ac:dyDescent="0.2">
      <c r="AB731" s="70"/>
      <c r="AO731" s="70"/>
      <c r="AP731" s="93"/>
      <c r="AQ731" s="94"/>
      <c r="AR731" s="95"/>
      <c r="AS731" s="92"/>
      <c r="AT731" s="96"/>
      <c r="AU731" s="93"/>
      <c r="AV731" s="97"/>
      <c r="AW731" s="98"/>
      <c r="AX731" s="99"/>
      <c r="AY731" s="92"/>
      <c r="AZ731" s="96"/>
      <c r="BA731" s="100"/>
    </row>
    <row r="732" spans="28:53" ht="12.75" x14ac:dyDescent="0.2">
      <c r="AB732" s="70"/>
      <c r="AO732" s="70"/>
      <c r="AP732" s="93"/>
      <c r="AQ732" s="94"/>
      <c r="AR732" s="95"/>
      <c r="AS732" s="92"/>
      <c r="AT732" s="96"/>
      <c r="AU732" s="93"/>
      <c r="AV732" s="97"/>
      <c r="AW732" s="98"/>
      <c r="AX732" s="99"/>
      <c r="AY732" s="92"/>
      <c r="AZ732" s="96"/>
      <c r="BA732" s="100"/>
    </row>
    <row r="733" spans="28:53" ht="12.75" x14ac:dyDescent="0.2">
      <c r="AB733" s="70"/>
      <c r="AO733" s="70"/>
      <c r="AP733" s="93"/>
      <c r="AQ733" s="94"/>
      <c r="AR733" s="95"/>
      <c r="AS733" s="92"/>
      <c r="AT733" s="96"/>
      <c r="AU733" s="93"/>
      <c r="AV733" s="97"/>
      <c r="AW733" s="98"/>
      <c r="AX733" s="99"/>
      <c r="AY733" s="92"/>
      <c r="AZ733" s="96"/>
      <c r="BA733" s="100"/>
    </row>
    <row r="734" spans="28:53" ht="12.75" x14ac:dyDescent="0.2">
      <c r="AB734" s="70"/>
      <c r="AO734" s="70"/>
      <c r="AP734" s="93"/>
      <c r="AQ734" s="94"/>
      <c r="AR734" s="95"/>
      <c r="AS734" s="92"/>
      <c r="AT734" s="96"/>
      <c r="AU734" s="93"/>
      <c r="AV734" s="97"/>
      <c r="AW734" s="98"/>
      <c r="AX734" s="99"/>
      <c r="AY734" s="92"/>
      <c r="AZ734" s="96"/>
      <c r="BA734" s="100"/>
    </row>
    <row r="735" spans="28:53" ht="12.75" x14ac:dyDescent="0.2">
      <c r="AB735" s="70"/>
      <c r="AO735" s="70"/>
      <c r="AP735" s="93"/>
      <c r="AQ735" s="94"/>
      <c r="AR735" s="95"/>
      <c r="AS735" s="92"/>
      <c r="AT735" s="96"/>
      <c r="AU735" s="93"/>
      <c r="AV735" s="97"/>
      <c r="AW735" s="98"/>
      <c r="AX735" s="99"/>
      <c r="AY735" s="92"/>
      <c r="AZ735" s="96"/>
      <c r="BA735" s="100"/>
    </row>
    <row r="736" spans="28:53" ht="12.75" x14ac:dyDescent="0.2">
      <c r="AB736" s="70"/>
      <c r="AO736" s="70"/>
      <c r="AP736" s="93"/>
      <c r="AQ736" s="94"/>
      <c r="AR736" s="95"/>
      <c r="AS736" s="92"/>
      <c r="AT736" s="96"/>
      <c r="AU736" s="93"/>
      <c r="AV736" s="97"/>
      <c r="AW736" s="98"/>
      <c r="AX736" s="99"/>
      <c r="AY736" s="92"/>
      <c r="AZ736" s="96"/>
      <c r="BA736" s="100"/>
    </row>
    <row r="737" spans="28:53" ht="12.75" x14ac:dyDescent="0.2">
      <c r="AB737" s="70"/>
      <c r="AO737" s="70"/>
      <c r="AP737" s="93"/>
      <c r="AQ737" s="94"/>
      <c r="AR737" s="95"/>
      <c r="AS737" s="92"/>
      <c r="AT737" s="96"/>
      <c r="AU737" s="93"/>
      <c r="AV737" s="97"/>
      <c r="AW737" s="98"/>
      <c r="AX737" s="99"/>
      <c r="AY737" s="92"/>
      <c r="AZ737" s="96"/>
      <c r="BA737" s="100"/>
    </row>
    <row r="738" spans="28:53" ht="12.75" x14ac:dyDescent="0.2">
      <c r="AB738" s="70"/>
      <c r="AO738" s="70"/>
      <c r="AP738" s="93"/>
      <c r="AQ738" s="94"/>
      <c r="AR738" s="95"/>
      <c r="AS738" s="92"/>
      <c r="AT738" s="96"/>
      <c r="AU738" s="93"/>
      <c r="AV738" s="97"/>
      <c r="AW738" s="98"/>
      <c r="AX738" s="99"/>
      <c r="AY738" s="92"/>
      <c r="AZ738" s="96"/>
      <c r="BA738" s="100"/>
    </row>
    <row r="739" spans="28:53" ht="12.75" x14ac:dyDescent="0.2">
      <c r="AB739" s="70"/>
      <c r="AO739" s="70"/>
      <c r="AP739" s="93"/>
      <c r="AQ739" s="94"/>
      <c r="AR739" s="95"/>
      <c r="AS739" s="92"/>
      <c r="AT739" s="96"/>
      <c r="AU739" s="93"/>
      <c r="AV739" s="97"/>
      <c r="AW739" s="98"/>
      <c r="AX739" s="99"/>
      <c r="AY739" s="92"/>
      <c r="AZ739" s="96"/>
      <c r="BA739" s="100"/>
    </row>
    <row r="740" spans="28:53" ht="12.75" x14ac:dyDescent="0.2">
      <c r="AB740" s="70"/>
      <c r="AO740" s="70"/>
      <c r="AP740" s="93"/>
      <c r="AQ740" s="94"/>
      <c r="AR740" s="95"/>
      <c r="AS740" s="92"/>
      <c r="AT740" s="96"/>
      <c r="AU740" s="93"/>
      <c r="AV740" s="97"/>
      <c r="AW740" s="98"/>
      <c r="AX740" s="99"/>
      <c r="AY740" s="92"/>
      <c r="AZ740" s="96"/>
      <c r="BA740" s="100"/>
    </row>
    <row r="741" spans="28:53" ht="12.75" x14ac:dyDescent="0.2">
      <c r="AB741" s="70"/>
      <c r="AO741" s="70"/>
      <c r="AP741" s="93"/>
      <c r="AQ741" s="94"/>
      <c r="AR741" s="95"/>
      <c r="AS741" s="92"/>
      <c r="AT741" s="96"/>
      <c r="AU741" s="93"/>
      <c r="AV741" s="97"/>
      <c r="AW741" s="98"/>
      <c r="AX741" s="99"/>
      <c r="AY741" s="92"/>
      <c r="AZ741" s="96"/>
      <c r="BA741" s="100"/>
    </row>
    <row r="742" spans="28:53" ht="12.75" x14ac:dyDescent="0.2">
      <c r="AB742" s="70"/>
      <c r="AO742" s="70"/>
      <c r="AP742" s="93"/>
      <c r="AQ742" s="94"/>
      <c r="AR742" s="95"/>
      <c r="AS742" s="92"/>
      <c r="AT742" s="96"/>
      <c r="AU742" s="93"/>
      <c r="AV742" s="97"/>
      <c r="AW742" s="98"/>
      <c r="AX742" s="99"/>
      <c r="AY742" s="92"/>
      <c r="AZ742" s="96"/>
      <c r="BA742" s="100"/>
    </row>
    <row r="743" spans="28:53" ht="12.75" x14ac:dyDescent="0.2">
      <c r="AB743" s="70"/>
      <c r="AO743" s="70"/>
      <c r="AP743" s="93"/>
      <c r="AQ743" s="94"/>
      <c r="AR743" s="95"/>
      <c r="AS743" s="92"/>
      <c r="AT743" s="96"/>
      <c r="AU743" s="93"/>
      <c r="AV743" s="97"/>
      <c r="AW743" s="98"/>
      <c r="AX743" s="99"/>
      <c r="AY743" s="92"/>
      <c r="AZ743" s="96"/>
      <c r="BA743" s="100"/>
    </row>
    <row r="744" spans="28:53" ht="12.75" x14ac:dyDescent="0.2">
      <c r="AB744" s="70"/>
      <c r="AO744" s="70"/>
      <c r="AP744" s="93"/>
      <c r="AQ744" s="94"/>
      <c r="AR744" s="95"/>
      <c r="AS744" s="92"/>
      <c r="AT744" s="96"/>
      <c r="AU744" s="93"/>
      <c r="AV744" s="97"/>
      <c r="AW744" s="98"/>
      <c r="AX744" s="99"/>
      <c r="AY744" s="92"/>
      <c r="AZ744" s="96"/>
      <c r="BA744" s="100"/>
    </row>
    <row r="745" spans="28:53" ht="12.75" x14ac:dyDescent="0.2">
      <c r="AB745" s="70"/>
      <c r="AO745" s="70"/>
      <c r="AP745" s="93"/>
      <c r="AQ745" s="94"/>
      <c r="AR745" s="95"/>
      <c r="AS745" s="92"/>
      <c r="AT745" s="96"/>
      <c r="AU745" s="93"/>
      <c r="AV745" s="97"/>
      <c r="AW745" s="98"/>
      <c r="AX745" s="99"/>
      <c r="AY745" s="92"/>
      <c r="AZ745" s="96"/>
      <c r="BA745" s="100"/>
    </row>
    <row r="746" spans="28:53" ht="12.75" x14ac:dyDescent="0.2">
      <c r="AB746" s="70"/>
      <c r="AO746" s="70"/>
      <c r="AP746" s="93"/>
      <c r="AQ746" s="94"/>
      <c r="AR746" s="95"/>
      <c r="AS746" s="92"/>
      <c r="AT746" s="96"/>
      <c r="AU746" s="93"/>
      <c r="AV746" s="97"/>
      <c r="AW746" s="98"/>
      <c r="AX746" s="99"/>
      <c r="AY746" s="92"/>
      <c r="AZ746" s="96"/>
      <c r="BA746" s="100"/>
    </row>
    <row r="747" spans="28:53" ht="12.75" x14ac:dyDescent="0.2">
      <c r="AB747" s="70"/>
      <c r="AO747" s="70"/>
      <c r="AP747" s="93"/>
      <c r="AQ747" s="94"/>
      <c r="AR747" s="95"/>
      <c r="AS747" s="92"/>
      <c r="AT747" s="96"/>
      <c r="AU747" s="93"/>
      <c r="AV747" s="97"/>
      <c r="AW747" s="98"/>
      <c r="AX747" s="99"/>
      <c r="AY747" s="92"/>
      <c r="AZ747" s="96"/>
      <c r="BA747" s="100"/>
    </row>
    <row r="748" spans="28:53" ht="12.75" x14ac:dyDescent="0.2">
      <c r="AB748" s="70"/>
      <c r="AO748" s="70"/>
      <c r="AP748" s="93"/>
      <c r="AQ748" s="94"/>
      <c r="AR748" s="95"/>
      <c r="AS748" s="92"/>
      <c r="AT748" s="96"/>
      <c r="AU748" s="93"/>
      <c r="AV748" s="97"/>
      <c r="AW748" s="98"/>
      <c r="AX748" s="99"/>
      <c r="AY748" s="92"/>
      <c r="AZ748" s="96"/>
      <c r="BA748" s="100"/>
    </row>
    <row r="749" spans="28:53" ht="12.75" x14ac:dyDescent="0.2">
      <c r="AB749" s="70"/>
      <c r="AO749" s="70"/>
      <c r="AP749" s="93"/>
      <c r="AQ749" s="94"/>
      <c r="AR749" s="95"/>
      <c r="AS749" s="92"/>
      <c r="AT749" s="96"/>
      <c r="AU749" s="93"/>
      <c r="AV749" s="97"/>
      <c r="AW749" s="98"/>
      <c r="AX749" s="99"/>
      <c r="AY749" s="92"/>
      <c r="AZ749" s="96"/>
      <c r="BA749" s="100"/>
    </row>
    <row r="750" spans="28:53" ht="12.75" x14ac:dyDescent="0.2">
      <c r="AB750" s="70"/>
      <c r="AO750" s="70"/>
      <c r="AP750" s="93"/>
      <c r="AQ750" s="94"/>
      <c r="AR750" s="95"/>
      <c r="AS750" s="92"/>
      <c r="AT750" s="96"/>
      <c r="AU750" s="93"/>
      <c r="AV750" s="97"/>
      <c r="AW750" s="98"/>
      <c r="AX750" s="99"/>
      <c r="AY750" s="92"/>
      <c r="AZ750" s="96"/>
      <c r="BA750" s="100"/>
    </row>
    <row r="751" spans="28:53" ht="12.75" x14ac:dyDescent="0.2">
      <c r="AB751" s="70"/>
      <c r="AO751" s="70"/>
      <c r="AP751" s="93"/>
      <c r="AQ751" s="94"/>
      <c r="AR751" s="95"/>
      <c r="AS751" s="92"/>
      <c r="AT751" s="96"/>
      <c r="AU751" s="93"/>
      <c r="AV751" s="97"/>
      <c r="AW751" s="98"/>
      <c r="AX751" s="99"/>
      <c r="AY751" s="92"/>
      <c r="AZ751" s="96"/>
      <c r="BA751" s="100"/>
    </row>
    <row r="752" spans="28:53" ht="12.75" x14ac:dyDescent="0.2">
      <c r="AB752" s="70"/>
      <c r="AO752" s="70"/>
      <c r="AP752" s="93"/>
      <c r="AQ752" s="94"/>
      <c r="AR752" s="95"/>
      <c r="AS752" s="92"/>
      <c r="AT752" s="96"/>
      <c r="AU752" s="93"/>
      <c r="AV752" s="97"/>
      <c r="AW752" s="98"/>
      <c r="AX752" s="99"/>
      <c r="AY752" s="92"/>
      <c r="AZ752" s="96"/>
      <c r="BA752" s="100"/>
    </row>
    <row r="753" spans="28:53" ht="12.75" x14ac:dyDescent="0.2">
      <c r="AB753" s="70"/>
      <c r="AO753" s="70"/>
      <c r="AP753" s="93"/>
      <c r="AQ753" s="94"/>
      <c r="AR753" s="95"/>
      <c r="AS753" s="92"/>
      <c r="AT753" s="96"/>
      <c r="AU753" s="93"/>
      <c r="AV753" s="97"/>
      <c r="AW753" s="98"/>
      <c r="AX753" s="99"/>
      <c r="AY753" s="92"/>
      <c r="AZ753" s="96"/>
      <c r="BA753" s="100"/>
    </row>
    <row r="754" spans="28:53" ht="12.75" x14ac:dyDescent="0.2">
      <c r="AB754" s="70"/>
      <c r="AO754" s="70"/>
      <c r="AP754" s="93"/>
      <c r="AQ754" s="94"/>
      <c r="AR754" s="95"/>
      <c r="AS754" s="92"/>
      <c r="AT754" s="96"/>
      <c r="AU754" s="93"/>
      <c r="AV754" s="97"/>
      <c r="AW754" s="98"/>
      <c r="AX754" s="99"/>
      <c r="AY754" s="92"/>
      <c r="AZ754" s="96"/>
      <c r="BA754" s="100"/>
    </row>
    <row r="755" spans="28:53" ht="12.75" x14ac:dyDescent="0.2">
      <c r="AB755" s="70"/>
      <c r="AO755" s="70"/>
      <c r="AP755" s="93"/>
      <c r="AQ755" s="94"/>
      <c r="AR755" s="95"/>
      <c r="AS755" s="92"/>
      <c r="AT755" s="96"/>
      <c r="AU755" s="93"/>
      <c r="AV755" s="97"/>
      <c r="AW755" s="98"/>
      <c r="AX755" s="99"/>
      <c r="AY755" s="92"/>
      <c r="AZ755" s="96"/>
      <c r="BA755" s="100"/>
    </row>
    <row r="756" spans="28:53" ht="12.75" x14ac:dyDescent="0.2">
      <c r="AB756" s="70"/>
      <c r="AO756" s="70"/>
      <c r="AP756" s="93"/>
      <c r="AQ756" s="94"/>
      <c r="AR756" s="95"/>
      <c r="AS756" s="92"/>
      <c r="AT756" s="96"/>
      <c r="AU756" s="93"/>
      <c r="AV756" s="97"/>
      <c r="AW756" s="98"/>
      <c r="AX756" s="99"/>
      <c r="AY756" s="92"/>
      <c r="AZ756" s="96"/>
      <c r="BA756" s="100"/>
    </row>
    <row r="757" spans="28:53" ht="12.75" x14ac:dyDescent="0.2">
      <c r="AB757" s="70"/>
      <c r="AO757" s="70"/>
      <c r="AP757" s="93"/>
      <c r="AQ757" s="94"/>
      <c r="AR757" s="95"/>
      <c r="AS757" s="92"/>
      <c r="AT757" s="96"/>
      <c r="AU757" s="93"/>
      <c r="AV757" s="97"/>
      <c r="AW757" s="98"/>
      <c r="AX757" s="99"/>
      <c r="AY757" s="92"/>
      <c r="AZ757" s="96"/>
      <c r="BA757" s="100"/>
    </row>
    <row r="758" spans="28:53" ht="12.75" x14ac:dyDescent="0.2">
      <c r="AB758" s="70"/>
      <c r="AO758" s="70"/>
      <c r="AP758" s="93"/>
      <c r="AQ758" s="94"/>
      <c r="AR758" s="95"/>
      <c r="AS758" s="92"/>
      <c r="AT758" s="96"/>
      <c r="AU758" s="93"/>
      <c r="AV758" s="97"/>
      <c r="AW758" s="98"/>
      <c r="AX758" s="99"/>
      <c r="AY758" s="92"/>
      <c r="AZ758" s="96"/>
      <c r="BA758" s="100"/>
    </row>
    <row r="759" spans="28:53" ht="12.75" x14ac:dyDescent="0.2">
      <c r="AB759" s="70"/>
      <c r="AO759" s="70"/>
      <c r="AP759" s="93"/>
      <c r="AQ759" s="94"/>
      <c r="AR759" s="95"/>
      <c r="AS759" s="92"/>
      <c r="AT759" s="96"/>
      <c r="AU759" s="93"/>
      <c r="AV759" s="97"/>
      <c r="AW759" s="98"/>
      <c r="AX759" s="99"/>
      <c r="AY759" s="92"/>
      <c r="AZ759" s="96"/>
      <c r="BA759" s="100"/>
    </row>
    <row r="760" spans="28:53" ht="12.75" x14ac:dyDescent="0.2">
      <c r="AB760" s="70"/>
      <c r="AO760" s="70"/>
      <c r="AP760" s="93"/>
      <c r="AQ760" s="94"/>
      <c r="AR760" s="95"/>
      <c r="AS760" s="92"/>
      <c r="AT760" s="96"/>
      <c r="AU760" s="93"/>
      <c r="AV760" s="97"/>
      <c r="AW760" s="98"/>
      <c r="AX760" s="99"/>
      <c r="AY760" s="92"/>
      <c r="AZ760" s="96"/>
      <c r="BA760" s="100"/>
    </row>
    <row r="761" spans="28:53" ht="12.75" x14ac:dyDescent="0.2">
      <c r="AB761" s="70"/>
      <c r="AO761" s="70"/>
      <c r="AP761" s="93"/>
      <c r="AQ761" s="94"/>
      <c r="AR761" s="95"/>
      <c r="AS761" s="92"/>
      <c r="AT761" s="96"/>
      <c r="AU761" s="93"/>
      <c r="AV761" s="97"/>
      <c r="AW761" s="98"/>
      <c r="AX761" s="99"/>
      <c r="AY761" s="92"/>
      <c r="AZ761" s="96"/>
      <c r="BA761" s="100"/>
    </row>
    <row r="762" spans="28:53" ht="12.75" x14ac:dyDescent="0.2">
      <c r="AB762" s="70"/>
      <c r="AO762" s="70"/>
      <c r="AP762" s="93"/>
      <c r="AQ762" s="94"/>
      <c r="AR762" s="95"/>
      <c r="AS762" s="92"/>
      <c r="AT762" s="96"/>
      <c r="AU762" s="93"/>
      <c r="AV762" s="97"/>
      <c r="AW762" s="98"/>
      <c r="AX762" s="99"/>
      <c r="AY762" s="92"/>
      <c r="AZ762" s="96"/>
      <c r="BA762" s="100"/>
    </row>
    <row r="763" spans="28:53" ht="12.75" x14ac:dyDescent="0.2">
      <c r="AB763" s="70"/>
      <c r="AO763" s="70"/>
      <c r="AP763" s="93"/>
      <c r="AQ763" s="94"/>
      <c r="AR763" s="95"/>
      <c r="AS763" s="92"/>
      <c r="AT763" s="96"/>
      <c r="AU763" s="93"/>
      <c r="AV763" s="97"/>
      <c r="AW763" s="98"/>
      <c r="AX763" s="99"/>
      <c r="AY763" s="92"/>
      <c r="AZ763" s="96"/>
      <c r="BA763" s="100"/>
    </row>
    <row r="764" spans="28:53" ht="12.75" x14ac:dyDescent="0.2">
      <c r="AB764" s="70"/>
      <c r="AO764" s="70"/>
      <c r="AP764" s="93"/>
      <c r="AQ764" s="94"/>
      <c r="AR764" s="95"/>
      <c r="AS764" s="92"/>
      <c r="AT764" s="96"/>
      <c r="AU764" s="93"/>
      <c r="AV764" s="97"/>
      <c r="AW764" s="98"/>
      <c r="AX764" s="99"/>
      <c r="AY764" s="92"/>
      <c r="AZ764" s="96"/>
      <c r="BA764" s="100"/>
    </row>
    <row r="765" spans="28:53" ht="12.75" x14ac:dyDescent="0.2">
      <c r="AB765" s="70"/>
      <c r="AO765" s="70"/>
      <c r="AP765" s="93"/>
      <c r="AQ765" s="94"/>
      <c r="AR765" s="95"/>
      <c r="AS765" s="92"/>
      <c r="AT765" s="96"/>
      <c r="AU765" s="93"/>
      <c r="AV765" s="97"/>
      <c r="AW765" s="98"/>
      <c r="AX765" s="99"/>
      <c r="AY765" s="92"/>
      <c r="AZ765" s="96"/>
      <c r="BA765" s="100"/>
    </row>
    <row r="766" spans="28:53" ht="12.75" x14ac:dyDescent="0.2">
      <c r="AB766" s="70"/>
      <c r="AO766" s="70"/>
      <c r="AP766" s="93"/>
      <c r="AQ766" s="94"/>
      <c r="AR766" s="95"/>
      <c r="AS766" s="92"/>
      <c r="AT766" s="96"/>
      <c r="AU766" s="93"/>
      <c r="AV766" s="97"/>
      <c r="AW766" s="98"/>
      <c r="AX766" s="99"/>
      <c r="AY766" s="92"/>
      <c r="AZ766" s="96"/>
      <c r="BA766" s="100"/>
    </row>
    <row r="767" spans="28:53" ht="12.75" x14ac:dyDescent="0.2">
      <c r="AB767" s="70"/>
      <c r="AO767" s="70"/>
      <c r="AP767" s="93"/>
      <c r="AQ767" s="94"/>
      <c r="AR767" s="95"/>
      <c r="AS767" s="92"/>
      <c r="AT767" s="96"/>
      <c r="AU767" s="93"/>
      <c r="AV767" s="97"/>
      <c r="AW767" s="98"/>
      <c r="AX767" s="99"/>
      <c r="AY767" s="92"/>
      <c r="AZ767" s="96"/>
      <c r="BA767" s="100"/>
    </row>
    <row r="768" spans="28:53" ht="12.75" x14ac:dyDescent="0.2">
      <c r="AB768" s="70"/>
      <c r="AO768" s="70"/>
      <c r="AP768" s="93"/>
      <c r="AQ768" s="94"/>
      <c r="AR768" s="95"/>
      <c r="AS768" s="92"/>
      <c r="AT768" s="96"/>
      <c r="AU768" s="93"/>
      <c r="AV768" s="97"/>
      <c r="AW768" s="98"/>
      <c r="AX768" s="99"/>
      <c r="AY768" s="92"/>
      <c r="AZ768" s="96"/>
      <c r="BA768" s="100"/>
    </row>
    <row r="769" spans="28:53" ht="12.75" x14ac:dyDescent="0.2">
      <c r="AB769" s="70"/>
      <c r="AO769" s="70"/>
      <c r="AP769" s="93"/>
      <c r="AQ769" s="94"/>
      <c r="AR769" s="95"/>
      <c r="AS769" s="92"/>
      <c r="AT769" s="96"/>
      <c r="AU769" s="93"/>
      <c r="AV769" s="97"/>
      <c r="AW769" s="98"/>
      <c r="AX769" s="99"/>
      <c r="AY769" s="92"/>
      <c r="AZ769" s="96"/>
      <c r="BA769" s="100"/>
    </row>
    <row r="770" spans="28:53" ht="12.75" x14ac:dyDescent="0.2">
      <c r="AB770" s="70"/>
      <c r="AO770" s="70"/>
      <c r="AP770" s="93"/>
      <c r="AQ770" s="94"/>
      <c r="AR770" s="95"/>
      <c r="AS770" s="92"/>
      <c r="AT770" s="96"/>
      <c r="AU770" s="93"/>
      <c r="AV770" s="97"/>
      <c r="AW770" s="98"/>
      <c r="AX770" s="99"/>
      <c r="AY770" s="92"/>
      <c r="AZ770" s="96"/>
      <c r="BA770" s="100"/>
    </row>
    <row r="771" spans="28:53" ht="12.75" x14ac:dyDescent="0.2">
      <c r="AB771" s="70"/>
      <c r="AO771" s="70"/>
      <c r="AP771" s="93"/>
      <c r="AQ771" s="94"/>
      <c r="AR771" s="95"/>
      <c r="AS771" s="92"/>
      <c r="AT771" s="96"/>
      <c r="AU771" s="93"/>
      <c r="AV771" s="97"/>
      <c r="AW771" s="98"/>
      <c r="AX771" s="99"/>
      <c r="AY771" s="92"/>
      <c r="AZ771" s="96"/>
      <c r="BA771" s="100"/>
    </row>
    <row r="772" spans="28:53" ht="12.75" x14ac:dyDescent="0.2">
      <c r="AB772" s="70"/>
      <c r="AO772" s="70"/>
      <c r="AP772" s="93"/>
      <c r="AQ772" s="94"/>
      <c r="AR772" s="95"/>
      <c r="AS772" s="92"/>
      <c r="AT772" s="96"/>
      <c r="AU772" s="93"/>
      <c r="AV772" s="97"/>
      <c r="AW772" s="98"/>
      <c r="AX772" s="99"/>
      <c r="AY772" s="92"/>
      <c r="AZ772" s="96"/>
      <c r="BA772" s="100"/>
    </row>
    <row r="773" spans="28:53" ht="12.75" x14ac:dyDescent="0.2">
      <c r="AB773" s="70"/>
      <c r="AO773" s="70"/>
      <c r="AP773" s="93"/>
      <c r="AQ773" s="94"/>
      <c r="AR773" s="95"/>
      <c r="AS773" s="92"/>
      <c r="AT773" s="96"/>
      <c r="AU773" s="93"/>
      <c r="AV773" s="97"/>
      <c r="AW773" s="98"/>
      <c r="AX773" s="99"/>
      <c r="AY773" s="92"/>
      <c r="AZ773" s="96"/>
      <c r="BA773" s="100"/>
    </row>
    <row r="774" spans="28:53" ht="12.75" x14ac:dyDescent="0.2">
      <c r="AB774" s="70"/>
      <c r="AO774" s="70"/>
      <c r="AP774" s="93"/>
      <c r="AQ774" s="94"/>
      <c r="AR774" s="95"/>
      <c r="AS774" s="92"/>
      <c r="AT774" s="96"/>
      <c r="AU774" s="93"/>
      <c r="AV774" s="97"/>
      <c r="AW774" s="98"/>
      <c r="AX774" s="99"/>
      <c r="AY774" s="92"/>
      <c r="AZ774" s="96"/>
      <c r="BA774" s="100"/>
    </row>
    <row r="775" spans="28:53" ht="12.75" x14ac:dyDescent="0.2">
      <c r="AB775" s="70"/>
      <c r="AO775" s="70"/>
      <c r="AP775" s="93"/>
      <c r="AQ775" s="94"/>
      <c r="AR775" s="95"/>
      <c r="AS775" s="92"/>
      <c r="AT775" s="96"/>
      <c r="AU775" s="93"/>
      <c r="AV775" s="97"/>
      <c r="AW775" s="98"/>
      <c r="AX775" s="99"/>
      <c r="AY775" s="92"/>
      <c r="AZ775" s="96"/>
      <c r="BA775" s="100"/>
    </row>
    <row r="776" spans="28:53" ht="12.75" x14ac:dyDescent="0.2">
      <c r="AB776" s="70"/>
      <c r="AO776" s="70"/>
      <c r="AP776" s="93"/>
      <c r="AQ776" s="94"/>
      <c r="AR776" s="95"/>
      <c r="AS776" s="92"/>
      <c r="AT776" s="96"/>
      <c r="AU776" s="93"/>
      <c r="AV776" s="97"/>
      <c r="AW776" s="98"/>
      <c r="AX776" s="99"/>
      <c r="AY776" s="92"/>
      <c r="AZ776" s="96"/>
      <c r="BA776" s="100"/>
    </row>
    <row r="777" spans="28:53" ht="12.75" x14ac:dyDescent="0.2">
      <c r="AB777" s="70"/>
      <c r="AO777" s="70"/>
      <c r="AP777" s="93"/>
      <c r="AQ777" s="94"/>
      <c r="AR777" s="95"/>
      <c r="AS777" s="92"/>
      <c r="AT777" s="96"/>
      <c r="AU777" s="93"/>
      <c r="AV777" s="97"/>
      <c r="AW777" s="98"/>
      <c r="AX777" s="99"/>
      <c r="AY777" s="92"/>
      <c r="AZ777" s="96"/>
      <c r="BA777" s="100"/>
    </row>
    <row r="778" spans="28:53" ht="12.75" x14ac:dyDescent="0.2">
      <c r="AB778" s="70"/>
      <c r="AO778" s="70"/>
      <c r="AP778" s="93"/>
      <c r="AQ778" s="94"/>
      <c r="AR778" s="95"/>
      <c r="AS778" s="92"/>
      <c r="AT778" s="96"/>
      <c r="AU778" s="93"/>
      <c r="AV778" s="97"/>
      <c r="AW778" s="98"/>
      <c r="AX778" s="99"/>
      <c r="AY778" s="92"/>
      <c r="AZ778" s="96"/>
      <c r="BA778" s="100"/>
    </row>
    <row r="779" spans="28:53" ht="12.75" x14ac:dyDescent="0.2">
      <c r="AB779" s="70"/>
      <c r="AO779" s="70"/>
      <c r="AP779" s="93"/>
      <c r="AQ779" s="94"/>
      <c r="AR779" s="95"/>
      <c r="AS779" s="92"/>
      <c r="AT779" s="96"/>
      <c r="AU779" s="93"/>
      <c r="AV779" s="97"/>
      <c r="AW779" s="98"/>
      <c r="AX779" s="99"/>
      <c r="AY779" s="92"/>
      <c r="AZ779" s="96"/>
      <c r="BA779" s="100"/>
    </row>
    <row r="780" spans="28:53" ht="12.75" x14ac:dyDescent="0.2">
      <c r="AB780" s="70"/>
      <c r="AO780" s="70"/>
      <c r="AP780" s="93"/>
      <c r="AQ780" s="94"/>
      <c r="AR780" s="95"/>
      <c r="AS780" s="92"/>
      <c r="AT780" s="96"/>
      <c r="AU780" s="93"/>
      <c r="AV780" s="97"/>
      <c r="AW780" s="98"/>
      <c r="AX780" s="99"/>
      <c r="AY780" s="92"/>
      <c r="AZ780" s="96"/>
      <c r="BA780" s="100"/>
    </row>
    <row r="781" spans="28:53" ht="12.75" x14ac:dyDescent="0.2">
      <c r="AB781" s="70"/>
      <c r="AO781" s="70"/>
      <c r="AP781" s="93"/>
      <c r="AQ781" s="94"/>
      <c r="AR781" s="95"/>
      <c r="AS781" s="92"/>
      <c r="AT781" s="96"/>
      <c r="AU781" s="93"/>
      <c r="AV781" s="97"/>
      <c r="AW781" s="98"/>
      <c r="AX781" s="99"/>
      <c r="AY781" s="92"/>
      <c r="AZ781" s="96"/>
      <c r="BA781" s="100"/>
    </row>
    <row r="782" spans="28:53" ht="12.75" x14ac:dyDescent="0.2">
      <c r="AB782" s="70"/>
      <c r="AO782" s="70"/>
      <c r="AP782" s="93"/>
      <c r="AQ782" s="94"/>
      <c r="AR782" s="95"/>
      <c r="AS782" s="92"/>
      <c r="AT782" s="96"/>
      <c r="AU782" s="93"/>
      <c r="AV782" s="97"/>
      <c r="AW782" s="98"/>
      <c r="AX782" s="99"/>
      <c r="AY782" s="92"/>
      <c r="AZ782" s="96"/>
      <c r="BA782" s="100"/>
    </row>
    <row r="783" spans="28:53" ht="12.75" x14ac:dyDescent="0.2">
      <c r="AB783" s="70"/>
      <c r="AO783" s="70"/>
      <c r="AP783" s="93"/>
      <c r="AQ783" s="94"/>
      <c r="AR783" s="95"/>
      <c r="AS783" s="92"/>
      <c r="AT783" s="96"/>
      <c r="AU783" s="93"/>
      <c r="AV783" s="97"/>
      <c r="AW783" s="98"/>
      <c r="AX783" s="99"/>
      <c r="AY783" s="92"/>
      <c r="AZ783" s="96"/>
      <c r="BA783" s="100"/>
    </row>
    <row r="784" spans="28:53" ht="12.75" x14ac:dyDescent="0.2">
      <c r="AB784" s="70"/>
      <c r="AO784" s="70"/>
      <c r="AP784" s="93"/>
      <c r="AQ784" s="94"/>
      <c r="AR784" s="95"/>
      <c r="AS784" s="92"/>
      <c r="AT784" s="96"/>
      <c r="AU784" s="93"/>
      <c r="AV784" s="97"/>
      <c r="AW784" s="98"/>
      <c r="AX784" s="99"/>
      <c r="AY784" s="92"/>
      <c r="AZ784" s="96"/>
      <c r="BA784" s="100"/>
    </row>
    <row r="785" spans="28:53" ht="12.75" x14ac:dyDescent="0.2">
      <c r="AB785" s="70"/>
      <c r="AO785" s="70"/>
      <c r="AP785" s="93"/>
      <c r="AQ785" s="94"/>
      <c r="AR785" s="95"/>
      <c r="AS785" s="92"/>
      <c r="AT785" s="96"/>
      <c r="AU785" s="93"/>
      <c r="AV785" s="97"/>
      <c r="AW785" s="98"/>
      <c r="AX785" s="99"/>
      <c r="AY785" s="92"/>
      <c r="AZ785" s="96"/>
      <c r="BA785" s="100"/>
    </row>
    <row r="786" spans="28:53" ht="12.75" x14ac:dyDescent="0.2">
      <c r="AB786" s="70"/>
      <c r="AO786" s="70"/>
      <c r="AP786" s="93"/>
      <c r="AQ786" s="94"/>
      <c r="AR786" s="95"/>
      <c r="AS786" s="92"/>
      <c r="AT786" s="96"/>
      <c r="AU786" s="93"/>
      <c r="AV786" s="97"/>
      <c r="AW786" s="98"/>
      <c r="AX786" s="99"/>
      <c r="AY786" s="92"/>
      <c r="AZ786" s="96"/>
      <c r="BA786" s="100"/>
    </row>
    <row r="787" spans="28:53" ht="12.75" x14ac:dyDescent="0.2">
      <c r="AB787" s="70"/>
      <c r="AO787" s="70"/>
      <c r="AP787" s="93"/>
      <c r="AQ787" s="94"/>
      <c r="AR787" s="95"/>
      <c r="AS787" s="92"/>
      <c r="AT787" s="96"/>
      <c r="AU787" s="93"/>
      <c r="AV787" s="97"/>
      <c r="AW787" s="98"/>
      <c r="AX787" s="99"/>
      <c r="AY787" s="92"/>
      <c r="AZ787" s="96"/>
      <c r="BA787" s="100"/>
    </row>
    <row r="788" spans="28:53" ht="12.75" x14ac:dyDescent="0.2">
      <c r="AB788" s="70"/>
      <c r="AO788" s="70"/>
      <c r="AP788" s="93"/>
      <c r="AQ788" s="94"/>
      <c r="AR788" s="95"/>
      <c r="AS788" s="92"/>
      <c r="AT788" s="96"/>
      <c r="AU788" s="93"/>
      <c r="AV788" s="97"/>
      <c r="AW788" s="98"/>
      <c r="AX788" s="99"/>
      <c r="AY788" s="92"/>
      <c r="AZ788" s="96"/>
      <c r="BA788" s="100"/>
    </row>
    <row r="789" spans="28:53" ht="12.75" x14ac:dyDescent="0.2">
      <c r="AB789" s="70"/>
      <c r="AO789" s="70"/>
      <c r="AP789" s="93"/>
      <c r="AQ789" s="94"/>
      <c r="AR789" s="95"/>
      <c r="AS789" s="92"/>
      <c r="AT789" s="96"/>
      <c r="AU789" s="93"/>
      <c r="AV789" s="97"/>
      <c r="AW789" s="98"/>
      <c r="AX789" s="99"/>
      <c r="AY789" s="92"/>
      <c r="AZ789" s="96"/>
      <c r="BA789" s="100"/>
    </row>
    <row r="790" spans="28:53" ht="12.75" x14ac:dyDescent="0.2">
      <c r="AB790" s="70"/>
      <c r="AO790" s="70"/>
      <c r="AP790" s="93"/>
      <c r="AQ790" s="94"/>
      <c r="AR790" s="95"/>
      <c r="AS790" s="92"/>
      <c r="AT790" s="96"/>
      <c r="AU790" s="93"/>
      <c r="AV790" s="97"/>
      <c r="AW790" s="98"/>
      <c r="AX790" s="99"/>
      <c r="AY790" s="92"/>
      <c r="AZ790" s="96"/>
      <c r="BA790" s="100"/>
    </row>
    <row r="791" spans="28:53" ht="12.75" x14ac:dyDescent="0.2">
      <c r="AB791" s="70"/>
      <c r="AO791" s="70"/>
      <c r="AP791" s="93"/>
      <c r="AQ791" s="94"/>
      <c r="AR791" s="95"/>
      <c r="AS791" s="92"/>
      <c r="AT791" s="96"/>
      <c r="AU791" s="93"/>
      <c r="AV791" s="97"/>
      <c r="AW791" s="98"/>
      <c r="AX791" s="99"/>
      <c r="AY791" s="92"/>
      <c r="AZ791" s="96"/>
      <c r="BA791" s="100"/>
    </row>
    <row r="792" spans="28:53" ht="12.75" x14ac:dyDescent="0.2">
      <c r="AB792" s="70"/>
      <c r="AO792" s="70"/>
      <c r="AP792" s="93"/>
      <c r="AQ792" s="94"/>
      <c r="AR792" s="95"/>
      <c r="AS792" s="92"/>
      <c r="AT792" s="96"/>
      <c r="AU792" s="93"/>
      <c r="AV792" s="97"/>
      <c r="AW792" s="98"/>
      <c r="AX792" s="99"/>
      <c r="AY792" s="92"/>
      <c r="AZ792" s="96"/>
      <c r="BA792" s="100"/>
    </row>
    <row r="793" spans="28:53" ht="12.75" x14ac:dyDescent="0.2">
      <c r="AB793" s="70"/>
      <c r="AO793" s="70"/>
      <c r="AP793" s="93"/>
      <c r="AQ793" s="94"/>
      <c r="AR793" s="95"/>
      <c r="AS793" s="92"/>
      <c r="AT793" s="96"/>
      <c r="AU793" s="93"/>
      <c r="AV793" s="97"/>
      <c r="AW793" s="98"/>
      <c r="AX793" s="99"/>
      <c r="AY793" s="92"/>
      <c r="AZ793" s="96"/>
      <c r="BA793" s="100"/>
    </row>
    <row r="794" spans="28:53" ht="12.75" x14ac:dyDescent="0.2">
      <c r="AB794" s="70"/>
      <c r="AO794" s="70"/>
      <c r="AP794" s="93"/>
      <c r="AQ794" s="94"/>
      <c r="AR794" s="95"/>
      <c r="AS794" s="92"/>
      <c r="AT794" s="96"/>
      <c r="AU794" s="93"/>
      <c r="AV794" s="97"/>
      <c r="AW794" s="98"/>
      <c r="AX794" s="99"/>
      <c r="AY794" s="92"/>
      <c r="AZ794" s="96"/>
      <c r="BA794" s="100"/>
    </row>
    <row r="795" spans="28:53" ht="12.75" x14ac:dyDescent="0.2">
      <c r="AB795" s="70"/>
      <c r="AO795" s="70"/>
      <c r="AP795" s="93"/>
      <c r="AQ795" s="94"/>
      <c r="AR795" s="95"/>
      <c r="AS795" s="92"/>
      <c r="AT795" s="96"/>
      <c r="AU795" s="93"/>
      <c r="AV795" s="97"/>
      <c r="AW795" s="98"/>
      <c r="AX795" s="99"/>
      <c r="AY795" s="92"/>
      <c r="AZ795" s="96"/>
      <c r="BA795" s="100"/>
    </row>
    <row r="796" spans="28:53" ht="12.75" x14ac:dyDescent="0.2">
      <c r="AB796" s="70"/>
      <c r="AO796" s="70"/>
      <c r="AP796" s="93"/>
      <c r="AQ796" s="94"/>
      <c r="AR796" s="95"/>
      <c r="AS796" s="92"/>
      <c r="AT796" s="96"/>
      <c r="AU796" s="93"/>
      <c r="AV796" s="97"/>
      <c r="AW796" s="98"/>
      <c r="AX796" s="99"/>
      <c r="AY796" s="92"/>
      <c r="AZ796" s="96"/>
      <c r="BA796" s="100"/>
    </row>
    <row r="797" spans="28:53" ht="12.75" x14ac:dyDescent="0.2">
      <c r="AB797" s="70"/>
      <c r="AO797" s="70"/>
      <c r="AP797" s="93"/>
      <c r="AQ797" s="94"/>
      <c r="AR797" s="95"/>
      <c r="AS797" s="92"/>
      <c r="AT797" s="96"/>
      <c r="AU797" s="93"/>
      <c r="AV797" s="97"/>
      <c r="AW797" s="98"/>
      <c r="AX797" s="99"/>
      <c r="AY797" s="92"/>
      <c r="AZ797" s="96"/>
      <c r="BA797" s="100"/>
    </row>
    <row r="798" spans="28:53" ht="12.75" x14ac:dyDescent="0.2">
      <c r="AB798" s="70"/>
      <c r="AO798" s="70"/>
      <c r="AP798" s="93"/>
      <c r="AQ798" s="94"/>
      <c r="AR798" s="95"/>
      <c r="AS798" s="92"/>
      <c r="AT798" s="96"/>
      <c r="AU798" s="93"/>
      <c r="AV798" s="97"/>
      <c r="AW798" s="98"/>
      <c r="AX798" s="99"/>
      <c r="AY798" s="92"/>
      <c r="AZ798" s="96"/>
      <c r="BA798" s="100"/>
    </row>
    <row r="799" spans="28:53" ht="12.75" x14ac:dyDescent="0.2">
      <c r="AB799" s="70"/>
      <c r="AO799" s="70"/>
      <c r="AP799" s="93"/>
      <c r="AQ799" s="94"/>
      <c r="AR799" s="95"/>
      <c r="AS799" s="92"/>
      <c r="AT799" s="96"/>
      <c r="AU799" s="93"/>
      <c r="AV799" s="97"/>
      <c r="AW799" s="98"/>
      <c r="AX799" s="99"/>
      <c r="AY799" s="92"/>
      <c r="AZ799" s="96"/>
      <c r="BA799" s="100"/>
    </row>
    <row r="800" spans="28:53" ht="12.75" x14ac:dyDescent="0.2">
      <c r="AB800" s="70"/>
      <c r="AO800" s="70"/>
      <c r="AP800" s="93"/>
      <c r="AQ800" s="94"/>
      <c r="AR800" s="95"/>
      <c r="AS800" s="92"/>
      <c r="AT800" s="96"/>
      <c r="AU800" s="93"/>
      <c r="AV800" s="97"/>
      <c r="AW800" s="98"/>
      <c r="AX800" s="99"/>
      <c r="AY800" s="92"/>
      <c r="AZ800" s="96"/>
      <c r="BA800" s="100"/>
    </row>
    <row r="801" spans="28:53" ht="12.75" x14ac:dyDescent="0.2">
      <c r="AB801" s="70"/>
      <c r="AO801" s="70"/>
      <c r="AP801" s="93"/>
      <c r="AQ801" s="94"/>
      <c r="AR801" s="95"/>
      <c r="AS801" s="92"/>
      <c r="AT801" s="96"/>
      <c r="AU801" s="93"/>
      <c r="AV801" s="97"/>
      <c r="AW801" s="98"/>
      <c r="AX801" s="99"/>
      <c r="AY801" s="92"/>
      <c r="AZ801" s="96"/>
      <c r="BA801" s="100"/>
    </row>
    <row r="802" spans="28:53" ht="12.75" x14ac:dyDescent="0.2">
      <c r="AB802" s="70"/>
      <c r="AO802" s="70"/>
      <c r="AP802" s="93"/>
      <c r="AQ802" s="94"/>
      <c r="AR802" s="95"/>
      <c r="AS802" s="92"/>
      <c r="AT802" s="96"/>
      <c r="AU802" s="93"/>
      <c r="AV802" s="97"/>
      <c r="AW802" s="98"/>
      <c r="AX802" s="99"/>
      <c r="AY802" s="92"/>
      <c r="AZ802" s="96"/>
      <c r="BA802" s="100"/>
    </row>
    <row r="803" spans="28:53" ht="12.75" x14ac:dyDescent="0.2">
      <c r="AB803" s="70"/>
      <c r="AO803" s="70"/>
      <c r="AP803" s="93"/>
      <c r="AQ803" s="94"/>
      <c r="AR803" s="95"/>
      <c r="AS803" s="92"/>
      <c r="AT803" s="96"/>
      <c r="AU803" s="93"/>
      <c r="AV803" s="97"/>
      <c r="AW803" s="98"/>
      <c r="AX803" s="99"/>
      <c r="AY803" s="92"/>
      <c r="AZ803" s="96"/>
      <c r="BA803" s="100"/>
    </row>
    <row r="804" spans="28:53" ht="12.75" x14ac:dyDescent="0.2">
      <c r="AB804" s="70"/>
      <c r="AO804" s="70"/>
      <c r="AP804" s="93"/>
      <c r="AQ804" s="94"/>
      <c r="AR804" s="95"/>
      <c r="AS804" s="92"/>
      <c r="AT804" s="96"/>
      <c r="AU804" s="93"/>
      <c r="AV804" s="97"/>
      <c r="AW804" s="98"/>
      <c r="AX804" s="99"/>
      <c r="AY804" s="92"/>
      <c r="AZ804" s="96"/>
      <c r="BA804" s="100"/>
    </row>
    <row r="805" spans="28:53" ht="12.75" x14ac:dyDescent="0.2">
      <c r="AB805" s="70"/>
      <c r="AO805" s="70"/>
      <c r="AP805" s="93"/>
      <c r="AQ805" s="94"/>
      <c r="AR805" s="95"/>
      <c r="AS805" s="92"/>
      <c r="AT805" s="96"/>
      <c r="AU805" s="93"/>
      <c r="AV805" s="97"/>
      <c r="AW805" s="98"/>
      <c r="AX805" s="99"/>
      <c r="AY805" s="92"/>
      <c r="AZ805" s="96"/>
      <c r="BA805" s="100"/>
    </row>
    <row r="806" spans="28:53" ht="12.75" x14ac:dyDescent="0.2">
      <c r="AB806" s="70"/>
      <c r="AO806" s="70"/>
      <c r="AP806" s="93"/>
      <c r="AQ806" s="94"/>
      <c r="AR806" s="95"/>
      <c r="AS806" s="92"/>
      <c r="AT806" s="96"/>
      <c r="AU806" s="93"/>
      <c r="AV806" s="97"/>
      <c r="AW806" s="98"/>
      <c r="AX806" s="99"/>
      <c r="AY806" s="92"/>
      <c r="AZ806" s="96"/>
      <c r="BA806" s="100"/>
    </row>
    <row r="807" spans="28:53" ht="12.75" x14ac:dyDescent="0.2">
      <c r="AB807" s="70"/>
      <c r="AO807" s="70"/>
      <c r="AP807" s="93"/>
      <c r="AQ807" s="94"/>
      <c r="AR807" s="95"/>
      <c r="AS807" s="92"/>
      <c r="AT807" s="96"/>
      <c r="AU807" s="93"/>
      <c r="AV807" s="97"/>
      <c r="AW807" s="98"/>
      <c r="AX807" s="99"/>
      <c r="AY807" s="92"/>
      <c r="AZ807" s="96"/>
      <c r="BA807" s="100"/>
    </row>
    <row r="808" spans="28:53" ht="12.75" x14ac:dyDescent="0.2">
      <c r="AB808" s="70"/>
      <c r="AO808" s="70"/>
      <c r="AP808" s="93"/>
      <c r="AQ808" s="94"/>
      <c r="AR808" s="95"/>
      <c r="AS808" s="92"/>
      <c r="AT808" s="96"/>
      <c r="AU808" s="93"/>
      <c r="AV808" s="97"/>
      <c r="AW808" s="98"/>
      <c r="AX808" s="99"/>
      <c r="AY808" s="92"/>
      <c r="AZ808" s="96"/>
      <c r="BA808" s="100"/>
    </row>
    <row r="809" spans="28:53" ht="12.75" x14ac:dyDescent="0.2">
      <c r="AB809" s="70"/>
      <c r="AO809" s="70"/>
      <c r="AP809" s="93"/>
      <c r="AQ809" s="94"/>
      <c r="AR809" s="95"/>
      <c r="AS809" s="92"/>
      <c r="AT809" s="96"/>
      <c r="AU809" s="93"/>
      <c r="AV809" s="97"/>
      <c r="AW809" s="98"/>
      <c r="AX809" s="99"/>
      <c r="AY809" s="92"/>
      <c r="AZ809" s="96"/>
      <c r="BA809" s="100"/>
    </row>
    <row r="810" spans="28:53" ht="12.75" x14ac:dyDescent="0.2">
      <c r="AB810" s="70"/>
      <c r="AO810" s="70"/>
      <c r="AP810" s="93"/>
      <c r="AQ810" s="94"/>
      <c r="AR810" s="95"/>
      <c r="AS810" s="92"/>
      <c r="AT810" s="96"/>
      <c r="AU810" s="93"/>
      <c r="AV810" s="97"/>
      <c r="AW810" s="98"/>
      <c r="AX810" s="99"/>
      <c r="AY810" s="92"/>
      <c r="AZ810" s="96"/>
      <c r="BA810" s="100"/>
    </row>
    <row r="811" spans="28:53" ht="12.75" x14ac:dyDescent="0.2">
      <c r="AB811" s="70"/>
      <c r="AO811" s="70"/>
      <c r="AP811" s="93"/>
      <c r="AQ811" s="94"/>
      <c r="AR811" s="95"/>
      <c r="AS811" s="92"/>
      <c r="AT811" s="96"/>
      <c r="AU811" s="93"/>
      <c r="AV811" s="97"/>
      <c r="AW811" s="98"/>
      <c r="AX811" s="99"/>
      <c r="AY811" s="92"/>
      <c r="AZ811" s="96"/>
      <c r="BA811" s="100"/>
    </row>
    <row r="812" spans="28:53" ht="12.75" x14ac:dyDescent="0.2">
      <c r="AB812" s="70"/>
      <c r="AO812" s="70"/>
      <c r="AP812" s="93"/>
      <c r="AQ812" s="94"/>
      <c r="AR812" s="95"/>
      <c r="AS812" s="92"/>
      <c r="AT812" s="96"/>
      <c r="AU812" s="93"/>
      <c r="AV812" s="97"/>
      <c r="AW812" s="98"/>
      <c r="AX812" s="99"/>
      <c r="AY812" s="92"/>
      <c r="AZ812" s="96"/>
      <c r="BA812" s="100"/>
    </row>
    <row r="813" spans="28:53" ht="12.75" x14ac:dyDescent="0.2">
      <c r="AB813" s="70"/>
      <c r="AO813" s="70"/>
      <c r="AP813" s="93"/>
      <c r="AQ813" s="94"/>
      <c r="AR813" s="95"/>
      <c r="AS813" s="92"/>
      <c r="AT813" s="96"/>
      <c r="AU813" s="93"/>
      <c r="AV813" s="97"/>
      <c r="AW813" s="98"/>
      <c r="AX813" s="99"/>
      <c r="AY813" s="92"/>
      <c r="AZ813" s="96"/>
      <c r="BA813" s="100"/>
    </row>
    <row r="814" spans="28:53" ht="12.75" x14ac:dyDescent="0.2">
      <c r="AB814" s="70"/>
      <c r="AO814" s="70"/>
      <c r="AP814" s="93"/>
      <c r="AQ814" s="94"/>
      <c r="AR814" s="95"/>
      <c r="AS814" s="92"/>
      <c r="AT814" s="96"/>
      <c r="AU814" s="93"/>
      <c r="AV814" s="97"/>
      <c r="AW814" s="98"/>
      <c r="AX814" s="99"/>
      <c r="AY814" s="92"/>
      <c r="AZ814" s="96"/>
      <c r="BA814" s="100"/>
    </row>
    <row r="815" spans="28:53" ht="12.75" x14ac:dyDescent="0.2">
      <c r="AB815" s="70"/>
      <c r="AO815" s="70"/>
      <c r="AP815" s="93"/>
      <c r="AQ815" s="94"/>
      <c r="AR815" s="95"/>
      <c r="AS815" s="92"/>
      <c r="AT815" s="96"/>
      <c r="AU815" s="93"/>
      <c r="AV815" s="97"/>
      <c r="AW815" s="98"/>
      <c r="AX815" s="99"/>
      <c r="AY815" s="92"/>
      <c r="AZ815" s="96"/>
      <c r="BA815" s="100"/>
    </row>
    <row r="816" spans="28:53" ht="12.75" x14ac:dyDescent="0.2">
      <c r="AB816" s="70"/>
      <c r="AO816" s="70"/>
      <c r="AP816" s="93"/>
      <c r="AQ816" s="94"/>
      <c r="AR816" s="95"/>
      <c r="AS816" s="92"/>
      <c r="AT816" s="96"/>
      <c r="AU816" s="93"/>
      <c r="AV816" s="97"/>
      <c r="AW816" s="98"/>
      <c r="AX816" s="99"/>
      <c r="AY816" s="92"/>
      <c r="AZ816" s="96"/>
      <c r="BA816" s="100"/>
    </row>
    <row r="817" spans="28:53" ht="12.75" x14ac:dyDescent="0.2">
      <c r="AB817" s="70"/>
      <c r="AO817" s="70"/>
      <c r="AP817" s="93"/>
      <c r="AQ817" s="94"/>
      <c r="AR817" s="95"/>
      <c r="AS817" s="92"/>
      <c r="AT817" s="96"/>
      <c r="AU817" s="93"/>
      <c r="AV817" s="97"/>
      <c r="AW817" s="98"/>
      <c r="AX817" s="99"/>
      <c r="AY817" s="92"/>
      <c r="AZ817" s="96"/>
      <c r="BA817" s="100"/>
    </row>
    <row r="818" spans="28:53" ht="12.75" x14ac:dyDescent="0.2">
      <c r="AB818" s="70"/>
      <c r="AO818" s="70"/>
      <c r="AP818" s="93"/>
      <c r="AQ818" s="94"/>
      <c r="AR818" s="95"/>
      <c r="AS818" s="92"/>
      <c r="AT818" s="96"/>
      <c r="AU818" s="93"/>
      <c r="AV818" s="97"/>
      <c r="AW818" s="98"/>
      <c r="AX818" s="99"/>
      <c r="AY818" s="92"/>
      <c r="AZ818" s="96"/>
      <c r="BA818" s="100"/>
    </row>
    <row r="819" spans="28:53" ht="12.75" x14ac:dyDescent="0.2">
      <c r="AB819" s="70"/>
      <c r="AO819" s="70"/>
      <c r="AP819" s="93"/>
      <c r="AQ819" s="94"/>
      <c r="AR819" s="95"/>
      <c r="AS819" s="92"/>
      <c r="AT819" s="96"/>
      <c r="AU819" s="93"/>
      <c r="AV819" s="97"/>
      <c r="AW819" s="98"/>
      <c r="AX819" s="99"/>
      <c r="AY819" s="92"/>
      <c r="AZ819" s="96"/>
      <c r="BA819" s="100"/>
    </row>
    <row r="820" spans="28:53" ht="12.75" x14ac:dyDescent="0.2">
      <c r="AB820" s="70"/>
      <c r="AO820" s="70"/>
      <c r="AP820" s="93"/>
      <c r="AQ820" s="94"/>
      <c r="AR820" s="95"/>
      <c r="AS820" s="92"/>
      <c r="AT820" s="96"/>
      <c r="AU820" s="93"/>
      <c r="AV820" s="97"/>
      <c r="AW820" s="98"/>
      <c r="AX820" s="99"/>
      <c r="AY820" s="92"/>
      <c r="AZ820" s="96"/>
      <c r="BA820" s="100"/>
    </row>
    <row r="821" spans="28:53" ht="12.75" x14ac:dyDescent="0.2">
      <c r="AB821" s="70"/>
      <c r="AO821" s="70"/>
      <c r="AP821" s="93"/>
      <c r="AQ821" s="94"/>
      <c r="AR821" s="95"/>
      <c r="AS821" s="92"/>
      <c r="AT821" s="96"/>
      <c r="AU821" s="93"/>
      <c r="AV821" s="97"/>
      <c r="AW821" s="98"/>
      <c r="AX821" s="99"/>
      <c r="AY821" s="92"/>
      <c r="AZ821" s="96"/>
      <c r="BA821" s="100"/>
    </row>
    <row r="822" spans="28:53" ht="12.75" x14ac:dyDescent="0.2">
      <c r="AB822" s="70"/>
      <c r="AO822" s="70"/>
      <c r="AP822" s="93"/>
      <c r="AQ822" s="94"/>
      <c r="AR822" s="95"/>
      <c r="AS822" s="92"/>
      <c r="AT822" s="96"/>
      <c r="AU822" s="93"/>
      <c r="AV822" s="97"/>
      <c r="AW822" s="98"/>
      <c r="AX822" s="99"/>
      <c r="AY822" s="92"/>
      <c r="AZ822" s="96"/>
      <c r="BA822" s="100"/>
    </row>
    <row r="823" spans="28:53" ht="12.75" x14ac:dyDescent="0.2">
      <c r="AB823" s="70"/>
      <c r="AO823" s="70"/>
      <c r="AP823" s="93"/>
      <c r="AQ823" s="94"/>
      <c r="AR823" s="95"/>
      <c r="AS823" s="92"/>
      <c r="AT823" s="96"/>
      <c r="AU823" s="93"/>
      <c r="AV823" s="97"/>
      <c r="AW823" s="98"/>
      <c r="AX823" s="99"/>
      <c r="AY823" s="92"/>
      <c r="AZ823" s="96"/>
      <c r="BA823" s="100"/>
    </row>
    <row r="824" spans="28:53" ht="12.75" x14ac:dyDescent="0.2">
      <c r="AB824" s="70"/>
      <c r="AO824" s="70"/>
      <c r="AP824" s="93"/>
      <c r="AQ824" s="94"/>
      <c r="AR824" s="95"/>
      <c r="AS824" s="92"/>
      <c r="AT824" s="96"/>
      <c r="AU824" s="93"/>
      <c r="AV824" s="97"/>
      <c r="AW824" s="98"/>
      <c r="AX824" s="99"/>
      <c r="AY824" s="92"/>
      <c r="AZ824" s="96"/>
      <c r="BA824" s="100"/>
    </row>
    <row r="825" spans="28:53" ht="12.75" x14ac:dyDescent="0.2">
      <c r="AB825" s="70"/>
      <c r="AO825" s="70"/>
      <c r="AP825" s="93"/>
      <c r="AQ825" s="94"/>
      <c r="AR825" s="95"/>
      <c r="AS825" s="92"/>
      <c r="AT825" s="96"/>
      <c r="AU825" s="93"/>
      <c r="AV825" s="97"/>
      <c r="AW825" s="98"/>
      <c r="AX825" s="99"/>
      <c r="AY825" s="92"/>
      <c r="AZ825" s="96"/>
      <c r="BA825" s="100"/>
    </row>
    <row r="826" spans="28:53" ht="12.75" x14ac:dyDescent="0.2">
      <c r="AB826" s="70"/>
      <c r="AO826" s="70"/>
      <c r="AP826" s="93"/>
      <c r="AQ826" s="94"/>
      <c r="AR826" s="95"/>
      <c r="AS826" s="92"/>
      <c r="AT826" s="96"/>
      <c r="AU826" s="93"/>
      <c r="AV826" s="97"/>
      <c r="AW826" s="98"/>
      <c r="AX826" s="99"/>
      <c r="AY826" s="92"/>
      <c r="AZ826" s="96"/>
      <c r="BA826" s="100"/>
    </row>
    <row r="827" spans="28:53" ht="12.75" x14ac:dyDescent="0.2">
      <c r="AB827" s="70"/>
      <c r="AO827" s="70"/>
      <c r="AP827" s="93"/>
      <c r="AQ827" s="94"/>
      <c r="AR827" s="95"/>
      <c r="AS827" s="92"/>
      <c r="AT827" s="96"/>
      <c r="AU827" s="93"/>
      <c r="AV827" s="97"/>
      <c r="AW827" s="98"/>
      <c r="AX827" s="99"/>
      <c r="AY827" s="92"/>
      <c r="AZ827" s="96"/>
      <c r="BA827" s="100"/>
    </row>
    <row r="828" spans="28:53" ht="12.75" x14ac:dyDescent="0.2">
      <c r="AB828" s="70"/>
      <c r="AO828" s="70"/>
      <c r="AP828" s="93"/>
      <c r="AQ828" s="94"/>
      <c r="AR828" s="95"/>
      <c r="AS828" s="92"/>
      <c r="AT828" s="96"/>
      <c r="AU828" s="93"/>
      <c r="AV828" s="97"/>
      <c r="AW828" s="98"/>
      <c r="AX828" s="99"/>
      <c r="AY828" s="92"/>
      <c r="AZ828" s="96"/>
      <c r="BA828" s="100"/>
    </row>
    <row r="829" spans="28:53" ht="12.75" x14ac:dyDescent="0.2">
      <c r="AB829" s="70"/>
      <c r="AO829" s="70"/>
      <c r="AP829" s="93"/>
      <c r="AQ829" s="94"/>
      <c r="AR829" s="95"/>
      <c r="AS829" s="92"/>
      <c r="AT829" s="96"/>
      <c r="AU829" s="93"/>
      <c r="AV829" s="97"/>
      <c r="AW829" s="98"/>
      <c r="AX829" s="99"/>
      <c r="AY829" s="92"/>
      <c r="AZ829" s="96"/>
      <c r="BA829" s="100"/>
    </row>
    <row r="830" spans="28:53" ht="12.75" x14ac:dyDescent="0.2">
      <c r="AB830" s="70"/>
      <c r="AO830" s="70"/>
      <c r="AP830" s="93"/>
      <c r="AQ830" s="94"/>
      <c r="AR830" s="95"/>
      <c r="AS830" s="92"/>
      <c r="AT830" s="96"/>
      <c r="AU830" s="93"/>
      <c r="AV830" s="97"/>
      <c r="AW830" s="98"/>
      <c r="AX830" s="99"/>
      <c r="AY830" s="92"/>
      <c r="AZ830" s="96"/>
      <c r="BA830" s="100"/>
    </row>
    <row r="831" spans="28:53" ht="12.75" x14ac:dyDescent="0.2">
      <c r="AB831" s="70"/>
      <c r="AO831" s="70"/>
      <c r="AP831" s="93"/>
      <c r="AQ831" s="94"/>
      <c r="AR831" s="95"/>
      <c r="AS831" s="92"/>
      <c r="AT831" s="96"/>
      <c r="AU831" s="93"/>
      <c r="AV831" s="97"/>
      <c r="AW831" s="98"/>
      <c r="AX831" s="99"/>
      <c r="AY831" s="92"/>
      <c r="AZ831" s="96"/>
      <c r="BA831" s="100"/>
    </row>
    <row r="832" spans="28:53" ht="12.75" x14ac:dyDescent="0.2">
      <c r="AB832" s="70"/>
      <c r="AO832" s="70"/>
      <c r="AP832" s="93"/>
      <c r="AQ832" s="94"/>
      <c r="AR832" s="95"/>
      <c r="AS832" s="92"/>
      <c r="AT832" s="96"/>
      <c r="AU832" s="93"/>
      <c r="AV832" s="97"/>
      <c r="AW832" s="98"/>
      <c r="AX832" s="99"/>
      <c r="AY832" s="92"/>
      <c r="AZ832" s="96"/>
      <c r="BA832" s="100"/>
    </row>
    <row r="833" spans="28:53" ht="12.75" x14ac:dyDescent="0.2">
      <c r="AB833" s="70"/>
      <c r="AO833" s="70"/>
      <c r="AP833" s="93"/>
      <c r="AQ833" s="94"/>
      <c r="AR833" s="95"/>
      <c r="AS833" s="92"/>
      <c r="AT833" s="96"/>
      <c r="AU833" s="93"/>
      <c r="AV833" s="97"/>
      <c r="AW833" s="98"/>
      <c r="AX833" s="99"/>
      <c r="AY833" s="92"/>
      <c r="AZ833" s="96"/>
      <c r="BA833" s="100"/>
    </row>
    <row r="834" spans="28:53" ht="12.75" x14ac:dyDescent="0.2">
      <c r="AB834" s="70"/>
      <c r="AO834" s="70"/>
      <c r="AP834" s="93"/>
      <c r="AQ834" s="94"/>
      <c r="AR834" s="95"/>
      <c r="AS834" s="92"/>
      <c r="AT834" s="96"/>
      <c r="AU834" s="93"/>
      <c r="AV834" s="97"/>
      <c r="AW834" s="98"/>
      <c r="AX834" s="99"/>
      <c r="AY834" s="92"/>
      <c r="AZ834" s="96"/>
      <c r="BA834" s="100"/>
    </row>
    <row r="835" spans="28:53" ht="12.75" x14ac:dyDescent="0.2">
      <c r="AB835" s="70"/>
      <c r="AO835" s="70"/>
      <c r="AP835" s="93"/>
      <c r="AQ835" s="94"/>
      <c r="AR835" s="95"/>
      <c r="AS835" s="92"/>
      <c r="AT835" s="96"/>
      <c r="AU835" s="93"/>
      <c r="AV835" s="97"/>
      <c r="AW835" s="98"/>
      <c r="AX835" s="99"/>
      <c r="AY835" s="92"/>
      <c r="AZ835" s="96"/>
      <c r="BA835" s="100"/>
    </row>
    <row r="836" spans="28:53" ht="12.75" x14ac:dyDescent="0.2">
      <c r="AB836" s="70"/>
      <c r="AO836" s="70"/>
      <c r="AP836" s="93"/>
      <c r="AQ836" s="94"/>
      <c r="AR836" s="95"/>
      <c r="AS836" s="92"/>
      <c r="AT836" s="96"/>
      <c r="AU836" s="93"/>
      <c r="AV836" s="97"/>
      <c r="AW836" s="98"/>
      <c r="AX836" s="99"/>
      <c r="AY836" s="92"/>
      <c r="AZ836" s="96"/>
      <c r="BA836" s="100"/>
    </row>
    <row r="837" spans="28:53" ht="12.75" x14ac:dyDescent="0.2">
      <c r="AB837" s="70"/>
      <c r="AO837" s="70"/>
      <c r="AP837" s="93"/>
      <c r="AQ837" s="94"/>
      <c r="AR837" s="95"/>
      <c r="AS837" s="92"/>
      <c r="AT837" s="96"/>
      <c r="AU837" s="93"/>
      <c r="AV837" s="97"/>
      <c r="AW837" s="98"/>
      <c r="AX837" s="99"/>
      <c r="AY837" s="92"/>
      <c r="AZ837" s="96"/>
      <c r="BA837" s="100"/>
    </row>
    <row r="838" spans="28:53" ht="12.75" x14ac:dyDescent="0.2">
      <c r="AB838" s="70"/>
      <c r="AO838" s="70"/>
      <c r="AP838" s="93"/>
      <c r="AQ838" s="94"/>
      <c r="AR838" s="95"/>
      <c r="AS838" s="92"/>
      <c r="AT838" s="96"/>
      <c r="AU838" s="93"/>
      <c r="AV838" s="97"/>
      <c r="AW838" s="98"/>
      <c r="AX838" s="99"/>
      <c r="AY838" s="92"/>
      <c r="AZ838" s="96"/>
      <c r="BA838" s="100"/>
    </row>
    <row r="839" spans="28:53" ht="12.75" x14ac:dyDescent="0.2">
      <c r="AB839" s="70"/>
      <c r="AO839" s="70"/>
      <c r="AP839" s="93"/>
      <c r="AQ839" s="94"/>
      <c r="AR839" s="95"/>
      <c r="AS839" s="92"/>
      <c r="AT839" s="96"/>
      <c r="AU839" s="93"/>
      <c r="AV839" s="97"/>
      <c r="AW839" s="98"/>
      <c r="AX839" s="99"/>
      <c r="AY839" s="92"/>
      <c r="AZ839" s="96"/>
      <c r="BA839" s="100"/>
    </row>
    <row r="840" spans="28:53" ht="12.75" x14ac:dyDescent="0.2">
      <c r="AB840" s="70"/>
      <c r="AO840" s="70"/>
      <c r="AP840" s="93"/>
      <c r="AQ840" s="94"/>
      <c r="AR840" s="95"/>
      <c r="AS840" s="92"/>
      <c r="AT840" s="96"/>
      <c r="AU840" s="93"/>
      <c r="AV840" s="97"/>
      <c r="AW840" s="98"/>
      <c r="AX840" s="99"/>
      <c r="AY840" s="92"/>
      <c r="AZ840" s="96"/>
      <c r="BA840" s="100"/>
    </row>
    <row r="841" spans="28:53" ht="12.75" x14ac:dyDescent="0.2">
      <c r="AB841" s="70"/>
      <c r="AO841" s="70"/>
      <c r="AP841" s="93"/>
      <c r="AQ841" s="94"/>
      <c r="AR841" s="95"/>
      <c r="AS841" s="92"/>
      <c r="AT841" s="96"/>
      <c r="AU841" s="93"/>
      <c r="AV841" s="97"/>
      <c r="AW841" s="98"/>
      <c r="AX841" s="99"/>
      <c r="AY841" s="92"/>
      <c r="AZ841" s="96"/>
      <c r="BA841" s="100"/>
    </row>
    <row r="842" spans="28:53" ht="12.75" x14ac:dyDescent="0.2">
      <c r="AB842" s="70"/>
      <c r="AO842" s="70"/>
      <c r="AP842" s="93"/>
      <c r="AQ842" s="94"/>
      <c r="AR842" s="95"/>
      <c r="AS842" s="92"/>
      <c r="AT842" s="96"/>
      <c r="AU842" s="93"/>
      <c r="AV842" s="97"/>
      <c r="AW842" s="98"/>
      <c r="AX842" s="99"/>
      <c r="AY842" s="92"/>
      <c r="AZ842" s="96"/>
      <c r="BA842" s="100"/>
    </row>
    <row r="843" spans="28:53" ht="12.75" x14ac:dyDescent="0.2">
      <c r="AB843" s="70"/>
      <c r="AO843" s="70"/>
      <c r="AP843" s="93"/>
      <c r="AQ843" s="94"/>
      <c r="AR843" s="95"/>
      <c r="AS843" s="92"/>
      <c r="AT843" s="96"/>
      <c r="AU843" s="93"/>
      <c r="AV843" s="97"/>
      <c r="AW843" s="98"/>
      <c r="AX843" s="99"/>
      <c r="AY843" s="92"/>
      <c r="AZ843" s="96"/>
      <c r="BA843" s="100"/>
    </row>
    <row r="844" spans="28:53" ht="12.75" x14ac:dyDescent="0.2">
      <c r="AB844" s="70"/>
      <c r="AO844" s="70"/>
      <c r="AP844" s="93"/>
      <c r="AQ844" s="94"/>
      <c r="AR844" s="95"/>
      <c r="AS844" s="92"/>
      <c r="AT844" s="96"/>
      <c r="AU844" s="93"/>
      <c r="AV844" s="97"/>
      <c r="AW844" s="98"/>
      <c r="AX844" s="99"/>
      <c r="AY844" s="92"/>
      <c r="AZ844" s="96"/>
      <c r="BA844" s="100"/>
    </row>
    <row r="845" spans="28:53" ht="12.75" x14ac:dyDescent="0.2">
      <c r="AB845" s="70"/>
      <c r="AO845" s="70"/>
      <c r="AP845" s="93"/>
      <c r="AQ845" s="94"/>
      <c r="AR845" s="95"/>
      <c r="AS845" s="92"/>
      <c r="AT845" s="96"/>
      <c r="AU845" s="93"/>
      <c r="AV845" s="97"/>
      <c r="AW845" s="98"/>
      <c r="AX845" s="99"/>
      <c r="AY845" s="92"/>
      <c r="AZ845" s="96"/>
      <c r="BA845" s="100"/>
    </row>
    <row r="846" spans="28:53" ht="12.75" x14ac:dyDescent="0.2">
      <c r="AB846" s="70"/>
      <c r="AO846" s="70"/>
      <c r="AP846" s="93"/>
      <c r="AQ846" s="94"/>
      <c r="AR846" s="95"/>
      <c r="AS846" s="92"/>
      <c r="AT846" s="96"/>
      <c r="AU846" s="93"/>
      <c r="AV846" s="97"/>
      <c r="AW846" s="98"/>
      <c r="AX846" s="99"/>
      <c r="AY846" s="92"/>
      <c r="AZ846" s="96"/>
      <c r="BA846" s="100"/>
    </row>
    <row r="847" spans="28:53" ht="12.75" x14ac:dyDescent="0.2">
      <c r="AB847" s="70"/>
      <c r="AO847" s="70"/>
      <c r="AP847" s="93"/>
      <c r="AQ847" s="94"/>
      <c r="AR847" s="95"/>
      <c r="AS847" s="92"/>
      <c r="AT847" s="96"/>
      <c r="AU847" s="93"/>
      <c r="AV847" s="97"/>
      <c r="AW847" s="98"/>
      <c r="AX847" s="99"/>
      <c r="AY847" s="92"/>
      <c r="AZ847" s="96"/>
      <c r="BA847" s="100"/>
    </row>
    <row r="848" spans="28:53" ht="12.75" x14ac:dyDescent="0.2">
      <c r="AB848" s="70"/>
      <c r="AO848" s="70"/>
      <c r="AP848" s="93"/>
      <c r="AQ848" s="94"/>
      <c r="AR848" s="95"/>
      <c r="AS848" s="92"/>
      <c r="AT848" s="96"/>
      <c r="AU848" s="93"/>
      <c r="AV848" s="97"/>
      <c r="AW848" s="98"/>
      <c r="AX848" s="99"/>
      <c r="AY848" s="92"/>
      <c r="AZ848" s="96"/>
      <c r="BA848" s="100"/>
    </row>
    <row r="849" spans="28:53" ht="12.75" x14ac:dyDescent="0.2">
      <c r="AB849" s="70"/>
      <c r="AO849" s="70"/>
      <c r="AP849" s="93"/>
      <c r="AQ849" s="94"/>
      <c r="AR849" s="95"/>
      <c r="AS849" s="92"/>
      <c r="AT849" s="96"/>
      <c r="AU849" s="93"/>
      <c r="AV849" s="97"/>
      <c r="AW849" s="98"/>
      <c r="AX849" s="99"/>
      <c r="AY849" s="92"/>
      <c r="AZ849" s="96"/>
      <c r="BA849" s="100"/>
    </row>
    <row r="850" spans="28:53" ht="12.75" x14ac:dyDescent="0.2">
      <c r="AB850" s="70"/>
      <c r="AO850" s="70"/>
      <c r="AP850" s="93"/>
      <c r="AQ850" s="94"/>
      <c r="AR850" s="95"/>
      <c r="AS850" s="92"/>
      <c r="AT850" s="96"/>
      <c r="AU850" s="93"/>
      <c r="AV850" s="97"/>
      <c r="AW850" s="98"/>
      <c r="AX850" s="99"/>
      <c r="AY850" s="92"/>
      <c r="AZ850" s="96"/>
      <c r="BA850" s="100"/>
    </row>
    <row r="851" spans="28:53" ht="12.75" x14ac:dyDescent="0.2">
      <c r="AB851" s="70"/>
      <c r="AO851" s="70"/>
      <c r="AP851" s="93"/>
      <c r="AQ851" s="94"/>
      <c r="AR851" s="95"/>
      <c r="AS851" s="92"/>
      <c r="AT851" s="96"/>
      <c r="AU851" s="93"/>
      <c r="AV851" s="97"/>
      <c r="AW851" s="98"/>
      <c r="AX851" s="99"/>
      <c r="AY851" s="92"/>
      <c r="AZ851" s="96"/>
      <c r="BA851" s="100"/>
    </row>
    <row r="852" spans="28:53" ht="12.75" x14ac:dyDescent="0.2">
      <c r="AB852" s="70"/>
      <c r="AO852" s="70"/>
      <c r="AP852" s="93"/>
      <c r="AQ852" s="94"/>
      <c r="AR852" s="95"/>
      <c r="AS852" s="92"/>
      <c r="AT852" s="96"/>
      <c r="AU852" s="93"/>
      <c r="AV852" s="97"/>
      <c r="AW852" s="98"/>
      <c r="AX852" s="99"/>
      <c r="AY852" s="92"/>
      <c r="AZ852" s="96"/>
      <c r="BA852" s="100"/>
    </row>
    <row r="853" spans="28:53" ht="12.75" x14ac:dyDescent="0.2">
      <c r="AB853" s="70"/>
      <c r="AO853" s="70"/>
      <c r="AP853" s="93"/>
      <c r="AQ853" s="94"/>
      <c r="AR853" s="95"/>
      <c r="AS853" s="92"/>
      <c r="AT853" s="96"/>
      <c r="AU853" s="93"/>
      <c r="AV853" s="97"/>
      <c r="AW853" s="98"/>
      <c r="AX853" s="99"/>
      <c r="AY853" s="92"/>
      <c r="AZ853" s="96"/>
      <c r="BA853" s="100"/>
    </row>
    <row r="854" spans="28:53" ht="12.75" x14ac:dyDescent="0.2">
      <c r="AB854" s="70"/>
      <c r="AO854" s="70"/>
      <c r="AP854" s="93"/>
      <c r="AQ854" s="94"/>
      <c r="AR854" s="95"/>
      <c r="AS854" s="92"/>
      <c r="AT854" s="96"/>
      <c r="AU854" s="93"/>
      <c r="AV854" s="97"/>
      <c r="AW854" s="98"/>
      <c r="AX854" s="99"/>
      <c r="AY854" s="92"/>
      <c r="AZ854" s="96"/>
      <c r="BA854" s="100"/>
    </row>
    <row r="855" spans="28:53" ht="12.75" x14ac:dyDescent="0.2">
      <c r="AB855" s="70"/>
      <c r="AO855" s="70"/>
      <c r="AP855" s="93"/>
      <c r="AQ855" s="94"/>
      <c r="AR855" s="95"/>
      <c r="AS855" s="92"/>
      <c r="AT855" s="96"/>
      <c r="AU855" s="93"/>
      <c r="AV855" s="97"/>
      <c r="AW855" s="98"/>
      <c r="AX855" s="99"/>
      <c r="AY855" s="92"/>
      <c r="AZ855" s="96"/>
      <c r="BA855" s="100"/>
    </row>
    <row r="856" spans="28:53" ht="12.75" x14ac:dyDescent="0.2">
      <c r="AB856" s="70"/>
      <c r="AO856" s="70"/>
      <c r="AP856" s="93"/>
      <c r="AQ856" s="94"/>
      <c r="AR856" s="95"/>
      <c r="AS856" s="92"/>
      <c r="AT856" s="96"/>
      <c r="AU856" s="93"/>
      <c r="AV856" s="97"/>
      <c r="AW856" s="98"/>
      <c r="AX856" s="99"/>
      <c r="AY856" s="92"/>
      <c r="AZ856" s="96"/>
      <c r="BA856" s="100"/>
    </row>
    <row r="857" spans="28:53" ht="12.75" x14ac:dyDescent="0.2">
      <c r="AB857" s="70"/>
      <c r="AO857" s="70"/>
      <c r="AP857" s="93"/>
      <c r="AQ857" s="94"/>
      <c r="AR857" s="95"/>
      <c r="AS857" s="92"/>
      <c r="AT857" s="96"/>
      <c r="AU857" s="93"/>
      <c r="AV857" s="97"/>
      <c r="AW857" s="98"/>
      <c r="AX857" s="99"/>
      <c r="AY857" s="92"/>
      <c r="AZ857" s="96"/>
      <c r="BA857" s="100"/>
    </row>
    <row r="858" spans="28:53" ht="12.75" x14ac:dyDescent="0.2">
      <c r="AB858" s="70"/>
      <c r="AO858" s="70"/>
      <c r="AP858" s="93"/>
      <c r="AQ858" s="94"/>
      <c r="AR858" s="95"/>
      <c r="AS858" s="92"/>
      <c r="AT858" s="96"/>
      <c r="AU858" s="93"/>
      <c r="AV858" s="97"/>
      <c r="AW858" s="98"/>
      <c r="AX858" s="99"/>
      <c r="AY858" s="92"/>
      <c r="AZ858" s="96"/>
      <c r="BA858" s="100"/>
    </row>
    <row r="859" spans="28:53" ht="12.75" x14ac:dyDescent="0.2">
      <c r="AB859" s="70"/>
      <c r="AO859" s="70"/>
      <c r="AP859" s="93"/>
      <c r="AQ859" s="94"/>
      <c r="AR859" s="95"/>
      <c r="AS859" s="92"/>
      <c r="AT859" s="96"/>
      <c r="AU859" s="93"/>
      <c r="AV859" s="97"/>
      <c r="AW859" s="98"/>
      <c r="AX859" s="99"/>
      <c r="AY859" s="92"/>
      <c r="AZ859" s="96"/>
      <c r="BA859" s="100"/>
    </row>
    <row r="860" spans="28:53" ht="12.75" x14ac:dyDescent="0.2">
      <c r="AB860" s="70"/>
      <c r="AO860" s="70"/>
      <c r="AP860" s="93"/>
      <c r="AQ860" s="94"/>
      <c r="AR860" s="95"/>
      <c r="AS860" s="92"/>
      <c r="AT860" s="96"/>
      <c r="AU860" s="93"/>
      <c r="AV860" s="97"/>
      <c r="AW860" s="98"/>
      <c r="AX860" s="99"/>
      <c r="AY860" s="92"/>
      <c r="AZ860" s="96"/>
      <c r="BA860" s="100"/>
    </row>
    <row r="861" spans="28:53" ht="12.75" x14ac:dyDescent="0.2">
      <c r="AB861" s="70"/>
      <c r="AO861" s="70"/>
      <c r="AP861" s="93"/>
      <c r="AQ861" s="94"/>
      <c r="AR861" s="95"/>
      <c r="AS861" s="92"/>
      <c r="AT861" s="96"/>
      <c r="AU861" s="93"/>
      <c r="AV861" s="97"/>
      <c r="AW861" s="98"/>
      <c r="AX861" s="99"/>
      <c r="AY861" s="92"/>
      <c r="AZ861" s="96"/>
      <c r="BA861" s="100"/>
    </row>
    <row r="862" spans="28:53" ht="12.75" x14ac:dyDescent="0.2">
      <c r="AB862" s="70"/>
      <c r="AO862" s="70"/>
      <c r="AP862" s="93"/>
      <c r="AQ862" s="94"/>
      <c r="AR862" s="95"/>
      <c r="AS862" s="92"/>
      <c r="AT862" s="96"/>
      <c r="AU862" s="93"/>
      <c r="AV862" s="97"/>
      <c r="AW862" s="98"/>
      <c r="AX862" s="99"/>
      <c r="AY862" s="92"/>
      <c r="AZ862" s="96"/>
      <c r="BA862" s="100"/>
    </row>
    <row r="863" spans="28:53" ht="12.75" x14ac:dyDescent="0.2">
      <c r="AB863" s="70"/>
      <c r="AO863" s="70"/>
      <c r="AP863" s="93"/>
      <c r="AQ863" s="94"/>
      <c r="AR863" s="95"/>
      <c r="AS863" s="92"/>
      <c r="AT863" s="96"/>
      <c r="AU863" s="93"/>
      <c r="AV863" s="97"/>
      <c r="AW863" s="98"/>
      <c r="AX863" s="99"/>
      <c r="AY863" s="92"/>
      <c r="AZ863" s="96"/>
      <c r="BA863" s="100"/>
    </row>
    <row r="864" spans="28:53" ht="12.75" x14ac:dyDescent="0.2">
      <c r="AB864" s="70"/>
      <c r="AO864" s="70"/>
      <c r="AP864" s="93"/>
      <c r="AQ864" s="94"/>
      <c r="AR864" s="95"/>
      <c r="AS864" s="92"/>
      <c r="AT864" s="96"/>
      <c r="AU864" s="93"/>
      <c r="AV864" s="97"/>
      <c r="AW864" s="98"/>
      <c r="AX864" s="99"/>
      <c r="AY864" s="92"/>
      <c r="AZ864" s="96"/>
      <c r="BA864" s="100"/>
    </row>
    <row r="865" spans="28:53" ht="12.75" x14ac:dyDescent="0.2">
      <c r="AB865" s="70"/>
      <c r="AO865" s="70"/>
      <c r="AP865" s="93"/>
      <c r="AQ865" s="94"/>
      <c r="AR865" s="95"/>
      <c r="AS865" s="92"/>
      <c r="AT865" s="96"/>
      <c r="AU865" s="93"/>
      <c r="AV865" s="97"/>
      <c r="AW865" s="98"/>
      <c r="AX865" s="99"/>
      <c r="AY865" s="92"/>
      <c r="AZ865" s="96"/>
      <c r="BA865" s="100"/>
    </row>
    <row r="866" spans="28:53" ht="12.75" x14ac:dyDescent="0.2">
      <c r="AB866" s="70"/>
      <c r="AO866" s="70"/>
      <c r="AP866" s="93"/>
      <c r="AQ866" s="94"/>
      <c r="AR866" s="95"/>
      <c r="AS866" s="92"/>
      <c r="AT866" s="96"/>
      <c r="AU866" s="93"/>
      <c r="AV866" s="97"/>
      <c r="AW866" s="98"/>
      <c r="AX866" s="99"/>
      <c r="AY866" s="92"/>
      <c r="AZ866" s="96"/>
      <c r="BA866" s="100"/>
    </row>
    <row r="867" spans="28:53" ht="12.75" x14ac:dyDescent="0.2">
      <c r="AB867" s="70"/>
      <c r="AO867" s="70"/>
      <c r="AP867" s="93"/>
      <c r="AQ867" s="94"/>
      <c r="AR867" s="95"/>
      <c r="AS867" s="92"/>
      <c r="AT867" s="96"/>
      <c r="AU867" s="93"/>
      <c r="AV867" s="97"/>
      <c r="AW867" s="98"/>
      <c r="AX867" s="99"/>
      <c r="AY867" s="92"/>
      <c r="AZ867" s="96"/>
      <c r="BA867" s="100"/>
    </row>
    <row r="868" spans="28:53" ht="12.75" x14ac:dyDescent="0.2">
      <c r="AB868" s="70"/>
      <c r="AO868" s="70"/>
      <c r="AP868" s="93"/>
      <c r="AQ868" s="94"/>
      <c r="AR868" s="95"/>
      <c r="AS868" s="92"/>
      <c r="AT868" s="96"/>
      <c r="AU868" s="93"/>
      <c r="AV868" s="97"/>
      <c r="AW868" s="98"/>
      <c r="AX868" s="99"/>
      <c r="AY868" s="92"/>
      <c r="AZ868" s="96"/>
      <c r="BA868" s="100"/>
    </row>
    <row r="869" spans="28:53" ht="12.75" x14ac:dyDescent="0.2">
      <c r="AB869" s="70"/>
      <c r="AO869" s="70"/>
      <c r="AP869" s="93"/>
      <c r="AQ869" s="94"/>
      <c r="AR869" s="95"/>
      <c r="AS869" s="92"/>
      <c r="AT869" s="96"/>
      <c r="AU869" s="93"/>
      <c r="AV869" s="97"/>
      <c r="AW869" s="98"/>
      <c r="AX869" s="99"/>
      <c r="AY869" s="92"/>
      <c r="AZ869" s="96"/>
      <c r="BA869" s="100"/>
    </row>
    <row r="870" spans="28:53" ht="12.75" x14ac:dyDescent="0.2">
      <c r="AB870" s="70"/>
      <c r="AO870" s="70"/>
      <c r="AP870" s="93"/>
      <c r="AQ870" s="94"/>
      <c r="AR870" s="95"/>
      <c r="AS870" s="92"/>
      <c r="AT870" s="96"/>
      <c r="AU870" s="93"/>
      <c r="AV870" s="97"/>
      <c r="AW870" s="98"/>
      <c r="AX870" s="99"/>
      <c r="AY870" s="92"/>
      <c r="AZ870" s="96"/>
      <c r="BA870" s="100"/>
    </row>
    <row r="871" spans="28:53" ht="12.75" x14ac:dyDescent="0.2">
      <c r="AB871" s="70"/>
      <c r="AO871" s="70"/>
      <c r="AP871" s="93"/>
      <c r="AQ871" s="94"/>
      <c r="AR871" s="95"/>
      <c r="AS871" s="92"/>
      <c r="AT871" s="96"/>
      <c r="AU871" s="93"/>
      <c r="AV871" s="97"/>
      <c r="AW871" s="98"/>
      <c r="AX871" s="99"/>
      <c r="AY871" s="92"/>
      <c r="AZ871" s="96"/>
      <c r="BA871" s="100"/>
    </row>
    <row r="872" spans="28:53" ht="12.75" x14ac:dyDescent="0.2">
      <c r="AB872" s="70"/>
      <c r="AO872" s="70"/>
      <c r="AP872" s="93"/>
      <c r="AQ872" s="94"/>
      <c r="AR872" s="95"/>
      <c r="AS872" s="92"/>
      <c r="AT872" s="96"/>
      <c r="AU872" s="93"/>
      <c r="AV872" s="97"/>
      <c r="AW872" s="98"/>
      <c r="AX872" s="99"/>
      <c r="AY872" s="92"/>
      <c r="AZ872" s="96"/>
      <c r="BA872" s="100"/>
    </row>
    <row r="873" spans="28:53" ht="12.75" x14ac:dyDescent="0.2">
      <c r="AB873" s="70"/>
      <c r="AO873" s="70"/>
      <c r="AP873" s="93"/>
      <c r="AQ873" s="94"/>
      <c r="AR873" s="95"/>
      <c r="AS873" s="92"/>
      <c r="AT873" s="96"/>
      <c r="AU873" s="93"/>
      <c r="AV873" s="97"/>
      <c r="AW873" s="98"/>
      <c r="AX873" s="99"/>
      <c r="AY873" s="92"/>
      <c r="AZ873" s="96"/>
      <c r="BA873" s="100"/>
    </row>
    <row r="874" spans="28:53" ht="12.75" x14ac:dyDescent="0.2">
      <c r="AB874" s="70"/>
      <c r="AO874" s="70"/>
      <c r="AP874" s="93"/>
      <c r="AQ874" s="94"/>
      <c r="AR874" s="95"/>
      <c r="AS874" s="92"/>
      <c r="AT874" s="96"/>
      <c r="AU874" s="93"/>
      <c r="AV874" s="97"/>
      <c r="AW874" s="98"/>
      <c r="AX874" s="99"/>
      <c r="AY874" s="92"/>
      <c r="AZ874" s="96"/>
      <c r="BA874" s="100"/>
    </row>
    <row r="875" spans="28:53" ht="12.75" x14ac:dyDescent="0.2">
      <c r="AB875" s="70"/>
      <c r="AO875" s="70"/>
      <c r="AP875" s="93"/>
      <c r="AQ875" s="94"/>
      <c r="AR875" s="95"/>
      <c r="AS875" s="92"/>
      <c r="AT875" s="96"/>
      <c r="AU875" s="93"/>
      <c r="AV875" s="97"/>
      <c r="AW875" s="98"/>
      <c r="AX875" s="99"/>
      <c r="AY875" s="92"/>
      <c r="AZ875" s="96"/>
      <c r="BA875" s="100"/>
    </row>
    <row r="876" spans="28:53" ht="12.75" x14ac:dyDescent="0.2">
      <c r="AB876" s="70"/>
      <c r="AO876" s="70"/>
      <c r="AP876" s="93"/>
      <c r="AQ876" s="94"/>
      <c r="AR876" s="95"/>
      <c r="AS876" s="92"/>
      <c r="AT876" s="96"/>
      <c r="AU876" s="93"/>
      <c r="AV876" s="97"/>
      <c r="AW876" s="98"/>
      <c r="AX876" s="99"/>
      <c r="AY876" s="92"/>
      <c r="AZ876" s="96"/>
      <c r="BA876" s="100"/>
    </row>
    <row r="877" spans="28:53" ht="12.75" x14ac:dyDescent="0.2">
      <c r="AB877" s="70"/>
      <c r="AO877" s="70"/>
      <c r="AP877" s="93"/>
      <c r="AQ877" s="94"/>
      <c r="AR877" s="95"/>
      <c r="AS877" s="92"/>
      <c r="AT877" s="96"/>
      <c r="AU877" s="93"/>
      <c r="AV877" s="97"/>
      <c r="AW877" s="98"/>
      <c r="AX877" s="99"/>
      <c r="AY877" s="92"/>
      <c r="AZ877" s="96"/>
      <c r="BA877" s="100"/>
    </row>
    <row r="878" spans="28:53" ht="12.75" x14ac:dyDescent="0.2">
      <c r="AB878" s="70"/>
      <c r="AO878" s="70"/>
      <c r="AP878" s="93"/>
      <c r="AQ878" s="94"/>
      <c r="AR878" s="95"/>
      <c r="AS878" s="92"/>
      <c r="AT878" s="96"/>
      <c r="AU878" s="93"/>
      <c r="AV878" s="97"/>
      <c r="AW878" s="98"/>
      <c r="AX878" s="99"/>
      <c r="AY878" s="92"/>
      <c r="AZ878" s="96"/>
      <c r="BA878" s="100"/>
    </row>
    <row r="879" spans="28:53" ht="12.75" x14ac:dyDescent="0.2">
      <c r="AB879" s="70"/>
      <c r="AO879" s="70"/>
      <c r="AP879" s="93"/>
      <c r="AQ879" s="94"/>
      <c r="AR879" s="95"/>
      <c r="AS879" s="92"/>
      <c r="AT879" s="96"/>
      <c r="AU879" s="93"/>
      <c r="AV879" s="97"/>
      <c r="AW879" s="98"/>
      <c r="AX879" s="99"/>
      <c r="AY879" s="92"/>
      <c r="AZ879" s="96"/>
      <c r="BA879" s="100"/>
    </row>
    <row r="880" spans="28:53" ht="12.75" x14ac:dyDescent="0.2">
      <c r="AB880" s="70"/>
      <c r="AO880" s="70"/>
      <c r="AP880" s="93"/>
      <c r="AQ880" s="94"/>
      <c r="AR880" s="95"/>
      <c r="AS880" s="92"/>
      <c r="AT880" s="96"/>
      <c r="AU880" s="93"/>
      <c r="AV880" s="97"/>
      <c r="AW880" s="98"/>
      <c r="AX880" s="99"/>
      <c r="AY880" s="92"/>
      <c r="AZ880" s="96"/>
      <c r="BA880" s="100"/>
    </row>
    <row r="881" spans="28:53" ht="12.75" x14ac:dyDescent="0.2">
      <c r="AB881" s="70"/>
      <c r="AO881" s="70"/>
      <c r="AP881" s="93"/>
      <c r="AQ881" s="94"/>
      <c r="AR881" s="95"/>
      <c r="AS881" s="92"/>
      <c r="AT881" s="96"/>
      <c r="AU881" s="93"/>
      <c r="AV881" s="97"/>
      <c r="AW881" s="98"/>
      <c r="AX881" s="99"/>
      <c r="AY881" s="92"/>
      <c r="AZ881" s="96"/>
      <c r="BA881" s="100"/>
    </row>
    <row r="882" spans="28:53" ht="12.75" x14ac:dyDescent="0.2">
      <c r="AB882" s="70"/>
      <c r="AO882" s="70"/>
      <c r="AP882" s="93"/>
      <c r="AQ882" s="94"/>
      <c r="AR882" s="95"/>
      <c r="AS882" s="92"/>
      <c r="AT882" s="96"/>
      <c r="AU882" s="93"/>
      <c r="AV882" s="97"/>
      <c r="AW882" s="98"/>
      <c r="AX882" s="99"/>
      <c r="AY882" s="92"/>
      <c r="AZ882" s="96"/>
      <c r="BA882" s="100"/>
    </row>
    <row r="883" spans="28:53" ht="12.75" x14ac:dyDescent="0.2">
      <c r="AB883" s="70"/>
      <c r="AO883" s="70"/>
      <c r="AP883" s="93"/>
      <c r="AQ883" s="94"/>
      <c r="AR883" s="95"/>
      <c r="AS883" s="92"/>
      <c r="AT883" s="96"/>
      <c r="AU883" s="93"/>
      <c r="AV883" s="97"/>
      <c r="AW883" s="98"/>
      <c r="AX883" s="99"/>
      <c r="AY883" s="92"/>
      <c r="AZ883" s="96"/>
      <c r="BA883" s="100"/>
    </row>
    <row r="884" spans="28:53" ht="12.75" x14ac:dyDescent="0.2">
      <c r="AB884" s="70"/>
      <c r="AO884" s="70"/>
      <c r="AP884" s="93"/>
      <c r="AQ884" s="94"/>
      <c r="AR884" s="95"/>
      <c r="AS884" s="92"/>
      <c r="AT884" s="96"/>
      <c r="AU884" s="93"/>
      <c r="AV884" s="97"/>
      <c r="AW884" s="98"/>
      <c r="AX884" s="99"/>
      <c r="AY884" s="92"/>
      <c r="AZ884" s="96"/>
      <c r="BA884" s="100"/>
    </row>
    <row r="885" spans="28:53" ht="12.75" x14ac:dyDescent="0.2">
      <c r="AB885" s="70"/>
      <c r="AO885" s="70"/>
      <c r="AP885" s="93"/>
      <c r="AQ885" s="94"/>
      <c r="AR885" s="95"/>
      <c r="AS885" s="92"/>
      <c r="AT885" s="96"/>
      <c r="AU885" s="93"/>
      <c r="AV885" s="97"/>
      <c r="AW885" s="98"/>
      <c r="AX885" s="99"/>
      <c r="AY885" s="92"/>
      <c r="AZ885" s="96"/>
      <c r="BA885" s="100"/>
    </row>
    <row r="886" spans="28:53" ht="12.75" x14ac:dyDescent="0.2">
      <c r="AB886" s="70"/>
      <c r="AO886" s="70"/>
      <c r="AP886" s="93"/>
      <c r="AQ886" s="94"/>
      <c r="AR886" s="95"/>
      <c r="AS886" s="92"/>
      <c r="AT886" s="96"/>
      <c r="AU886" s="93"/>
      <c r="AV886" s="97"/>
      <c r="AW886" s="98"/>
      <c r="AX886" s="99"/>
      <c r="AY886" s="92"/>
      <c r="AZ886" s="96"/>
      <c r="BA886" s="100"/>
    </row>
    <row r="887" spans="28:53" ht="12.75" x14ac:dyDescent="0.2">
      <c r="AB887" s="70"/>
      <c r="AO887" s="70"/>
      <c r="AP887" s="93"/>
      <c r="AQ887" s="94"/>
      <c r="AR887" s="95"/>
      <c r="AS887" s="92"/>
      <c r="AT887" s="96"/>
      <c r="AU887" s="93"/>
      <c r="AV887" s="97"/>
      <c r="AW887" s="98"/>
      <c r="AX887" s="99"/>
      <c r="AY887" s="92"/>
      <c r="AZ887" s="96"/>
      <c r="BA887" s="100"/>
    </row>
    <row r="888" spans="28:53" ht="12.75" x14ac:dyDescent="0.2">
      <c r="AB888" s="70"/>
      <c r="AO888" s="70"/>
      <c r="AP888" s="93"/>
      <c r="AQ888" s="94"/>
      <c r="AR888" s="95"/>
      <c r="AS888" s="92"/>
      <c r="AT888" s="96"/>
      <c r="AU888" s="93"/>
      <c r="AV888" s="97"/>
      <c r="AW888" s="98"/>
      <c r="AX888" s="99"/>
      <c r="AY888" s="92"/>
      <c r="AZ888" s="96"/>
      <c r="BA888" s="100"/>
    </row>
    <row r="889" spans="28:53" ht="12.75" x14ac:dyDescent="0.2">
      <c r="AB889" s="70"/>
      <c r="AO889" s="70"/>
      <c r="AP889" s="93"/>
      <c r="AQ889" s="94"/>
      <c r="AR889" s="95"/>
      <c r="AS889" s="92"/>
      <c r="AT889" s="96"/>
      <c r="AU889" s="93"/>
      <c r="AV889" s="97"/>
      <c r="AW889" s="98"/>
      <c r="AX889" s="99"/>
      <c r="AY889" s="92"/>
      <c r="AZ889" s="96"/>
      <c r="BA889" s="100"/>
    </row>
    <row r="890" spans="28:53" ht="12.75" x14ac:dyDescent="0.2">
      <c r="AB890" s="70"/>
      <c r="AO890" s="70"/>
      <c r="AP890" s="93"/>
      <c r="AQ890" s="94"/>
      <c r="AR890" s="95"/>
      <c r="AS890" s="92"/>
      <c r="AT890" s="96"/>
      <c r="AU890" s="93"/>
      <c r="AV890" s="97"/>
      <c r="AW890" s="98"/>
      <c r="AX890" s="99"/>
      <c r="AY890" s="92"/>
      <c r="AZ890" s="96"/>
      <c r="BA890" s="100"/>
    </row>
    <row r="891" spans="28:53" ht="12.75" x14ac:dyDescent="0.2">
      <c r="AB891" s="70"/>
      <c r="AO891" s="70"/>
      <c r="AP891" s="93"/>
      <c r="AQ891" s="94"/>
      <c r="AR891" s="95"/>
      <c r="AS891" s="92"/>
      <c r="AT891" s="96"/>
      <c r="AU891" s="93"/>
      <c r="AV891" s="97"/>
      <c r="AW891" s="98"/>
      <c r="AX891" s="99"/>
      <c r="AY891" s="92"/>
      <c r="AZ891" s="96"/>
      <c r="BA891" s="100"/>
    </row>
    <row r="892" spans="28:53" ht="12.75" x14ac:dyDescent="0.2">
      <c r="AB892" s="70"/>
      <c r="AO892" s="70"/>
      <c r="AP892" s="93"/>
      <c r="AQ892" s="94"/>
      <c r="AR892" s="95"/>
      <c r="AS892" s="92"/>
      <c r="AT892" s="96"/>
      <c r="AU892" s="93"/>
      <c r="AV892" s="97"/>
      <c r="AW892" s="98"/>
      <c r="AX892" s="99"/>
      <c r="AY892" s="92"/>
      <c r="AZ892" s="96"/>
      <c r="BA892" s="100"/>
    </row>
    <row r="893" spans="28:53" ht="12.75" x14ac:dyDescent="0.2">
      <c r="AB893" s="70"/>
      <c r="AO893" s="70"/>
      <c r="AP893" s="93"/>
      <c r="AQ893" s="94"/>
      <c r="AR893" s="95"/>
      <c r="AS893" s="92"/>
      <c r="AT893" s="96"/>
      <c r="AU893" s="93"/>
      <c r="AV893" s="97"/>
      <c r="AW893" s="98"/>
      <c r="AX893" s="99"/>
      <c r="AY893" s="92"/>
      <c r="AZ893" s="96"/>
      <c r="BA893" s="100"/>
    </row>
    <row r="894" spans="28:53" ht="12.75" x14ac:dyDescent="0.2">
      <c r="AB894" s="70"/>
      <c r="AO894" s="70"/>
      <c r="AP894" s="93"/>
      <c r="AQ894" s="94"/>
      <c r="AR894" s="95"/>
      <c r="AS894" s="92"/>
      <c r="AT894" s="96"/>
      <c r="AU894" s="93"/>
      <c r="AV894" s="97"/>
      <c r="AW894" s="98"/>
      <c r="AX894" s="99"/>
      <c r="AY894" s="92"/>
      <c r="AZ894" s="96"/>
      <c r="BA894" s="100"/>
    </row>
    <row r="895" spans="28:53" ht="12.75" x14ac:dyDescent="0.2">
      <c r="AB895" s="70"/>
      <c r="AO895" s="70"/>
      <c r="AP895" s="93"/>
      <c r="AQ895" s="94"/>
      <c r="AR895" s="95"/>
      <c r="AS895" s="92"/>
      <c r="AT895" s="96"/>
      <c r="AU895" s="93"/>
      <c r="AV895" s="97"/>
      <c r="AW895" s="98"/>
      <c r="AX895" s="99"/>
      <c r="AY895" s="92"/>
      <c r="AZ895" s="96"/>
      <c r="BA895" s="100"/>
    </row>
    <row r="896" spans="28:53" ht="12.75" x14ac:dyDescent="0.2">
      <c r="AB896" s="70"/>
      <c r="AO896" s="70"/>
      <c r="AP896" s="93"/>
      <c r="AQ896" s="94"/>
      <c r="AR896" s="95"/>
      <c r="AS896" s="92"/>
      <c r="AT896" s="96"/>
      <c r="AU896" s="93"/>
      <c r="AV896" s="97"/>
      <c r="AW896" s="98"/>
      <c r="AX896" s="99"/>
      <c r="AY896" s="92"/>
      <c r="AZ896" s="96"/>
      <c r="BA896" s="100"/>
    </row>
    <row r="897" spans="28:53" ht="12.75" x14ac:dyDescent="0.2">
      <c r="AB897" s="70"/>
      <c r="AO897" s="70"/>
      <c r="AP897" s="93"/>
      <c r="AQ897" s="94"/>
      <c r="AR897" s="95"/>
      <c r="AS897" s="92"/>
      <c r="AT897" s="96"/>
      <c r="AU897" s="93"/>
      <c r="AV897" s="97"/>
      <c r="AW897" s="98"/>
      <c r="AX897" s="99"/>
      <c r="AY897" s="92"/>
      <c r="AZ897" s="96"/>
      <c r="BA897" s="100"/>
    </row>
    <row r="898" spans="28:53" ht="12.75" x14ac:dyDescent="0.2">
      <c r="AB898" s="70"/>
      <c r="AO898" s="70"/>
      <c r="AP898" s="93"/>
      <c r="AQ898" s="94"/>
      <c r="AR898" s="95"/>
      <c r="AS898" s="92"/>
      <c r="AT898" s="96"/>
      <c r="AU898" s="93"/>
      <c r="AV898" s="97"/>
      <c r="AW898" s="98"/>
      <c r="AX898" s="99"/>
      <c r="AY898" s="92"/>
      <c r="AZ898" s="96"/>
      <c r="BA898" s="100"/>
    </row>
    <row r="899" spans="28:53" ht="12.75" x14ac:dyDescent="0.2">
      <c r="AB899" s="70"/>
      <c r="AO899" s="70"/>
      <c r="AP899" s="93"/>
      <c r="AQ899" s="94"/>
      <c r="AR899" s="95"/>
      <c r="AS899" s="92"/>
      <c r="AT899" s="96"/>
      <c r="AU899" s="93"/>
      <c r="AV899" s="97"/>
      <c r="AW899" s="98"/>
      <c r="AX899" s="99"/>
      <c r="AY899" s="92"/>
      <c r="AZ899" s="96"/>
      <c r="BA899" s="100"/>
    </row>
    <row r="900" spans="28:53" ht="12.75" x14ac:dyDescent="0.2">
      <c r="AB900" s="70"/>
      <c r="AO900" s="70"/>
      <c r="AP900" s="93"/>
      <c r="AQ900" s="94"/>
      <c r="AR900" s="95"/>
      <c r="AS900" s="92"/>
      <c r="AT900" s="96"/>
      <c r="AU900" s="93"/>
      <c r="AV900" s="97"/>
      <c r="AW900" s="98"/>
      <c r="AX900" s="99"/>
      <c r="AY900" s="92"/>
      <c r="AZ900" s="96"/>
      <c r="BA900" s="100"/>
    </row>
    <row r="901" spans="28:53" ht="12.75" x14ac:dyDescent="0.2">
      <c r="AB901" s="70"/>
      <c r="AO901" s="70"/>
      <c r="AP901" s="93"/>
      <c r="AQ901" s="94"/>
      <c r="AR901" s="95"/>
      <c r="AS901" s="92"/>
      <c r="AT901" s="96"/>
      <c r="AU901" s="93"/>
      <c r="AV901" s="97"/>
      <c r="AW901" s="98"/>
      <c r="AX901" s="99"/>
      <c r="AY901" s="92"/>
      <c r="AZ901" s="96"/>
      <c r="BA901" s="100"/>
    </row>
    <row r="902" spans="28:53" ht="12.75" x14ac:dyDescent="0.2">
      <c r="AB902" s="70"/>
      <c r="AO902" s="70"/>
      <c r="AP902" s="93"/>
      <c r="AQ902" s="94"/>
      <c r="AR902" s="95"/>
      <c r="AS902" s="92"/>
      <c r="AT902" s="96"/>
      <c r="AU902" s="93"/>
      <c r="AV902" s="97"/>
      <c r="AW902" s="98"/>
      <c r="AX902" s="99"/>
      <c r="AY902" s="92"/>
      <c r="AZ902" s="96"/>
      <c r="BA902" s="100"/>
    </row>
    <row r="903" spans="28:53" ht="12.75" x14ac:dyDescent="0.2">
      <c r="AB903" s="70"/>
      <c r="AO903" s="70"/>
      <c r="AP903" s="93"/>
      <c r="AQ903" s="94"/>
      <c r="AR903" s="95"/>
      <c r="AS903" s="92"/>
      <c r="AT903" s="96"/>
      <c r="AU903" s="93"/>
      <c r="AV903" s="97"/>
      <c r="AW903" s="98"/>
      <c r="AX903" s="99"/>
      <c r="AY903" s="92"/>
      <c r="AZ903" s="96"/>
      <c r="BA903" s="100"/>
    </row>
    <row r="904" spans="28:53" ht="12.75" x14ac:dyDescent="0.2">
      <c r="AB904" s="70"/>
      <c r="AO904" s="70"/>
      <c r="AP904" s="93"/>
      <c r="AQ904" s="94"/>
      <c r="AR904" s="95"/>
      <c r="AS904" s="92"/>
      <c r="AT904" s="96"/>
      <c r="AU904" s="93"/>
      <c r="AV904" s="97"/>
      <c r="AW904" s="98"/>
      <c r="AX904" s="99"/>
      <c r="AY904" s="92"/>
      <c r="AZ904" s="96"/>
      <c r="BA904" s="100"/>
    </row>
    <row r="905" spans="28:53" ht="12.75" x14ac:dyDescent="0.2">
      <c r="AB905" s="70"/>
      <c r="AO905" s="70"/>
      <c r="AP905" s="93"/>
      <c r="AQ905" s="94"/>
      <c r="AR905" s="95"/>
      <c r="AS905" s="92"/>
      <c r="AT905" s="96"/>
      <c r="AU905" s="93"/>
      <c r="AV905" s="97"/>
      <c r="AW905" s="98"/>
      <c r="AX905" s="99"/>
      <c r="AY905" s="92"/>
      <c r="AZ905" s="96"/>
      <c r="BA905" s="100"/>
    </row>
    <row r="906" spans="28:53" ht="12.75" x14ac:dyDescent="0.2">
      <c r="AB906" s="70"/>
      <c r="AO906" s="70"/>
      <c r="AP906" s="93"/>
      <c r="AQ906" s="94"/>
      <c r="AR906" s="95"/>
      <c r="AS906" s="92"/>
      <c r="AT906" s="96"/>
      <c r="AU906" s="93"/>
      <c r="AV906" s="97"/>
      <c r="AW906" s="98"/>
      <c r="AX906" s="99"/>
      <c r="AY906" s="92"/>
      <c r="AZ906" s="96"/>
      <c r="BA906" s="100"/>
    </row>
    <row r="907" spans="28:53" ht="12.75" x14ac:dyDescent="0.2">
      <c r="AB907" s="70"/>
      <c r="AO907" s="70"/>
      <c r="AP907" s="93"/>
      <c r="AQ907" s="94"/>
      <c r="AR907" s="95"/>
      <c r="AS907" s="92"/>
      <c r="AT907" s="96"/>
      <c r="AU907" s="93"/>
      <c r="AV907" s="97"/>
      <c r="AW907" s="98"/>
      <c r="AX907" s="99"/>
      <c r="AY907" s="92"/>
      <c r="AZ907" s="96"/>
      <c r="BA907" s="100"/>
    </row>
    <row r="908" spans="28:53" ht="12.75" x14ac:dyDescent="0.2">
      <c r="AB908" s="70"/>
      <c r="AO908" s="70"/>
      <c r="AP908" s="93"/>
      <c r="AQ908" s="94"/>
      <c r="AR908" s="95"/>
      <c r="AS908" s="92"/>
      <c r="AT908" s="96"/>
      <c r="AU908" s="93"/>
      <c r="AV908" s="97"/>
      <c r="AW908" s="98"/>
      <c r="AX908" s="99"/>
      <c r="AY908" s="92"/>
      <c r="AZ908" s="96"/>
      <c r="BA908" s="100"/>
    </row>
    <row r="909" spans="28:53" ht="12.75" x14ac:dyDescent="0.2">
      <c r="AB909" s="70"/>
      <c r="AO909" s="70"/>
      <c r="AP909" s="93"/>
      <c r="AQ909" s="94"/>
      <c r="AR909" s="95"/>
      <c r="AS909" s="92"/>
      <c r="AT909" s="96"/>
      <c r="AU909" s="93"/>
      <c r="AV909" s="97"/>
      <c r="AW909" s="98"/>
      <c r="AX909" s="99"/>
      <c r="AY909" s="92"/>
      <c r="AZ909" s="96"/>
      <c r="BA909" s="100"/>
    </row>
    <row r="910" spans="28:53" ht="12.75" x14ac:dyDescent="0.2">
      <c r="AB910" s="70"/>
      <c r="AO910" s="70"/>
      <c r="AP910" s="93"/>
      <c r="AQ910" s="94"/>
      <c r="AR910" s="95"/>
      <c r="AS910" s="92"/>
      <c r="AT910" s="96"/>
      <c r="AU910" s="93"/>
      <c r="AV910" s="97"/>
      <c r="AW910" s="98"/>
      <c r="AX910" s="99"/>
      <c r="AY910" s="92"/>
      <c r="AZ910" s="96"/>
      <c r="BA910" s="100"/>
    </row>
    <row r="911" spans="28:53" ht="12.75" x14ac:dyDescent="0.2">
      <c r="AB911" s="70"/>
      <c r="AO911" s="70"/>
      <c r="AP911" s="93"/>
      <c r="AQ911" s="94"/>
      <c r="AR911" s="95"/>
      <c r="AS911" s="92"/>
      <c r="AT911" s="96"/>
      <c r="AU911" s="93"/>
      <c r="AV911" s="97"/>
      <c r="AW911" s="98"/>
      <c r="AX911" s="99"/>
      <c r="AY911" s="92"/>
      <c r="AZ911" s="96"/>
      <c r="BA911" s="100"/>
    </row>
    <row r="912" spans="28:53" ht="12.75" x14ac:dyDescent="0.2">
      <c r="AB912" s="70"/>
      <c r="AO912" s="70"/>
      <c r="AP912" s="93"/>
      <c r="AQ912" s="94"/>
      <c r="AR912" s="95"/>
      <c r="AS912" s="92"/>
      <c r="AT912" s="96"/>
      <c r="AU912" s="93"/>
      <c r="AV912" s="97"/>
      <c r="AW912" s="98"/>
      <c r="AX912" s="99"/>
      <c r="AY912" s="92"/>
      <c r="AZ912" s="96"/>
      <c r="BA912" s="100"/>
    </row>
    <row r="913" spans="28:53" ht="12.75" x14ac:dyDescent="0.2">
      <c r="AB913" s="70"/>
      <c r="AO913" s="70"/>
      <c r="AP913" s="93"/>
      <c r="AQ913" s="94"/>
      <c r="AR913" s="95"/>
      <c r="AS913" s="92"/>
      <c r="AT913" s="96"/>
      <c r="AU913" s="93"/>
      <c r="AV913" s="97"/>
      <c r="AW913" s="98"/>
      <c r="AX913" s="99"/>
      <c r="AY913" s="92"/>
      <c r="AZ913" s="96"/>
      <c r="BA913" s="100"/>
    </row>
    <row r="914" spans="28:53" ht="12.75" x14ac:dyDescent="0.2">
      <c r="AB914" s="70"/>
      <c r="AO914" s="70"/>
      <c r="AP914" s="93"/>
      <c r="AQ914" s="94"/>
      <c r="AR914" s="95"/>
      <c r="AS914" s="92"/>
      <c r="AT914" s="96"/>
      <c r="AU914" s="93"/>
      <c r="AV914" s="97"/>
      <c r="AW914" s="98"/>
      <c r="AX914" s="99"/>
      <c r="AY914" s="92"/>
      <c r="AZ914" s="96"/>
      <c r="BA914" s="100"/>
    </row>
    <row r="915" spans="28:53" ht="12.75" x14ac:dyDescent="0.2">
      <c r="AB915" s="70"/>
      <c r="AO915" s="70"/>
      <c r="AP915" s="93"/>
      <c r="AQ915" s="94"/>
      <c r="AR915" s="95"/>
      <c r="AS915" s="92"/>
      <c r="AT915" s="96"/>
      <c r="AU915" s="93"/>
      <c r="AV915" s="97"/>
      <c r="AW915" s="98"/>
      <c r="AX915" s="99"/>
      <c r="AY915" s="92"/>
      <c r="AZ915" s="96"/>
      <c r="BA915" s="100"/>
    </row>
    <row r="916" spans="28:53" ht="12.75" x14ac:dyDescent="0.2">
      <c r="AB916" s="70"/>
      <c r="AO916" s="70"/>
      <c r="AP916" s="93"/>
      <c r="AQ916" s="94"/>
      <c r="AR916" s="95"/>
      <c r="AS916" s="92"/>
      <c r="AT916" s="96"/>
      <c r="AU916" s="93"/>
      <c r="AV916" s="97"/>
      <c r="AW916" s="98"/>
      <c r="AX916" s="99"/>
      <c r="AY916" s="92"/>
      <c r="AZ916" s="96"/>
      <c r="BA916" s="100"/>
    </row>
    <row r="917" spans="28:53" ht="12.75" x14ac:dyDescent="0.2">
      <c r="AB917" s="70"/>
      <c r="AO917" s="70"/>
      <c r="AP917" s="93"/>
      <c r="AQ917" s="94"/>
      <c r="AR917" s="95"/>
      <c r="AS917" s="92"/>
      <c r="AT917" s="96"/>
      <c r="AU917" s="93"/>
      <c r="AV917" s="97"/>
      <c r="AW917" s="98"/>
      <c r="AX917" s="99"/>
      <c r="AY917" s="92"/>
      <c r="AZ917" s="96"/>
      <c r="BA917" s="100"/>
    </row>
    <row r="918" spans="28:53" ht="12.75" x14ac:dyDescent="0.2">
      <c r="AB918" s="70"/>
      <c r="AO918" s="70"/>
      <c r="AP918" s="93"/>
      <c r="AQ918" s="94"/>
      <c r="AR918" s="95"/>
      <c r="AS918" s="92"/>
      <c r="AT918" s="96"/>
      <c r="AU918" s="93"/>
      <c r="AV918" s="97"/>
      <c r="AW918" s="98"/>
      <c r="AX918" s="99"/>
      <c r="AY918" s="92"/>
      <c r="AZ918" s="96"/>
      <c r="BA918" s="100"/>
    </row>
    <row r="919" spans="28:53" ht="12.75" x14ac:dyDescent="0.2">
      <c r="AB919" s="70"/>
      <c r="AO919" s="70"/>
      <c r="AP919" s="93"/>
      <c r="AQ919" s="94"/>
      <c r="AR919" s="95"/>
      <c r="AS919" s="92"/>
      <c r="AT919" s="96"/>
      <c r="AU919" s="93"/>
      <c r="AV919" s="97"/>
      <c r="AW919" s="98"/>
      <c r="AX919" s="99"/>
      <c r="AY919" s="92"/>
      <c r="AZ919" s="96"/>
      <c r="BA919" s="100"/>
    </row>
    <row r="920" spans="28:53" ht="12.75" x14ac:dyDescent="0.2">
      <c r="AB920" s="70"/>
      <c r="AO920" s="70"/>
      <c r="AP920" s="93"/>
      <c r="AQ920" s="94"/>
      <c r="AR920" s="95"/>
      <c r="AS920" s="92"/>
      <c r="AT920" s="96"/>
      <c r="AU920" s="93"/>
      <c r="AV920" s="97"/>
      <c r="AW920" s="98"/>
      <c r="AX920" s="99"/>
      <c r="AY920" s="92"/>
      <c r="AZ920" s="96"/>
      <c r="BA920" s="100"/>
    </row>
    <row r="921" spans="28:53" ht="12.75" x14ac:dyDescent="0.2">
      <c r="AB921" s="70"/>
      <c r="AO921" s="70"/>
      <c r="AP921" s="93"/>
      <c r="AQ921" s="94"/>
      <c r="AR921" s="95"/>
      <c r="AS921" s="92"/>
      <c r="AT921" s="96"/>
      <c r="AU921" s="93"/>
      <c r="AV921" s="97"/>
      <c r="AW921" s="98"/>
      <c r="AX921" s="99"/>
      <c r="AY921" s="92"/>
      <c r="AZ921" s="96"/>
      <c r="BA921" s="100"/>
    </row>
    <row r="922" spans="28:53" ht="12.75" x14ac:dyDescent="0.2">
      <c r="AB922" s="70"/>
      <c r="AO922" s="70"/>
      <c r="AP922" s="93"/>
      <c r="AQ922" s="94"/>
      <c r="AR922" s="95"/>
      <c r="AS922" s="92"/>
      <c r="AT922" s="96"/>
      <c r="AU922" s="93"/>
      <c r="AV922" s="97"/>
      <c r="AW922" s="98"/>
      <c r="AX922" s="99"/>
      <c r="AY922" s="92"/>
      <c r="AZ922" s="96"/>
      <c r="BA922" s="100"/>
    </row>
    <row r="923" spans="28:53" ht="12.75" x14ac:dyDescent="0.2">
      <c r="AB923" s="70"/>
      <c r="AO923" s="70"/>
      <c r="AP923" s="93"/>
      <c r="AQ923" s="94"/>
      <c r="AR923" s="95"/>
      <c r="AS923" s="92"/>
      <c r="AT923" s="96"/>
      <c r="AU923" s="93"/>
      <c r="AV923" s="97"/>
      <c r="AW923" s="98"/>
      <c r="AX923" s="99"/>
      <c r="AY923" s="92"/>
      <c r="AZ923" s="96"/>
      <c r="BA923" s="100"/>
    </row>
    <row r="924" spans="28:53" ht="12.75" x14ac:dyDescent="0.2">
      <c r="AB924" s="70"/>
      <c r="AO924" s="70"/>
      <c r="AP924" s="93"/>
      <c r="AQ924" s="94"/>
      <c r="AR924" s="95"/>
      <c r="AS924" s="92"/>
      <c r="AT924" s="96"/>
      <c r="AU924" s="93"/>
      <c r="AV924" s="97"/>
      <c r="AW924" s="98"/>
      <c r="AX924" s="99"/>
      <c r="AY924" s="92"/>
      <c r="AZ924" s="96"/>
      <c r="BA924" s="100"/>
    </row>
    <row r="925" spans="28:53" ht="12.75" x14ac:dyDescent="0.2">
      <c r="AB925" s="70"/>
      <c r="AO925" s="70"/>
      <c r="AP925" s="93"/>
      <c r="AQ925" s="94"/>
      <c r="AR925" s="95"/>
      <c r="AS925" s="92"/>
      <c r="AT925" s="96"/>
      <c r="AU925" s="93"/>
      <c r="AV925" s="97"/>
      <c r="AW925" s="98"/>
      <c r="AX925" s="99"/>
      <c r="AY925" s="92"/>
      <c r="AZ925" s="96"/>
      <c r="BA925" s="100"/>
    </row>
    <row r="926" spans="28:53" ht="12.75" x14ac:dyDescent="0.2">
      <c r="AB926" s="70"/>
      <c r="AO926" s="70"/>
      <c r="AP926" s="93"/>
      <c r="AQ926" s="94"/>
      <c r="AR926" s="95"/>
      <c r="AS926" s="92"/>
      <c r="AT926" s="96"/>
      <c r="AU926" s="93"/>
      <c r="AV926" s="97"/>
      <c r="AW926" s="98"/>
      <c r="AX926" s="99"/>
      <c r="AY926" s="92"/>
      <c r="AZ926" s="96"/>
      <c r="BA926" s="100"/>
    </row>
    <row r="927" spans="28:53" ht="12.75" x14ac:dyDescent="0.2">
      <c r="AB927" s="70"/>
      <c r="AO927" s="70"/>
      <c r="AP927" s="93"/>
      <c r="AQ927" s="94"/>
      <c r="AR927" s="95"/>
      <c r="AS927" s="92"/>
      <c r="AT927" s="96"/>
      <c r="AU927" s="93"/>
      <c r="AV927" s="97"/>
      <c r="AW927" s="98"/>
      <c r="AX927" s="99"/>
      <c r="AY927" s="92"/>
      <c r="AZ927" s="96"/>
      <c r="BA927" s="100"/>
    </row>
    <row r="928" spans="28:53" ht="12.75" x14ac:dyDescent="0.2">
      <c r="AB928" s="70"/>
      <c r="AO928" s="70"/>
      <c r="AP928" s="93"/>
      <c r="AQ928" s="94"/>
      <c r="AR928" s="95"/>
      <c r="AS928" s="92"/>
      <c r="AT928" s="96"/>
      <c r="AU928" s="93"/>
      <c r="AV928" s="97"/>
      <c r="AW928" s="98"/>
      <c r="AX928" s="99"/>
      <c r="AY928" s="92"/>
      <c r="AZ928" s="96"/>
      <c r="BA928" s="100"/>
    </row>
    <row r="929" spans="28:53" ht="12.75" x14ac:dyDescent="0.2">
      <c r="AB929" s="70"/>
      <c r="AO929" s="70"/>
      <c r="AP929" s="93"/>
      <c r="AQ929" s="94"/>
      <c r="AR929" s="95"/>
      <c r="AS929" s="92"/>
      <c r="AT929" s="96"/>
      <c r="AU929" s="93"/>
      <c r="AV929" s="97"/>
      <c r="AW929" s="98"/>
      <c r="AX929" s="99"/>
      <c r="AY929" s="92"/>
      <c r="AZ929" s="96"/>
      <c r="BA929" s="100"/>
    </row>
    <row r="930" spans="28:53" ht="12.75" x14ac:dyDescent="0.2">
      <c r="AB930" s="70"/>
      <c r="AO930" s="70"/>
      <c r="AP930" s="93"/>
      <c r="AQ930" s="94"/>
      <c r="AR930" s="95"/>
      <c r="AS930" s="92"/>
      <c r="AT930" s="96"/>
      <c r="AU930" s="93"/>
      <c r="AV930" s="97"/>
      <c r="AW930" s="98"/>
      <c r="AX930" s="99"/>
      <c r="AY930" s="92"/>
      <c r="AZ930" s="96"/>
      <c r="BA930" s="100"/>
    </row>
    <row r="931" spans="28:53" ht="12.75" x14ac:dyDescent="0.2">
      <c r="AB931" s="70"/>
      <c r="AO931" s="70"/>
      <c r="AP931" s="93"/>
      <c r="AQ931" s="94"/>
      <c r="AR931" s="95"/>
      <c r="AS931" s="92"/>
      <c r="AT931" s="96"/>
      <c r="AU931" s="93"/>
      <c r="AV931" s="97"/>
      <c r="AW931" s="98"/>
      <c r="AX931" s="99"/>
      <c r="AY931" s="92"/>
      <c r="AZ931" s="96"/>
      <c r="BA931" s="100"/>
    </row>
    <row r="932" spans="28:53" ht="12.75" x14ac:dyDescent="0.2">
      <c r="AB932" s="70"/>
      <c r="AO932" s="70"/>
      <c r="AP932" s="93"/>
      <c r="AQ932" s="94"/>
      <c r="AR932" s="95"/>
      <c r="AS932" s="92"/>
      <c r="AT932" s="96"/>
      <c r="AU932" s="93"/>
      <c r="AV932" s="97"/>
      <c r="AW932" s="98"/>
      <c r="AX932" s="99"/>
      <c r="AY932" s="92"/>
      <c r="AZ932" s="96"/>
      <c r="BA932" s="100"/>
    </row>
    <row r="933" spans="28:53" ht="12.75" x14ac:dyDescent="0.2">
      <c r="AB933" s="70"/>
      <c r="AO933" s="70"/>
      <c r="AP933" s="93"/>
      <c r="AQ933" s="94"/>
      <c r="AR933" s="95"/>
      <c r="AS933" s="92"/>
      <c r="AT933" s="96"/>
      <c r="AU933" s="93"/>
      <c r="AV933" s="97"/>
      <c r="AW933" s="98"/>
      <c r="AX933" s="99"/>
      <c r="AY933" s="92"/>
      <c r="AZ933" s="96"/>
      <c r="BA933" s="100"/>
    </row>
    <row r="934" spans="28:53" ht="12.75" x14ac:dyDescent="0.2">
      <c r="AB934" s="70"/>
      <c r="AO934" s="70"/>
      <c r="AP934" s="93"/>
      <c r="AQ934" s="94"/>
      <c r="AR934" s="95"/>
      <c r="AS934" s="92"/>
      <c r="AT934" s="96"/>
      <c r="AU934" s="93"/>
      <c r="AV934" s="97"/>
      <c r="AW934" s="98"/>
      <c r="AX934" s="99"/>
      <c r="AY934" s="92"/>
      <c r="AZ934" s="96"/>
      <c r="BA934" s="100"/>
    </row>
    <row r="935" spans="28:53" ht="12.75" x14ac:dyDescent="0.2">
      <c r="AB935" s="70"/>
      <c r="AO935" s="70"/>
      <c r="AP935" s="93"/>
      <c r="AQ935" s="94"/>
      <c r="AR935" s="95"/>
      <c r="AS935" s="92"/>
      <c r="AT935" s="96"/>
      <c r="AU935" s="93"/>
      <c r="AV935" s="97"/>
      <c r="AW935" s="98"/>
      <c r="AX935" s="99"/>
      <c r="AY935" s="92"/>
      <c r="AZ935" s="96"/>
      <c r="BA935" s="100"/>
    </row>
    <row r="936" spans="28:53" ht="12.75" x14ac:dyDescent="0.2">
      <c r="AB936" s="70"/>
      <c r="AO936" s="70"/>
      <c r="AP936" s="93"/>
      <c r="AQ936" s="94"/>
      <c r="AR936" s="95"/>
      <c r="AS936" s="92"/>
      <c r="AT936" s="96"/>
      <c r="AU936" s="93"/>
      <c r="AV936" s="97"/>
      <c r="AW936" s="98"/>
      <c r="AX936" s="99"/>
      <c r="AY936" s="92"/>
      <c r="AZ936" s="96"/>
      <c r="BA936" s="100"/>
    </row>
    <row r="937" spans="28:53" ht="12.75" x14ac:dyDescent="0.2">
      <c r="AB937" s="70"/>
      <c r="AO937" s="70"/>
      <c r="AP937" s="93"/>
      <c r="AQ937" s="94"/>
      <c r="AR937" s="95"/>
      <c r="AS937" s="92"/>
      <c r="AT937" s="96"/>
      <c r="AU937" s="93"/>
      <c r="AV937" s="97"/>
      <c r="AW937" s="98"/>
      <c r="AX937" s="99"/>
      <c r="AY937" s="92"/>
      <c r="AZ937" s="96"/>
      <c r="BA937" s="100"/>
    </row>
    <row r="938" spans="28:53" ht="12.75" x14ac:dyDescent="0.2">
      <c r="AB938" s="70"/>
      <c r="AO938" s="70"/>
      <c r="AP938" s="93"/>
      <c r="AQ938" s="94"/>
      <c r="AR938" s="95"/>
      <c r="AS938" s="92"/>
      <c r="AT938" s="96"/>
      <c r="AU938" s="93"/>
      <c r="AV938" s="97"/>
      <c r="AW938" s="98"/>
      <c r="AX938" s="99"/>
      <c r="AY938" s="92"/>
      <c r="AZ938" s="96"/>
      <c r="BA938" s="100"/>
    </row>
    <row r="939" spans="28:53" ht="12.75" x14ac:dyDescent="0.2">
      <c r="AB939" s="70"/>
      <c r="AO939" s="70"/>
      <c r="AP939" s="93"/>
      <c r="AQ939" s="94"/>
      <c r="AR939" s="95"/>
      <c r="AS939" s="92"/>
      <c r="AT939" s="96"/>
      <c r="AU939" s="93"/>
      <c r="AV939" s="97"/>
      <c r="AW939" s="98"/>
      <c r="AX939" s="99"/>
      <c r="AY939" s="92"/>
      <c r="AZ939" s="96"/>
      <c r="BA939" s="100"/>
    </row>
    <row r="940" spans="28:53" ht="12.75" x14ac:dyDescent="0.2">
      <c r="AB940" s="70"/>
      <c r="AO940" s="70"/>
      <c r="AP940" s="93"/>
      <c r="AQ940" s="94"/>
      <c r="AR940" s="95"/>
      <c r="AS940" s="92"/>
      <c r="AT940" s="96"/>
      <c r="AU940" s="93"/>
      <c r="AV940" s="97"/>
      <c r="AW940" s="98"/>
      <c r="AX940" s="99"/>
      <c r="AY940" s="92"/>
      <c r="AZ940" s="96"/>
      <c r="BA940" s="100"/>
    </row>
    <row r="941" spans="28:53" ht="12.75" x14ac:dyDescent="0.2">
      <c r="AB941" s="70"/>
      <c r="AO941" s="70"/>
      <c r="AP941" s="93"/>
      <c r="AQ941" s="94"/>
      <c r="AR941" s="95"/>
      <c r="AS941" s="92"/>
      <c r="AT941" s="96"/>
      <c r="AU941" s="93"/>
      <c r="AV941" s="97"/>
      <c r="AW941" s="98"/>
      <c r="AX941" s="99"/>
      <c r="AY941" s="92"/>
      <c r="AZ941" s="96"/>
      <c r="BA941" s="100"/>
    </row>
    <row r="942" spans="28:53" ht="12.75" x14ac:dyDescent="0.2">
      <c r="AB942" s="70"/>
      <c r="AO942" s="70"/>
      <c r="AP942" s="93"/>
      <c r="AQ942" s="94"/>
      <c r="AR942" s="95"/>
      <c r="AS942" s="92"/>
      <c r="AT942" s="96"/>
      <c r="AU942" s="93"/>
      <c r="AV942" s="97"/>
      <c r="AW942" s="98"/>
      <c r="AX942" s="99"/>
      <c r="AY942" s="92"/>
      <c r="AZ942" s="96"/>
      <c r="BA942" s="100"/>
    </row>
    <row r="943" spans="28:53" ht="12.75" x14ac:dyDescent="0.2">
      <c r="AB943" s="70"/>
      <c r="AO943" s="70"/>
      <c r="AP943" s="93"/>
      <c r="AQ943" s="94"/>
      <c r="AR943" s="95"/>
      <c r="AS943" s="92"/>
      <c r="AT943" s="96"/>
      <c r="AU943" s="93"/>
      <c r="AV943" s="97"/>
      <c r="AW943" s="98"/>
      <c r="AX943" s="99"/>
      <c r="AY943" s="92"/>
      <c r="AZ943" s="96"/>
      <c r="BA943" s="100"/>
    </row>
    <row r="944" spans="28:53" ht="12.75" x14ac:dyDescent="0.2">
      <c r="AB944" s="70"/>
      <c r="AO944" s="70"/>
      <c r="AP944" s="93"/>
      <c r="AQ944" s="94"/>
      <c r="AR944" s="95"/>
      <c r="AS944" s="92"/>
      <c r="AT944" s="96"/>
      <c r="AU944" s="93"/>
      <c r="AV944" s="97"/>
      <c r="AW944" s="98"/>
      <c r="AX944" s="99"/>
      <c r="AY944" s="92"/>
      <c r="AZ944" s="96"/>
      <c r="BA944" s="100"/>
    </row>
    <row r="945" spans="28:53" ht="12.75" x14ac:dyDescent="0.2">
      <c r="AB945" s="70"/>
      <c r="AO945" s="70"/>
      <c r="AP945" s="93"/>
      <c r="AQ945" s="94"/>
      <c r="AR945" s="95"/>
      <c r="AS945" s="92"/>
      <c r="AT945" s="96"/>
      <c r="AU945" s="93"/>
      <c r="AV945" s="97"/>
      <c r="AW945" s="98"/>
      <c r="AX945" s="99"/>
      <c r="AY945" s="92"/>
      <c r="AZ945" s="96"/>
      <c r="BA945" s="100"/>
    </row>
    <row r="946" spans="28:53" ht="12.75" x14ac:dyDescent="0.2">
      <c r="AB946" s="70"/>
      <c r="AO946" s="70"/>
      <c r="AP946" s="93"/>
      <c r="AQ946" s="94"/>
      <c r="AR946" s="95"/>
      <c r="AS946" s="92"/>
      <c r="AT946" s="96"/>
      <c r="AU946" s="93"/>
      <c r="AV946" s="97"/>
      <c r="AW946" s="98"/>
      <c r="AX946" s="99"/>
      <c r="AY946" s="92"/>
      <c r="AZ946" s="96"/>
      <c r="BA946" s="100"/>
    </row>
    <row r="947" spans="28:53" ht="12.75" x14ac:dyDescent="0.2">
      <c r="AB947" s="70"/>
      <c r="AO947" s="70"/>
      <c r="AP947" s="93"/>
      <c r="AQ947" s="94"/>
      <c r="AR947" s="95"/>
      <c r="AS947" s="92"/>
      <c r="AT947" s="96"/>
      <c r="AU947" s="93"/>
      <c r="AV947" s="97"/>
      <c r="AW947" s="98"/>
      <c r="AX947" s="99"/>
      <c r="AY947" s="92"/>
      <c r="AZ947" s="96"/>
      <c r="BA947" s="100"/>
    </row>
    <row r="948" spans="28:53" ht="12.75" x14ac:dyDescent="0.2">
      <c r="AB948" s="70"/>
      <c r="AO948" s="70"/>
      <c r="AP948" s="93"/>
      <c r="AQ948" s="94"/>
      <c r="AR948" s="95"/>
      <c r="AS948" s="92"/>
      <c r="AT948" s="96"/>
      <c r="AU948" s="93"/>
      <c r="AV948" s="97"/>
      <c r="AW948" s="98"/>
      <c r="AX948" s="99"/>
      <c r="AY948" s="92"/>
      <c r="AZ948" s="96"/>
      <c r="BA948" s="100"/>
    </row>
    <row r="949" spans="28:53" ht="12.75" x14ac:dyDescent="0.2">
      <c r="AB949" s="70"/>
      <c r="AO949" s="70"/>
      <c r="AP949" s="93"/>
      <c r="AQ949" s="94"/>
      <c r="AR949" s="95"/>
      <c r="AS949" s="92"/>
      <c r="AT949" s="96"/>
      <c r="AU949" s="93"/>
      <c r="AV949" s="97"/>
      <c r="AW949" s="98"/>
      <c r="AX949" s="99"/>
      <c r="AY949" s="92"/>
      <c r="AZ949" s="96"/>
      <c r="BA949" s="100"/>
    </row>
    <row r="950" spans="28:53" ht="12.75" x14ac:dyDescent="0.2">
      <c r="AB950" s="70"/>
      <c r="AO950" s="70"/>
      <c r="AP950" s="93"/>
      <c r="AQ950" s="94"/>
      <c r="AR950" s="95"/>
      <c r="AS950" s="92"/>
      <c r="AT950" s="96"/>
      <c r="AU950" s="93"/>
      <c r="AV950" s="97"/>
      <c r="AW950" s="98"/>
      <c r="AX950" s="99"/>
      <c r="AY950" s="92"/>
      <c r="AZ950" s="96"/>
      <c r="BA950" s="100"/>
    </row>
    <row r="951" spans="28:53" ht="12.75" x14ac:dyDescent="0.2">
      <c r="AB951" s="70"/>
      <c r="AO951" s="70"/>
      <c r="AP951" s="93"/>
      <c r="AQ951" s="94"/>
      <c r="AR951" s="95"/>
      <c r="AS951" s="92"/>
      <c r="AT951" s="96"/>
      <c r="AU951" s="93"/>
      <c r="AV951" s="97"/>
      <c r="AW951" s="98"/>
      <c r="AX951" s="99"/>
      <c r="AY951" s="92"/>
      <c r="AZ951" s="96"/>
      <c r="BA951" s="100"/>
    </row>
    <row r="952" spans="28:53" ht="12.75" x14ac:dyDescent="0.2">
      <c r="AB952" s="70"/>
      <c r="AO952" s="70"/>
      <c r="AP952" s="93"/>
      <c r="AQ952" s="94"/>
      <c r="AR952" s="95"/>
      <c r="AS952" s="92"/>
      <c r="AT952" s="96"/>
      <c r="AU952" s="93"/>
      <c r="AV952" s="97"/>
      <c r="AW952" s="98"/>
      <c r="AX952" s="99"/>
      <c r="AY952" s="92"/>
      <c r="AZ952" s="96"/>
      <c r="BA952" s="100"/>
    </row>
    <row r="953" spans="28:53" ht="12.75" x14ac:dyDescent="0.2">
      <c r="AB953" s="70"/>
      <c r="AO953" s="70"/>
      <c r="AP953" s="93"/>
      <c r="AQ953" s="94"/>
      <c r="AR953" s="95"/>
      <c r="AS953" s="92"/>
      <c r="AT953" s="96"/>
      <c r="AU953" s="93"/>
      <c r="AV953" s="97"/>
      <c r="AW953" s="98"/>
      <c r="AX953" s="99"/>
      <c r="AY953" s="92"/>
      <c r="AZ953" s="96"/>
      <c r="BA953" s="100"/>
    </row>
    <row r="954" spans="28:53" ht="12.75" x14ac:dyDescent="0.2">
      <c r="AB954" s="70"/>
      <c r="AO954" s="70"/>
      <c r="AP954" s="93"/>
      <c r="AQ954" s="94"/>
      <c r="AR954" s="95"/>
      <c r="AS954" s="92"/>
      <c r="AT954" s="96"/>
      <c r="AU954" s="93"/>
      <c r="AV954" s="97"/>
      <c r="AW954" s="98"/>
      <c r="AX954" s="99"/>
      <c r="AY954" s="92"/>
      <c r="AZ954" s="96"/>
      <c r="BA954" s="100"/>
    </row>
    <row r="955" spans="28:53" ht="12.75" x14ac:dyDescent="0.2">
      <c r="AB955" s="70"/>
      <c r="AO955" s="70"/>
      <c r="AP955" s="93"/>
      <c r="AQ955" s="94"/>
      <c r="AR955" s="95"/>
      <c r="AS955" s="92"/>
      <c r="AT955" s="96"/>
      <c r="AU955" s="93"/>
      <c r="AV955" s="97"/>
      <c r="AW955" s="98"/>
      <c r="AX955" s="99"/>
      <c r="AY955" s="92"/>
      <c r="AZ955" s="96"/>
      <c r="BA955" s="100"/>
    </row>
    <row r="956" spans="28:53" ht="12.75" x14ac:dyDescent="0.2">
      <c r="AB956" s="70"/>
      <c r="AO956" s="70"/>
      <c r="AP956" s="93"/>
      <c r="AQ956" s="94"/>
      <c r="AR956" s="95"/>
      <c r="AS956" s="92"/>
      <c r="AT956" s="96"/>
      <c r="AU956" s="93"/>
      <c r="AV956" s="97"/>
      <c r="AW956" s="98"/>
      <c r="AX956" s="99"/>
      <c r="AY956" s="92"/>
      <c r="AZ956" s="96"/>
      <c r="BA956" s="100"/>
    </row>
    <row r="957" spans="28:53" ht="12.75" x14ac:dyDescent="0.2">
      <c r="AB957" s="70"/>
      <c r="AO957" s="70"/>
      <c r="AP957" s="93"/>
      <c r="AQ957" s="94"/>
      <c r="AR957" s="95"/>
      <c r="AS957" s="92"/>
      <c r="AT957" s="96"/>
      <c r="AU957" s="93"/>
      <c r="AV957" s="97"/>
      <c r="AW957" s="98"/>
      <c r="AX957" s="99"/>
      <c r="AY957" s="92"/>
      <c r="AZ957" s="96"/>
      <c r="BA957" s="100"/>
    </row>
    <row r="958" spans="28:53" ht="12.75" x14ac:dyDescent="0.2">
      <c r="AB958" s="70"/>
      <c r="AO958" s="70"/>
      <c r="AP958" s="93"/>
      <c r="AQ958" s="94"/>
      <c r="AR958" s="95"/>
      <c r="AS958" s="92"/>
      <c r="AT958" s="96"/>
      <c r="AU958" s="93"/>
      <c r="AV958" s="97"/>
      <c r="AW958" s="98"/>
      <c r="AX958" s="99"/>
      <c r="AY958" s="92"/>
      <c r="AZ958" s="96"/>
      <c r="BA958" s="100"/>
    </row>
    <row r="959" spans="28:53" ht="12.75" x14ac:dyDescent="0.2">
      <c r="AB959" s="70"/>
      <c r="AO959" s="70"/>
      <c r="AP959" s="93"/>
      <c r="AQ959" s="94"/>
      <c r="AR959" s="95"/>
      <c r="AS959" s="92"/>
      <c r="AT959" s="96"/>
      <c r="AU959" s="93"/>
      <c r="AV959" s="97"/>
      <c r="AW959" s="98"/>
      <c r="AX959" s="99"/>
      <c r="AY959" s="92"/>
      <c r="AZ959" s="96"/>
      <c r="BA959" s="100"/>
    </row>
    <row r="960" spans="28:53" ht="12.75" x14ac:dyDescent="0.2">
      <c r="AB960" s="70"/>
      <c r="AO960" s="70"/>
      <c r="AP960" s="93"/>
      <c r="AQ960" s="94"/>
      <c r="AR960" s="95"/>
      <c r="AS960" s="92"/>
      <c r="AT960" s="96"/>
      <c r="AU960" s="93"/>
      <c r="AV960" s="97"/>
      <c r="AW960" s="98"/>
      <c r="AX960" s="99"/>
      <c r="AY960" s="92"/>
      <c r="AZ960" s="96"/>
      <c r="BA960" s="100"/>
    </row>
    <row r="961" spans="28:53" ht="12.75" x14ac:dyDescent="0.2">
      <c r="AB961" s="70"/>
      <c r="AO961" s="70"/>
      <c r="AP961" s="93"/>
      <c r="AQ961" s="94"/>
      <c r="AR961" s="95"/>
      <c r="AS961" s="92"/>
      <c r="AT961" s="96"/>
      <c r="AU961" s="93"/>
      <c r="AV961" s="97"/>
      <c r="AW961" s="98"/>
      <c r="AX961" s="99"/>
      <c r="AY961" s="92"/>
      <c r="AZ961" s="96"/>
      <c r="BA961" s="100"/>
    </row>
    <row r="962" spans="28:53" ht="12.75" x14ac:dyDescent="0.2">
      <c r="AB962" s="70"/>
      <c r="AO962" s="70"/>
      <c r="AP962" s="93"/>
      <c r="AQ962" s="94"/>
      <c r="AR962" s="95"/>
      <c r="AS962" s="92"/>
      <c r="AT962" s="96"/>
      <c r="AU962" s="93"/>
      <c r="AV962" s="97"/>
      <c r="AW962" s="98"/>
      <c r="AX962" s="99"/>
      <c r="AY962" s="92"/>
      <c r="AZ962" s="96"/>
      <c r="BA962" s="100"/>
    </row>
    <row r="963" spans="28:53" ht="12.75" x14ac:dyDescent="0.2">
      <c r="AB963" s="70"/>
      <c r="AO963" s="70"/>
      <c r="AP963" s="93"/>
      <c r="AQ963" s="94"/>
      <c r="AR963" s="95"/>
      <c r="AS963" s="92"/>
      <c r="AT963" s="96"/>
      <c r="AU963" s="93"/>
      <c r="AV963" s="97"/>
      <c r="AW963" s="98"/>
      <c r="AX963" s="99"/>
      <c r="AY963" s="92"/>
      <c r="AZ963" s="96"/>
      <c r="BA963" s="100"/>
    </row>
    <row r="964" spans="28:53" ht="12.75" x14ac:dyDescent="0.2">
      <c r="AB964" s="70"/>
      <c r="AO964" s="70"/>
      <c r="AP964" s="93"/>
      <c r="AQ964" s="94"/>
      <c r="AR964" s="95"/>
      <c r="AS964" s="92"/>
      <c r="AT964" s="96"/>
      <c r="AU964" s="93"/>
      <c r="AV964" s="97"/>
      <c r="AW964" s="98"/>
      <c r="AX964" s="99"/>
      <c r="AY964" s="92"/>
      <c r="AZ964" s="96"/>
      <c r="BA964" s="100"/>
    </row>
    <row r="965" spans="28:53" ht="12.75" x14ac:dyDescent="0.2">
      <c r="AB965" s="70"/>
      <c r="AO965" s="70"/>
      <c r="AP965" s="93"/>
      <c r="AQ965" s="94"/>
      <c r="AR965" s="95"/>
      <c r="AS965" s="92"/>
      <c r="AT965" s="96"/>
      <c r="AU965" s="93"/>
      <c r="AV965" s="97"/>
      <c r="AW965" s="98"/>
      <c r="AX965" s="99"/>
      <c r="AY965" s="92"/>
      <c r="AZ965" s="96"/>
      <c r="BA965" s="100"/>
    </row>
    <row r="966" spans="28:53" ht="12.75" x14ac:dyDescent="0.2">
      <c r="AB966" s="70"/>
      <c r="AO966" s="70"/>
      <c r="AP966" s="93"/>
      <c r="AQ966" s="94"/>
      <c r="AR966" s="95"/>
      <c r="AS966" s="92"/>
      <c r="AT966" s="96"/>
      <c r="AU966" s="93"/>
      <c r="AV966" s="97"/>
      <c r="AW966" s="98"/>
      <c r="AX966" s="99"/>
      <c r="AY966" s="92"/>
      <c r="AZ966" s="96"/>
      <c r="BA966" s="100"/>
    </row>
    <row r="967" spans="28:53" ht="12.75" x14ac:dyDescent="0.2">
      <c r="AB967" s="70"/>
      <c r="AO967" s="70"/>
      <c r="AP967" s="93"/>
      <c r="AQ967" s="94"/>
      <c r="AR967" s="95"/>
      <c r="AS967" s="92"/>
      <c r="AT967" s="96"/>
      <c r="AU967" s="93"/>
      <c r="AV967" s="97"/>
      <c r="AW967" s="98"/>
      <c r="AX967" s="99"/>
      <c r="AY967" s="92"/>
      <c r="AZ967" s="96"/>
      <c r="BA967" s="100"/>
    </row>
    <row r="968" spans="28:53" ht="12.75" x14ac:dyDescent="0.2">
      <c r="AB968" s="70"/>
      <c r="AO968" s="70"/>
      <c r="AP968" s="93"/>
      <c r="AQ968" s="94"/>
      <c r="AR968" s="95"/>
      <c r="AS968" s="92"/>
      <c r="AT968" s="96"/>
      <c r="AU968" s="93"/>
      <c r="AV968" s="97"/>
      <c r="AW968" s="98"/>
      <c r="AX968" s="99"/>
      <c r="AY968" s="92"/>
      <c r="AZ968" s="96"/>
      <c r="BA968" s="100"/>
    </row>
    <row r="969" spans="28:53" ht="12.75" x14ac:dyDescent="0.2">
      <c r="AB969" s="70"/>
      <c r="AO969" s="70"/>
      <c r="AP969" s="93"/>
      <c r="AQ969" s="94"/>
      <c r="AR969" s="95"/>
      <c r="AS969" s="92"/>
      <c r="AT969" s="96"/>
      <c r="AU969" s="93"/>
      <c r="AV969" s="97"/>
      <c r="AW969" s="98"/>
      <c r="AX969" s="99"/>
      <c r="AY969" s="92"/>
      <c r="AZ969" s="96"/>
      <c r="BA969" s="100"/>
    </row>
    <row r="970" spans="28:53" ht="12.75" x14ac:dyDescent="0.2">
      <c r="AB970" s="70"/>
      <c r="AO970" s="70"/>
      <c r="AP970" s="93"/>
      <c r="AQ970" s="94"/>
      <c r="AR970" s="95"/>
      <c r="AS970" s="92"/>
      <c r="AT970" s="96"/>
      <c r="AU970" s="93"/>
      <c r="AV970" s="97"/>
      <c r="AW970" s="98"/>
      <c r="AX970" s="99"/>
      <c r="AY970" s="92"/>
      <c r="AZ970" s="96"/>
      <c r="BA970" s="100"/>
    </row>
    <row r="971" spans="28:53" ht="12.75" x14ac:dyDescent="0.2">
      <c r="AB971" s="70"/>
      <c r="AO971" s="70"/>
      <c r="AP971" s="93"/>
      <c r="AQ971" s="94"/>
      <c r="AR971" s="95"/>
      <c r="AS971" s="92"/>
      <c r="AT971" s="96"/>
      <c r="AU971" s="93"/>
      <c r="AV971" s="97"/>
      <c r="AW971" s="98"/>
      <c r="AX971" s="99"/>
      <c r="AY971" s="92"/>
      <c r="AZ971" s="96"/>
      <c r="BA971" s="100"/>
    </row>
    <row r="972" spans="28:53" ht="12.75" x14ac:dyDescent="0.2">
      <c r="AB972" s="70"/>
      <c r="AO972" s="70"/>
      <c r="AP972" s="93"/>
      <c r="AQ972" s="94"/>
      <c r="AR972" s="95"/>
      <c r="AS972" s="92"/>
      <c r="AT972" s="96"/>
      <c r="AU972" s="93"/>
      <c r="AV972" s="97"/>
      <c r="AW972" s="98"/>
      <c r="AX972" s="99"/>
      <c r="AY972" s="92"/>
      <c r="AZ972" s="96"/>
      <c r="BA972" s="100"/>
    </row>
    <row r="973" spans="28:53" ht="12.75" x14ac:dyDescent="0.2">
      <c r="AB973" s="70"/>
      <c r="AO973" s="70"/>
      <c r="AP973" s="93"/>
      <c r="AQ973" s="94"/>
      <c r="AR973" s="95"/>
      <c r="AS973" s="92"/>
      <c r="AT973" s="96"/>
      <c r="AU973" s="93"/>
      <c r="AV973" s="97"/>
      <c r="AW973" s="98"/>
      <c r="AX973" s="99"/>
      <c r="AY973" s="92"/>
      <c r="AZ973" s="96"/>
      <c r="BA973" s="100"/>
    </row>
    <row r="974" spans="28:53" ht="12.75" x14ac:dyDescent="0.2">
      <c r="AB974" s="70"/>
      <c r="AO974" s="70"/>
      <c r="AP974" s="93"/>
      <c r="AQ974" s="94"/>
      <c r="AR974" s="95"/>
      <c r="AS974" s="92"/>
      <c r="AT974" s="96"/>
      <c r="AU974" s="93"/>
      <c r="AV974" s="97"/>
      <c r="AW974" s="98"/>
      <c r="AX974" s="99"/>
      <c r="AY974" s="92"/>
      <c r="AZ974" s="96"/>
      <c r="BA974" s="100"/>
    </row>
    <row r="975" spans="28:53" ht="12.75" x14ac:dyDescent="0.2">
      <c r="AB975" s="70"/>
      <c r="AO975" s="70"/>
      <c r="AP975" s="93"/>
      <c r="AQ975" s="94"/>
      <c r="AR975" s="95"/>
      <c r="AS975" s="92"/>
      <c r="AT975" s="96"/>
      <c r="AU975" s="93"/>
      <c r="AV975" s="97"/>
      <c r="AW975" s="98"/>
      <c r="AX975" s="99"/>
      <c r="AY975" s="92"/>
      <c r="AZ975" s="96"/>
      <c r="BA975" s="100"/>
    </row>
    <row r="976" spans="28:53" ht="12.75" x14ac:dyDescent="0.2">
      <c r="AB976" s="70"/>
      <c r="AO976" s="70"/>
      <c r="AP976" s="93"/>
      <c r="AQ976" s="94"/>
      <c r="AR976" s="95"/>
      <c r="AS976" s="92"/>
      <c r="AT976" s="96"/>
      <c r="AU976" s="93"/>
      <c r="AV976" s="97"/>
      <c r="AW976" s="98"/>
      <c r="AX976" s="99"/>
      <c r="AY976" s="92"/>
      <c r="AZ976" s="96"/>
      <c r="BA976" s="100"/>
    </row>
    <row r="977" spans="28:53" ht="12.75" x14ac:dyDescent="0.2">
      <c r="AB977" s="70"/>
      <c r="AO977" s="70"/>
      <c r="AP977" s="93"/>
      <c r="AQ977" s="94"/>
      <c r="AR977" s="95"/>
      <c r="AS977" s="92"/>
      <c r="AT977" s="96"/>
      <c r="AU977" s="93"/>
      <c r="AV977" s="97"/>
      <c r="AW977" s="98"/>
      <c r="AX977" s="99"/>
      <c r="AY977" s="92"/>
      <c r="AZ977" s="96"/>
      <c r="BA977" s="100"/>
    </row>
    <row r="978" spans="28:53" ht="12.75" x14ac:dyDescent="0.2">
      <c r="AB978" s="70"/>
      <c r="AO978" s="70"/>
      <c r="AP978" s="93"/>
      <c r="AQ978" s="94"/>
      <c r="AR978" s="95"/>
      <c r="AS978" s="92"/>
      <c r="AT978" s="96"/>
      <c r="AU978" s="93"/>
      <c r="AV978" s="97"/>
      <c r="AW978" s="98"/>
      <c r="AX978" s="99"/>
      <c r="AY978" s="92"/>
      <c r="AZ978" s="96"/>
      <c r="BA978" s="100"/>
    </row>
    <row r="979" spans="28:53" ht="12.75" x14ac:dyDescent="0.2">
      <c r="AB979" s="70"/>
      <c r="AO979" s="70"/>
      <c r="AP979" s="93"/>
      <c r="AQ979" s="94"/>
      <c r="AR979" s="95"/>
      <c r="AS979" s="92"/>
      <c r="AT979" s="96"/>
      <c r="AU979" s="93"/>
      <c r="AV979" s="97"/>
      <c r="AW979" s="98"/>
      <c r="AX979" s="99"/>
      <c r="AY979" s="92"/>
      <c r="AZ979" s="96"/>
      <c r="BA979" s="100"/>
    </row>
    <row r="980" spans="28:53" ht="12.75" x14ac:dyDescent="0.2">
      <c r="AB980" s="70"/>
      <c r="AO980" s="70"/>
      <c r="AP980" s="93"/>
      <c r="AQ980" s="94"/>
      <c r="AR980" s="95"/>
      <c r="AS980" s="92"/>
      <c r="AT980" s="96"/>
      <c r="AU980" s="93"/>
      <c r="AV980" s="97"/>
      <c r="AW980" s="98"/>
      <c r="AX980" s="99"/>
      <c r="AY980" s="92"/>
      <c r="AZ980" s="96"/>
      <c r="BA980" s="100"/>
    </row>
    <row r="981" spans="28:53" ht="12.75" x14ac:dyDescent="0.2">
      <c r="AB981" s="70"/>
      <c r="AO981" s="70"/>
      <c r="AP981" s="93"/>
      <c r="AQ981" s="94"/>
      <c r="AR981" s="95"/>
      <c r="AS981" s="92"/>
      <c r="AT981" s="96"/>
      <c r="AU981" s="93"/>
      <c r="AV981" s="97"/>
      <c r="AW981" s="98"/>
      <c r="AX981" s="99"/>
      <c r="AY981" s="92"/>
      <c r="AZ981" s="96"/>
      <c r="BA981" s="100"/>
    </row>
    <row r="982" spans="28:53" ht="12.75" x14ac:dyDescent="0.2">
      <c r="AB982" s="70"/>
      <c r="AO982" s="70"/>
      <c r="AP982" s="93"/>
      <c r="AQ982" s="94"/>
      <c r="AR982" s="95"/>
      <c r="AS982" s="92"/>
      <c r="AT982" s="96"/>
      <c r="AU982" s="93"/>
      <c r="AV982" s="97"/>
      <c r="AW982" s="98"/>
      <c r="AX982" s="99"/>
      <c r="AY982" s="92"/>
      <c r="AZ982" s="96"/>
      <c r="BA982" s="100"/>
    </row>
    <row r="983" spans="28:53" ht="12.75" x14ac:dyDescent="0.2">
      <c r="AB983" s="70"/>
      <c r="AO983" s="70"/>
      <c r="AP983" s="93"/>
      <c r="AQ983" s="94"/>
      <c r="AR983" s="95"/>
      <c r="AS983" s="92"/>
      <c r="AT983" s="96"/>
      <c r="AU983" s="93"/>
      <c r="AV983" s="97"/>
      <c r="AW983" s="98"/>
      <c r="AX983" s="99"/>
      <c r="AY983" s="92"/>
      <c r="AZ983" s="96"/>
      <c r="BA983" s="100"/>
    </row>
    <row r="984" spans="28:53" ht="12.75" x14ac:dyDescent="0.2">
      <c r="AB984" s="70"/>
      <c r="AO984" s="70"/>
      <c r="AP984" s="93"/>
      <c r="AQ984" s="94"/>
      <c r="AR984" s="95"/>
      <c r="AS984" s="92"/>
      <c r="AT984" s="96"/>
      <c r="AU984" s="93"/>
      <c r="AV984" s="97"/>
      <c r="AW984" s="98"/>
      <c r="AX984" s="99"/>
      <c r="AY984" s="92"/>
      <c r="AZ984" s="96"/>
      <c r="BA984" s="100"/>
    </row>
    <row r="985" spans="28:53" ht="12.75" x14ac:dyDescent="0.2">
      <c r="AB985" s="70"/>
      <c r="AO985" s="70"/>
      <c r="AP985" s="93"/>
      <c r="AQ985" s="94"/>
      <c r="AR985" s="95"/>
      <c r="AS985" s="92"/>
      <c r="AT985" s="96"/>
      <c r="AU985" s="93"/>
      <c r="AV985" s="97"/>
      <c r="AW985" s="98"/>
      <c r="AX985" s="99"/>
      <c r="AY985" s="92"/>
      <c r="AZ985" s="96"/>
      <c r="BA985" s="100"/>
    </row>
    <row r="986" spans="28:53" ht="12.75" x14ac:dyDescent="0.2">
      <c r="AB986" s="70"/>
      <c r="AO986" s="70"/>
      <c r="AP986" s="93"/>
      <c r="AQ986" s="94"/>
      <c r="AR986" s="95"/>
      <c r="AS986" s="92"/>
      <c r="AT986" s="96"/>
      <c r="AU986" s="93"/>
      <c r="AV986" s="97"/>
      <c r="AW986" s="98"/>
      <c r="AX986" s="99"/>
      <c r="AY986" s="92"/>
      <c r="AZ986" s="96"/>
      <c r="BA986" s="100"/>
    </row>
    <row r="987" spans="28:53" ht="12.75" x14ac:dyDescent="0.2">
      <c r="AB987" s="70"/>
      <c r="AO987" s="70"/>
      <c r="AP987" s="93"/>
      <c r="AQ987" s="94"/>
      <c r="AR987" s="95"/>
      <c r="AS987" s="92"/>
      <c r="AT987" s="96"/>
      <c r="AU987" s="93"/>
      <c r="AV987" s="97"/>
      <c r="AW987" s="98"/>
      <c r="AX987" s="99"/>
      <c r="AY987" s="92"/>
      <c r="AZ987" s="96"/>
      <c r="BA987" s="100"/>
    </row>
    <row r="988" spans="28:53" ht="12.75" x14ac:dyDescent="0.2">
      <c r="AB988" s="70"/>
      <c r="AO988" s="70"/>
      <c r="AP988" s="93"/>
      <c r="AQ988" s="94"/>
      <c r="AR988" s="95"/>
      <c r="AS988" s="92"/>
      <c r="AT988" s="96"/>
      <c r="AU988" s="93"/>
      <c r="AV988" s="97"/>
      <c r="AW988" s="98"/>
      <c r="AX988" s="99"/>
      <c r="AY988" s="92"/>
      <c r="AZ988" s="96"/>
      <c r="BA988" s="100"/>
    </row>
    <row r="989" spans="28:53" ht="12.75" x14ac:dyDescent="0.2">
      <c r="AB989" s="70"/>
      <c r="AO989" s="70"/>
      <c r="AP989" s="93"/>
      <c r="AQ989" s="94"/>
      <c r="AR989" s="95"/>
      <c r="AS989" s="92"/>
      <c r="AT989" s="96"/>
      <c r="AU989" s="93"/>
      <c r="AV989" s="97"/>
      <c r="AW989" s="98"/>
      <c r="AX989" s="99"/>
      <c r="AY989" s="92"/>
      <c r="AZ989" s="96"/>
      <c r="BA989" s="100"/>
    </row>
    <row r="990" spans="28:53" ht="12.75" x14ac:dyDescent="0.2">
      <c r="AB990" s="70"/>
      <c r="AO990" s="70"/>
      <c r="AP990" s="93"/>
      <c r="AQ990" s="94"/>
      <c r="AR990" s="95"/>
      <c r="AS990" s="92"/>
      <c r="AT990" s="96"/>
      <c r="AU990" s="93"/>
      <c r="AV990" s="97"/>
      <c r="AW990" s="98"/>
      <c r="AX990" s="99"/>
      <c r="AY990" s="92"/>
      <c r="AZ990" s="96"/>
      <c r="BA990" s="100"/>
    </row>
    <row r="991" spans="28:53" ht="12.75" x14ac:dyDescent="0.2">
      <c r="AB991" s="70"/>
      <c r="AO991" s="70"/>
      <c r="AP991" s="93"/>
      <c r="AQ991" s="94"/>
      <c r="AR991" s="95"/>
      <c r="AS991" s="92"/>
      <c r="AT991" s="96"/>
      <c r="AU991" s="93"/>
      <c r="AV991" s="97"/>
      <c r="AW991" s="98"/>
      <c r="AX991" s="99"/>
      <c r="AY991" s="92"/>
      <c r="AZ991" s="96"/>
      <c r="BA991" s="100"/>
    </row>
    <row r="992" spans="28:53" ht="12.75" x14ac:dyDescent="0.2">
      <c r="AB992" s="70"/>
      <c r="AO992" s="70"/>
      <c r="AP992" s="93"/>
      <c r="AQ992" s="94"/>
      <c r="AR992" s="95"/>
      <c r="AS992" s="92"/>
      <c r="AT992" s="96"/>
      <c r="AU992" s="93"/>
      <c r="AV992" s="97"/>
      <c r="AW992" s="98"/>
      <c r="AX992" s="99"/>
      <c r="AY992" s="92"/>
      <c r="AZ992" s="96"/>
      <c r="BA992" s="100"/>
    </row>
    <row r="993" spans="28:53" ht="12.75" x14ac:dyDescent="0.2">
      <c r="AB993" s="70"/>
      <c r="AO993" s="70"/>
      <c r="AP993" s="93"/>
      <c r="AQ993" s="94"/>
      <c r="AR993" s="95"/>
      <c r="AS993" s="92"/>
      <c r="AT993" s="96"/>
      <c r="AU993" s="93"/>
      <c r="AV993" s="97"/>
      <c r="AW993" s="98"/>
      <c r="AX993" s="99"/>
      <c r="AY993" s="92"/>
      <c r="AZ993" s="96"/>
      <c r="BA993" s="100"/>
    </row>
    <row r="994" spans="28:53" ht="12.75" x14ac:dyDescent="0.2">
      <c r="AB994" s="70"/>
      <c r="AO994" s="70"/>
      <c r="AP994" s="93"/>
      <c r="AQ994" s="94"/>
      <c r="AR994" s="95"/>
      <c r="AS994" s="92"/>
      <c r="AT994" s="96"/>
      <c r="AU994" s="93"/>
      <c r="AV994" s="97"/>
      <c r="AW994" s="98"/>
      <c r="AX994" s="99"/>
      <c r="AY994" s="92"/>
      <c r="AZ994" s="96"/>
      <c r="BA994" s="100"/>
    </row>
    <row r="995" spans="28:53" ht="12.75" x14ac:dyDescent="0.2">
      <c r="AB995" s="70"/>
      <c r="AO995" s="70"/>
      <c r="AP995" s="93"/>
      <c r="AQ995" s="94"/>
      <c r="AR995" s="95"/>
      <c r="AS995" s="92"/>
      <c r="AT995" s="96"/>
      <c r="AU995" s="93"/>
      <c r="AV995" s="97"/>
      <c r="AW995" s="98"/>
      <c r="AX995" s="99"/>
      <c r="AY995" s="92"/>
      <c r="AZ995" s="96"/>
      <c r="BA995" s="100"/>
    </row>
    <row r="996" spans="28:53" ht="12.75" x14ac:dyDescent="0.2">
      <c r="AB996" s="70"/>
      <c r="AO996" s="70"/>
      <c r="AP996" s="93"/>
      <c r="AQ996" s="94"/>
      <c r="AR996" s="95"/>
      <c r="AS996" s="92"/>
      <c r="AT996" s="96"/>
      <c r="AU996" s="93"/>
      <c r="AV996" s="97"/>
      <c r="AW996" s="98"/>
      <c r="AX996" s="99"/>
      <c r="AY996" s="92"/>
      <c r="AZ996" s="96"/>
      <c r="BA996" s="100"/>
    </row>
    <row r="997" spans="28:53" ht="12.75" x14ac:dyDescent="0.2">
      <c r="AB997" s="70"/>
      <c r="AO997" s="70"/>
      <c r="AP997" s="93"/>
      <c r="AQ997" s="94"/>
      <c r="AR997" s="95"/>
      <c r="AS997" s="92"/>
      <c r="AT997" s="96"/>
      <c r="AU997" s="93"/>
      <c r="AV997" s="97"/>
      <c r="AW997" s="98"/>
      <c r="AX997" s="99"/>
      <c r="AY997" s="92"/>
      <c r="AZ997" s="96"/>
      <c r="BA997" s="100"/>
    </row>
    <row r="998" spans="28:53" ht="12.75" x14ac:dyDescent="0.2">
      <c r="AB998" s="70"/>
      <c r="AO998" s="70"/>
      <c r="AP998" s="93"/>
      <c r="AQ998" s="94"/>
      <c r="AR998" s="95"/>
      <c r="AS998" s="92"/>
      <c r="AT998" s="96"/>
      <c r="AU998" s="93"/>
      <c r="AV998" s="97"/>
      <c r="AW998" s="98"/>
      <c r="AX998" s="99"/>
      <c r="AY998" s="92"/>
      <c r="AZ998" s="96"/>
      <c r="BA998" s="100"/>
    </row>
    <row r="999" spans="28:53" ht="12.75" x14ac:dyDescent="0.2">
      <c r="AB999" s="70"/>
      <c r="AO999" s="70"/>
      <c r="AP999" s="93"/>
      <c r="AQ999" s="94"/>
      <c r="AR999" s="95"/>
      <c r="AS999" s="92"/>
      <c r="AT999" s="96"/>
      <c r="AU999" s="93"/>
      <c r="AV999" s="97"/>
      <c r="AW999" s="98"/>
      <c r="AX999" s="99"/>
      <c r="AY999" s="92"/>
      <c r="AZ999" s="96"/>
      <c r="BA999" s="100"/>
    </row>
    <row r="1000" spans="28:53" ht="12.75" x14ac:dyDescent="0.2">
      <c r="AB1000" s="70"/>
      <c r="AO1000" s="70"/>
      <c r="AP1000" s="93"/>
      <c r="AQ1000" s="94"/>
      <c r="AR1000" s="95"/>
      <c r="AS1000" s="92"/>
      <c r="AT1000" s="96"/>
      <c r="AU1000" s="93"/>
      <c r="AV1000" s="97"/>
      <c r="AW1000" s="98"/>
      <c r="AX1000" s="99"/>
      <c r="AY1000" s="92"/>
      <c r="AZ1000" s="96"/>
      <c r="BA1000" s="100"/>
    </row>
    <row r="1001" spans="28:53" ht="12.75" x14ac:dyDescent="0.2">
      <c r="AB1001" s="70"/>
      <c r="AO1001" s="70"/>
      <c r="AP1001" s="93"/>
      <c r="AQ1001" s="94"/>
      <c r="AR1001" s="95"/>
      <c r="AS1001" s="92"/>
      <c r="AT1001" s="96"/>
      <c r="AU1001" s="93"/>
      <c r="AV1001" s="97"/>
      <c r="AW1001" s="98"/>
      <c r="AX1001" s="99"/>
      <c r="AY1001" s="92"/>
      <c r="AZ1001" s="96"/>
      <c r="BA1001" s="100"/>
    </row>
    <row r="1002" spans="28:53" ht="12.75" x14ac:dyDescent="0.2">
      <c r="AB1002" s="70"/>
      <c r="AO1002" s="70"/>
      <c r="AP1002" s="93"/>
      <c r="AQ1002" s="94"/>
      <c r="AR1002" s="95"/>
      <c r="AS1002" s="92"/>
      <c r="AT1002" s="96"/>
      <c r="AU1002" s="93"/>
      <c r="AV1002" s="97"/>
      <c r="AW1002" s="98"/>
      <c r="AX1002" s="99"/>
      <c r="AY1002" s="92"/>
      <c r="AZ1002" s="96"/>
      <c r="BA1002" s="100"/>
    </row>
    <row r="1003" spans="28:53" ht="12.75" x14ac:dyDescent="0.2">
      <c r="AB1003" s="70"/>
      <c r="AO1003" s="70"/>
      <c r="AP1003" s="93"/>
      <c r="AQ1003" s="94"/>
      <c r="AR1003" s="95"/>
      <c r="AS1003" s="92"/>
      <c r="AT1003" s="96"/>
      <c r="AU1003" s="93"/>
      <c r="AV1003" s="97"/>
      <c r="AW1003" s="98"/>
      <c r="AX1003" s="99"/>
      <c r="AY1003" s="92"/>
      <c r="AZ1003" s="96"/>
      <c r="BA1003" s="100"/>
    </row>
    <row r="1004" spans="28:53" ht="12.75" x14ac:dyDescent="0.2">
      <c r="AB1004" s="70"/>
      <c r="AO1004" s="70"/>
      <c r="AP1004" s="93"/>
      <c r="AQ1004" s="94"/>
      <c r="AR1004" s="95"/>
      <c r="AS1004" s="92"/>
      <c r="AT1004" s="96"/>
      <c r="AU1004" s="93"/>
      <c r="AV1004" s="97"/>
      <c r="AW1004" s="98"/>
      <c r="AX1004" s="99"/>
      <c r="AY1004" s="92"/>
      <c r="AZ1004" s="96"/>
      <c r="BA1004" s="100"/>
    </row>
    <row r="1005" spans="28:53" ht="12.75" x14ac:dyDescent="0.2">
      <c r="AB1005" s="70"/>
      <c r="AO1005" s="70"/>
      <c r="AP1005" s="93"/>
      <c r="AQ1005" s="94"/>
      <c r="AR1005" s="95"/>
      <c r="AS1005" s="92"/>
      <c r="AT1005" s="96"/>
      <c r="AU1005" s="93"/>
      <c r="AV1005" s="97"/>
      <c r="AW1005" s="98"/>
      <c r="AX1005" s="99"/>
      <c r="AY1005" s="92"/>
      <c r="AZ1005" s="96"/>
      <c r="BA1005" s="100"/>
    </row>
    <row r="1006" spans="28:53" ht="12.75" x14ac:dyDescent="0.2">
      <c r="AB1006" s="70"/>
      <c r="AO1006" s="70"/>
      <c r="AP1006" s="93"/>
      <c r="AQ1006" s="94"/>
      <c r="AR1006" s="95"/>
      <c r="AS1006" s="92"/>
      <c r="AT1006" s="96"/>
      <c r="AU1006" s="93"/>
      <c r="AV1006" s="97"/>
      <c r="AW1006" s="98"/>
      <c r="AX1006" s="99"/>
      <c r="AY1006" s="92"/>
      <c r="AZ1006" s="96"/>
      <c r="BA1006" s="100"/>
    </row>
    <row r="1007" spans="28:53" ht="12.75" x14ac:dyDescent="0.2">
      <c r="AB1007" s="70"/>
      <c r="AO1007" s="70"/>
      <c r="AP1007" s="93"/>
      <c r="AQ1007" s="94"/>
      <c r="AR1007" s="95"/>
      <c r="AS1007" s="92"/>
      <c r="AT1007" s="96"/>
      <c r="AU1007" s="93"/>
      <c r="AV1007" s="97"/>
      <c r="AW1007" s="98"/>
      <c r="AX1007" s="99"/>
      <c r="AY1007" s="92"/>
      <c r="AZ1007" s="96"/>
      <c r="BA1007" s="100"/>
    </row>
    <row r="1008" spans="28:53" ht="12.75" x14ac:dyDescent="0.2">
      <c r="AB1008" s="70"/>
      <c r="AO1008" s="70"/>
      <c r="AP1008" s="93"/>
      <c r="AQ1008" s="94"/>
      <c r="AR1008" s="95"/>
      <c r="AS1008" s="92"/>
      <c r="AT1008" s="96"/>
      <c r="AU1008" s="93"/>
      <c r="AV1008" s="97"/>
      <c r="AW1008" s="98"/>
      <c r="AX1008" s="99"/>
      <c r="AY1008" s="92"/>
      <c r="AZ1008" s="96"/>
      <c r="BA1008" s="100"/>
    </row>
    <row r="1009" spans="28:53" ht="12.75" x14ac:dyDescent="0.2">
      <c r="AB1009" s="70"/>
      <c r="AO1009" s="70"/>
      <c r="AP1009" s="93"/>
      <c r="AQ1009" s="94"/>
      <c r="AR1009" s="95"/>
      <c r="AS1009" s="92"/>
      <c r="AT1009" s="96"/>
      <c r="AU1009" s="93"/>
      <c r="AV1009" s="97"/>
      <c r="AW1009" s="98"/>
      <c r="AX1009" s="99"/>
      <c r="AY1009" s="92"/>
      <c r="AZ1009" s="96"/>
      <c r="BA1009" s="100"/>
    </row>
    <row r="1010" spans="28:53" ht="12.75" x14ac:dyDescent="0.2">
      <c r="AB1010" s="70"/>
      <c r="AO1010" s="70"/>
      <c r="AP1010" s="93"/>
      <c r="AQ1010" s="94"/>
      <c r="AR1010" s="95"/>
      <c r="AS1010" s="92"/>
      <c r="AT1010" s="96"/>
      <c r="AU1010" s="93"/>
      <c r="AV1010" s="97"/>
      <c r="AW1010" s="98"/>
      <c r="AX1010" s="99"/>
      <c r="AY1010" s="92"/>
      <c r="AZ1010" s="96"/>
      <c r="BA1010" s="100"/>
    </row>
    <row r="1011" spans="28:53" ht="12.75" x14ac:dyDescent="0.2">
      <c r="AB1011" s="70"/>
      <c r="AO1011" s="70"/>
      <c r="AP1011" s="93"/>
      <c r="AQ1011" s="94"/>
      <c r="AR1011" s="95"/>
      <c r="AS1011" s="92"/>
      <c r="AT1011" s="96"/>
      <c r="AU1011" s="93"/>
      <c r="AV1011" s="97"/>
      <c r="AW1011" s="98"/>
      <c r="AX1011" s="99"/>
      <c r="AY1011" s="92"/>
      <c r="AZ1011" s="96"/>
      <c r="BA1011" s="100"/>
    </row>
    <row r="1012" spans="28:53" ht="12.75" x14ac:dyDescent="0.2">
      <c r="AB1012" s="70"/>
      <c r="AO1012" s="70"/>
      <c r="AP1012" s="93"/>
      <c r="AQ1012" s="94"/>
      <c r="AR1012" s="95"/>
      <c r="AS1012" s="92"/>
      <c r="AT1012" s="96"/>
      <c r="AU1012" s="93"/>
      <c r="AV1012" s="97"/>
      <c r="AW1012" s="98"/>
      <c r="AX1012" s="99"/>
      <c r="AY1012" s="92"/>
      <c r="AZ1012" s="96"/>
      <c r="BA1012" s="100"/>
    </row>
    <row r="1013" spans="28:53" ht="12.75" x14ac:dyDescent="0.2">
      <c r="AB1013" s="70"/>
      <c r="AO1013" s="70"/>
      <c r="AP1013" s="93"/>
      <c r="AQ1013" s="94"/>
      <c r="AR1013" s="95"/>
      <c r="AS1013" s="92"/>
      <c r="AT1013" s="96"/>
      <c r="AU1013" s="93"/>
      <c r="AV1013" s="97"/>
      <c r="AW1013" s="98"/>
      <c r="AX1013" s="99"/>
      <c r="AY1013" s="92"/>
      <c r="AZ1013" s="96"/>
      <c r="BA1013" s="100"/>
    </row>
    <row r="1014" spans="28:53" ht="12.75" x14ac:dyDescent="0.2">
      <c r="AB1014" s="70"/>
      <c r="AO1014" s="70"/>
      <c r="AP1014" s="93"/>
      <c r="AQ1014" s="94"/>
      <c r="AR1014" s="95"/>
      <c r="AS1014" s="92"/>
      <c r="AT1014" s="96"/>
      <c r="AU1014" s="93"/>
      <c r="AV1014" s="97"/>
      <c r="AW1014" s="98"/>
      <c r="AX1014" s="99"/>
      <c r="AY1014" s="92"/>
      <c r="AZ1014" s="96"/>
      <c r="BA1014" s="100"/>
    </row>
    <row r="1015" spans="28:53" ht="12.75" x14ac:dyDescent="0.2">
      <c r="AB1015" s="70"/>
      <c r="AO1015" s="70"/>
      <c r="AP1015" s="93"/>
      <c r="AQ1015" s="94"/>
      <c r="AR1015" s="95"/>
      <c r="AS1015" s="92"/>
      <c r="AT1015" s="96"/>
      <c r="AU1015" s="93"/>
      <c r="AV1015" s="97"/>
      <c r="AW1015" s="98"/>
      <c r="AX1015" s="99"/>
      <c r="AY1015" s="92"/>
      <c r="AZ1015" s="96"/>
      <c r="BA1015" s="100"/>
    </row>
    <row r="1016" spans="28:53" ht="12.75" x14ac:dyDescent="0.2">
      <c r="AB1016" s="70"/>
      <c r="AO1016" s="70"/>
      <c r="AP1016" s="93"/>
      <c r="AQ1016" s="94"/>
      <c r="AR1016" s="95"/>
      <c r="AS1016" s="92"/>
      <c r="AT1016" s="96"/>
      <c r="AU1016" s="93"/>
      <c r="AV1016" s="97"/>
      <c r="AW1016" s="98"/>
      <c r="AX1016" s="99"/>
      <c r="AY1016" s="92"/>
      <c r="AZ1016" s="96"/>
      <c r="BA1016" s="100"/>
    </row>
    <row r="1017" spans="28:53" ht="12.75" x14ac:dyDescent="0.2">
      <c r="AB1017" s="70"/>
      <c r="AO1017" s="70"/>
      <c r="AP1017" s="93"/>
      <c r="AQ1017" s="94"/>
      <c r="AR1017" s="95"/>
      <c r="AS1017" s="92"/>
      <c r="AT1017" s="96"/>
      <c r="AU1017" s="93"/>
      <c r="AV1017" s="97"/>
      <c r="AW1017" s="98"/>
      <c r="AX1017" s="99"/>
      <c r="AY1017" s="92"/>
      <c r="AZ1017" s="96"/>
      <c r="BA1017" s="100"/>
    </row>
    <row r="1018" spans="28:53" ht="12.75" x14ac:dyDescent="0.2">
      <c r="AB1018" s="70"/>
      <c r="AO1018" s="70"/>
      <c r="AP1018" s="93"/>
      <c r="AQ1018" s="94"/>
      <c r="AR1018" s="95"/>
      <c r="AS1018" s="92"/>
      <c r="AT1018" s="96"/>
      <c r="AU1018" s="93"/>
      <c r="AV1018" s="97"/>
      <c r="AW1018" s="98"/>
      <c r="AX1018" s="99"/>
      <c r="AY1018" s="92"/>
      <c r="AZ1018" s="96"/>
      <c r="BA1018" s="100"/>
    </row>
    <row r="1019" spans="28:53" ht="12.75" x14ac:dyDescent="0.2">
      <c r="AB1019" s="70"/>
      <c r="AO1019" s="70"/>
      <c r="AP1019" s="93"/>
      <c r="AQ1019" s="94"/>
      <c r="AR1019" s="95"/>
      <c r="AS1019" s="92"/>
      <c r="AT1019" s="96"/>
      <c r="AU1019" s="93"/>
      <c r="AV1019" s="97"/>
      <c r="AW1019" s="98"/>
      <c r="AX1019" s="99"/>
      <c r="AY1019" s="92"/>
      <c r="AZ1019" s="96"/>
      <c r="BA1019" s="100"/>
    </row>
    <row r="1020" spans="28:53" ht="12.75" x14ac:dyDescent="0.2">
      <c r="AB1020" s="70"/>
      <c r="AO1020" s="70"/>
      <c r="AP1020" s="93"/>
      <c r="AQ1020" s="94"/>
      <c r="AR1020" s="95"/>
      <c r="AS1020" s="92"/>
      <c r="AT1020" s="96"/>
      <c r="AU1020" s="93"/>
      <c r="AV1020" s="97"/>
      <c r="AW1020" s="98"/>
      <c r="AX1020" s="99"/>
      <c r="AY1020" s="92"/>
      <c r="AZ1020" s="96"/>
      <c r="BA1020" s="100"/>
    </row>
    <row r="1021" spans="28:53" ht="12.75" x14ac:dyDescent="0.2">
      <c r="AB1021" s="70"/>
      <c r="AO1021" s="70"/>
      <c r="AP1021" s="93"/>
      <c r="AQ1021" s="94"/>
      <c r="AR1021" s="95"/>
      <c r="AS1021" s="92"/>
      <c r="AT1021" s="96"/>
      <c r="AU1021" s="93"/>
      <c r="AV1021" s="97"/>
      <c r="AW1021" s="98"/>
      <c r="AX1021" s="99"/>
      <c r="AY1021" s="92"/>
      <c r="AZ1021" s="96"/>
      <c r="BA1021" s="100"/>
    </row>
    <row r="1022" spans="28:53" ht="12.75" x14ac:dyDescent="0.2">
      <c r="AB1022" s="70"/>
      <c r="AO1022" s="70"/>
      <c r="AP1022" s="93"/>
      <c r="AQ1022" s="94"/>
      <c r="AR1022" s="95"/>
      <c r="AS1022" s="92"/>
      <c r="AT1022" s="96"/>
      <c r="AU1022" s="93"/>
      <c r="AV1022" s="97"/>
      <c r="AW1022" s="98"/>
      <c r="AX1022" s="99"/>
      <c r="AY1022" s="92"/>
      <c r="AZ1022" s="96"/>
      <c r="BA1022" s="100"/>
    </row>
    <row r="1023" spans="28:53" ht="12.75" x14ac:dyDescent="0.2">
      <c r="AB1023" s="70"/>
      <c r="AO1023" s="70"/>
      <c r="AP1023" s="93"/>
      <c r="AQ1023" s="94"/>
      <c r="AR1023" s="95"/>
      <c r="AS1023" s="92"/>
      <c r="AT1023" s="96"/>
      <c r="AU1023" s="93"/>
      <c r="AV1023" s="97"/>
      <c r="AW1023" s="98"/>
      <c r="AX1023" s="99"/>
      <c r="AY1023" s="92"/>
      <c r="AZ1023" s="96"/>
      <c r="BA1023" s="100"/>
    </row>
    <row r="1024" spans="28:53" ht="12.75" x14ac:dyDescent="0.2">
      <c r="AB1024" s="70"/>
      <c r="AO1024" s="70"/>
      <c r="AP1024" s="93"/>
      <c r="AQ1024" s="94"/>
      <c r="AR1024" s="95"/>
      <c r="AS1024" s="92"/>
      <c r="AT1024" s="96"/>
      <c r="AU1024" s="93"/>
      <c r="AV1024" s="97"/>
      <c r="AW1024" s="98"/>
      <c r="AX1024" s="99"/>
      <c r="AY1024" s="92"/>
      <c r="AZ1024" s="96"/>
      <c r="BA1024" s="100"/>
    </row>
    <row r="1025" spans="28:53" ht="12.75" x14ac:dyDescent="0.2">
      <c r="AB1025" s="70"/>
      <c r="AO1025" s="70"/>
      <c r="AP1025" s="93"/>
      <c r="AQ1025" s="94"/>
      <c r="AR1025" s="95"/>
      <c r="AS1025" s="92"/>
      <c r="AT1025" s="96"/>
      <c r="AU1025" s="93"/>
      <c r="AV1025" s="97"/>
      <c r="AW1025" s="98"/>
      <c r="AX1025" s="99"/>
      <c r="AY1025" s="92"/>
      <c r="AZ1025" s="96"/>
      <c r="BA1025" s="100"/>
    </row>
    <row r="1026" spans="28:53" ht="12.75" x14ac:dyDescent="0.2">
      <c r="AB1026" s="70"/>
      <c r="AO1026" s="70"/>
      <c r="AP1026" s="93"/>
      <c r="AQ1026" s="94"/>
      <c r="AR1026" s="95"/>
      <c r="AS1026" s="92"/>
      <c r="AT1026" s="96"/>
      <c r="AU1026" s="93"/>
      <c r="AV1026" s="97"/>
      <c r="AW1026" s="98"/>
      <c r="AX1026" s="99"/>
      <c r="AY1026" s="92"/>
      <c r="AZ1026" s="96"/>
      <c r="BA1026" s="100"/>
    </row>
    <row r="1027" spans="28:53" ht="12.75" x14ac:dyDescent="0.2">
      <c r="AB1027" s="70"/>
      <c r="AO1027" s="70"/>
      <c r="AP1027" s="93"/>
      <c r="AQ1027" s="94"/>
      <c r="AR1027" s="95"/>
      <c r="AS1027" s="92"/>
      <c r="AT1027" s="96"/>
      <c r="AU1027" s="93"/>
      <c r="AV1027" s="97"/>
      <c r="AW1027" s="98"/>
      <c r="AX1027" s="99"/>
      <c r="AY1027" s="92"/>
      <c r="AZ1027" s="96"/>
      <c r="BA1027" s="100"/>
    </row>
    <row r="1028" spans="28:53" ht="12.75" x14ac:dyDescent="0.2">
      <c r="AB1028" s="70"/>
      <c r="AO1028" s="70"/>
      <c r="AP1028" s="93"/>
      <c r="AQ1028" s="94"/>
      <c r="AR1028" s="95"/>
      <c r="AS1028" s="92"/>
      <c r="AT1028" s="96"/>
      <c r="AU1028" s="93"/>
      <c r="AV1028" s="97"/>
      <c r="AW1028" s="98"/>
      <c r="AX1028" s="99"/>
      <c r="AY1028" s="92"/>
      <c r="AZ1028" s="96"/>
      <c r="BA1028" s="100"/>
    </row>
    <row r="1029" spans="28:53" ht="12.75" x14ac:dyDescent="0.2">
      <c r="AB1029" s="70"/>
      <c r="AO1029" s="70"/>
      <c r="AP1029" s="93"/>
      <c r="AQ1029" s="94"/>
      <c r="AR1029" s="95"/>
      <c r="AS1029" s="92"/>
      <c r="AT1029" s="96"/>
      <c r="AU1029" s="93"/>
      <c r="AV1029" s="97"/>
      <c r="AW1029" s="98"/>
      <c r="AX1029" s="99"/>
      <c r="AY1029" s="92"/>
      <c r="AZ1029" s="96"/>
      <c r="BA1029" s="100"/>
    </row>
    <row r="1030" spans="28:53" ht="12.75" x14ac:dyDescent="0.2">
      <c r="AB1030" s="70"/>
      <c r="AO1030" s="70"/>
      <c r="AP1030" s="93"/>
      <c r="AQ1030" s="94"/>
      <c r="AR1030" s="95"/>
      <c r="AS1030" s="92"/>
      <c r="AT1030" s="96"/>
      <c r="AU1030" s="93"/>
      <c r="AV1030" s="97"/>
      <c r="AW1030" s="98"/>
      <c r="AX1030" s="99"/>
      <c r="AY1030" s="92"/>
      <c r="AZ1030" s="96"/>
      <c r="BA1030" s="100"/>
    </row>
    <row r="1031" spans="28:53" ht="12.75" x14ac:dyDescent="0.2">
      <c r="AB1031" s="70"/>
      <c r="AO1031" s="70"/>
      <c r="AP1031" s="93"/>
      <c r="AQ1031" s="94"/>
      <c r="AR1031" s="95"/>
      <c r="AS1031" s="92"/>
      <c r="AT1031" s="96"/>
      <c r="AU1031" s="93"/>
      <c r="AV1031" s="97"/>
      <c r="AW1031" s="98"/>
      <c r="AX1031" s="99"/>
      <c r="AY1031" s="92"/>
      <c r="AZ1031" s="96"/>
      <c r="BA1031" s="100"/>
    </row>
    <row r="1032" spans="28:53" ht="12.75" x14ac:dyDescent="0.2">
      <c r="AB1032" s="70"/>
      <c r="AO1032" s="70"/>
      <c r="AP1032" s="93"/>
      <c r="AQ1032" s="94"/>
      <c r="AR1032" s="95"/>
      <c r="AS1032" s="92"/>
      <c r="AT1032" s="96"/>
      <c r="AU1032" s="93"/>
      <c r="AV1032" s="97"/>
      <c r="AW1032" s="98"/>
      <c r="AX1032" s="99"/>
      <c r="AY1032" s="92"/>
      <c r="AZ1032" s="96"/>
      <c r="BA1032" s="100"/>
    </row>
    <row r="1033" spans="28:53" ht="12.75" x14ac:dyDescent="0.2">
      <c r="AB1033" s="70"/>
      <c r="AO1033" s="70"/>
      <c r="AP1033" s="93"/>
      <c r="AQ1033" s="94"/>
      <c r="AR1033" s="95"/>
      <c r="AS1033" s="92"/>
      <c r="AT1033" s="96"/>
      <c r="AU1033" s="93"/>
      <c r="AV1033" s="97"/>
      <c r="AW1033" s="98"/>
      <c r="AX1033" s="99"/>
      <c r="AY1033" s="92"/>
      <c r="AZ1033" s="96"/>
      <c r="BA1033" s="100"/>
    </row>
    <row r="1034" spans="28:53" ht="12.75" x14ac:dyDescent="0.2">
      <c r="AB1034" s="70"/>
      <c r="AO1034" s="70"/>
      <c r="AP1034" s="93"/>
      <c r="AQ1034" s="94"/>
      <c r="AR1034" s="95"/>
      <c r="AS1034" s="92"/>
      <c r="AT1034" s="96"/>
      <c r="AU1034" s="93"/>
      <c r="AV1034" s="97"/>
      <c r="AW1034" s="98"/>
      <c r="AX1034" s="99"/>
      <c r="AY1034" s="92"/>
      <c r="AZ1034" s="96"/>
      <c r="BA1034" s="100"/>
    </row>
    <row r="1035" spans="28:53" ht="12.75" x14ac:dyDescent="0.2">
      <c r="AB1035" s="70"/>
      <c r="AO1035" s="70"/>
      <c r="AP1035" s="93"/>
      <c r="AQ1035" s="94"/>
      <c r="AR1035" s="95"/>
      <c r="AS1035" s="92"/>
      <c r="AT1035" s="96"/>
      <c r="AU1035" s="93"/>
      <c r="AV1035" s="97"/>
      <c r="AW1035" s="98"/>
      <c r="AX1035" s="99"/>
      <c r="AY1035" s="92"/>
      <c r="AZ1035" s="96"/>
      <c r="BA1035" s="100"/>
    </row>
    <row r="1036" spans="28:53" ht="12.75" x14ac:dyDescent="0.2">
      <c r="AB1036" s="70"/>
      <c r="AO1036" s="70"/>
      <c r="AP1036" s="93"/>
      <c r="AQ1036" s="94"/>
      <c r="AR1036" s="95"/>
      <c r="AS1036" s="92"/>
      <c r="AT1036" s="96"/>
      <c r="AU1036" s="93"/>
      <c r="AV1036" s="97"/>
      <c r="AW1036" s="98"/>
      <c r="AX1036" s="99"/>
      <c r="AY1036" s="92"/>
      <c r="AZ1036" s="96"/>
      <c r="BA1036" s="100"/>
    </row>
    <row r="1037" spans="28:53" ht="12.75" x14ac:dyDescent="0.2">
      <c r="AB1037" s="70"/>
      <c r="AO1037" s="70"/>
      <c r="AP1037" s="93"/>
      <c r="AQ1037" s="94"/>
      <c r="AR1037" s="95"/>
      <c r="AS1037" s="92"/>
      <c r="AT1037" s="96"/>
      <c r="AU1037" s="93"/>
      <c r="AV1037" s="97"/>
      <c r="AW1037" s="98"/>
      <c r="AX1037" s="99"/>
      <c r="AY1037" s="92"/>
      <c r="AZ1037" s="96"/>
      <c r="BA1037" s="100"/>
    </row>
    <row r="1038" spans="28:53" ht="12.75" x14ac:dyDescent="0.2">
      <c r="AB1038" s="70"/>
      <c r="AO1038" s="70"/>
      <c r="AP1038" s="93"/>
      <c r="AQ1038" s="94"/>
      <c r="AR1038" s="95"/>
      <c r="AS1038" s="92"/>
      <c r="AT1038" s="96"/>
      <c r="AU1038" s="93"/>
      <c r="AV1038" s="97"/>
      <c r="AW1038" s="98"/>
      <c r="AX1038" s="99"/>
      <c r="AY1038" s="92"/>
      <c r="AZ1038" s="96"/>
      <c r="BA1038" s="100"/>
    </row>
    <row r="1039" spans="28:53" ht="12.75" x14ac:dyDescent="0.2">
      <c r="AB1039" s="70"/>
      <c r="AO1039" s="70"/>
      <c r="AP1039" s="93"/>
      <c r="AQ1039" s="94"/>
      <c r="AR1039" s="95"/>
      <c r="AS1039" s="92"/>
      <c r="AT1039" s="96"/>
      <c r="AU1039" s="93"/>
      <c r="AV1039" s="97"/>
      <c r="AW1039" s="98"/>
      <c r="AX1039" s="99"/>
      <c r="AY1039" s="92"/>
      <c r="AZ1039" s="96"/>
      <c r="BA1039" s="100"/>
    </row>
    <row r="1040" spans="28:53" ht="12.75" x14ac:dyDescent="0.2">
      <c r="AB1040" s="70"/>
      <c r="AO1040" s="70"/>
      <c r="AP1040" s="93"/>
      <c r="AQ1040" s="94"/>
      <c r="AR1040" s="95"/>
      <c r="AS1040" s="92"/>
      <c r="AT1040" s="96"/>
      <c r="AU1040" s="93"/>
      <c r="AV1040" s="97"/>
      <c r="AW1040" s="98"/>
      <c r="AX1040" s="99"/>
      <c r="AY1040" s="92"/>
      <c r="AZ1040" s="96"/>
      <c r="BA1040" s="100"/>
    </row>
    <row r="1041" spans="28:53" ht="12.75" x14ac:dyDescent="0.2">
      <c r="AB1041" s="70"/>
      <c r="AO1041" s="70"/>
      <c r="AP1041" s="93"/>
      <c r="AQ1041" s="94"/>
      <c r="AR1041" s="95"/>
      <c r="AS1041" s="92"/>
      <c r="AT1041" s="96"/>
      <c r="AU1041" s="93"/>
      <c r="AV1041" s="97"/>
      <c r="AW1041" s="98"/>
      <c r="AX1041" s="99"/>
      <c r="AY1041" s="92"/>
      <c r="AZ1041" s="96"/>
      <c r="BA1041" s="100"/>
    </row>
    <row r="1042" spans="28:53" ht="12.75" x14ac:dyDescent="0.2">
      <c r="AB1042" s="70"/>
      <c r="AO1042" s="70"/>
      <c r="AP1042" s="93"/>
      <c r="AQ1042" s="94"/>
      <c r="AR1042" s="95"/>
      <c r="AS1042" s="92"/>
      <c r="AT1042" s="96"/>
      <c r="AU1042" s="93"/>
      <c r="AV1042" s="97"/>
      <c r="AW1042" s="98"/>
      <c r="AX1042" s="99"/>
      <c r="AY1042" s="92"/>
      <c r="AZ1042" s="96"/>
      <c r="BA1042" s="100"/>
    </row>
    <row r="1043" spans="28:53" ht="12.75" x14ac:dyDescent="0.2">
      <c r="AB1043" s="70"/>
      <c r="AO1043" s="70"/>
      <c r="AP1043" s="93"/>
      <c r="AQ1043" s="94"/>
      <c r="AR1043" s="95"/>
      <c r="AS1043" s="92"/>
      <c r="AT1043" s="96"/>
      <c r="AU1043" s="93"/>
      <c r="AV1043" s="97"/>
      <c r="AW1043" s="98"/>
      <c r="AX1043" s="99"/>
      <c r="AY1043" s="92"/>
      <c r="AZ1043" s="96"/>
      <c r="BA1043" s="100"/>
    </row>
    <row r="1044" spans="28:53" ht="12.75" x14ac:dyDescent="0.2">
      <c r="AB1044" s="70"/>
      <c r="AO1044" s="70"/>
      <c r="AP1044" s="93"/>
      <c r="AQ1044" s="94"/>
      <c r="AR1044" s="95"/>
      <c r="AS1044" s="92"/>
      <c r="AT1044" s="96"/>
      <c r="AU1044" s="93"/>
      <c r="AV1044" s="97"/>
      <c r="AW1044" s="98"/>
      <c r="AX1044" s="99"/>
      <c r="AY1044" s="92"/>
      <c r="AZ1044" s="96"/>
      <c r="BA1044" s="100"/>
    </row>
    <row r="1045" spans="28:53" ht="12.75" x14ac:dyDescent="0.2">
      <c r="AB1045" s="70"/>
      <c r="AO1045" s="70"/>
      <c r="AP1045" s="93"/>
      <c r="AQ1045" s="94"/>
      <c r="AR1045" s="95"/>
      <c r="AS1045" s="92"/>
      <c r="AT1045" s="96"/>
      <c r="AU1045" s="93"/>
      <c r="AV1045" s="97"/>
      <c r="AW1045" s="98"/>
      <c r="AX1045" s="99"/>
      <c r="AY1045" s="92"/>
      <c r="AZ1045" s="96"/>
      <c r="BA1045" s="100"/>
    </row>
    <row r="1046" spans="28:53" ht="12.75" x14ac:dyDescent="0.2">
      <c r="AB1046" s="70"/>
      <c r="AO1046" s="70"/>
      <c r="AP1046" s="93"/>
      <c r="AQ1046" s="94"/>
      <c r="AR1046" s="95"/>
      <c r="AS1046" s="92"/>
      <c r="AT1046" s="96"/>
      <c r="AU1046" s="93"/>
      <c r="AV1046" s="97"/>
      <c r="AW1046" s="98"/>
      <c r="AX1046" s="99"/>
      <c r="AY1046" s="92"/>
      <c r="AZ1046" s="96"/>
      <c r="BA1046" s="100"/>
    </row>
    <row r="1047" spans="28:53" ht="12.75" x14ac:dyDescent="0.2">
      <c r="AB1047" s="70"/>
      <c r="AO1047" s="70"/>
      <c r="AP1047" s="93"/>
      <c r="AQ1047" s="94"/>
      <c r="AR1047" s="95"/>
      <c r="AS1047" s="92"/>
      <c r="AT1047" s="96"/>
      <c r="AU1047" s="93"/>
      <c r="AV1047" s="97"/>
      <c r="AW1047" s="98"/>
      <c r="AX1047" s="99"/>
      <c r="AY1047" s="92"/>
      <c r="AZ1047" s="96"/>
      <c r="BA1047" s="100"/>
    </row>
    <row r="1048" spans="28:53" ht="12.75" x14ac:dyDescent="0.2">
      <c r="AB1048" s="70"/>
      <c r="AO1048" s="70"/>
      <c r="AP1048" s="93"/>
      <c r="AQ1048" s="94"/>
      <c r="AR1048" s="95"/>
      <c r="AS1048" s="92"/>
      <c r="AT1048" s="96"/>
      <c r="AU1048" s="93"/>
      <c r="AV1048" s="97"/>
      <c r="AW1048" s="98"/>
      <c r="AX1048" s="99"/>
      <c r="AY1048" s="92"/>
      <c r="AZ1048" s="96"/>
      <c r="BA1048" s="100"/>
    </row>
    <row r="1049" spans="28:53" ht="12.75" x14ac:dyDescent="0.2">
      <c r="AB1049" s="70"/>
      <c r="AO1049" s="70"/>
      <c r="AP1049" s="93"/>
      <c r="AQ1049" s="94"/>
      <c r="AR1049" s="95"/>
      <c r="AS1049" s="92"/>
      <c r="AT1049" s="96"/>
      <c r="AU1049" s="93"/>
      <c r="AV1049" s="97"/>
      <c r="AW1049" s="98"/>
      <c r="AX1049" s="99"/>
      <c r="AY1049" s="92"/>
      <c r="AZ1049" s="96"/>
      <c r="BA1049" s="100"/>
    </row>
    <row r="1050" spans="28:53" ht="12.75" x14ac:dyDescent="0.2">
      <c r="AB1050" s="70"/>
      <c r="AO1050" s="70"/>
      <c r="AP1050" s="93"/>
      <c r="AQ1050" s="94"/>
      <c r="AR1050" s="95"/>
      <c r="AS1050" s="92"/>
      <c r="AT1050" s="96"/>
      <c r="AU1050" s="93"/>
      <c r="AV1050" s="97"/>
      <c r="AW1050" s="98"/>
      <c r="AX1050" s="99"/>
      <c r="AY1050" s="92"/>
      <c r="AZ1050" s="96"/>
      <c r="BA1050" s="100"/>
    </row>
    <row r="1051" spans="28:53" ht="12.75" x14ac:dyDescent="0.2">
      <c r="AB1051" s="70"/>
      <c r="AO1051" s="70"/>
      <c r="AP1051" s="93"/>
      <c r="AQ1051" s="94"/>
      <c r="AR1051" s="95"/>
      <c r="AS1051" s="92"/>
      <c r="AT1051" s="96"/>
      <c r="AU1051" s="93"/>
      <c r="AV1051" s="97"/>
      <c r="AW1051" s="98"/>
      <c r="AX1051" s="99"/>
      <c r="AY1051" s="92"/>
      <c r="AZ1051" s="96"/>
      <c r="BA1051" s="100"/>
    </row>
    <row r="1052" spans="28:53" ht="12.75" x14ac:dyDescent="0.2">
      <c r="AB1052" s="70"/>
      <c r="AO1052" s="70"/>
      <c r="AP1052" s="93"/>
      <c r="AQ1052" s="94"/>
      <c r="AR1052" s="95"/>
      <c r="AS1052" s="92"/>
      <c r="AT1052" s="96"/>
      <c r="AU1052" s="93"/>
      <c r="AV1052" s="97"/>
      <c r="AW1052" s="98"/>
      <c r="AX1052" s="99"/>
      <c r="AY1052" s="92"/>
      <c r="AZ1052" s="96"/>
      <c r="BA1052" s="100"/>
    </row>
    <row r="1053" spans="28:53" ht="12.75" x14ac:dyDescent="0.2">
      <c r="AB1053" s="70"/>
      <c r="AO1053" s="70"/>
      <c r="AP1053" s="93"/>
      <c r="AQ1053" s="94"/>
      <c r="AR1053" s="95"/>
      <c r="AS1053" s="92"/>
      <c r="AT1053" s="96"/>
      <c r="AU1053" s="93"/>
      <c r="AV1053" s="97"/>
      <c r="AW1053" s="98"/>
      <c r="AX1053" s="99"/>
      <c r="AY1053" s="92"/>
      <c r="AZ1053" s="96"/>
      <c r="BA1053" s="100"/>
    </row>
    <row r="1054" spans="28:53" ht="12.75" x14ac:dyDescent="0.2">
      <c r="AB1054" s="70"/>
      <c r="AO1054" s="70"/>
      <c r="AP1054" s="93"/>
      <c r="AQ1054" s="94"/>
      <c r="AR1054" s="95"/>
      <c r="AS1054" s="92"/>
      <c r="AT1054" s="96"/>
      <c r="AU1054" s="93"/>
      <c r="AV1054" s="97"/>
      <c r="AW1054" s="98"/>
      <c r="AX1054" s="99"/>
      <c r="AY1054" s="92"/>
      <c r="AZ1054" s="96"/>
      <c r="BA1054" s="100"/>
    </row>
    <row r="1055" spans="28:53" ht="12.75" x14ac:dyDescent="0.2">
      <c r="AB1055" s="70"/>
      <c r="AO1055" s="70"/>
      <c r="AP1055" s="93"/>
      <c r="AQ1055" s="94"/>
      <c r="AR1055" s="95"/>
      <c r="AS1055" s="92"/>
      <c r="AT1055" s="96"/>
      <c r="AU1055" s="93"/>
      <c r="AV1055" s="97"/>
      <c r="AW1055" s="98"/>
      <c r="AX1055" s="99"/>
      <c r="AY1055" s="92"/>
      <c r="AZ1055" s="96"/>
      <c r="BA1055" s="100"/>
    </row>
    <row r="1056" spans="28:53" ht="12.75" x14ac:dyDescent="0.2">
      <c r="AB1056" s="70"/>
      <c r="AO1056" s="70"/>
      <c r="AP1056" s="93"/>
      <c r="AQ1056" s="94"/>
      <c r="AR1056" s="95"/>
      <c r="AS1056" s="92"/>
      <c r="AT1056" s="96"/>
      <c r="AU1056" s="93"/>
      <c r="AV1056" s="97"/>
      <c r="AW1056" s="98"/>
      <c r="AX1056" s="99"/>
      <c r="AY1056" s="92"/>
      <c r="AZ1056" s="96"/>
      <c r="BA1056" s="100"/>
    </row>
    <row r="1057" spans="28:53" ht="12.75" x14ac:dyDescent="0.2">
      <c r="AB1057" s="70"/>
      <c r="AO1057" s="70"/>
      <c r="AP1057" s="93"/>
      <c r="AQ1057" s="94"/>
      <c r="AR1057" s="95"/>
      <c r="AS1057" s="92"/>
      <c r="AT1057" s="96"/>
      <c r="AU1057" s="93"/>
      <c r="AV1057" s="97"/>
      <c r="AW1057" s="98"/>
      <c r="AX1057" s="99"/>
      <c r="AY1057" s="92"/>
      <c r="AZ1057" s="96"/>
      <c r="BA1057" s="100"/>
    </row>
    <row r="1058" spans="28:53" ht="12.75" x14ac:dyDescent="0.2">
      <c r="AB1058" s="70"/>
      <c r="AO1058" s="70"/>
      <c r="AP1058" s="93"/>
      <c r="AQ1058" s="94"/>
      <c r="AR1058" s="95"/>
      <c r="AS1058" s="92"/>
      <c r="AT1058" s="96"/>
      <c r="AU1058" s="93"/>
      <c r="AV1058" s="97"/>
      <c r="AW1058" s="98"/>
      <c r="AX1058" s="99"/>
      <c r="AY1058" s="92"/>
      <c r="AZ1058" s="96"/>
      <c r="BA1058" s="100"/>
    </row>
    <row r="1059" spans="28:53" ht="12.75" x14ac:dyDescent="0.2">
      <c r="AB1059" s="70"/>
      <c r="AO1059" s="70"/>
      <c r="AP1059" s="93"/>
      <c r="AQ1059" s="94"/>
      <c r="AR1059" s="95"/>
      <c r="AS1059" s="92"/>
      <c r="AT1059" s="96"/>
      <c r="AU1059" s="93"/>
      <c r="AV1059" s="97"/>
      <c r="AW1059" s="98"/>
      <c r="AX1059" s="99"/>
      <c r="AY1059" s="92"/>
      <c r="AZ1059" s="96"/>
      <c r="BA1059" s="100"/>
    </row>
    <row r="1060" spans="28:53" ht="12.75" x14ac:dyDescent="0.2">
      <c r="AB1060" s="70"/>
      <c r="AO1060" s="70"/>
      <c r="AP1060" s="93"/>
      <c r="AQ1060" s="94"/>
      <c r="AR1060" s="95"/>
      <c r="AS1060" s="92"/>
      <c r="AT1060" s="96"/>
      <c r="AU1060" s="93"/>
      <c r="AV1060" s="97"/>
      <c r="AW1060" s="98"/>
      <c r="AX1060" s="99"/>
      <c r="AY1060" s="92"/>
      <c r="AZ1060" s="96"/>
      <c r="BA1060" s="100"/>
    </row>
    <row r="1061" spans="28:53" ht="12.75" x14ac:dyDescent="0.2">
      <c r="AB1061" s="70"/>
      <c r="AO1061" s="70"/>
      <c r="AP1061" s="93"/>
      <c r="AQ1061" s="94"/>
      <c r="AR1061" s="95"/>
      <c r="AS1061" s="92"/>
      <c r="AT1061" s="96"/>
      <c r="AU1061" s="93"/>
      <c r="AV1061" s="97"/>
      <c r="AW1061" s="98"/>
      <c r="AX1061" s="99"/>
      <c r="AY1061" s="92"/>
      <c r="AZ1061" s="96"/>
      <c r="BA1061" s="100"/>
    </row>
    <row r="1062" spans="28:53" ht="12.75" x14ac:dyDescent="0.2">
      <c r="AB1062" s="70"/>
      <c r="AO1062" s="70"/>
      <c r="AP1062" s="93"/>
      <c r="AQ1062" s="94"/>
      <c r="AR1062" s="95"/>
      <c r="AS1062" s="92"/>
      <c r="AT1062" s="96"/>
      <c r="AU1062" s="93"/>
      <c r="AV1062" s="97"/>
      <c r="AW1062" s="98"/>
      <c r="AX1062" s="99"/>
      <c r="AY1062" s="92"/>
      <c r="AZ1062" s="96"/>
      <c r="BA1062" s="100"/>
    </row>
    <row r="1063" spans="28:53" ht="12.75" x14ac:dyDescent="0.2">
      <c r="AB1063" s="70"/>
      <c r="AO1063" s="70"/>
      <c r="AP1063" s="93"/>
      <c r="AQ1063" s="94"/>
      <c r="AR1063" s="95"/>
      <c r="AS1063" s="92"/>
      <c r="AT1063" s="96"/>
      <c r="AU1063" s="93"/>
      <c r="AV1063" s="97"/>
      <c r="AW1063" s="98"/>
      <c r="AX1063" s="99"/>
      <c r="AY1063" s="92"/>
      <c r="AZ1063" s="96"/>
      <c r="BA1063" s="100"/>
    </row>
    <row r="1064" spans="28:53" ht="12.75" x14ac:dyDescent="0.2">
      <c r="AB1064" s="70"/>
      <c r="AO1064" s="70"/>
      <c r="AP1064" s="93"/>
      <c r="AQ1064" s="94"/>
      <c r="AR1064" s="95"/>
      <c r="AS1064" s="92"/>
      <c r="AT1064" s="96"/>
      <c r="AU1064" s="93"/>
      <c r="AV1064" s="97"/>
      <c r="AW1064" s="98"/>
      <c r="AX1064" s="99"/>
      <c r="AY1064" s="92"/>
      <c r="AZ1064" s="96"/>
      <c r="BA1064" s="100"/>
    </row>
    <row r="1065" spans="28:53" ht="12.75" x14ac:dyDescent="0.2">
      <c r="AB1065" s="70"/>
      <c r="AO1065" s="70"/>
      <c r="AP1065" s="93"/>
      <c r="AQ1065" s="94"/>
      <c r="AR1065" s="95"/>
      <c r="AS1065" s="92"/>
      <c r="AT1065" s="96"/>
      <c r="AU1065" s="93"/>
      <c r="AV1065" s="97"/>
      <c r="AW1065" s="98"/>
      <c r="AX1065" s="99"/>
      <c r="AY1065" s="92"/>
      <c r="AZ1065" s="96"/>
      <c r="BA1065" s="100"/>
    </row>
    <row r="1066" spans="28:53" ht="12.75" x14ac:dyDescent="0.2">
      <c r="AB1066" s="70"/>
      <c r="AO1066" s="70"/>
      <c r="AP1066" s="93"/>
      <c r="AQ1066" s="94"/>
      <c r="AR1066" s="95"/>
      <c r="AS1066" s="92"/>
      <c r="AT1066" s="96"/>
      <c r="AU1066" s="93"/>
      <c r="AV1066" s="97"/>
      <c r="AW1066" s="98"/>
      <c r="AX1066" s="99"/>
      <c r="AY1066" s="92"/>
      <c r="AZ1066" s="96"/>
      <c r="BA1066" s="100"/>
    </row>
    <row r="1067" spans="28:53" ht="12.75" x14ac:dyDescent="0.2">
      <c r="AB1067" s="70"/>
      <c r="AO1067" s="70"/>
      <c r="AP1067" s="93"/>
      <c r="AQ1067" s="94"/>
      <c r="AR1067" s="95"/>
      <c r="AS1067" s="92"/>
      <c r="AT1067" s="96"/>
      <c r="AU1067" s="93"/>
      <c r="AV1067" s="97"/>
      <c r="AW1067" s="98"/>
      <c r="AX1067" s="99"/>
      <c r="AY1067" s="92"/>
      <c r="AZ1067" s="96"/>
      <c r="BA1067" s="100"/>
    </row>
    <row r="1068" spans="28:53" ht="12.75" x14ac:dyDescent="0.2">
      <c r="AB1068" s="70"/>
      <c r="AO1068" s="70"/>
      <c r="AP1068" s="93"/>
      <c r="AQ1068" s="94"/>
      <c r="AR1068" s="95"/>
      <c r="AS1068" s="92"/>
      <c r="AT1068" s="96"/>
      <c r="AU1068" s="93"/>
      <c r="AV1068" s="97"/>
      <c r="AW1068" s="98"/>
      <c r="AX1068" s="99"/>
      <c r="AY1068" s="92"/>
      <c r="AZ1068" s="96"/>
      <c r="BA1068" s="100"/>
    </row>
    <row r="1069" spans="28:53" ht="12.75" x14ac:dyDescent="0.2">
      <c r="AB1069" s="70"/>
      <c r="AO1069" s="70"/>
      <c r="AP1069" s="93"/>
      <c r="AQ1069" s="94"/>
      <c r="AR1069" s="95"/>
      <c r="AS1069" s="92"/>
      <c r="AT1069" s="96"/>
      <c r="AU1069" s="93"/>
      <c r="AV1069" s="97"/>
      <c r="AW1069" s="98"/>
      <c r="AX1069" s="99"/>
      <c r="AY1069" s="92"/>
      <c r="AZ1069" s="96"/>
      <c r="BA1069" s="100"/>
    </row>
    <row r="1070" spans="28:53" ht="12.75" x14ac:dyDescent="0.2">
      <c r="AB1070" s="70"/>
      <c r="AO1070" s="70"/>
      <c r="AP1070" s="93"/>
      <c r="AQ1070" s="94"/>
      <c r="AR1070" s="95"/>
      <c r="AS1070" s="92"/>
      <c r="AT1070" s="96"/>
      <c r="AU1070" s="93"/>
      <c r="AV1070" s="97"/>
      <c r="AW1070" s="98"/>
      <c r="AX1070" s="99"/>
      <c r="AY1070" s="92"/>
      <c r="AZ1070" s="96"/>
      <c r="BA1070" s="100"/>
    </row>
    <row r="1071" spans="28:53" ht="12.75" x14ac:dyDescent="0.2">
      <c r="AB1071" s="70"/>
      <c r="AO1071" s="70"/>
      <c r="AP1071" s="93"/>
      <c r="AQ1071" s="94"/>
      <c r="AR1071" s="95"/>
      <c r="AS1071" s="92"/>
      <c r="AT1071" s="96"/>
      <c r="AU1071" s="93"/>
      <c r="AV1071" s="97"/>
      <c r="AW1071" s="98"/>
      <c r="AX1071" s="99"/>
      <c r="AY1071" s="92"/>
      <c r="AZ1071" s="96"/>
      <c r="BA1071" s="100"/>
    </row>
    <row r="1072" spans="28:53" ht="12.75" x14ac:dyDescent="0.2">
      <c r="AB1072" s="70"/>
      <c r="AO1072" s="70"/>
      <c r="AP1072" s="93"/>
      <c r="AQ1072" s="94"/>
      <c r="AR1072" s="95"/>
      <c r="AS1072" s="92"/>
      <c r="AT1072" s="96"/>
      <c r="AU1072" s="93"/>
      <c r="AV1072" s="97"/>
      <c r="AW1072" s="98"/>
      <c r="AX1072" s="99"/>
      <c r="AY1072" s="92"/>
      <c r="AZ1072" s="96"/>
      <c r="BA1072" s="100"/>
    </row>
    <row r="1073" spans="28:53" ht="12.75" x14ac:dyDescent="0.2">
      <c r="AB1073" s="70"/>
      <c r="AO1073" s="70"/>
      <c r="AP1073" s="93"/>
      <c r="AQ1073" s="94"/>
      <c r="AR1073" s="95"/>
      <c r="AS1073" s="92"/>
      <c r="AT1073" s="96"/>
      <c r="AU1073" s="93"/>
      <c r="AV1073" s="97"/>
      <c r="AW1073" s="98"/>
      <c r="AX1073" s="99"/>
      <c r="AY1073" s="92"/>
      <c r="AZ1073" s="96"/>
      <c r="BA1073" s="100"/>
    </row>
    <row r="1074" spans="28:53" ht="12.75" x14ac:dyDescent="0.2">
      <c r="AB1074" s="70"/>
      <c r="AO1074" s="70"/>
      <c r="AP1074" s="93"/>
      <c r="AQ1074" s="94"/>
      <c r="AR1074" s="95"/>
      <c r="AS1074" s="92"/>
      <c r="AT1074" s="96"/>
      <c r="AU1074" s="93"/>
      <c r="AV1074" s="97"/>
      <c r="AW1074" s="98"/>
      <c r="AX1074" s="99"/>
      <c r="AY1074" s="92"/>
      <c r="AZ1074" s="96"/>
      <c r="BA1074" s="100"/>
    </row>
    <row r="1075" spans="28:53" ht="12.75" x14ac:dyDescent="0.2">
      <c r="AB1075" s="70"/>
      <c r="AO1075" s="70"/>
      <c r="AP1075" s="93"/>
      <c r="AQ1075" s="94"/>
      <c r="AR1075" s="95"/>
      <c r="AS1075" s="92"/>
      <c r="AT1075" s="96"/>
      <c r="AU1075" s="93"/>
      <c r="AV1075" s="97"/>
      <c r="AW1075" s="98"/>
      <c r="AX1075" s="99"/>
      <c r="AY1075" s="92"/>
      <c r="AZ1075" s="96"/>
      <c r="BA1075" s="100"/>
    </row>
    <row r="1076" spans="28:53" ht="12.75" x14ac:dyDescent="0.2">
      <c r="AB1076" s="70"/>
      <c r="AO1076" s="70"/>
      <c r="AP1076" s="93"/>
      <c r="AQ1076" s="94"/>
      <c r="AR1076" s="95"/>
      <c r="AS1076" s="92"/>
      <c r="AT1076" s="96"/>
      <c r="AU1076" s="93"/>
      <c r="AV1076" s="97"/>
      <c r="AW1076" s="98"/>
      <c r="AX1076" s="99"/>
      <c r="AY1076" s="92"/>
      <c r="AZ1076" s="96"/>
      <c r="BA1076" s="100"/>
    </row>
    <row r="1077" spans="28:53" ht="12.75" x14ac:dyDescent="0.2">
      <c r="AB1077" s="70"/>
      <c r="AO1077" s="70"/>
      <c r="AP1077" s="93"/>
      <c r="AQ1077" s="94"/>
      <c r="AR1077" s="95"/>
      <c r="AS1077" s="92"/>
      <c r="AT1077" s="96"/>
      <c r="AU1077" s="93"/>
      <c r="AV1077" s="97"/>
      <c r="AW1077" s="98"/>
      <c r="AX1077" s="99"/>
      <c r="AY1077" s="92"/>
      <c r="AZ1077" s="96"/>
      <c r="BA1077" s="100"/>
    </row>
    <row r="1078" spans="28:53" ht="12.75" x14ac:dyDescent="0.2">
      <c r="AB1078" s="70"/>
      <c r="AO1078" s="70"/>
      <c r="AP1078" s="93"/>
      <c r="AQ1078" s="94"/>
      <c r="AR1078" s="95"/>
      <c r="AS1078" s="92"/>
      <c r="AT1078" s="96"/>
      <c r="AU1078" s="93"/>
      <c r="AV1078" s="97"/>
      <c r="AW1078" s="98"/>
      <c r="AX1078" s="99"/>
      <c r="AY1078" s="92"/>
      <c r="AZ1078" s="96"/>
      <c r="BA1078" s="100"/>
    </row>
    <row r="1079" spans="28:53" ht="12.75" x14ac:dyDescent="0.2">
      <c r="AB1079" s="70"/>
      <c r="AO1079" s="70"/>
      <c r="AP1079" s="93"/>
      <c r="AQ1079" s="94"/>
      <c r="AR1079" s="95"/>
      <c r="AS1079" s="92"/>
      <c r="AT1079" s="96"/>
      <c r="AU1079" s="93"/>
      <c r="AV1079" s="97"/>
      <c r="AW1079" s="98"/>
      <c r="AX1079" s="99"/>
      <c r="AY1079" s="92"/>
      <c r="AZ1079" s="96"/>
      <c r="BA1079" s="100"/>
    </row>
    <row r="1080" spans="28:53" ht="12.75" x14ac:dyDescent="0.2">
      <c r="AB1080" s="70"/>
      <c r="AO1080" s="70"/>
      <c r="AP1080" s="93"/>
      <c r="AQ1080" s="94"/>
      <c r="AR1080" s="95"/>
      <c r="AS1080" s="92"/>
      <c r="AT1080" s="96"/>
      <c r="AU1080" s="93"/>
      <c r="AV1080" s="97"/>
      <c r="AW1080" s="98"/>
      <c r="AX1080" s="99"/>
      <c r="AY1080" s="92"/>
      <c r="AZ1080" s="96"/>
      <c r="BA1080" s="100"/>
    </row>
    <row r="1081" spans="28:53" ht="12.75" x14ac:dyDescent="0.2">
      <c r="AB1081" s="70"/>
      <c r="AO1081" s="70"/>
      <c r="AP1081" s="93"/>
      <c r="AQ1081" s="94"/>
      <c r="AR1081" s="95"/>
      <c r="AS1081" s="92"/>
      <c r="AT1081" s="96"/>
      <c r="AU1081" s="93"/>
      <c r="AV1081" s="97"/>
      <c r="AW1081" s="98"/>
      <c r="AX1081" s="99"/>
      <c r="AY1081" s="92"/>
      <c r="AZ1081" s="96"/>
      <c r="BA1081" s="100"/>
    </row>
    <row r="1082" spans="28:53" ht="12.75" x14ac:dyDescent="0.2">
      <c r="AB1082" s="70"/>
      <c r="AO1082" s="70"/>
      <c r="AP1082" s="93"/>
      <c r="AQ1082" s="94"/>
      <c r="AR1082" s="95"/>
      <c r="AS1082" s="92"/>
      <c r="AT1082" s="96"/>
      <c r="AU1082" s="93"/>
      <c r="AV1082" s="97"/>
      <c r="AW1082" s="98"/>
      <c r="AX1082" s="99"/>
      <c r="AY1082" s="92"/>
      <c r="AZ1082" s="96"/>
      <c r="BA1082" s="100"/>
    </row>
    <row r="1083" spans="28:53" ht="12.75" x14ac:dyDescent="0.2">
      <c r="AB1083" s="70"/>
      <c r="AO1083" s="70"/>
      <c r="AP1083" s="93"/>
      <c r="AQ1083" s="94"/>
      <c r="AR1083" s="95"/>
      <c r="AS1083" s="92"/>
      <c r="AT1083" s="96"/>
      <c r="AU1083" s="93"/>
      <c r="AV1083" s="97"/>
      <c r="AW1083" s="98"/>
      <c r="AX1083" s="99"/>
      <c r="AY1083" s="92"/>
      <c r="AZ1083" s="96"/>
      <c r="BA1083" s="100"/>
    </row>
    <row r="1084" spans="28:53" ht="12.75" x14ac:dyDescent="0.2">
      <c r="AB1084" s="70"/>
      <c r="AO1084" s="70"/>
      <c r="AP1084" s="93"/>
      <c r="AQ1084" s="94"/>
      <c r="AR1084" s="95"/>
      <c r="AS1084" s="92"/>
      <c r="AT1084" s="96"/>
      <c r="AU1084" s="93"/>
      <c r="AV1084" s="97"/>
      <c r="AW1084" s="98"/>
      <c r="AX1084" s="99"/>
      <c r="AY1084" s="92"/>
      <c r="AZ1084" s="96"/>
      <c r="BA1084" s="100"/>
    </row>
    <row r="1085" spans="28:53" ht="12.75" x14ac:dyDescent="0.2">
      <c r="AB1085" s="70"/>
      <c r="AO1085" s="70"/>
      <c r="AP1085" s="93"/>
      <c r="AQ1085" s="94"/>
      <c r="AR1085" s="95"/>
      <c r="AS1085" s="92"/>
      <c r="AT1085" s="96"/>
      <c r="AU1085" s="93"/>
      <c r="AV1085" s="97"/>
      <c r="AW1085" s="98"/>
      <c r="AX1085" s="99"/>
      <c r="AY1085" s="92"/>
      <c r="AZ1085" s="96"/>
      <c r="BA1085" s="100"/>
    </row>
    <row r="1086" spans="28:53" ht="12.75" x14ac:dyDescent="0.2">
      <c r="AB1086" s="70"/>
      <c r="AO1086" s="70"/>
      <c r="AP1086" s="93"/>
      <c r="AQ1086" s="94"/>
      <c r="AR1086" s="95"/>
      <c r="AS1086" s="92"/>
      <c r="AT1086" s="96"/>
      <c r="AU1086" s="93"/>
      <c r="AV1086" s="97"/>
      <c r="AW1086" s="98"/>
      <c r="AX1086" s="99"/>
      <c r="AY1086" s="92"/>
      <c r="AZ1086" s="96"/>
      <c r="BA1086" s="100"/>
    </row>
    <row r="1087" spans="28:53" ht="12.75" x14ac:dyDescent="0.2">
      <c r="AB1087" s="70"/>
      <c r="AO1087" s="70"/>
      <c r="AP1087" s="93"/>
      <c r="AQ1087" s="94"/>
      <c r="AR1087" s="95"/>
      <c r="AS1087" s="92"/>
      <c r="AT1087" s="96"/>
      <c r="AU1087" s="93"/>
      <c r="AV1087" s="97"/>
      <c r="AW1087" s="98"/>
      <c r="AX1087" s="99"/>
      <c r="AY1087" s="92"/>
      <c r="AZ1087" s="96"/>
      <c r="BA1087" s="100"/>
    </row>
    <row r="1088" spans="28:53" ht="12.75" x14ac:dyDescent="0.2">
      <c r="AB1088" s="70"/>
      <c r="AO1088" s="70"/>
      <c r="AP1088" s="93"/>
      <c r="AQ1088" s="94"/>
      <c r="AR1088" s="95"/>
      <c r="AS1088" s="92"/>
      <c r="AT1088" s="96"/>
      <c r="AU1088" s="93"/>
      <c r="AV1088" s="97"/>
      <c r="AW1088" s="98"/>
      <c r="AX1088" s="99"/>
      <c r="AY1088" s="92"/>
      <c r="AZ1088" s="96"/>
      <c r="BA1088" s="100"/>
    </row>
    <row r="1089" spans="28:53" ht="12.75" x14ac:dyDescent="0.2">
      <c r="AB1089" s="70"/>
      <c r="AO1089" s="70"/>
      <c r="AP1089" s="93"/>
      <c r="AQ1089" s="94"/>
      <c r="AR1089" s="95"/>
      <c r="AS1089" s="92"/>
      <c r="AT1089" s="96"/>
      <c r="AU1089" s="93"/>
      <c r="AV1089" s="97"/>
      <c r="AW1089" s="98"/>
      <c r="AX1089" s="99"/>
      <c r="AY1089" s="92"/>
      <c r="AZ1089" s="96"/>
      <c r="BA1089" s="100"/>
    </row>
    <row r="1090" spans="28:53" ht="12.75" x14ac:dyDescent="0.2">
      <c r="AB1090" s="70"/>
      <c r="AO1090" s="70"/>
      <c r="AP1090" s="93"/>
      <c r="AQ1090" s="94"/>
      <c r="AR1090" s="95"/>
      <c r="AS1090" s="92"/>
      <c r="AT1090" s="96"/>
      <c r="AU1090" s="93"/>
      <c r="AV1090" s="97"/>
      <c r="AW1090" s="98"/>
      <c r="AX1090" s="99"/>
      <c r="AY1090" s="92"/>
      <c r="AZ1090" s="96"/>
      <c r="BA1090" s="100"/>
    </row>
    <row r="1091" spans="28:53" ht="12.75" x14ac:dyDescent="0.2">
      <c r="AB1091" s="70"/>
      <c r="AO1091" s="70"/>
      <c r="AP1091" s="93"/>
      <c r="AQ1091" s="94"/>
      <c r="AR1091" s="95"/>
      <c r="AS1091" s="92"/>
      <c r="AT1091" s="96"/>
      <c r="AU1091" s="93"/>
      <c r="AV1091" s="97"/>
      <c r="AW1091" s="98"/>
      <c r="AX1091" s="99"/>
      <c r="AY1091" s="92"/>
      <c r="AZ1091" s="96"/>
      <c r="BA1091" s="100"/>
    </row>
    <row r="1092" spans="28:53" ht="12.75" x14ac:dyDescent="0.2">
      <c r="AB1092" s="70"/>
      <c r="AO1092" s="70"/>
      <c r="AP1092" s="93"/>
      <c r="AQ1092" s="94"/>
      <c r="AR1092" s="95"/>
      <c r="AS1092" s="92"/>
      <c r="AT1092" s="96"/>
      <c r="AU1092" s="93"/>
      <c r="AV1092" s="97"/>
      <c r="AW1092" s="98"/>
      <c r="AX1092" s="99"/>
      <c r="AY1092" s="92"/>
      <c r="AZ1092" s="96"/>
      <c r="BA1092" s="100"/>
    </row>
    <row r="1093" spans="28:53" ht="12.75" x14ac:dyDescent="0.2">
      <c r="AB1093" s="70"/>
      <c r="AO1093" s="70"/>
      <c r="AP1093" s="93"/>
      <c r="AQ1093" s="94"/>
      <c r="AR1093" s="95"/>
      <c r="AS1093" s="92"/>
      <c r="AT1093" s="96"/>
      <c r="AU1093" s="93"/>
      <c r="AV1093" s="97"/>
      <c r="AW1093" s="98"/>
      <c r="AX1093" s="99"/>
      <c r="AY1093" s="92"/>
      <c r="AZ1093" s="96"/>
      <c r="BA1093" s="100"/>
    </row>
    <row r="1094" spans="28:53" ht="12.75" x14ac:dyDescent="0.2">
      <c r="AB1094" s="70"/>
      <c r="AO1094" s="70"/>
      <c r="AP1094" s="93"/>
      <c r="AQ1094" s="94"/>
      <c r="AR1094" s="95"/>
      <c r="AS1094" s="92"/>
      <c r="AT1094" s="96"/>
      <c r="AU1094" s="93"/>
      <c r="AV1094" s="97"/>
      <c r="AW1094" s="98"/>
      <c r="AX1094" s="99"/>
      <c r="AY1094" s="92"/>
      <c r="AZ1094" s="96"/>
      <c r="BA1094" s="100"/>
    </row>
    <row r="1095" spans="28:53" ht="12.75" x14ac:dyDescent="0.2">
      <c r="AB1095" s="70"/>
      <c r="AO1095" s="70"/>
      <c r="AP1095" s="93"/>
      <c r="AQ1095" s="94"/>
      <c r="AR1095" s="95"/>
      <c r="AS1095" s="92"/>
      <c r="AT1095" s="96"/>
      <c r="AU1095" s="93"/>
      <c r="AV1095" s="97"/>
      <c r="AW1095" s="98"/>
      <c r="AX1095" s="99"/>
      <c r="AY1095" s="92"/>
      <c r="AZ1095" s="96"/>
      <c r="BA1095" s="100"/>
    </row>
    <row r="1096" spans="28:53" ht="12.75" x14ac:dyDescent="0.2">
      <c r="AB1096" s="70"/>
      <c r="AO1096" s="70"/>
      <c r="AP1096" s="93"/>
      <c r="AQ1096" s="94"/>
      <c r="AR1096" s="95"/>
      <c r="AS1096" s="92"/>
      <c r="AT1096" s="96"/>
      <c r="AU1096" s="93"/>
      <c r="AV1096" s="97"/>
      <c r="AW1096" s="98"/>
      <c r="AX1096" s="99"/>
      <c r="AY1096" s="92"/>
      <c r="AZ1096" s="96"/>
      <c r="BA1096" s="100"/>
    </row>
    <row r="1097" spans="28:53" ht="12.75" x14ac:dyDescent="0.2">
      <c r="AB1097" s="70"/>
      <c r="AO1097" s="70"/>
      <c r="AP1097" s="93"/>
      <c r="AQ1097" s="94"/>
      <c r="AR1097" s="95"/>
      <c r="AS1097" s="92"/>
      <c r="AT1097" s="96"/>
      <c r="AU1097" s="93"/>
      <c r="AV1097" s="97"/>
      <c r="AW1097" s="98"/>
      <c r="AX1097" s="99"/>
      <c r="AY1097" s="92"/>
      <c r="AZ1097" s="96"/>
      <c r="BA1097" s="100"/>
    </row>
    <row r="1098" spans="28:53" ht="12.75" x14ac:dyDescent="0.2">
      <c r="AB1098" s="70"/>
      <c r="AO1098" s="70"/>
      <c r="AP1098" s="93"/>
      <c r="AQ1098" s="94"/>
      <c r="AR1098" s="95"/>
      <c r="AS1098" s="92"/>
      <c r="AT1098" s="96"/>
      <c r="AU1098" s="93"/>
      <c r="AV1098" s="97"/>
      <c r="AW1098" s="98"/>
      <c r="AX1098" s="99"/>
      <c r="AY1098" s="92"/>
      <c r="AZ1098" s="96"/>
      <c r="BA1098" s="100"/>
    </row>
    <row r="1099" spans="28:53" ht="12.75" x14ac:dyDescent="0.2">
      <c r="AB1099" s="70"/>
      <c r="AO1099" s="70"/>
      <c r="AP1099" s="93"/>
      <c r="AQ1099" s="94"/>
      <c r="AR1099" s="95"/>
      <c r="AS1099" s="92"/>
      <c r="AT1099" s="96"/>
      <c r="AU1099" s="93"/>
      <c r="AV1099" s="97"/>
      <c r="AW1099" s="98"/>
      <c r="AX1099" s="99"/>
      <c r="AY1099" s="92"/>
      <c r="AZ1099" s="96"/>
      <c r="BA1099" s="100"/>
    </row>
    <row r="1100" spans="28:53" ht="12.75" x14ac:dyDescent="0.2">
      <c r="AB1100" s="70"/>
      <c r="AO1100" s="70"/>
      <c r="AP1100" s="93"/>
      <c r="AQ1100" s="94"/>
      <c r="AR1100" s="95"/>
      <c r="AS1100" s="92"/>
      <c r="AT1100" s="96"/>
      <c r="AU1100" s="93"/>
      <c r="AV1100" s="97"/>
      <c r="AW1100" s="98"/>
      <c r="AX1100" s="99"/>
      <c r="AY1100" s="92"/>
      <c r="AZ1100" s="96"/>
      <c r="BA1100" s="100"/>
    </row>
    <row r="1101" spans="28:53" ht="12.75" x14ac:dyDescent="0.2">
      <c r="AB1101" s="70"/>
      <c r="AO1101" s="70"/>
      <c r="AP1101" s="93"/>
      <c r="AQ1101" s="94"/>
      <c r="AR1101" s="95"/>
      <c r="AS1101" s="92"/>
      <c r="AT1101" s="96"/>
      <c r="AU1101" s="93"/>
      <c r="AV1101" s="97"/>
      <c r="AW1101" s="98"/>
      <c r="AX1101" s="99"/>
      <c r="AY1101" s="92"/>
      <c r="AZ1101" s="96"/>
      <c r="BA1101" s="100"/>
    </row>
    <row r="1102" spans="28:53" ht="12.75" x14ac:dyDescent="0.2">
      <c r="AB1102" s="70"/>
      <c r="AO1102" s="70"/>
      <c r="AP1102" s="93"/>
      <c r="AQ1102" s="94"/>
      <c r="AR1102" s="95"/>
      <c r="AS1102" s="92"/>
      <c r="AT1102" s="96"/>
      <c r="AU1102" s="93"/>
      <c r="AV1102" s="97"/>
      <c r="AW1102" s="98"/>
      <c r="AX1102" s="99"/>
      <c r="AY1102" s="92"/>
      <c r="AZ1102" s="96"/>
      <c r="BA1102" s="100"/>
    </row>
    <row r="1103" spans="28:53" ht="12.75" x14ac:dyDescent="0.2">
      <c r="AB1103" s="70"/>
      <c r="AO1103" s="70"/>
      <c r="AP1103" s="93"/>
      <c r="AQ1103" s="94"/>
      <c r="AR1103" s="95"/>
      <c r="AS1103" s="92"/>
      <c r="AT1103" s="96"/>
      <c r="AU1103" s="93"/>
      <c r="AV1103" s="97"/>
      <c r="AW1103" s="98"/>
      <c r="AX1103" s="99"/>
      <c r="AY1103" s="92"/>
      <c r="AZ1103" s="96"/>
      <c r="BA1103" s="100"/>
    </row>
    <row r="1104" spans="28:53" ht="12.75" x14ac:dyDescent="0.2">
      <c r="AB1104" s="70"/>
      <c r="AO1104" s="70"/>
      <c r="AP1104" s="93"/>
      <c r="AQ1104" s="94"/>
      <c r="AR1104" s="95"/>
      <c r="AS1104" s="92"/>
      <c r="AT1104" s="96"/>
      <c r="AU1104" s="93"/>
      <c r="AV1104" s="97"/>
      <c r="AW1104" s="98"/>
      <c r="AX1104" s="99"/>
      <c r="AY1104" s="92"/>
      <c r="AZ1104" s="96"/>
      <c r="BA1104" s="100"/>
    </row>
    <row r="1105" spans="28:53" ht="12.75" x14ac:dyDescent="0.2">
      <c r="AB1105" s="70"/>
      <c r="AO1105" s="70"/>
      <c r="AP1105" s="93"/>
      <c r="AQ1105" s="94"/>
      <c r="AR1105" s="95"/>
      <c r="AS1105" s="92"/>
      <c r="AT1105" s="96"/>
      <c r="AU1105" s="93"/>
      <c r="AV1105" s="97"/>
      <c r="AW1105" s="98"/>
      <c r="AX1105" s="99"/>
      <c r="AY1105" s="92"/>
      <c r="AZ1105" s="96"/>
      <c r="BA1105" s="100"/>
    </row>
    <row r="1106" spans="28:53" ht="12.75" x14ac:dyDescent="0.2">
      <c r="AB1106" s="70"/>
      <c r="AO1106" s="70"/>
      <c r="AP1106" s="93"/>
      <c r="AQ1106" s="94"/>
      <c r="AR1106" s="95"/>
      <c r="AS1106" s="92"/>
      <c r="AT1106" s="96"/>
      <c r="AU1106" s="93"/>
      <c r="AV1106" s="97"/>
      <c r="AW1106" s="98"/>
      <c r="AX1106" s="99"/>
      <c r="AY1106" s="92"/>
      <c r="AZ1106" s="96"/>
      <c r="BA1106" s="100"/>
    </row>
    <row r="1107" spans="28:53" ht="12.75" x14ac:dyDescent="0.2">
      <c r="AB1107" s="70"/>
      <c r="AO1107" s="70"/>
      <c r="AP1107" s="93"/>
      <c r="AQ1107" s="94"/>
      <c r="AR1107" s="95"/>
      <c r="AS1107" s="92"/>
      <c r="AT1107" s="96"/>
      <c r="AU1107" s="93"/>
      <c r="AV1107" s="97"/>
      <c r="AW1107" s="98"/>
      <c r="AX1107" s="99"/>
      <c r="AY1107" s="92"/>
      <c r="AZ1107" s="96"/>
      <c r="BA1107" s="100"/>
    </row>
    <row r="1108" spans="28:53" ht="12.75" x14ac:dyDescent="0.2">
      <c r="AB1108" s="70"/>
      <c r="AO1108" s="70"/>
      <c r="AP1108" s="93"/>
      <c r="AQ1108" s="94"/>
      <c r="AR1108" s="95"/>
      <c r="AS1108" s="92"/>
      <c r="AT1108" s="96"/>
      <c r="AU1108" s="93"/>
      <c r="AV1108" s="97"/>
      <c r="AW1108" s="98"/>
      <c r="AX1108" s="99"/>
      <c r="AY1108" s="92"/>
      <c r="AZ1108" s="96"/>
      <c r="BA1108" s="100"/>
    </row>
    <row r="1109" spans="28:53" ht="12.75" x14ac:dyDescent="0.2">
      <c r="AB1109" s="70"/>
      <c r="AO1109" s="70"/>
      <c r="AP1109" s="93"/>
      <c r="AQ1109" s="94"/>
      <c r="AR1109" s="95"/>
      <c r="AS1109" s="92"/>
      <c r="AT1109" s="96"/>
      <c r="AU1109" s="93"/>
      <c r="AV1109" s="97"/>
      <c r="AW1109" s="98"/>
      <c r="AX1109" s="99"/>
      <c r="AY1109" s="92"/>
      <c r="AZ1109" s="96"/>
      <c r="BA1109" s="100"/>
    </row>
    <row r="1110" spans="28:53" ht="12.75" x14ac:dyDescent="0.2">
      <c r="AB1110" s="70"/>
      <c r="AO1110" s="70"/>
      <c r="AP1110" s="93"/>
      <c r="AQ1110" s="94"/>
      <c r="AR1110" s="95"/>
      <c r="AS1110" s="92"/>
      <c r="AT1110" s="96"/>
      <c r="AU1110" s="93"/>
      <c r="AV1110" s="97"/>
      <c r="AW1110" s="98"/>
      <c r="AX1110" s="99"/>
      <c r="AY1110" s="92"/>
      <c r="AZ1110" s="96"/>
      <c r="BA1110" s="100"/>
    </row>
    <row r="1111" spans="28:53" ht="12.75" x14ac:dyDescent="0.2">
      <c r="AB1111" s="70"/>
      <c r="AO1111" s="70"/>
      <c r="AP1111" s="93"/>
      <c r="AQ1111" s="94"/>
      <c r="AR1111" s="95"/>
      <c r="AS1111" s="92"/>
      <c r="AT1111" s="96"/>
      <c r="AU1111" s="93"/>
      <c r="AV1111" s="97"/>
      <c r="AW1111" s="98"/>
      <c r="AX1111" s="99"/>
      <c r="AY1111" s="92"/>
      <c r="AZ1111" s="96"/>
      <c r="BA1111" s="100"/>
    </row>
    <row r="1112" spans="28:53" ht="12.75" x14ac:dyDescent="0.2">
      <c r="AB1112" s="70"/>
      <c r="AO1112" s="70"/>
      <c r="AP1112" s="93"/>
      <c r="AQ1112" s="94"/>
      <c r="AR1112" s="95"/>
      <c r="AS1112" s="92"/>
      <c r="AT1112" s="96"/>
      <c r="AU1112" s="93"/>
      <c r="AV1112" s="97"/>
      <c r="AW1112" s="98"/>
      <c r="AX1112" s="99"/>
      <c r="AY1112" s="92"/>
      <c r="AZ1112" s="96"/>
      <c r="BA1112" s="100"/>
    </row>
    <row r="1113" spans="28:53" ht="12.75" x14ac:dyDescent="0.2">
      <c r="AB1113" s="70"/>
      <c r="AO1113" s="70"/>
      <c r="AP1113" s="93"/>
      <c r="AQ1113" s="94"/>
      <c r="AR1113" s="95"/>
      <c r="AS1113" s="92"/>
      <c r="AT1113" s="96"/>
      <c r="AU1113" s="93"/>
      <c r="AV1113" s="97"/>
      <c r="AW1113" s="98"/>
      <c r="AX1113" s="99"/>
      <c r="AY1113" s="92"/>
      <c r="AZ1113" s="96"/>
      <c r="BA1113" s="100"/>
    </row>
    <row r="1114" spans="28:53" ht="12.75" x14ac:dyDescent="0.2">
      <c r="AB1114" s="70"/>
      <c r="AO1114" s="70"/>
      <c r="AP1114" s="93"/>
      <c r="AQ1114" s="94"/>
      <c r="AR1114" s="95"/>
      <c r="AS1114" s="92"/>
      <c r="AT1114" s="96"/>
      <c r="AU1114" s="93"/>
      <c r="AV1114" s="97"/>
      <c r="AW1114" s="98"/>
      <c r="AX1114" s="99"/>
      <c r="AY1114" s="92"/>
      <c r="AZ1114" s="96"/>
      <c r="BA1114" s="100"/>
    </row>
    <row r="1115" spans="28:53" ht="12.75" x14ac:dyDescent="0.2">
      <c r="AB1115" s="70"/>
      <c r="AO1115" s="70"/>
      <c r="AP1115" s="93"/>
      <c r="AQ1115" s="94"/>
      <c r="AR1115" s="95"/>
      <c r="AS1115" s="92"/>
      <c r="AT1115" s="96"/>
      <c r="AU1115" s="93"/>
      <c r="AV1115" s="97"/>
      <c r="AW1115" s="98"/>
      <c r="AX1115" s="99"/>
      <c r="AY1115" s="92"/>
      <c r="AZ1115" s="96"/>
      <c r="BA1115" s="100"/>
    </row>
    <row r="1116" spans="28:53" ht="12.75" x14ac:dyDescent="0.2">
      <c r="AB1116" s="70"/>
      <c r="AO1116" s="70"/>
      <c r="AP1116" s="93"/>
      <c r="AQ1116" s="94"/>
      <c r="AR1116" s="95"/>
      <c r="AS1116" s="92"/>
      <c r="AT1116" s="96"/>
      <c r="AU1116" s="93"/>
      <c r="AV1116" s="97"/>
      <c r="AW1116" s="98"/>
      <c r="AX1116" s="99"/>
      <c r="AY1116" s="92"/>
      <c r="AZ1116" s="96"/>
      <c r="BA1116" s="100"/>
    </row>
    <row r="1117" spans="28:53" ht="12.75" x14ac:dyDescent="0.2">
      <c r="AB1117" s="70"/>
      <c r="AO1117" s="70"/>
      <c r="AP1117" s="93"/>
      <c r="AQ1117" s="94"/>
      <c r="AR1117" s="95"/>
      <c r="AS1117" s="92"/>
      <c r="AT1117" s="96"/>
      <c r="AU1117" s="93"/>
      <c r="AV1117" s="97"/>
      <c r="AW1117" s="98"/>
      <c r="AX1117" s="99"/>
      <c r="AY1117" s="92"/>
      <c r="AZ1117" s="96"/>
      <c r="BA1117" s="100"/>
    </row>
    <row r="1118" spans="28:53" ht="12.75" x14ac:dyDescent="0.2">
      <c r="AB1118" s="70"/>
      <c r="AO1118" s="70"/>
      <c r="AP1118" s="93"/>
      <c r="AQ1118" s="94"/>
      <c r="AR1118" s="95"/>
      <c r="AS1118" s="92"/>
      <c r="AT1118" s="96"/>
      <c r="AU1118" s="93"/>
      <c r="AV1118" s="97"/>
      <c r="AW1118" s="98"/>
      <c r="AX1118" s="99"/>
      <c r="AY1118" s="92"/>
      <c r="AZ1118" s="96"/>
      <c r="BA1118" s="100"/>
    </row>
    <row r="1119" spans="28:53" ht="12.75" x14ac:dyDescent="0.2">
      <c r="AB1119" s="70"/>
      <c r="AO1119" s="70"/>
      <c r="AP1119" s="93"/>
      <c r="AQ1119" s="94"/>
      <c r="AR1119" s="95"/>
      <c r="AS1119" s="92"/>
      <c r="AT1119" s="96"/>
      <c r="AU1119" s="93"/>
      <c r="AV1119" s="97"/>
      <c r="AW1119" s="98"/>
      <c r="AX1119" s="99"/>
      <c r="AY1119" s="92"/>
      <c r="AZ1119" s="96"/>
      <c r="BA1119" s="100"/>
    </row>
    <row r="1120" spans="28:53" ht="12.75" x14ac:dyDescent="0.2">
      <c r="AB1120" s="70"/>
      <c r="AO1120" s="70"/>
      <c r="AP1120" s="93"/>
      <c r="AQ1120" s="94"/>
      <c r="AR1120" s="95"/>
      <c r="AS1120" s="92"/>
      <c r="AT1120" s="96"/>
      <c r="AU1120" s="93"/>
      <c r="AV1120" s="97"/>
      <c r="AW1120" s="98"/>
      <c r="AX1120" s="99"/>
      <c r="AY1120" s="92"/>
      <c r="AZ1120" s="96"/>
      <c r="BA1120" s="100"/>
    </row>
    <row r="1121" spans="28:53" ht="12.75" x14ac:dyDescent="0.2">
      <c r="AB1121" s="70"/>
      <c r="AO1121" s="70"/>
      <c r="AP1121" s="93"/>
      <c r="AQ1121" s="94"/>
      <c r="AR1121" s="95"/>
      <c r="AS1121" s="92"/>
      <c r="AT1121" s="96"/>
      <c r="AU1121" s="93"/>
      <c r="AV1121" s="97"/>
      <c r="AW1121" s="98"/>
      <c r="AX1121" s="99"/>
      <c r="AY1121" s="92"/>
      <c r="AZ1121" s="96"/>
      <c r="BA1121" s="100"/>
    </row>
    <row r="1122" spans="28:53" ht="12.75" x14ac:dyDescent="0.2">
      <c r="AB1122" s="70"/>
      <c r="AO1122" s="70"/>
      <c r="AP1122" s="93"/>
      <c r="AQ1122" s="94"/>
      <c r="AR1122" s="95"/>
      <c r="AS1122" s="92"/>
      <c r="AT1122" s="96"/>
      <c r="AU1122" s="93"/>
      <c r="AV1122" s="97"/>
      <c r="AW1122" s="98"/>
      <c r="AX1122" s="99"/>
      <c r="AY1122" s="92"/>
      <c r="AZ1122" s="96"/>
      <c r="BA1122" s="100"/>
    </row>
    <row r="1123" spans="28:53" ht="12.75" x14ac:dyDescent="0.2">
      <c r="AB1123" s="70"/>
      <c r="AO1123" s="70"/>
      <c r="AP1123" s="93"/>
      <c r="AQ1123" s="94"/>
      <c r="AR1123" s="95"/>
      <c r="AS1123" s="92"/>
      <c r="AT1123" s="96"/>
      <c r="AU1123" s="93"/>
      <c r="AV1123" s="97"/>
      <c r="AW1123" s="98"/>
      <c r="AX1123" s="99"/>
      <c r="AY1123" s="92"/>
      <c r="AZ1123" s="96"/>
      <c r="BA1123" s="100"/>
    </row>
    <row r="1124" spans="28:53" ht="12.75" x14ac:dyDescent="0.2">
      <c r="AB1124" s="70"/>
      <c r="AO1124" s="70"/>
      <c r="AP1124" s="93"/>
      <c r="AQ1124" s="94"/>
      <c r="AR1124" s="95"/>
      <c r="AS1124" s="92"/>
      <c r="AT1124" s="96"/>
      <c r="AU1124" s="93"/>
      <c r="AV1124" s="97"/>
      <c r="AW1124" s="98"/>
      <c r="AX1124" s="99"/>
      <c r="AY1124" s="92"/>
      <c r="AZ1124" s="96"/>
      <c r="BA1124" s="100"/>
    </row>
    <row r="1125" spans="28:53" ht="12.75" x14ac:dyDescent="0.2">
      <c r="AB1125" s="70"/>
      <c r="AO1125" s="70"/>
      <c r="AP1125" s="93"/>
      <c r="AQ1125" s="94"/>
      <c r="AR1125" s="95"/>
      <c r="AS1125" s="92"/>
      <c r="AT1125" s="96"/>
      <c r="AU1125" s="93"/>
      <c r="AV1125" s="97"/>
      <c r="AW1125" s="98"/>
      <c r="AX1125" s="99"/>
      <c r="AY1125" s="92"/>
      <c r="AZ1125" s="96"/>
      <c r="BA1125" s="100"/>
    </row>
    <row r="1126" spans="28:53" ht="12.75" x14ac:dyDescent="0.2">
      <c r="AB1126" s="70"/>
      <c r="AO1126" s="70"/>
      <c r="AP1126" s="93"/>
      <c r="AQ1126" s="94"/>
      <c r="AR1126" s="95"/>
      <c r="AS1126" s="92"/>
      <c r="AT1126" s="96"/>
      <c r="AU1126" s="93"/>
      <c r="AV1126" s="97"/>
      <c r="AW1126" s="98"/>
      <c r="AX1126" s="99"/>
      <c r="AY1126" s="92"/>
      <c r="AZ1126" s="96"/>
      <c r="BA1126" s="100"/>
    </row>
    <row r="1127" spans="28:53" ht="12.75" x14ac:dyDescent="0.2">
      <c r="AB1127" s="70"/>
      <c r="AO1127" s="70"/>
      <c r="AP1127" s="93"/>
      <c r="AQ1127" s="94"/>
      <c r="AR1127" s="95"/>
      <c r="AS1127" s="92"/>
      <c r="AT1127" s="96"/>
      <c r="AU1127" s="93"/>
      <c r="AV1127" s="97"/>
      <c r="AW1127" s="98"/>
      <c r="AX1127" s="99"/>
      <c r="AY1127" s="92"/>
      <c r="AZ1127" s="96"/>
      <c r="BA1127" s="100"/>
    </row>
    <row r="1128" spans="28:53" ht="12.75" x14ac:dyDescent="0.2">
      <c r="AB1128" s="70"/>
      <c r="AO1128" s="70"/>
      <c r="AP1128" s="93"/>
      <c r="AQ1128" s="94"/>
      <c r="AR1128" s="95"/>
      <c r="AS1128" s="92"/>
      <c r="AT1128" s="96"/>
      <c r="AU1128" s="93"/>
      <c r="AV1128" s="97"/>
      <c r="AW1128" s="98"/>
      <c r="AX1128" s="99"/>
      <c r="AY1128" s="92"/>
      <c r="AZ1128" s="96"/>
      <c r="BA1128" s="100"/>
    </row>
    <row r="1129" spans="28:53" ht="12.75" x14ac:dyDescent="0.2">
      <c r="AB1129" s="70"/>
      <c r="AO1129" s="70"/>
      <c r="AP1129" s="93"/>
      <c r="AQ1129" s="94"/>
      <c r="AR1129" s="95"/>
      <c r="AS1129" s="92"/>
      <c r="AT1129" s="96"/>
      <c r="AU1129" s="93"/>
      <c r="AV1129" s="97"/>
      <c r="AW1129" s="98"/>
      <c r="AX1129" s="99"/>
      <c r="AY1129" s="92"/>
      <c r="AZ1129" s="96"/>
      <c r="BA1129" s="100"/>
    </row>
    <row r="1130" spans="28:53" ht="12.75" x14ac:dyDescent="0.2">
      <c r="AB1130" s="70"/>
      <c r="AO1130" s="70"/>
      <c r="AP1130" s="93"/>
      <c r="AQ1130" s="94"/>
      <c r="AR1130" s="95"/>
      <c r="AS1130" s="92"/>
      <c r="AT1130" s="96"/>
      <c r="AU1130" s="93"/>
      <c r="AV1130" s="97"/>
      <c r="AW1130" s="98"/>
      <c r="AX1130" s="99"/>
      <c r="AY1130" s="92"/>
      <c r="AZ1130" s="96"/>
      <c r="BA1130" s="100"/>
    </row>
    <row r="1131" spans="28:53" ht="12.75" x14ac:dyDescent="0.2">
      <c r="AB1131" s="70"/>
      <c r="AO1131" s="70"/>
      <c r="AP1131" s="93"/>
      <c r="AQ1131" s="94"/>
      <c r="AR1131" s="95"/>
      <c r="AS1131" s="92"/>
      <c r="AT1131" s="96"/>
      <c r="AU1131" s="93"/>
      <c r="AV1131" s="97"/>
      <c r="AW1131" s="98"/>
      <c r="AX1131" s="99"/>
      <c r="AY1131" s="92"/>
      <c r="AZ1131" s="96"/>
      <c r="BA1131" s="100"/>
    </row>
  </sheetData>
  <sortState ref="A2:AV3029">
    <sortCondition ref="C2:C3029"/>
    <sortCondition ref="D2:D3029"/>
  </sortState>
  <conditionalFormatting sqref="K1 K292:K1048576 AL1 AL128:AL1048576 AK2:AK12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2:K89">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90:K291">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25" defaultRowHeight="15" x14ac:dyDescent="0.25"/>
  <cols>
    <col min="1" max="1" width="28" style="5" customWidth="1"/>
    <col min="2" max="2" width="47" style="5" customWidth="1"/>
    <col min="3" max="3" width="111.125" style="9" customWidth="1"/>
    <col min="4" max="16384" width="9.125" style="4"/>
  </cols>
  <sheetData>
    <row r="2" spans="1:3" x14ac:dyDescent="0.25">
      <c r="A2" s="10" t="s">
        <v>1961</v>
      </c>
      <c r="B2" s="12" t="s">
        <v>60</v>
      </c>
    </row>
    <row r="4" spans="1:3" x14ac:dyDescent="0.25">
      <c r="A4" s="14" t="s">
        <v>2</v>
      </c>
      <c r="B4" s="14" t="s">
        <v>1937</v>
      </c>
      <c r="C4" s="15" t="s">
        <v>156</v>
      </c>
    </row>
    <row r="5" spans="1:3" ht="72" x14ac:dyDescent="0.25">
      <c r="A5" s="6" t="s">
        <v>412</v>
      </c>
      <c r="B5" s="8" t="s">
        <v>1897</v>
      </c>
      <c r="C5" s="6" t="s">
        <v>157</v>
      </c>
    </row>
    <row r="6" spans="1:3" ht="60" x14ac:dyDescent="0.25">
      <c r="A6" s="6" t="s">
        <v>413</v>
      </c>
      <c r="B6" s="8" t="s">
        <v>1898</v>
      </c>
      <c r="C6" s="6" t="s">
        <v>158</v>
      </c>
    </row>
    <row r="7" spans="1:3" ht="60" x14ac:dyDescent="0.25">
      <c r="A7" s="6" t="s">
        <v>414</v>
      </c>
      <c r="B7" s="8" t="s">
        <v>1899</v>
      </c>
      <c r="C7" s="6"/>
    </row>
    <row r="8" spans="1:3" ht="48" x14ac:dyDescent="0.25">
      <c r="A8" s="6" t="s">
        <v>415</v>
      </c>
      <c r="B8" s="8" t="s">
        <v>1991</v>
      </c>
      <c r="C8" s="6"/>
    </row>
    <row r="9" spans="1:3" ht="72" x14ac:dyDescent="0.25">
      <c r="A9" s="6" t="s">
        <v>416</v>
      </c>
      <c r="B9" s="8" t="s">
        <v>1900</v>
      </c>
      <c r="C9" s="6" t="s">
        <v>159</v>
      </c>
    </row>
    <row r="10" spans="1:3" ht="60" x14ac:dyDescent="0.25">
      <c r="A10" s="6" t="s">
        <v>417</v>
      </c>
      <c r="B10" s="8" t="s">
        <v>1901</v>
      </c>
      <c r="C10" s="6" t="s">
        <v>160</v>
      </c>
    </row>
    <row r="11" spans="1:3" ht="60" x14ac:dyDescent="0.25">
      <c r="A11" s="6" t="s">
        <v>418</v>
      </c>
      <c r="B11" s="8" t="s">
        <v>1992</v>
      </c>
      <c r="C11" s="6" t="s">
        <v>161</v>
      </c>
    </row>
    <row r="12" spans="1:3" ht="72" x14ac:dyDescent="0.25">
      <c r="A12" s="6" t="s">
        <v>419</v>
      </c>
      <c r="B12" s="8" t="s">
        <v>1902</v>
      </c>
      <c r="C12" s="6" t="s">
        <v>162</v>
      </c>
    </row>
    <row r="13" spans="1:3" ht="60" x14ac:dyDescent="0.25">
      <c r="A13" s="6" t="s">
        <v>420</v>
      </c>
      <c r="B13" s="8" t="s">
        <v>1993</v>
      </c>
      <c r="C13" s="6" t="s">
        <v>163</v>
      </c>
    </row>
    <row r="14" spans="1:3" ht="60" x14ac:dyDescent="0.25">
      <c r="A14" s="6" t="s">
        <v>421</v>
      </c>
      <c r="B14" s="8" t="s">
        <v>1903</v>
      </c>
      <c r="C14" s="6"/>
    </row>
    <row r="15" spans="1:3" ht="60" x14ac:dyDescent="0.25">
      <c r="A15" s="6" t="s">
        <v>422</v>
      </c>
      <c r="B15" s="8" t="s">
        <v>1904</v>
      </c>
      <c r="C15" s="6" t="s">
        <v>164</v>
      </c>
    </row>
    <row r="16" spans="1:3" ht="60" x14ac:dyDescent="0.25">
      <c r="A16" s="6" t="s">
        <v>423</v>
      </c>
      <c r="B16" s="8" t="s">
        <v>1905</v>
      </c>
      <c r="C16" s="6" t="s">
        <v>165</v>
      </c>
    </row>
    <row r="17" spans="1:3" ht="36" x14ac:dyDescent="0.25">
      <c r="A17" s="6" t="s">
        <v>424</v>
      </c>
      <c r="B17" s="8" t="s">
        <v>1684</v>
      </c>
      <c r="C17" s="6"/>
    </row>
    <row r="18" spans="1:3" ht="60" x14ac:dyDescent="0.25">
      <c r="A18" s="6" t="s">
        <v>425</v>
      </c>
      <c r="B18" s="8" t="s">
        <v>1994</v>
      </c>
      <c r="C18" s="6" t="s">
        <v>166</v>
      </c>
    </row>
    <row r="19" spans="1:3" ht="60" x14ac:dyDescent="0.25">
      <c r="A19" s="6" t="s">
        <v>426</v>
      </c>
      <c r="B19" s="8" t="s">
        <v>1685</v>
      </c>
      <c r="C19" s="6" t="s">
        <v>167</v>
      </c>
    </row>
    <row r="20" spans="1:3" ht="60" x14ac:dyDescent="0.25">
      <c r="A20" s="6" t="s">
        <v>427</v>
      </c>
      <c r="B20" s="8" t="s">
        <v>1686</v>
      </c>
      <c r="C20" s="6" t="s">
        <v>168</v>
      </c>
    </row>
    <row r="21" spans="1:3" ht="48" x14ac:dyDescent="0.25">
      <c r="A21" s="6" t="s">
        <v>428</v>
      </c>
      <c r="B21" s="8" t="s">
        <v>1687</v>
      </c>
      <c r="C21" s="6"/>
    </row>
    <row r="22" spans="1:3" ht="60" x14ac:dyDescent="0.25">
      <c r="A22" s="6" t="s">
        <v>429</v>
      </c>
      <c r="B22" s="8" t="s">
        <v>1688</v>
      </c>
      <c r="C22" s="6" t="s">
        <v>169</v>
      </c>
    </row>
    <row r="23" spans="1:3" ht="60" x14ac:dyDescent="0.25">
      <c r="A23" s="6" t="s">
        <v>430</v>
      </c>
      <c r="B23" s="8" t="s">
        <v>1689</v>
      </c>
      <c r="C23" s="6" t="s">
        <v>170</v>
      </c>
    </row>
    <row r="24" spans="1:3" ht="24" x14ac:dyDescent="0.25">
      <c r="A24" s="6" t="s">
        <v>431</v>
      </c>
      <c r="B24" s="8" t="s">
        <v>1690</v>
      </c>
      <c r="C24" s="6" t="s">
        <v>171</v>
      </c>
    </row>
    <row r="25" spans="1:3" ht="24" x14ac:dyDescent="0.25">
      <c r="A25" s="6" t="s">
        <v>432</v>
      </c>
      <c r="B25" s="8" t="s">
        <v>1691</v>
      </c>
      <c r="C25" s="6" t="s">
        <v>172</v>
      </c>
    </row>
    <row r="26" spans="1:3" ht="36" x14ac:dyDescent="0.25">
      <c r="A26" s="6" t="s">
        <v>433</v>
      </c>
      <c r="B26" s="8" t="s">
        <v>1995</v>
      </c>
      <c r="C26" s="6" t="s">
        <v>173</v>
      </c>
    </row>
    <row r="27" spans="1:3" ht="36" x14ac:dyDescent="0.25">
      <c r="A27" s="6" t="s">
        <v>434</v>
      </c>
      <c r="B27" s="8" t="s">
        <v>1692</v>
      </c>
      <c r="C27" s="6" t="s">
        <v>174</v>
      </c>
    </row>
    <row r="28" spans="1:3" ht="36" x14ac:dyDescent="0.25">
      <c r="A28" s="6" t="s">
        <v>435</v>
      </c>
      <c r="B28" s="8" t="s">
        <v>1693</v>
      </c>
      <c r="C28" s="6" t="s">
        <v>175</v>
      </c>
    </row>
    <row r="29" spans="1:3" ht="24" x14ac:dyDescent="0.25">
      <c r="A29" s="6" t="s">
        <v>436</v>
      </c>
      <c r="B29" s="8" t="s">
        <v>1694</v>
      </c>
      <c r="C29" s="6" t="s">
        <v>176</v>
      </c>
    </row>
    <row r="30" spans="1:3" ht="84" x14ac:dyDescent="0.25">
      <c r="A30" s="6" t="s">
        <v>437</v>
      </c>
      <c r="B30" s="8" t="s">
        <v>1695</v>
      </c>
      <c r="C30" s="6" t="s">
        <v>177</v>
      </c>
    </row>
    <row r="31" spans="1:3" ht="72" x14ac:dyDescent="0.25">
      <c r="A31" s="6" t="s">
        <v>438</v>
      </c>
      <c r="B31" s="8" t="s">
        <v>1996</v>
      </c>
      <c r="C31" s="6" t="s">
        <v>178</v>
      </c>
    </row>
    <row r="32" spans="1:3" ht="36" x14ac:dyDescent="0.25">
      <c r="A32" s="6" t="s">
        <v>439</v>
      </c>
      <c r="B32" s="8" t="s">
        <v>1696</v>
      </c>
      <c r="C32" s="6"/>
    </row>
    <row r="33" spans="1:3" ht="72" x14ac:dyDescent="0.25">
      <c r="A33" s="6" t="s">
        <v>440</v>
      </c>
      <c r="B33" s="8" t="s">
        <v>1697</v>
      </c>
      <c r="C33" s="6" t="s">
        <v>180</v>
      </c>
    </row>
    <row r="34" spans="1:3" ht="48" x14ac:dyDescent="0.25">
      <c r="A34" s="6" t="s">
        <v>441</v>
      </c>
      <c r="B34" s="8" t="s">
        <v>1698</v>
      </c>
      <c r="C34" s="6"/>
    </row>
    <row r="35" spans="1:3" ht="72" x14ac:dyDescent="0.25">
      <c r="A35" s="6" t="s">
        <v>442</v>
      </c>
      <c r="B35" s="8" t="s">
        <v>1997</v>
      </c>
      <c r="C35" s="6" t="s">
        <v>181</v>
      </c>
    </row>
    <row r="36" spans="1:3" ht="36" x14ac:dyDescent="0.25">
      <c r="A36" s="6" t="s">
        <v>443</v>
      </c>
      <c r="B36" s="8" t="s">
        <v>1998</v>
      </c>
      <c r="C36" s="6" t="s">
        <v>182</v>
      </c>
    </row>
    <row r="37" spans="1:3" ht="36" x14ac:dyDescent="0.25">
      <c r="A37" s="6" t="s">
        <v>444</v>
      </c>
      <c r="B37" s="8" t="s">
        <v>1699</v>
      </c>
      <c r="C37" s="6" t="s">
        <v>183</v>
      </c>
    </row>
    <row r="38" spans="1:3" ht="36" x14ac:dyDescent="0.25">
      <c r="A38" s="6" t="s">
        <v>445</v>
      </c>
      <c r="B38" s="8" t="s">
        <v>1700</v>
      </c>
      <c r="C38" s="6" t="s">
        <v>184</v>
      </c>
    </row>
    <row r="39" spans="1:3" ht="36" x14ac:dyDescent="0.25">
      <c r="A39" s="6" t="s">
        <v>446</v>
      </c>
      <c r="B39" s="8" t="s">
        <v>1701</v>
      </c>
      <c r="C39" s="6" t="s">
        <v>185</v>
      </c>
    </row>
    <row r="40" spans="1:3" ht="60" x14ac:dyDescent="0.25">
      <c r="A40" s="6" t="s">
        <v>447</v>
      </c>
      <c r="B40" s="8" t="s">
        <v>1702</v>
      </c>
      <c r="C40" s="6" t="s">
        <v>186</v>
      </c>
    </row>
    <row r="41" spans="1:3" ht="36" x14ac:dyDescent="0.25">
      <c r="A41" s="6" t="s">
        <v>448</v>
      </c>
      <c r="B41" s="8" t="s">
        <v>1703</v>
      </c>
      <c r="C41" s="6" t="s">
        <v>187</v>
      </c>
    </row>
    <row r="42" spans="1:3" ht="48" x14ac:dyDescent="0.25">
      <c r="A42" s="6" t="s">
        <v>449</v>
      </c>
      <c r="B42" s="8" t="s">
        <v>1704</v>
      </c>
      <c r="C42" s="6" t="s">
        <v>188</v>
      </c>
    </row>
    <row r="43" spans="1:3" ht="84" x14ac:dyDescent="0.25">
      <c r="A43" s="6" t="s">
        <v>450</v>
      </c>
      <c r="B43" s="8" t="s">
        <v>1999</v>
      </c>
      <c r="C43" s="6" t="s">
        <v>189</v>
      </c>
    </row>
    <row r="44" spans="1:3" ht="48" x14ac:dyDescent="0.25">
      <c r="A44" s="6" t="s">
        <v>451</v>
      </c>
      <c r="B44" s="8" t="s">
        <v>1705</v>
      </c>
      <c r="C44" s="6" t="s">
        <v>190</v>
      </c>
    </row>
    <row r="45" spans="1:3" ht="48" x14ac:dyDescent="0.25">
      <c r="A45" s="6" t="s">
        <v>452</v>
      </c>
      <c r="B45" s="8" t="s">
        <v>2000</v>
      </c>
      <c r="C45" s="6"/>
    </row>
    <row r="46" spans="1:3" ht="60" x14ac:dyDescent="0.25">
      <c r="A46" s="6" t="s">
        <v>453</v>
      </c>
      <c r="B46" s="8" t="s">
        <v>1706</v>
      </c>
      <c r="C46" s="6" t="s">
        <v>191</v>
      </c>
    </row>
    <row r="47" spans="1:3" ht="60" x14ac:dyDescent="0.25">
      <c r="A47" s="6" t="s">
        <v>454</v>
      </c>
      <c r="B47" s="8" t="s">
        <v>1707</v>
      </c>
      <c r="C47" s="6" t="s">
        <v>192</v>
      </c>
    </row>
    <row r="48" spans="1:3" ht="60" x14ac:dyDescent="0.25">
      <c r="A48" s="6" t="s">
        <v>455</v>
      </c>
      <c r="B48" s="8" t="s">
        <v>1708</v>
      </c>
      <c r="C48" s="6" t="s">
        <v>193</v>
      </c>
    </row>
    <row r="49" spans="1:3" ht="60" x14ac:dyDescent="0.25">
      <c r="A49" s="6" t="s">
        <v>456</v>
      </c>
      <c r="B49" s="8" t="s">
        <v>1709</v>
      </c>
      <c r="C49" s="6" t="s">
        <v>194</v>
      </c>
    </row>
    <row r="50" spans="1:3" ht="36" x14ac:dyDescent="0.25">
      <c r="A50" s="6" t="s">
        <v>457</v>
      </c>
      <c r="B50" s="8" t="s">
        <v>1710</v>
      </c>
      <c r="C50" s="6"/>
    </row>
    <row r="51" spans="1:3" ht="36" x14ac:dyDescent="0.25">
      <c r="A51" s="6" t="s">
        <v>458</v>
      </c>
      <c r="B51" s="8" t="s">
        <v>2001</v>
      </c>
      <c r="C51" s="6" t="s">
        <v>195</v>
      </c>
    </row>
    <row r="52" spans="1:3" ht="24" x14ac:dyDescent="0.25">
      <c r="A52" s="6" t="s">
        <v>459</v>
      </c>
      <c r="B52" s="8" t="s">
        <v>1711</v>
      </c>
      <c r="C52" s="6"/>
    </row>
    <row r="53" spans="1:3" ht="36" x14ac:dyDescent="0.25">
      <c r="A53" s="6" t="s">
        <v>460</v>
      </c>
      <c r="B53" s="8" t="s">
        <v>1712</v>
      </c>
      <c r="C53" s="6" t="s">
        <v>196</v>
      </c>
    </row>
    <row r="54" spans="1:3" ht="36" x14ac:dyDescent="0.25">
      <c r="A54" s="6" t="s">
        <v>461</v>
      </c>
      <c r="B54" s="8" t="s">
        <v>1713</v>
      </c>
      <c r="C54" s="6" t="s">
        <v>197</v>
      </c>
    </row>
    <row r="55" spans="1:3" ht="48" x14ac:dyDescent="0.25">
      <c r="A55" s="6" t="s">
        <v>462</v>
      </c>
      <c r="B55" s="8" t="s">
        <v>1714</v>
      </c>
      <c r="C55" s="6" t="s">
        <v>198</v>
      </c>
    </row>
    <row r="56" spans="1:3" ht="36" x14ac:dyDescent="0.25">
      <c r="A56" s="6" t="s">
        <v>463</v>
      </c>
      <c r="B56" s="8" t="s">
        <v>1715</v>
      </c>
      <c r="C56" s="6" t="s">
        <v>199</v>
      </c>
    </row>
    <row r="57" spans="1:3" ht="24" x14ac:dyDescent="0.25">
      <c r="A57" s="6" t="s">
        <v>464</v>
      </c>
      <c r="B57" s="8" t="s">
        <v>2002</v>
      </c>
      <c r="C57" s="6" t="s">
        <v>200</v>
      </c>
    </row>
    <row r="58" spans="1:3" ht="36" x14ac:dyDescent="0.25">
      <c r="A58" s="6" t="s">
        <v>465</v>
      </c>
      <c r="B58" s="8" t="s">
        <v>1716</v>
      </c>
      <c r="C58" s="6" t="s">
        <v>201</v>
      </c>
    </row>
    <row r="59" spans="1:3" ht="48" x14ac:dyDescent="0.25">
      <c r="A59" s="6" t="s">
        <v>466</v>
      </c>
      <c r="B59" s="8" t="s">
        <v>2003</v>
      </c>
      <c r="C59" s="6"/>
    </row>
    <row r="60" spans="1:3" ht="48" x14ac:dyDescent="0.25">
      <c r="A60" s="6" t="s">
        <v>467</v>
      </c>
      <c r="B60" s="8" t="s">
        <v>2004</v>
      </c>
      <c r="C60" s="6" t="s">
        <v>202</v>
      </c>
    </row>
    <row r="61" spans="1:3" ht="48" x14ac:dyDescent="0.25">
      <c r="A61" s="6" t="s">
        <v>468</v>
      </c>
      <c r="B61" s="8" t="s">
        <v>1717</v>
      </c>
      <c r="C61" s="6" t="s">
        <v>203</v>
      </c>
    </row>
    <row r="62" spans="1:3" ht="60" x14ac:dyDescent="0.25">
      <c r="A62" s="6" t="s">
        <v>469</v>
      </c>
      <c r="B62" s="8" t="s">
        <v>1718</v>
      </c>
      <c r="C62" s="6" t="s">
        <v>204</v>
      </c>
    </row>
    <row r="63" spans="1:3" ht="60" x14ac:dyDescent="0.25">
      <c r="A63" s="6" t="s">
        <v>470</v>
      </c>
      <c r="B63" s="8" t="s">
        <v>1719</v>
      </c>
      <c r="C63" s="6" t="s">
        <v>205</v>
      </c>
    </row>
    <row r="64" spans="1:3" ht="60" x14ac:dyDescent="0.25">
      <c r="A64" s="6" t="s">
        <v>471</v>
      </c>
      <c r="B64" s="8" t="s">
        <v>1720</v>
      </c>
      <c r="C64" s="6"/>
    </row>
    <row r="65" spans="1:3" ht="60" x14ac:dyDescent="0.25">
      <c r="A65" s="6" t="s">
        <v>472</v>
      </c>
      <c r="B65" s="8" t="s">
        <v>1721</v>
      </c>
      <c r="C65" s="6" t="s">
        <v>206</v>
      </c>
    </row>
    <row r="66" spans="1:3" ht="48" x14ac:dyDescent="0.25">
      <c r="A66" s="6" t="s">
        <v>473</v>
      </c>
      <c r="B66" s="8" t="s">
        <v>1722</v>
      </c>
      <c r="C66" s="6"/>
    </row>
    <row r="67" spans="1:3" ht="36" x14ac:dyDescent="0.25">
      <c r="A67" s="6" t="s">
        <v>474</v>
      </c>
      <c r="B67" s="8" t="s">
        <v>1723</v>
      </c>
      <c r="C67" s="6" t="s">
        <v>204</v>
      </c>
    </row>
    <row r="68" spans="1:3" ht="24" x14ac:dyDescent="0.25">
      <c r="A68" s="6" t="s">
        <v>475</v>
      </c>
      <c r="B68" s="8" t="s">
        <v>1724</v>
      </c>
      <c r="C68" s="6"/>
    </row>
    <row r="69" spans="1:3" ht="36" x14ac:dyDescent="0.25">
      <c r="A69" s="6" t="s">
        <v>476</v>
      </c>
      <c r="B69" s="8" t="s">
        <v>2005</v>
      </c>
      <c r="C69" s="6"/>
    </row>
    <row r="70" spans="1:3" ht="36" x14ac:dyDescent="0.25">
      <c r="A70" s="6" t="s">
        <v>477</v>
      </c>
      <c r="B70" s="8" t="s">
        <v>2006</v>
      </c>
      <c r="C70" s="6"/>
    </row>
    <row r="71" spans="1:3" ht="36" x14ac:dyDescent="0.25">
      <c r="A71" s="6" t="s">
        <v>478</v>
      </c>
      <c r="B71" s="8" t="s">
        <v>1725</v>
      </c>
      <c r="C71" s="6" t="s">
        <v>207</v>
      </c>
    </row>
    <row r="72" spans="1:3" ht="36" x14ac:dyDescent="0.25">
      <c r="A72" s="6" t="s">
        <v>479</v>
      </c>
      <c r="B72" s="8" t="s">
        <v>1726</v>
      </c>
      <c r="C72" s="6" t="s">
        <v>208</v>
      </c>
    </row>
    <row r="73" spans="1:3" ht="48" x14ac:dyDescent="0.25">
      <c r="A73" s="6" t="s">
        <v>480</v>
      </c>
      <c r="B73" s="8" t="s">
        <v>1727</v>
      </c>
      <c r="C73" s="6" t="s">
        <v>209</v>
      </c>
    </row>
    <row r="74" spans="1:3" ht="60" x14ac:dyDescent="0.25">
      <c r="A74" s="6" t="s">
        <v>481</v>
      </c>
      <c r="B74" s="8" t="s">
        <v>2007</v>
      </c>
      <c r="C74" s="6" t="s">
        <v>210</v>
      </c>
    </row>
    <row r="75" spans="1:3" ht="60" x14ac:dyDescent="0.25">
      <c r="A75" s="6" t="s">
        <v>482</v>
      </c>
      <c r="B75" s="8" t="s">
        <v>2008</v>
      </c>
      <c r="C75" s="6" t="s">
        <v>211</v>
      </c>
    </row>
    <row r="76" spans="1:3" ht="60" x14ac:dyDescent="0.25">
      <c r="A76" s="6" t="s">
        <v>483</v>
      </c>
      <c r="B76" s="8" t="s">
        <v>1728</v>
      </c>
      <c r="C76" s="6" t="s">
        <v>204</v>
      </c>
    </row>
    <row r="77" spans="1:3" ht="72" x14ac:dyDescent="0.25">
      <c r="A77" s="6" t="s">
        <v>484</v>
      </c>
      <c r="B77" s="8" t="s">
        <v>1729</v>
      </c>
      <c r="C77" s="6" t="s">
        <v>212</v>
      </c>
    </row>
    <row r="78" spans="1:3" ht="84" x14ac:dyDescent="0.25">
      <c r="A78" s="6" t="s">
        <v>485</v>
      </c>
      <c r="B78" s="8" t="s">
        <v>2148</v>
      </c>
      <c r="C78" s="6" t="s">
        <v>213</v>
      </c>
    </row>
    <row r="79" spans="1:3" ht="96" x14ac:dyDescent="0.25">
      <c r="A79" s="6" t="s">
        <v>486</v>
      </c>
      <c r="B79" s="8" t="s">
        <v>2149</v>
      </c>
      <c r="C79" s="6" t="s">
        <v>214</v>
      </c>
    </row>
    <row r="80" spans="1:3" ht="84" x14ac:dyDescent="0.25">
      <c r="A80" s="6" t="s">
        <v>487</v>
      </c>
      <c r="B80" s="8" t="s">
        <v>2150</v>
      </c>
      <c r="C80" s="6"/>
    </row>
    <row r="81" spans="1:3" ht="48" x14ac:dyDescent="0.25">
      <c r="A81" s="6" t="s">
        <v>488</v>
      </c>
      <c r="B81" s="8" t="s">
        <v>3055</v>
      </c>
      <c r="C81" s="6"/>
    </row>
    <row r="82" spans="1:3" ht="120" x14ac:dyDescent="0.25">
      <c r="A82" s="6" t="s">
        <v>489</v>
      </c>
      <c r="B82" s="8" t="s">
        <v>3056</v>
      </c>
      <c r="C82" s="6" t="s">
        <v>215</v>
      </c>
    </row>
    <row r="83" spans="1:3" ht="24" x14ac:dyDescent="0.25">
      <c r="A83" s="6" t="s">
        <v>490</v>
      </c>
      <c r="B83" s="8" t="s">
        <v>2151</v>
      </c>
      <c r="C83" s="6"/>
    </row>
    <row r="84" spans="1:3" ht="60" x14ac:dyDescent="0.25">
      <c r="A84" s="6" t="s">
        <v>491</v>
      </c>
      <c r="B84" s="8" t="s">
        <v>2152</v>
      </c>
      <c r="C84" s="6" t="s">
        <v>216</v>
      </c>
    </row>
    <row r="85" spans="1:3" ht="84" x14ac:dyDescent="0.25">
      <c r="A85" s="6" t="s">
        <v>492</v>
      </c>
      <c r="B85" s="8" t="s">
        <v>2153</v>
      </c>
      <c r="C85" s="6" t="s">
        <v>217</v>
      </c>
    </row>
    <row r="86" spans="1:3" ht="84" x14ac:dyDescent="0.25">
      <c r="A86" s="6" t="s">
        <v>493</v>
      </c>
      <c r="B86" s="8" t="s">
        <v>2154</v>
      </c>
      <c r="C86" s="6" t="s">
        <v>218</v>
      </c>
    </row>
    <row r="87" spans="1:3" ht="96" x14ac:dyDescent="0.25">
      <c r="A87" s="6" t="s">
        <v>494</v>
      </c>
      <c r="B87" s="8" t="s">
        <v>2155</v>
      </c>
      <c r="C87" s="6" t="s">
        <v>219</v>
      </c>
    </row>
    <row r="88" spans="1:3" ht="60" x14ac:dyDescent="0.25">
      <c r="A88" s="6" t="s">
        <v>495</v>
      </c>
      <c r="B88" s="8" t="s">
        <v>2156</v>
      </c>
      <c r="C88" s="6" t="s">
        <v>220</v>
      </c>
    </row>
    <row r="89" spans="1:3" ht="84" x14ac:dyDescent="0.25">
      <c r="A89" s="6" t="s">
        <v>496</v>
      </c>
      <c r="B89" s="8" t="s">
        <v>2157</v>
      </c>
      <c r="C89" s="6"/>
    </row>
    <row r="90" spans="1:3" ht="60" x14ac:dyDescent="0.25">
      <c r="A90" s="6" t="s">
        <v>497</v>
      </c>
      <c r="B90" s="8" t="s">
        <v>2158</v>
      </c>
      <c r="C90" s="6" t="s">
        <v>221</v>
      </c>
    </row>
    <row r="91" spans="1:3" ht="60" x14ac:dyDescent="0.25">
      <c r="A91" s="6" t="s">
        <v>498</v>
      </c>
      <c r="B91" s="8" t="s">
        <v>3057</v>
      </c>
      <c r="C91" s="6" t="s">
        <v>222</v>
      </c>
    </row>
    <row r="92" spans="1:3" ht="60" x14ac:dyDescent="0.25">
      <c r="A92" s="6" t="s">
        <v>499</v>
      </c>
      <c r="B92" s="8" t="s">
        <v>3058</v>
      </c>
      <c r="C92" s="6"/>
    </row>
    <row r="93" spans="1:3" ht="84" x14ac:dyDescent="0.25">
      <c r="A93" s="6" t="s">
        <v>500</v>
      </c>
      <c r="B93" s="8" t="s">
        <v>2159</v>
      </c>
      <c r="C93" s="6" t="s">
        <v>223</v>
      </c>
    </row>
    <row r="94" spans="1:3" ht="72" x14ac:dyDescent="0.25">
      <c r="A94" s="6" t="s">
        <v>501</v>
      </c>
      <c r="B94" s="8" t="s">
        <v>2160</v>
      </c>
      <c r="C94" s="6" t="s">
        <v>224</v>
      </c>
    </row>
    <row r="95" spans="1:3" ht="60" x14ac:dyDescent="0.25">
      <c r="A95" s="6" t="s">
        <v>502</v>
      </c>
      <c r="B95" s="8" t="s">
        <v>2161</v>
      </c>
      <c r="C95" s="6" t="s">
        <v>225</v>
      </c>
    </row>
    <row r="96" spans="1:3" ht="72" x14ac:dyDescent="0.25">
      <c r="A96" s="6" t="s">
        <v>503</v>
      </c>
      <c r="B96" s="8" t="s">
        <v>2162</v>
      </c>
      <c r="C96" s="6" t="s">
        <v>226</v>
      </c>
    </row>
    <row r="97" spans="1:3" ht="24" x14ac:dyDescent="0.25">
      <c r="A97" s="6" t="s">
        <v>504</v>
      </c>
      <c r="B97" s="8" t="s">
        <v>2163</v>
      </c>
      <c r="C97" s="6" t="s">
        <v>227</v>
      </c>
    </row>
    <row r="98" spans="1:3" ht="60" x14ac:dyDescent="0.25">
      <c r="A98" s="6" t="s">
        <v>505</v>
      </c>
      <c r="B98" s="8" t="s">
        <v>3059</v>
      </c>
      <c r="C98" s="6" t="s">
        <v>228</v>
      </c>
    </row>
    <row r="99" spans="1:3" ht="48" x14ac:dyDescent="0.25">
      <c r="A99" s="6" t="s">
        <v>506</v>
      </c>
      <c r="B99" s="8" t="s">
        <v>3060</v>
      </c>
      <c r="C99" s="6" t="s">
        <v>229</v>
      </c>
    </row>
    <row r="100" spans="1:3" ht="84" x14ac:dyDescent="0.25">
      <c r="A100" s="6" t="s">
        <v>507</v>
      </c>
      <c r="B100" s="8" t="s">
        <v>2164</v>
      </c>
      <c r="C100" s="6" t="s">
        <v>230</v>
      </c>
    </row>
    <row r="101" spans="1:3" ht="60" x14ac:dyDescent="0.25">
      <c r="A101" s="6" t="s">
        <v>508</v>
      </c>
      <c r="B101" s="8" t="s">
        <v>2165</v>
      </c>
      <c r="C101" s="6"/>
    </row>
    <row r="102" spans="1:3" ht="72" x14ac:dyDescent="0.25">
      <c r="A102" s="6" t="s">
        <v>509</v>
      </c>
      <c r="B102" s="8" t="s">
        <v>2166</v>
      </c>
      <c r="C102" s="6" t="s">
        <v>231</v>
      </c>
    </row>
    <row r="103" spans="1:3" ht="60" x14ac:dyDescent="0.25">
      <c r="A103" s="6" t="s">
        <v>510</v>
      </c>
      <c r="B103" s="8" t="s">
        <v>3061</v>
      </c>
      <c r="C103" s="6"/>
    </row>
    <row r="104" spans="1:3" ht="60" x14ac:dyDescent="0.25">
      <c r="A104" s="6" t="s">
        <v>511</v>
      </c>
      <c r="B104" s="8" t="s">
        <v>3062</v>
      </c>
      <c r="C104" s="6"/>
    </row>
    <row r="105" spans="1:3" ht="84" x14ac:dyDescent="0.25">
      <c r="A105" s="6" t="s">
        <v>512</v>
      </c>
      <c r="B105" s="8" t="s">
        <v>2167</v>
      </c>
      <c r="C105" s="6" t="s">
        <v>232</v>
      </c>
    </row>
    <row r="106" spans="1:3" ht="108" x14ac:dyDescent="0.25">
      <c r="A106" s="6" t="s">
        <v>513</v>
      </c>
      <c r="B106" s="8" t="s">
        <v>2168</v>
      </c>
      <c r="C106" s="6" t="s">
        <v>233</v>
      </c>
    </row>
    <row r="107" spans="1:3" ht="84" x14ac:dyDescent="0.25">
      <c r="A107" s="6" t="s">
        <v>514</v>
      </c>
      <c r="B107" s="8" t="s">
        <v>2169</v>
      </c>
      <c r="C107" s="6"/>
    </row>
    <row r="108" spans="1:3" ht="60" x14ac:dyDescent="0.25">
      <c r="A108" s="6" t="s">
        <v>515</v>
      </c>
      <c r="B108" s="8" t="s">
        <v>2170</v>
      </c>
      <c r="C108" s="6"/>
    </row>
    <row r="109" spans="1:3" ht="72" x14ac:dyDescent="0.25">
      <c r="A109" s="6" t="s">
        <v>516</v>
      </c>
      <c r="B109" s="8" t="s">
        <v>2171</v>
      </c>
      <c r="C109" s="6" t="s">
        <v>234</v>
      </c>
    </row>
    <row r="110" spans="1:3" ht="48" x14ac:dyDescent="0.25">
      <c r="A110" s="6" t="s">
        <v>517</v>
      </c>
      <c r="B110" s="8" t="s">
        <v>3063</v>
      </c>
      <c r="C110" s="6"/>
    </row>
    <row r="111" spans="1:3" ht="84" x14ac:dyDescent="0.25">
      <c r="A111" s="6" t="s">
        <v>518</v>
      </c>
      <c r="B111" s="8" t="s">
        <v>3064</v>
      </c>
      <c r="C111" s="6" t="s">
        <v>235</v>
      </c>
    </row>
    <row r="112" spans="1:3" ht="108" x14ac:dyDescent="0.25">
      <c r="A112" s="6" t="s">
        <v>519</v>
      </c>
      <c r="B112" s="8" t="s">
        <v>2172</v>
      </c>
      <c r="C112" s="6" t="s">
        <v>236</v>
      </c>
    </row>
    <row r="113" spans="1:3" ht="120" x14ac:dyDescent="0.25">
      <c r="A113" s="6" t="s">
        <v>520</v>
      </c>
      <c r="B113" s="8" t="s">
        <v>2173</v>
      </c>
      <c r="C113" s="6" t="s">
        <v>237</v>
      </c>
    </row>
    <row r="114" spans="1:3" ht="108" x14ac:dyDescent="0.25">
      <c r="A114" s="6" t="s">
        <v>521</v>
      </c>
      <c r="B114" s="8" t="s">
        <v>2174</v>
      </c>
      <c r="C114" s="6" t="s">
        <v>238</v>
      </c>
    </row>
    <row r="115" spans="1:3" ht="84" x14ac:dyDescent="0.25">
      <c r="A115" s="6" t="s">
        <v>522</v>
      </c>
      <c r="B115" s="8" t="s">
        <v>2175</v>
      </c>
      <c r="C115" s="6" t="s">
        <v>239</v>
      </c>
    </row>
    <row r="116" spans="1:3" ht="60" x14ac:dyDescent="0.25">
      <c r="A116" s="6" t="s">
        <v>523</v>
      </c>
      <c r="B116" s="8" t="s">
        <v>2176</v>
      </c>
      <c r="C116" s="6"/>
    </row>
    <row r="117" spans="1:3" ht="60" x14ac:dyDescent="0.25">
      <c r="A117" s="6" t="s">
        <v>524</v>
      </c>
      <c r="B117" s="8" t="s">
        <v>3065</v>
      </c>
      <c r="C117" s="6" t="s">
        <v>240</v>
      </c>
    </row>
    <row r="118" spans="1:3" ht="72" x14ac:dyDescent="0.25">
      <c r="A118" s="6" t="s">
        <v>525</v>
      </c>
      <c r="B118" s="8" t="s">
        <v>3066</v>
      </c>
      <c r="C118" s="6"/>
    </row>
    <row r="119" spans="1:3" ht="96" x14ac:dyDescent="0.25">
      <c r="A119" s="6" t="s">
        <v>526</v>
      </c>
      <c r="B119" s="8" t="s">
        <v>2177</v>
      </c>
      <c r="C119" s="6" t="s">
        <v>241</v>
      </c>
    </row>
    <row r="120" spans="1:3" ht="36" x14ac:dyDescent="0.25">
      <c r="A120" s="6" t="s">
        <v>527</v>
      </c>
      <c r="B120" s="8" t="s">
        <v>2178</v>
      </c>
      <c r="C120" s="6"/>
    </row>
    <row r="121" spans="1:3" ht="72" x14ac:dyDescent="0.25">
      <c r="A121" s="6" t="s">
        <v>528</v>
      </c>
      <c r="B121" s="8" t="s">
        <v>2179</v>
      </c>
      <c r="C121" s="6"/>
    </row>
    <row r="122" spans="1:3" ht="48" x14ac:dyDescent="0.25">
      <c r="A122" s="6" t="s">
        <v>529</v>
      </c>
      <c r="B122" s="8" t="s">
        <v>2180</v>
      </c>
      <c r="C122" s="6" t="s">
        <v>242</v>
      </c>
    </row>
    <row r="123" spans="1:3" ht="48" x14ac:dyDescent="0.25">
      <c r="A123" s="6" t="s">
        <v>3731</v>
      </c>
      <c r="B123" s="8" t="s">
        <v>3327</v>
      </c>
      <c r="C123" s="6"/>
    </row>
    <row r="124" spans="1:3" ht="36" x14ac:dyDescent="0.25">
      <c r="A124" s="6" t="s">
        <v>3732</v>
      </c>
      <c r="B124" s="8" t="s">
        <v>3328</v>
      </c>
      <c r="C124" s="6"/>
    </row>
    <row r="125" spans="1:3" ht="60" x14ac:dyDescent="0.25">
      <c r="A125" s="6" t="s">
        <v>3733</v>
      </c>
      <c r="B125" s="8" t="s">
        <v>3329</v>
      </c>
      <c r="C125" s="6" t="s">
        <v>243</v>
      </c>
    </row>
    <row r="126" spans="1:3" ht="36" x14ac:dyDescent="0.25">
      <c r="A126" s="6" t="s">
        <v>3734</v>
      </c>
      <c r="B126" s="8" t="s">
        <v>3330</v>
      </c>
      <c r="C126" s="6" t="s">
        <v>244</v>
      </c>
    </row>
    <row r="127" spans="1:3" ht="180" x14ac:dyDescent="0.25">
      <c r="A127" s="6" t="s">
        <v>3735</v>
      </c>
      <c r="B127" s="8" t="s">
        <v>3331</v>
      </c>
      <c r="C127" s="6" t="s">
        <v>245</v>
      </c>
    </row>
    <row r="128" spans="1:3" ht="120" x14ac:dyDescent="0.25">
      <c r="A128" s="6" t="s">
        <v>3736</v>
      </c>
      <c r="B128" s="8" t="s">
        <v>3332</v>
      </c>
      <c r="C128" s="6" t="s">
        <v>246</v>
      </c>
    </row>
    <row r="129" spans="1:3" ht="108" x14ac:dyDescent="0.25">
      <c r="A129" s="6" t="s">
        <v>3737</v>
      </c>
      <c r="B129" s="8" t="s">
        <v>3333</v>
      </c>
      <c r="C129" s="6" t="s">
        <v>247</v>
      </c>
    </row>
    <row r="130" spans="1:3" ht="96" x14ac:dyDescent="0.25">
      <c r="A130" s="6" t="s">
        <v>3738</v>
      </c>
      <c r="B130" s="8" t="s">
        <v>3334</v>
      </c>
      <c r="C130" s="6" t="s">
        <v>248</v>
      </c>
    </row>
    <row r="131" spans="1:3" ht="48" x14ac:dyDescent="0.25">
      <c r="A131" s="6" t="s">
        <v>3739</v>
      </c>
      <c r="B131" s="8" t="s">
        <v>3335</v>
      </c>
      <c r="C131" s="6" t="s">
        <v>249</v>
      </c>
    </row>
    <row r="132" spans="1:3" ht="84" x14ac:dyDescent="0.25">
      <c r="A132" s="6" t="s">
        <v>3740</v>
      </c>
      <c r="B132" s="8" t="s">
        <v>3336</v>
      </c>
      <c r="C132" s="6" t="s">
        <v>250</v>
      </c>
    </row>
    <row r="133" spans="1:3" ht="48" x14ac:dyDescent="0.25">
      <c r="A133" s="6" t="s">
        <v>530</v>
      </c>
      <c r="B133" s="8" t="s">
        <v>1906</v>
      </c>
      <c r="C133" s="6"/>
    </row>
    <row r="134" spans="1:3" ht="84" x14ac:dyDescent="0.25">
      <c r="A134" s="6" t="s">
        <v>531</v>
      </c>
      <c r="B134" s="8" t="s">
        <v>2009</v>
      </c>
      <c r="C134" s="6"/>
    </row>
    <row r="135" spans="1:3" ht="24" x14ac:dyDescent="0.25">
      <c r="A135" s="6" t="s">
        <v>532</v>
      </c>
      <c r="B135" s="8" t="s">
        <v>1730</v>
      </c>
      <c r="C135" s="6"/>
    </row>
    <row r="136" spans="1:3" ht="96" x14ac:dyDescent="0.25">
      <c r="A136" s="6" t="s">
        <v>533</v>
      </c>
      <c r="B136" s="8" t="s">
        <v>2010</v>
      </c>
      <c r="C136" s="6" t="s">
        <v>251</v>
      </c>
    </row>
    <row r="137" spans="1:3" ht="48" x14ac:dyDescent="0.25">
      <c r="A137" s="6" t="s">
        <v>534</v>
      </c>
      <c r="B137" s="8" t="s">
        <v>1731</v>
      </c>
      <c r="C137" s="6" t="s">
        <v>252</v>
      </c>
    </row>
    <row r="138" spans="1:3" ht="48" x14ac:dyDescent="0.25">
      <c r="A138" s="6" t="s">
        <v>535</v>
      </c>
      <c r="B138" s="8" t="s">
        <v>1732</v>
      </c>
      <c r="C138" s="6" t="s">
        <v>253</v>
      </c>
    </row>
    <row r="139" spans="1:3" ht="36" x14ac:dyDescent="0.25">
      <c r="A139" s="6" t="s">
        <v>536</v>
      </c>
      <c r="B139" s="8" t="s">
        <v>1733</v>
      </c>
      <c r="C139" s="6"/>
    </row>
    <row r="140" spans="1:3" ht="60" x14ac:dyDescent="0.25">
      <c r="A140" s="6" t="s">
        <v>537</v>
      </c>
      <c r="B140" s="8" t="s">
        <v>1734</v>
      </c>
      <c r="C140" s="6" t="s">
        <v>254</v>
      </c>
    </row>
    <row r="141" spans="1:3" ht="48" x14ac:dyDescent="0.25">
      <c r="A141" s="6" t="s">
        <v>538</v>
      </c>
      <c r="B141" s="8" t="s">
        <v>1735</v>
      </c>
      <c r="C141" s="6" t="s">
        <v>255</v>
      </c>
    </row>
    <row r="142" spans="1:3" ht="48" x14ac:dyDescent="0.25">
      <c r="A142" s="6" t="s">
        <v>539</v>
      </c>
      <c r="B142" s="8" t="s">
        <v>2011</v>
      </c>
      <c r="C142" s="6" t="s">
        <v>256</v>
      </c>
    </row>
    <row r="143" spans="1:3" ht="72" x14ac:dyDescent="0.25">
      <c r="A143" s="6" t="s">
        <v>3741</v>
      </c>
      <c r="B143" s="8" t="s">
        <v>3337</v>
      </c>
      <c r="C143" s="6" t="s">
        <v>257</v>
      </c>
    </row>
    <row r="144" spans="1:3" ht="48" x14ac:dyDescent="0.25">
      <c r="A144" s="6" t="s">
        <v>3742</v>
      </c>
      <c r="B144" s="8" t="s">
        <v>3338</v>
      </c>
      <c r="C144" s="6" t="s">
        <v>258</v>
      </c>
    </row>
    <row r="145" spans="1:3" ht="84" x14ac:dyDescent="0.25">
      <c r="A145" s="6" t="s">
        <v>3743</v>
      </c>
      <c r="B145" s="8" t="s">
        <v>3339</v>
      </c>
      <c r="C145" s="6" t="s">
        <v>259</v>
      </c>
    </row>
    <row r="146" spans="1:3" ht="96" x14ac:dyDescent="0.25">
      <c r="A146" s="6" t="s">
        <v>540</v>
      </c>
      <c r="B146" s="8" t="s">
        <v>2181</v>
      </c>
      <c r="C146" s="6"/>
    </row>
    <row r="147" spans="1:3" ht="72" x14ac:dyDescent="0.25">
      <c r="A147" s="6" t="s">
        <v>541</v>
      </c>
      <c r="B147" s="8" t="s">
        <v>3067</v>
      </c>
      <c r="C147" s="6" t="s">
        <v>260</v>
      </c>
    </row>
    <row r="148" spans="1:3" ht="60" x14ac:dyDescent="0.25">
      <c r="A148" s="6" t="s">
        <v>542</v>
      </c>
      <c r="B148" s="8" t="s">
        <v>3068</v>
      </c>
      <c r="C148" s="6"/>
    </row>
    <row r="149" spans="1:3" ht="84" x14ac:dyDescent="0.25">
      <c r="A149" s="6" t="s">
        <v>543</v>
      </c>
      <c r="B149" s="8" t="s">
        <v>3069</v>
      </c>
      <c r="C149" s="6"/>
    </row>
    <row r="150" spans="1:3" ht="84" x14ac:dyDescent="0.25">
      <c r="A150" s="6" t="s">
        <v>544</v>
      </c>
      <c r="B150" s="8" t="s">
        <v>3070</v>
      </c>
      <c r="C150" s="6" t="s">
        <v>261</v>
      </c>
    </row>
    <row r="151" spans="1:3" ht="84" x14ac:dyDescent="0.25">
      <c r="A151" s="6" t="s">
        <v>545</v>
      </c>
      <c r="B151" s="8" t="s">
        <v>3071</v>
      </c>
      <c r="C151" s="6"/>
    </row>
    <row r="152" spans="1:3" ht="72" x14ac:dyDescent="0.25">
      <c r="A152" s="6" t="s">
        <v>546</v>
      </c>
      <c r="B152" s="8" t="s">
        <v>2182</v>
      </c>
      <c r="C152" s="6"/>
    </row>
    <row r="153" spans="1:3" ht="72" x14ac:dyDescent="0.25">
      <c r="A153" s="6" t="s">
        <v>547</v>
      </c>
      <c r="B153" s="8" t="s">
        <v>2183</v>
      </c>
      <c r="C153" s="6"/>
    </row>
    <row r="154" spans="1:3" ht="48" x14ac:dyDescent="0.25">
      <c r="A154" s="6" t="s">
        <v>548</v>
      </c>
      <c r="B154" s="8" t="s">
        <v>2184</v>
      </c>
      <c r="C154" s="6"/>
    </row>
    <row r="155" spans="1:3" ht="72" x14ac:dyDescent="0.25">
      <c r="A155" s="6" t="s">
        <v>549</v>
      </c>
      <c r="B155" s="8" t="s">
        <v>2185</v>
      </c>
      <c r="C155" s="6"/>
    </row>
    <row r="156" spans="1:3" ht="48" x14ac:dyDescent="0.25">
      <c r="A156" s="6" t="s">
        <v>550</v>
      </c>
      <c r="B156" s="8" t="s">
        <v>2186</v>
      </c>
      <c r="C156" s="6"/>
    </row>
    <row r="157" spans="1:3" ht="72" x14ac:dyDescent="0.25">
      <c r="A157" s="6" t="s">
        <v>551</v>
      </c>
      <c r="B157" s="8" t="s">
        <v>1907</v>
      </c>
      <c r="C157" s="6" t="s">
        <v>262</v>
      </c>
    </row>
    <row r="158" spans="1:3" ht="84" x14ac:dyDescent="0.25">
      <c r="A158" s="6" t="s">
        <v>552</v>
      </c>
      <c r="B158" s="8" t="s">
        <v>2012</v>
      </c>
      <c r="C158" s="6"/>
    </row>
    <row r="159" spans="1:3" ht="36" x14ac:dyDescent="0.25">
      <c r="A159" s="6" t="s">
        <v>553</v>
      </c>
      <c r="B159" s="8" t="s">
        <v>1736</v>
      </c>
      <c r="C159" s="6" t="s">
        <v>263</v>
      </c>
    </row>
    <row r="160" spans="1:3" ht="60" x14ac:dyDescent="0.25">
      <c r="A160" s="6" t="s">
        <v>554</v>
      </c>
      <c r="B160" s="8" t="s">
        <v>1737</v>
      </c>
      <c r="C160" s="6"/>
    </row>
    <row r="161" spans="1:3" ht="60" x14ac:dyDescent="0.25">
      <c r="A161" s="6" t="s">
        <v>555</v>
      </c>
      <c r="B161" s="8" t="s">
        <v>1738</v>
      </c>
      <c r="C161" s="6" t="s">
        <v>264</v>
      </c>
    </row>
    <row r="162" spans="1:3" ht="48" x14ac:dyDescent="0.25">
      <c r="A162" s="6" t="s">
        <v>556</v>
      </c>
      <c r="B162" s="8" t="s">
        <v>1739</v>
      </c>
      <c r="C162" s="6" t="s">
        <v>265</v>
      </c>
    </row>
    <row r="163" spans="1:3" ht="48" x14ac:dyDescent="0.25">
      <c r="A163" s="6" t="s">
        <v>557</v>
      </c>
      <c r="B163" s="8" t="s">
        <v>1740</v>
      </c>
      <c r="C163" s="6"/>
    </row>
    <row r="164" spans="1:3" ht="60" x14ac:dyDescent="0.25">
      <c r="A164" s="6" t="s">
        <v>558</v>
      </c>
      <c r="B164" s="8" t="s">
        <v>2013</v>
      </c>
      <c r="C164" s="6"/>
    </row>
    <row r="165" spans="1:3" ht="60" x14ac:dyDescent="0.25">
      <c r="A165" s="6" t="s">
        <v>559</v>
      </c>
      <c r="B165" s="8" t="s">
        <v>2014</v>
      </c>
      <c r="C165" s="6" t="s">
        <v>266</v>
      </c>
    </row>
    <row r="166" spans="1:3" ht="48" x14ac:dyDescent="0.25">
      <c r="A166" s="6" t="s">
        <v>560</v>
      </c>
      <c r="B166" s="8" t="s">
        <v>2015</v>
      </c>
      <c r="C166" s="6" t="s">
        <v>267</v>
      </c>
    </row>
    <row r="167" spans="1:3" ht="96" x14ac:dyDescent="0.25">
      <c r="A167" s="6" t="s">
        <v>3744</v>
      </c>
      <c r="B167" s="8" t="s">
        <v>3340</v>
      </c>
      <c r="C167" s="6" t="s">
        <v>268</v>
      </c>
    </row>
    <row r="168" spans="1:3" ht="60" x14ac:dyDescent="0.25">
      <c r="A168" s="6" t="s">
        <v>3745</v>
      </c>
      <c r="B168" s="8" t="s">
        <v>3341</v>
      </c>
      <c r="C168" s="6" t="s">
        <v>269</v>
      </c>
    </row>
    <row r="169" spans="1:3" ht="96" x14ac:dyDescent="0.25">
      <c r="A169" s="6" t="s">
        <v>561</v>
      </c>
      <c r="B169" s="8" t="s">
        <v>2187</v>
      </c>
      <c r="C169" s="6" t="s">
        <v>270</v>
      </c>
    </row>
    <row r="170" spans="1:3" ht="96" x14ac:dyDescent="0.25">
      <c r="A170" s="6" t="s">
        <v>562</v>
      </c>
      <c r="B170" s="8" t="s">
        <v>2188</v>
      </c>
      <c r="C170" s="6" t="s">
        <v>271</v>
      </c>
    </row>
    <row r="171" spans="1:3" ht="84" x14ac:dyDescent="0.25">
      <c r="A171" s="6" t="s">
        <v>563</v>
      </c>
      <c r="B171" s="8" t="s">
        <v>2189</v>
      </c>
      <c r="C171" s="6"/>
    </row>
    <row r="172" spans="1:3" ht="84" x14ac:dyDescent="0.25">
      <c r="A172" s="6" t="s">
        <v>564</v>
      </c>
      <c r="B172" s="8" t="s">
        <v>2190</v>
      </c>
      <c r="C172" s="6"/>
    </row>
    <row r="173" spans="1:3" ht="96" x14ac:dyDescent="0.25">
      <c r="A173" s="6" t="s">
        <v>565</v>
      </c>
      <c r="B173" s="8" t="s">
        <v>2191</v>
      </c>
      <c r="C173" s="6"/>
    </row>
    <row r="174" spans="1:3" ht="84" x14ac:dyDescent="0.25">
      <c r="A174" s="6" t="s">
        <v>566</v>
      </c>
      <c r="B174" s="8" t="s">
        <v>2192</v>
      </c>
      <c r="C174" s="6" t="s">
        <v>272</v>
      </c>
    </row>
    <row r="175" spans="1:3" ht="84" x14ac:dyDescent="0.25">
      <c r="A175" s="6" t="s">
        <v>567</v>
      </c>
      <c r="B175" s="8" t="s">
        <v>3072</v>
      </c>
      <c r="C175" s="6"/>
    </row>
    <row r="176" spans="1:3" ht="60" x14ac:dyDescent="0.25">
      <c r="A176" s="6" t="s">
        <v>568</v>
      </c>
      <c r="B176" s="8" t="s">
        <v>3073</v>
      </c>
      <c r="C176" s="6"/>
    </row>
    <row r="177" spans="1:3" ht="72" x14ac:dyDescent="0.25">
      <c r="A177" s="6" t="s">
        <v>569</v>
      </c>
      <c r="B177" s="8" t="s">
        <v>3074</v>
      </c>
      <c r="C177" s="6"/>
    </row>
    <row r="178" spans="1:3" ht="60" x14ac:dyDescent="0.25">
      <c r="A178" s="6" t="s">
        <v>570</v>
      </c>
      <c r="B178" s="8" t="s">
        <v>3075</v>
      </c>
      <c r="C178" s="6"/>
    </row>
    <row r="179" spans="1:3" ht="48" x14ac:dyDescent="0.25">
      <c r="A179" s="6" t="s">
        <v>571</v>
      </c>
      <c r="B179" s="8" t="s">
        <v>2193</v>
      </c>
      <c r="C179" s="6"/>
    </row>
    <row r="180" spans="1:3" ht="84" x14ac:dyDescent="0.25">
      <c r="A180" s="6" t="s">
        <v>572</v>
      </c>
      <c r="B180" s="8" t="s">
        <v>2194</v>
      </c>
      <c r="C180" s="6" t="s">
        <v>273</v>
      </c>
    </row>
    <row r="181" spans="1:3" ht="60" x14ac:dyDescent="0.25">
      <c r="A181" s="6" t="s">
        <v>573</v>
      </c>
      <c r="B181" s="8" t="s">
        <v>2195</v>
      </c>
      <c r="C181" s="6"/>
    </row>
    <row r="182" spans="1:3" ht="60" x14ac:dyDescent="0.25">
      <c r="A182" s="6" t="s">
        <v>574</v>
      </c>
      <c r="B182" s="8" t="s">
        <v>1908</v>
      </c>
      <c r="C182" s="6"/>
    </row>
    <row r="183" spans="1:3" ht="84" x14ac:dyDescent="0.25">
      <c r="A183" s="6" t="s">
        <v>575</v>
      </c>
      <c r="B183" s="8" t="s">
        <v>2016</v>
      </c>
      <c r="C183" s="6"/>
    </row>
    <row r="184" spans="1:3" ht="36" x14ac:dyDescent="0.25">
      <c r="A184" s="6" t="s">
        <v>576</v>
      </c>
      <c r="B184" s="8" t="s">
        <v>2017</v>
      </c>
      <c r="C184" s="6" t="s">
        <v>274</v>
      </c>
    </row>
    <row r="185" spans="1:3" ht="108" x14ac:dyDescent="0.25">
      <c r="A185" s="6" t="s">
        <v>577</v>
      </c>
      <c r="B185" s="8" t="s">
        <v>1741</v>
      </c>
      <c r="C185" s="6" t="s">
        <v>275</v>
      </c>
    </row>
    <row r="186" spans="1:3" ht="36" x14ac:dyDescent="0.25">
      <c r="A186" s="6" t="s">
        <v>578</v>
      </c>
      <c r="B186" s="8" t="s">
        <v>1742</v>
      </c>
      <c r="C186" s="6" t="s">
        <v>276</v>
      </c>
    </row>
    <row r="187" spans="1:3" ht="84" x14ac:dyDescent="0.25">
      <c r="A187" s="6" t="s">
        <v>579</v>
      </c>
      <c r="B187" s="8" t="s">
        <v>2018</v>
      </c>
      <c r="C187" s="6" t="s">
        <v>277</v>
      </c>
    </row>
    <row r="188" spans="1:3" ht="60" x14ac:dyDescent="0.25">
      <c r="A188" s="6" t="s">
        <v>580</v>
      </c>
      <c r="B188" s="8" t="s">
        <v>1743</v>
      </c>
      <c r="C188" s="6" t="s">
        <v>278</v>
      </c>
    </row>
    <row r="189" spans="1:3" ht="48" x14ac:dyDescent="0.25">
      <c r="A189" s="6" t="s">
        <v>581</v>
      </c>
      <c r="B189" s="8" t="s">
        <v>1744</v>
      </c>
      <c r="C189" s="6"/>
    </row>
    <row r="190" spans="1:3" ht="36" x14ac:dyDescent="0.25">
      <c r="A190" s="6" t="s">
        <v>582</v>
      </c>
      <c r="B190" s="8" t="s">
        <v>1745</v>
      </c>
      <c r="C190" s="6" t="s">
        <v>279</v>
      </c>
    </row>
    <row r="191" spans="1:3" ht="96" x14ac:dyDescent="0.25">
      <c r="A191" s="6" t="s">
        <v>583</v>
      </c>
      <c r="B191" s="8" t="s">
        <v>1746</v>
      </c>
      <c r="C191" s="6" t="s">
        <v>280</v>
      </c>
    </row>
    <row r="192" spans="1:3" ht="48" x14ac:dyDescent="0.25">
      <c r="A192" s="6" t="s">
        <v>3746</v>
      </c>
      <c r="B192" s="8" t="s">
        <v>3342</v>
      </c>
      <c r="C192" s="6"/>
    </row>
    <row r="193" spans="1:3" ht="96" x14ac:dyDescent="0.25">
      <c r="A193" s="6" t="s">
        <v>3747</v>
      </c>
      <c r="B193" s="8" t="s">
        <v>3343</v>
      </c>
      <c r="C193" s="6" t="s">
        <v>281</v>
      </c>
    </row>
    <row r="194" spans="1:3" ht="84" x14ac:dyDescent="0.25">
      <c r="A194" s="6" t="s">
        <v>3748</v>
      </c>
      <c r="B194" s="8" t="s">
        <v>3344</v>
      </c>
      <c r="C194" s="6" t="s">
        <v>282</v>
      </c>
    </row>
    <row r="195" spans="1:3" ht="60" x14ac:dyDescent="0.25">
      <c r="A195" s="6" t="s">
        <v>584</v>
      </c>
      <c r="B195" s="8" t="s">
        <v>2196</v>
      </c>
      <c r="C195" s="6" t="s">
        <v>283</v>
      </c>
    </row>
    <row r="196" spans="1:3" ht="72" x14ac:dyDescent="0.25">
      <c r="A196" s="6" t="s">
        <v>585</v>
      </c>
      <c r="B196" s="8" t="s">
        <v>2197</v>
      </c>
      <c r="C196" s="6"/>
    </row>
    <row r="197" spans="1:3" ht="108" x14ac:dyDescent="0.25">
      <c r="A197" s="6" t="s">
        <v>586</v>
      </c>
      <c r="B197" s="8" t="s">
        <v>3076</v>
      </c>
      <c r="C197" s="6" t="s">
        <v>284</v>
      </c>
    </row>
    <row r="198" spans="1:3" ht="72" x14ac:dyDescent="0.25">
      <c r="A198" s="6" t="s">
        <v>587</v>
      </c>
      <c r="B198" s="8" t="s">
        <v>3077</v>
      </c>
      <c r="C198" s="6" t="s">
        <v>285</v>
      </c>
    </row>
    <row r="199" spans="1:3" ht="36" x14ac:dyDescent="0.25">
      <c r="A199" s="6" t="s">
        <v>588</v>
      </c>
      <c r="B199" s="8" t="s">
        <v>2198</v>
      </c>
      <c r="C199" s="6"/>
    </row>
    <row r="200" spans="1:3" ht="60" x14ac:dyDescent="0.25">
      <c r="A200" s="6" t="s">
        <v>589</v>
      </c>
      <c r="B200" s="8" t="s">
        <v>2199</v>
      </c>
      <c r="C200" s="6" t="s">
        <v>286</v>
      </c>
    </row>
    <row r="201" spans="1:3" ht="48" x14ac:dyDescent="0.25">
      <c r="A201" s="6" t="s">
        <v>590</v>
      </c>
      <c r="B201" s="8" t="s">
        <v>2200</v>
      </c>
      <c r="C201" s="6"/>
    </row>
    <row r="202" spans="1:3" ht="84" x14ac:dyDescent="0.25">
      <c r="A202" s="6" t="s">
        <v>591</v>
      </c>
      <c r="B202" s="8" t="s">
        <v>2201</v>
      </c>
      <c r="C202" s="6"/>
    </row>
    <row r="203" spans="1:3" ht="84" x14ac:dyDescent="0.25">
      <c r="A203" s="6" t="s">
        <v>592</v>
      </c>
      <c r="B203" s="8" t="s">
        <v>2202</v>
      </c>
      <c r="C203" s="6"/>
    </row>
    <row r="204" spans="1:3" ht="72" x14ac:dyDescent="0.25">
      <c r="A204" s="6" t="s">
        <v>593</v>
      </c>
      <c r="B204" s="8" t="s">
        <v>1909</v>
      </c>
      <c r="C204" s="6" t="s">
        <v>287</v>
      </c>
    </row>
    <row r="205" spans="1:3" ht="96" x14ac:dyDescent="0.25">
      <c r="A205" s="6" t="s">
        <v>594</v>
      </c>
      <c r="B205" s="8" t="s">
        <v>1747</v>
      </c>
      <c r="C205" s="6"/>
    </row>
    <row r="206" spans="1:3" ht="36" x14ac:dyDescent="0.25">
      <c r="A206" s="6" t="s">
        <v>595</v>
      </c>
      <c r="B206" s="8" t="s">
        <v>2019</v>
      </c>
      <c r="C206" s="6"/>
    </row>
    <row r="207" spans="1:3" ht="84" x14ac:dyDescent="0.25">
      <c r="A207" s="6" t="s">
        <v>596</v>
      </c>
      <c r="B207" s="8" t="s">
        <v>1748</v>
      </c>
      <c r="C207" s="6" t="s">
        <v>288</v>
      </c>
    </row>
    <row r="208" spans="1:3" ht="24" x14ac:dyDescent="0.25">
      <c r="A208" s="6" t="s">
        <v>597</v>
      </c>
      <c r="B208" s="8" t="s">
        <v>1749</v>
      </c>
      <c r="C208" s="6" t="s">
        <v>289</v>
      </c>
    </row>
    <row r="209" spans="1:3" ht="60" x14ac:dyDescent="0.25">
      <c r="A209" s="6" t="s">
        <v>598</v>
      </c>
      <c r="B209" s="8" t="s">
        <v>1750</v>
      </c>
      <c r="C209" s="6" t="s">
        <v>290</v>
      </c>
    </row>
    <row r="210" spans="1:3" ht="36" x14ac:dyDescent="0.25">
      <c r="A210" s="6" t="s">
        <v>599</v>
      </c>
      <c r="B210" s="8" t="s">
        <v>1751</v>
      </c>
      <c r="C210" s="6" t="s">
        <v>291</v>
      </c>
    </row>
    <row r="211" spans="1:3" ht="72" x14ac:dyDescent="0.25">
      <c r="A211" s="6" t="s">
        <v>600</v>
      </c>
      <c r="B211" s="8" t="s">
        <v>1752</v>
      </c>
      <c r="C211" s="6" t="s">
        <v>292</v>
      </c>
    </row>
    <row r="212" spans="1:3" ht="60" x14ac:dyDescent="0.25">
      <c r="A212" s="6" t="s">
        <v>601</v>
      </c>
      <c r="B212" s="8" t="s">
        <v>1753</v>
      </c>
      <c r="C212" s="6"/>
    </row>
    <row r="213" spans="1:3" ht="48" x14ac:dyDescent="0.25">
      <c r="A213" s="6" t="s">
        <v>602</v>
      </c>
      <c r="B213" s="8" t="s">
        <v>2020</v>
      </c>
      <c r="C213" s="6" t="s">
        <v>293</v>
      </c>
    </row>
    <row r="214" spans="1:3" ht="96" x14ac:dyDescent="0.25">
      <c r="A214" s="6" t="s">
        <v>3749</v>
      </c>
      <c r="B214" s="8" t="s">
        <v>3345</v>
      </c>
      <c r="C214" s="6" t="s">
        <v>294</v>
      </c>
    </row>
    <row r="215" spans="1:3" ht="72" x14ac:dyDescent="0.25">
      <c r="A215" s="6" t="s">
        <v>603</v>
      </c>
      <c r="B215" s="8" t="s">
        <v>3078</v>
      </c>
      <c r="C215" s="6"/>
    </row>
    <row r="216" spans="1:3" ht="84" x14ac:dyDescent="0.25">
      <c r="A216" s="6" t="s">
        <v>604</v>
      </c>
      <c r="B216" s="8" t="s">
        <v>3079</v>
      </c>
      <c r="C216" s="6"/>
    </row>
    <row r="217" spans="1:3" ht="72" x14ac:dyDescent="0.25">
      <c r="A217" s="6" t="s">
        <v>605</v>
      </c>
      <c r="B217" s="8" t="s">
        <v>3080</v>
      </c>
      <c r="C217" s="6"/>
    </row>
    <row r="218" spans="1:3" ht="84" x14ac:dyDescent="0.25">
      <c r="A218" s="6" t="s">
        <v>606</v>
      </c>
      <c r="B218" s="8" t="s">
        <v>3081</v>
      </c>
      <c r="C218" s="6"/>
    </row>
    <row r="219" spans="1:3" ht="96" x14ac:dyDescent="0.25">
      <c r="A219" s="6" t="s">
        <v>607</v>
      </c>
      <c r="B219" s="8" t="s">
        <v>3082</v>
      </c>
      <c r="C219" s="6"/>
    </row>
    <row r="220" spans="1:3" ht="96" x14ac:dyDescent="0.25">
      <c r="A220" s="6" t="s">
        <v>608</v>
      </c>
      <c r="B220" s="8" t="s">
        <v>3083</v>
      </c>
      <c r="C220" s="6"/>
    </row>
    <row r="221" spans="1:3" ht="96" x14ac:dyDescent="0.25">
      <c r="A221" s="6" t="s">
        <v>609</v>
      </c>
      <c r="B221" s="8" t="s">
        <v>3084</v>
      </c>
      <c r="C221" s="6"/>
    </row>
    <row r="222" spans="1:3" ht="72" x14ac:dyDescent="0.25">
      <c r="A222" s="6" t="s">
        <v>610</v>
      </c>
      <c r="B222" s="8" t="s">
        <v>3085</v>
      </c>
      <c r="C222" s="6"/>
    </row>
    <row r="223" spans="1:3" ht="60" x14ac:dyDescent="0.25">
      <c r="A223" s="6" t="s">
        <v>611</v>
      </c>
      <c r="B223" s="8" t="s">
        <v>2203</v>
      </c>
      <c r="C223" s="6"/>
    </row>
    <row r="224" spans="1:3" ht="72" x14ac:dyDescent="0.25">
      <c r="A224" s="6" t="s">
        <v>612</v>
      </c>
      <c r="B224" s="8" t="s">
        <v>2204</v>
      </c>
      <c r="C224" s="6"/>
    </row>
    <row r="225" spans="1:3" ht="60" x14ac:dyDescent="0.25">
      <c r="A225" s="6" t="s">
        <v>613</v>
      </c>
      <c r="B225" s="8" t="s">
        <v>2205</v>
      </c>
      <c r="C225" s="6"/>
    </row>
    <row r="226" spans="1:3" ht="60" x14ac:dyDescent="0.25">
      <c r="A226" s="6" t="s">
        <v>614</v>
      </c>
      <c r="B226" s="8" t="s">
        <v>2206</v>
      </c>
      <c r="C226" s="6"/>
    </row>
    <row r="227" spans="1:3" ht="84" x14ac:dyDescent="0.25">
      <c r="A227" s="6" t="s">
        <v>615</v>
      </c>
      <c r="B227" s="8" t="s">
        <v>1910</v>
      </c>
      <c r="C227" s="6" t="s">
        <v>295</v>
      </c>
    </row>
    <row r="228" spans="1:3" ht="60" x14ac:dyDescent="0.25">
      <c r="A228" s="6" t="s">
        <v>616</v>
      </c>
      <c r="B228" s="8" t="s">
        <v>1754</v>
      </c>
      <c r="C228" s="6"/>
    </row>
    <row r="229" spans="1:3" ht="84" x14ac:dyDescent="0.25">
      <c r="A229" s="6" t="s">
        <v>617</v>
      </c>
      <c r="B229" s="8" t="s">
        <v>1755</v>
      </c>
      <c r="C229" s="6"/>
    </row>
    <row r="230" spans="1:3" ht="96" x14ac:dyDescent="0.25">
      <c r="A230" s="6" t="s">
        <v>618</v>
      </c>
      <c r="B230" s="8" t="s">
        <v>1756</v>
      </c>
      <c r="C230" s="6" t="s">
        <v>296</v>
      </c>
    </row>
    <row r="231" spans="1:3" ht="60" x14ac:dyDescent="0.25">
      <c r="A231" s="6" t="s">
        <v>619</v>
      </c>
      <c r="B231" s="8" t="s">
        <v>1757</v>
      </c>
      <c r="C231" s="6" t="s">
        <v>297</v>
      </c>
    </row>
    <row r="232" spans="1:3" ht="72" x14ac:dyDescent="0.25">
      <c r="A232" s="6" t="s">
        <v>620</v>
      </c>
      <c r="B232" s="8" t="s">
        <v>1758</v>
      </c>
      <c r="C232" s="6" t="s">
        <v>298</v>
      </c>
    </row>
    <row r="233" spans="1:3" ht="36" x14ac:dyDescent="0.25">
      <c r="A233" s="6" t="s">
        <v>621</v>
      </c>
      <c r="B233" s="8" t="s">
        <v>1759</v>
      </c>
      <c r="C233" s="6"/>
    </row>
    <row r="234" spans="1:3" ht="60" x14ac:dyDescent="0.25">
      <c r="A234" s="6" t="s">
        <v>622</v>
      </c>
      <c r="B234" s="8" t="s">
        <v>1760</v>
      </c>
      <c r="C234" s="6"/>
    </row>
    <row r="235" spans="1:3" ht="48" x14ac:dyDescent="0.25">
      <c r="A235" s="6" t="s">
        <v>623</v>
      </c>
      <c r="B235" s="8" t="s">
        <v>1761</v>
      </c>
      <c r="C235" s="6"/>
    </row>
    <row r="236" spans="1:3" ht="48" x14ac:dyDescent="0.25">
      <c r="A236" s="6" t="s">
        <v>624</v>
      </c>
      <c r="B236" s="8" t="s">
        <v>2021</v>
      </c>
      <c r="C236" s="6" t="s">
        <v>299</v>
      </c>
    </row>
    <row r="237" spans="1:3" ht="48" x14ac:dyDescent="0.25">
      <c r="A237" s="6" t="s">
        <v>3750</v>
      </c>
      <c r="B237" s="8" t="s">
        <v>3346</v>
      </c>
      <c r="C237" s="6"/>
    </row>
    <row r="238" spans="1:3" ht="96" x14ac:dyDescent="0.25">
      <c r="A238" s="6" t="s">
        <v>3751</v>
      </c>
      <c r="B238" s="8" t="s">
        <v>3347</v>
      </c>
      <c r="C238" s="6" t="s">
        <v>300</v>
      </c>
    </row>
    <row r="239" spans="1:3" ht="96" x14ac:dyDescent="0.25">
      <c r="A239" s="6" t="s">
        <v>625</v>
      </c>
      <c r="B239" s="8" t="s">
        <v>2207</v>
      </c>
      <c r="C239" s="6" t="s">
        <v>301</v>
      </c>
    </row>
    <row r="240" spans="1:3" ht="72" x14ac:dyDescent="0.25">
      <c r="A240" s="6" t="s">
        <v>626</v>
      </c>
      <c r="B240" s="8" t="s">
        <v>2208</v>
      </c>
      <c r="C240" s="6"/>
    </row>
    <row r="241" spans="1:3" ht="84" x14ac:dyDescent="0.25">
      <c r="A241" s="6" t="s">
        <v>627</v>
      </c>
      <c r="B241" s="8" t="s">
        <v>2209</v>
      </c>
      <c r="C241" s="6"/>
    </row>
    <row r="242" spans="1:3" ht="84" x14ac:dyDescent="0.25">
      <c r="A242" s="6" t="s">
        <v>628</v>
      </c>
      <c r="B242" s="8" t="s">
        <v>2210</v>
      </c>
      <c r="C242" s="6"/>
    </row>
    <row r="243" spans="1:3" ht="84" x14ac:dyDescent="0.25">
      <c r="A243" s="6" t="s">
        <v>629</v>
      </c>
      <c r="B243" s="8" t="s">
        <v>2211</v>
      </c>
      <c r="C243" s="6"/>
    </row>
    <row r="244" spans="1:3" ht="84" x14ac:dyDescent="0.25">
      <c r="A244" s="6" t="s">
        <v>630</v>
      </c>
      <c r="B244" s="8" t="s">
        <v>2212</v>
      </c>
      <c r="C244" s="6"/>
    </row>
    <row r="245" spans="1:3" ht="96" x14ac:dyDescent="0.25">
      <c r="A245" s="6" t="s">
        <v>631</v>
      </c>
      <c r="B245" s="8" t="s">
        <v>3086</v>
      </c>
      <c r="C245" s="6" t="s">
        <v>302</v>
      </c>
    </row>
    <row r="246" spans="1:3" ht="96" x14ac:dyDescent="0.25">
      <c r="A246" s="6" t="s">
        <v>632</v>
      </c>
      <c r="B246" s="8" t="s">
        <v>3087</v>
      </c>
      <c r="C246" s="6"/>
    </row>
    <row r="247" spans="1:3" ht="84" x14ac:dyDescent="0.25">
      <c r="A247" s="6" t="s">
        <v>633</v>
      </c>
      <c r="B247" s="8" t="s">
        <v>3088</v>
      </c>
      <c r="C247" s="6"/>
    </row>
    <row r="248" spans="1:3" ht="48" x14ac:dyDescent="0.25">
      <c r="A248" s="6" t="s">
        <v>634</v>
      </c>
      <c r="B248" s="8" t="s">
        <v>2022</v>
      </c>
      <c r="C248" s="6" t="s">
        <v>303</v>
      </c>
    </row>
    <row r="249" spans="1:3" ht="84" x14ac:dyDescent="0.25">
      <c r="A249" s="6" t="s">
        <v>635</v>
      </c>
      <c r="B249" s="8" t="s">
        <v>1762</v>
      </c>
      <c r="C249" s="6"/>
    </row>
    <row r="250" spans="1:3" ht="60" x14ac:dyDescent="0.25">
      <c r="A250" s="6" t="s">
        <v>636</v>
      </c>
      <c r="B250" s="8" t="s">
        <v>1763</v>
      </c>
      <c r="C250" s="6" t="s">
        <v>304</v>
      </c>
    </row>
    <row r="251" spans="1:3" ht="108" x14ac:dyDescent="0.25">
      <c r="A251" s="6" t="s">
        <v>637</v>
      </c>
      <c r="B251" s="8" t="s">
        <v>2023</v>
      </c>
      <c r="C251" s="6"/>
    </row>
    <row r="252" spans="1:3" ht="72" x14ac:dyDescent="0.25">
      <c r="A252" s="6" t="s">
        <v>638</v>
      </c>
      <c r="B252" s="8" t="s">
        <v>2024</v>
      </c>
      <c r="C252" s="6" t="s">
        <v>305</v>
      </c>
    </row>
    <row r="253" spans="1:3" ht="60" x14ac:dyDescent="0.25">
      <c r="A253" s="6" t="s">
        <v>639</v>
      </c>
      <c r="B253" s="8" t="s">
        <v>1764</v>
      </c>
      <c r="C253" s="6" t="s">
        <v>306</v>
      </c>
    </row>
    <row r="254" spans="1:3" ht="24" x14ac:dyDescent="0.25">
      <c r="A254" s="6" t="s">
        <v>640</v>
      </c>
      <c r="B254" s="8" t="s">
        <v>2025</v>
      </c>
      <c r="C254" s="6"/>
    </row>
    <row r="255" spans="1:3" ht="60" x14ac:dyDescent="0.25">
      <c r="A255" s="6" t="s">
        <v>641</v>
      </c>
      <c r="B255" s="8" t="s">
        <v>2026</v>
      </c>
      <c r="C255" s="6"/>
    </row>
    <row r="256" spans="1:3" ht="36" x14ac:dyDescent="0.25">
      <c r="A256" s="6" t="s">
        <v>642</v>
      </c>
      <c r="B256" s="8" t="s">
        <v>2027</v>
      </c>
      <c r="C256" s="6" t="s">
        <v>307</v>
      </c>
    </row>
    <row r="257" spans="1:3" ht="36" x14ac:dyDescent="0.25">
      <c r="A257" s="6" t="s">
        <v>643</v>
      </c>
      <c r="B257" s="8" t="s">
        <v>1765</v>
      </c>
      <c r="C257" s="6"/>
    </row>
    <row r="258" spans="1:3" ht="60" x14ac:dyDescent="0.25">
      <c r="A258" s="6" t="s">
        <v>3752</v>
      </c>
      <c r="B258" s="8" t="s">
        <v>3348</v>
      </c>
      <c r="C258" s="6"/>
    </row>
    <row r="259" spans="1:3" ht="72" x14ac:dyDescent="0.25">
      <c r="A259" s="6" t="s">
        <v>3753</v>
      </c>
      <c r="B259" s="8" t="s">
        <v>3349</v>
      </c>
      <c r="C259" s="6"/>
    </row>
    <row r="260" spans="1:3" ht="36" x14ac:dyDescent="0.25">
      <c r="A260" s="6" t="s">
        <v>3754</v>
      </c>
      <c r="B260" s="8" t="s">
        <v>3350</v>
      </c>
      <c r="C260" s="6"/>
    </row>
    <row r="261" spans="1:3" ht="72" x14ac:dyDescent="0.25">
      <c r="A261" s="6" t="s">
        <v>3755</v>
      </c>
      <c r="B261" s="8" t="s">
        <v>3351</v>
      </c>
      <c r="C261" s="6"/>
    </row>
    <row r="262" spans="1:3" ht="96" x14ac:dyDescent="0.25">
      <c r="A262" s="6" t="s">
        <v>644</v>
      </c>
      <c r="B262" s="8" t="s">
        <v>2213</v>
      </c>
      <c r="C262" s="6" t="s">
        <v>308</v>
      </c>
    </row>
    <row r="263" spans="1:3" ht="84" x14ac:dyDescent="0.25">
      <c r="A263" s="6" t="s">
        <v>645</v>
      </c>
      <c r="B263" s="8" t="s">
        <v>3089</v>
      </c>
      <c r="C263" s="6" t="s">
        <v>309</v>
      </c>
    </row>
    <row r="264" spans="1:3" ht="60" x14ac:dyDescent="0.25">
      <c r="A264" s="6" t="s">
        <v>646</v>
      </c>
      <c r="B264" s="8" t="s">
        <v>3090</v>
      </c>
      <c r="C264" s="6"/>
    </row>
    <row r="265" spans="1:3" ht="96" x14ac:dyDescent="0.25">
      <c r="A265" s="6" t="s">
        <v>647</v>
      </c>
      <c r="B265" s="8" t="s">
        <v>3091</v>
      </c>
      <c r="C265" s="6"/>
    </row>
    <row r="266" spans="1:3" ht="60" x14ac:dyDescent="0.25">
      <c r="A266" s="6" t="s">
        <v>648</v>
      </c>
      <c r="B266" s="8" t="s">
        <v>3092</v>
      </c>
      <c r="C266" s="6"/>
    </row>
    <row r="267" spans="1:3" ht="60" x14ac:dyDescent="0.25">
      <c r="A267" s="6" t="s">
        <v>649</v>
      </c>
      <c r="B267" s="8" t="s">
        <v>2214</v>
      </c>
      <c r="C267" s="6"/>
    </row>
    <row r="268" spans="1:3" ht="84" x14ac:dyDescent="0.25">
      <c r="A268" s="6" t="s">
        <v>650</v>
      </c>
      <c r="B268" s="8" t="s">
        <v>2215</v>
      </c>
      <c r="C268" s="6"/>
    </row>
    <row r="269" spans="1:3" ht="84" x14ac:dyDescent="0.25">
      <c r="A269" s="6" t="s">
        <v>651</v>
      </c>
      <c r="B269" s="8" t="s">
        <v>2216</v>
      </c>
      <c r="C269" s="6"/>
    </row>
    <row r="270" spans="1:3" ht="72" x14ac:dyDescent="0.25">
      <c r="A270" s="6" t="s">
        <v>652</v>
      </c>
      <c r="B270" s="8" t="s">
        <v>2217</v>
      </c>
      <c r="C270" s="6"/>
    </row>
    <row r="271" spans="1:3" ht="60" x14ac:dyDescent="0.25">
      <c r="A271" s="6" t="s">
        <v>653</v>
      </c>
      <c r="B271" s="8" t="s">
        <v>2218</v>
      </c>
      <c r="C271" s="6"/>
    </row>
    <row r="272" spans="1:3" ht="60" x14ac:dyDescent="0.25">
      <c r="A272" s="6" t="s">
        <v>654</v>
      </c>
      <c r="B272" s="8" t="s">
        <v>1911</v>
      </c>
      <c r="C272" s="6"/>
    </row>
    <row r="273" spans="1:3" ht="72" x14ac:dyDescent="0.25">
      <c r="A273" s="6" t="s">
        <v>655</v>
      </c>
      <c r="B273" s="8" t="s">
        <v>1912</v>
      </c>
      <c r="C273" s="6"/>
    </row>
    <row r="274" spans="1:3" ht="60" x14ac:dyDescent="0.25">
      <c r="A274" s="6" t="s">
        <v>656</v>
      </c>
      <c r="B274" s="8" t="s">
        <v>2028</v>
      </c>
      <c r="C274" s="6" t="s">
        <v>310</v>
      </c>
    </row>
    <row r="275" spans="1:3" ht="48" x14ac:dyDescent="0.25">
      <c r="A275" s="6" t="s">
        <v>657</v>
      </c>
      <c r="B275" s="8" t="s">
        <v>2029</v>
      </c>
      <c r="C275" s="6"/>
    </row>
    <row r="276" spans="1:3" ht="36" x14ac:dyDescent="0.25">
      <c r="A276" s="6" t="s">
        <v>658</v>
      </c>
      <c r="B276" s="8" t="s">
        <v>1766</v>
      </c>
      <c r="C276" s="6"/>
    </row>
    <row r="277" spans="1:3" ht="48" x14ac:dyDescent="0.25">
      <c r="A277" s="6" t="s">
        <v>659</v>
      </c>
      <c r="B277" s="8" t="s">
        <v>1767</v>
      </c>
      <c r="C277" s="6"/>
    </row>
    <row r="278" spans="1:3" ht="84" x14ac:dyDescent="0.25">
      <c r="A278" s="6" t="s">
        <v>660</v>
      </c>
      <c r="B278" s="8" t="s">
        <v>2030</v>
      </c>
      <c r="C278" s="6" t="s">
        <v>311</v>
      </c>
    </row>
    <row r="279" spans="1:3" ht="36" x14ac:dyDescent="0.25">
      <c r="A279" s="6" t="s">
        <v>661</v>
      </c>
      <c r="B279" s="8" t="s">
        <v>2031</v>
      </c>
      <c r="C279" s="6" t="s">
        <v>264</v>
      </c>
    </row>
    <row r="280" spans="1:3" ht="84" x14ac:dyDescent="0.25">
      <c r="A280" s="6" t="s">
        <v>662</v>
      </c>
      <c r="B280" s="8" t="s">
        <v>1768</v>
      </c>
      <c r="C280" s="6" t="s">
        <v>312</v>
      </c>
    </row>
    <row r="281" spans="1:3" ht="36" x14ac:dyDescent="0.25">
      <c r="A281" s="6" t="s">
        <v>663</v>
      </c>
      <c r="B281" s="8" t="s">
        <v>2032</v>
      </c>
      <c r="C281" s="6"/>
    </row>
    <row r="282" spans="1:3" ht="84" x14ac:dyDescent="0.25">
      <c r="A282" s="6" t="s">
        <v>664</v>
      </c>
      <c r="B282" s="8" t="s">
        <v>2033</v>
      </c>
      <c r="C282" s="6"/>
    </row>
    <row r="283" spans="1:3" ht="48" x14ac:dyDescent="0.25">
      <c r="A283" s="6" t="s">
        <v>665</v>
      </c>
      <c r="B283" s="8" t="s">
        <v>1769</v>
      </c>
      <c r="C283" s="6" t="s">
        <v>313</v>
      </c>
    </row>
    <row r="284" spans="1:3" ht="72" x14ac:dyDescent="0.25">
      <c r="A284" s="6" t="s">
        <v>666</v>
      </c>
      <c r="B284" s="8" t="s">
        <v>1770</v>
      </c>
      <c r="C284" s="6"/>
    </row>
    <row r="285" spans="1:3" ht="72" x14ac:dyDescent="0.25">
      <c r="A285" s="6" t="s">
        <v>667</v>
      </c>
      <c r="B285" s="8" t="s">
        <v>2219</v>
      </c>
      <c r="C285" s="6" t="s">
        <v>314</v>
      </c>
    </row>
    <row r="286" spans="1:3" ht="48" x14ac:dyDescent="0.25">
      <c r="A286" s="6" t="s">
        <v>668</v>
      </c>
      <c r="B286" s="8" t="s">
        <v>2220</v>
      </c>
      <c r="C286" s="6"/>
    </row>
    <row r="287" spans="1:3" ht="120" x14ac:dyDescent="0.25">
      <c r="A287" s="6" t="s">
        <v>669</v>
      </c>
      <c r="B287" s="8" t="s">
        <v>3093</v>
      </c>
      <c r="C287" s="6" t="s">
        <v>315</v>
      </c>
    </row>
    <row r="288" spans="1:3" ht="96" x14ac:dyDescent="0.25">
      <c r="A288" s="6" t="s">
        <v>670</v>
      </c>
      <c r="B288" s="8" t="s">
        <v>3094</v>
      </c>
      <c r="C288" s="6"/>
    </row>
    <row r="289" spans="1:3" ht="72" x14ac:dyDescent="0.25">
      <c r="A289" s="6" t="s">
        <v>671</v>
      </c>
      <c r="B289" s="8" t="s">
        <v>3095</v>
      </c>
      <c r="C289" s="6"/>
    </row>
    <row r="290" spans="1:3" ht="72" x14ac:dyDescent="0.25">
      <c r="A290" s="6" t="s">
        <v>672</v>
      </c>
      <c r="B290" s="8" t="s">
        <v>3096</v>
      </c>
      <c r="C290" s="6"/>
    </row>
    <row r="291" spans="1:3" ht="84" x14ac:dyDescent="0.25">
      <c r="A291" s="6" t="s">
        <v>673</v>
      </c>
      <c r="B291" s="8" t="s">
        <v>1771</v>
      </c>
      <c r="C291" s="6" t="s">
        <v>316</v>
      </c>
    </row>
    <row r="292" spans="1:3" ht="72" x14ac:dyDescent="0.25">
      <c r="A292" s="6" t="s">
        <v>674</v>
      </c>
      <c r="B292" s="8" t="s">
        <v>2221</v>
      </c>
      <c r="C292" s="6"/>
    </row>
    <row r="293" spans="1:3" ht="36" x14ac:dyDescent="0.25">
      <c r="A293" s="6" t="s">
        <v>675</v>
      </c>
      <c r="B293" s="8" t="s">
        <v>2222</v>
      </c>
      <c r="C293" s="6" t="s">
        <v>317</v>
      </c>
    </row>
    <row r="294" spans="1:3" ht="48" x14ac:dyDescent="0.25">
      <c r="A294" s="6" t="s">
        <v>676</v>
      </c>
      <c r="B294" s="8" t="s">
        <v>3097</v>
      </c>
      <c r="C294" s="6"/>
    </row>
    <row r="295" spans="1:3" ht="96" x14ac:dyDescent="0.25">
      <c r="A295" s="6" t="s">
        <v>677</v>
      </c>
      <c r="B295" s="8" t="s">
        <v>2223</v>
      </c>
      <c r="C295" s="6" t="s">
        <v>318</v>
      </c>
    </row>
    <row r="296" spans="1:3" ht="84" x14ac:dyDescent="0.25">
      <c r="A296" s="6" t="s">
        <v>678</v>
      </c>
      <c r="B296" s="8" t="s">
        <v>2224</v>
      </c>
      <c r="C296" s="6" t="s">
        <v>319</v>
      </c>
    </row>
    <row r="297" spans="1:3" ht="72" x14ac:dyDescent="0.25">
      <c r="A297" s="6" t="s">
        <v>679</v>
      </c>
      <c r="B297" s="8" t="s">
        <v>2225</v>
      </c>
      <c r="C297" s="6" t="s">
        <v>320</v>
      </c>
    </row>
    <row r="298" spans="1:3" ht="72" x14ac:dyDescent="0.25">
      <c r="A298" s="6" t="s">
        <v>680</v>
      </c>
      <c r="B298" s="8" t="s">
        <v>2226</v>
      </c>
      <c r="C298" s="6"/>
    </row>
    <row r="299" spans="1:3" ht="60" x14ac:dyDescent="0.25">
      <c r="A299" s="6" t="s">
        <v>681</v>
      </c>
      <c r="B299" s="8" t="s">
        <v>2227</v>
      </c>
      <c r="C299" s="6"/>
    </row>
    <row r="300" spans="1:3" ht="72" x14ac:dyDescent="0.25">
      <c r="A300" s="6" t="s">
        <v>682</v>
      </c>
      <c r="B300" s="8" t="s">
        <v>2228</v>
      </c>
      <c r="C300" s="6"/>
    </row>
    <row r="301" spans="1:3" ht="84" x14ac:dyDescent="0.25">
      <c r="A301" s="6" t="s">
        <v>683</v>
      </c>
      <c r="B301" s="8" t="s">
        <v>2229</v>
      </c>
      <c r="C301" s="6"/>
    </row>
    <row r="302" spans="1:3" ht="60" x14ac:dyDescent="0.25">
      <c r="A302" s="6" t="s">
        <v>684</v>
      </c>
      <c r="B302" s="8" t="s">
        <v>2230</v>
      </c>
      <c r="C302" s="6"/>
    </row>
    <row r="303" spans="1:3" ht="108" x14ac:dyDescent="0.25">
      <c r="A303" s="6" t="s">
        <v>685</v>
      </c>
      <c r="B303" s="8" t="s">
        <v>2231</v>
      </c>
      <c r="C303" s="6"/>
    </row>
    <row r="304" spans="1:3" ht="60" x14ac:dyDescent="0.25">
      <c r="A304" s="6" t="s">
        <v>686</v>
      </c>
      <c r="B304" s="8" t="s">
        <v>2232</v>
      </c>
      <c r="C304" s="6"/>
    </row>
    <row r="305" spans="1:3" ht="96" x14ac:dyDescent="0.25">
      <c r="A305" s="6" t="s">
        <v>687</v>
      </c>
      <c r="B305" s="8" t="s">
        <v>3098</v>
      </c>
      <c r="C305" s="6"/>
    </row>
    <row r="306" spans="1:3" ht="72" x14ac:dyDescent="0.25">
      <c r="A306" s="6" t="s">
        <v>688</v>
      </c>
      <c r="B306" s="8" t="s">
        <v>2233</v>
      </c>
      <c r="C306" s="6" t="s">
        <v>321</v>
      </c>
    </row>
    <row r="307" spans="1:3" ht="108" x14ac:dyDescent="0.25">
      <c r="A307" s="6" t="s">
        <v>689</v>
      </c>
      <c r="B307" s="8" t="s">
        <v>3099</v>
      </c>
      <c r="C307" s="6" t="s">
        <v>322</v>
      </c>
    </row>
    <row r="308" spans="1:3" ht="60" x14ac:dyDescent="0.25">
      <c r="A308" s="6" t="s">
        <v>690</v>
      </c>
      <c r="B308" s="8" t="s">
        <v>3100</v>
      </c>
      <c r="C308" s="6" t="s">
        <v>323</v>
      </c>
    </row>
    <row r="309" spans="1:3" ht="60" x14ac:dyDescent="0.25">
      <c r="A309" s="6" t="s">
        <v>691</v>
      </c>
      <c r="B309" s="8" t="s">
        <v>3101</v>
      </c>
      <c r="C309" s="6" t="s">
        <v>324</v>
      </c>
    </row>
    <row r="310" spans="1:3" ht="48" x14ac:dyDescent="0.25">
      <c r="A310" s="6" t="s">
        <v>692</v>
      </c>
      <c r="B310" s="8" t="s">
        <v>2234</v>
      </c>
      <c r="C310" s="6"/>
    </row>
    <row r="311" spans="1:3" ht="60" x14ac:dyDescent="0.25">
      <c r="A311" s="6" t="s">
        <v>693</v>
      </c>
      <c r="B311" s="8" t="s">
        <v>2235</v>
      </c>
      <c r="C311" s="6"/>
    </row>
    <row r="312" spans="1:3" ht="96" x14ac:dyDescent="0.25">
      <c r="A312" s="6" t="s">
        <v>694</v>
      </c>
      <c r="B312" s="8" t="s">
        <v>2236</v>
      </c>
      <c r="C312" s="6" t="s">
        <v>325</v>
      </c>
    </row>
    <row r="313" spans="1:3" ht="72" x14ac:dyDescent="0.25">
      <c r="A313" s="6" t="s">
        <v>695</v>
      </c>
      <c r="B313" s="8" t="s">
        <v>2237</v>
      </c>
      <c r="C313" s="6" t="s">
        <v>326</v>
      </c>
    </row>
    <row r="314" spans="1:3" ht="60" x14ac:dyDescent="0.25">
      <c r="A314" s="6" t="s">
        <v>696</v>
      </c>
      <c r="B314" s="8" t="s">
        <v>2238</v>
      </c>
      <c r="C314" s="6"/>
    </row>
    <row r="315" spans="1:3" ht="72" x14ac:dyDescent="0.25">
      <c r="A315" s="6" t="s">
        <v>697</v>
      </c>
      <c r="B315" s="8" t="s">
        <v>2239</v>
      </c>
      <c r="C315" s="6"/>
    </row>
    <row r="316" spans="1:3" ht="72" x14ac:dyDescent="0.25">
      <c r="A316" s="6" t="s">
        <v>698</v>
      </c>
      <c r="B316" s="8" t="s">
        <v>2240</v>
      </c>
      <c r="C316" s="6" t="s">
        <v>327</v>
      </c>
    </row>
    <row r="317" spans="1:3" ht="72" x14ac:dyDescent="0.25">
      <c r="A317" s="6" t="s">
        <v>699</v>
      </c>
      <c r="B317" s="8" t="s">
        <v>2241</v>
      </c>
      <c r="C317" s="6"/>
    </row>
    <row r="318" spans="1:3" ht="72" x14ac:dyDescent="0.25">
      <c r="A318" s="6" t="s">
        <v>700</v>
      </c>
      <c r="B318" s="8" t="s">
        <v>3102</v>
      </c>
      <c r="C318" s="6"/>
    </row>
    <row r="319" spans="1:3" ht="48" x14ac:dyDescent="0.25">
      <c r="A319" s="6" t="s">
        <v>701</v>
      </c>
      <c r="B319" s="8" t="s">
        <v>2242</v>
      </c>
      <c r="C319" s="6"/>
    </row>
    <row r="320" spans="1:3" ht="72" x14ac:dyDescent="0.25">
      <c r="A320" s="6" t="s">
        <v>702</v>
      </c>
      <c r="B320" s="8" t="s">
        <v>2243</v>
      </c>
      <c r="C320" s="6" t="s">
        <v>328</v>
      </c>
    </row>
    <row r="321" spans="1:3" ht="60" x14ac:dyDescent="0.25">
      <c r="A321" s="6" t="s">
        <v>703</v>
      </c>
      <c r="B321" s="8" t="s">
        <v>2244</v>
      </c>
      <c r="C321" s="6"/>
    </row>
    <row r="322" spans="1:3" ht="60" x14ac:dyDescent="0.25">
      <c r="A322" s="6" t="s">
        <v>704</v>
      </c>
      <c r="B322" s="8" t="s">
        <v>2245</v>
      </c>
      <c r="C322" s="6"/>
    </row>
    <row r="323" spans="1:3" ht="96" x14ac:dyDescent="0.25">
      <c r="A323" s="6" t="s">
        <v>705</v>
      </c>
      <c r="B323" s="8" t="s">
        <v>3103</v>
      </c>
      <c r="C323" s="6"/>
    </row>
    <row r="324" spans="1:3" ht="60" x14ac:dyDescent="0.25">
      <c r="A324" s="6" t="s">
        <v>706</v>
      </c>
      <c r="B324" s="8" t="s">
        <v>3104</v>
      </c>
      <c r="C324" s="6"/>
    </row>
    <row r="325" spans="1:3" ht="84" x14ac:dyDescent="0.25">
      <c r="A325" s="6" t="s">
        <v>707</v>
      </c>
      <c r="B325" s="8" t="s">
        <v>2246</v>
      </c>
      <c r="C325" s="6" t="s">
        <v>329</v>
      </c>
    </row>
    <row r="326" spans="1:3" ht="84" x14ac:dyDescent="0.25">
      <c r="A326" s="6" t="s">
        <v>708</v>
      </c>
      <c r="B326" s="8" t="s">
        <v>2247</v>
      </c>
      <c r="C326" s="6" t="s">
        <v>330</v>
      </c>
    </row>
    <row r="327" spans="1:3" ht="60" x14ac:dyDescent="0.25">
      <c r="A327" s="6" t="s">
        <v>709</v>
      </c>
      <c r="B327" s="8" t="s">
        <v>2248</v>
      </c>
      <c r="C327" s="6" t="s">
        <v>331</v>
      </c>
    </row>
    <row r="328" spans="1:3" ht="60" x14ac:dyDescent="0.25">
      <c r="A328" s="6" t="s">
        <v>710</v>
      </c>
      <c r="B328" s="8" t="s">
        <v>3105</v>
      </c>
      <c r="C328" s="6"/>
    </row>
    <row r="329" spans="1:3" ht="60" x14ac:dyDescent="0.25">
      <c r="A329" s="6" t="s">
        <v>711</v>
      </c>
      <c r="B329" s="8" t="s">
        <v>3106</v>
      </c>
      <c r="C329" s="6"/>
    </row>
    <row r="330" spans="1:3" ht="108" x14ac:dyDescent="0.25">
      <c r="A330" s="6" t="s">
        <v>712</v>
      </c>
      <c r="B330" s="8" t="s">
        <v>3107</v>
      </c>
      <c r="C330" s="6"/>
    </row>
    <row r="331" spans="1:3" ht="60" x14ac:dyDescent="0.25">
      <c r="A331" s="6" t="s">
        <v>713</v>
      </c>
      <c r="B331" s="8" t="s">
        <v>2249</v>
      </c>
      <c r="C331" s="6"/>
    </row>
    <row r="332" spans="1:3" ht="60" x14ac:dyDescent="0.25">
      <c r="A332" s="6" t="s">
        <v>714</v>
      </c>
      <c r="B332" s="8" t="s">
        <v>2250</v>
      </c>
      <c r="C332" s="6"/>
    </row>
    <row r="333" spans="1:3" ht="60" x14ac:dyDescent="0.25">
      <c r="A333" s="6" t="s">
        <v>715</v>
      </c>
      <c r="B333" s="8" t="s">
        <v>2251</v>
      </c>
      <c r="C333" s="6"/>
    </row>
    <row r="334" spans="1:3" ht="96" x14ac:dyDescent="0.25">
      <c r="A334" s="6" t="s">
        <v>716</v>
      </c>
      <c r="B334" s="8" t="s">
        <v>3108</v>
      </c>
      <c r="C334" s="6"/>
    </row>
    <row r="335" spans="1:3" ht="132" x14ac:dyDescent="0.25">
      <c r="A335" s="6" t="s">
        <v>3756</v>
      </c>
      <c r="B335" s="8" t="s">
        <v>3352</v>
      </c>
      <c r="C335" s="6"/>
    </row>
    <row r="336" spans="1:3" ht="84" x14ac:dyDescent="0.25">
      <c r="A336" s="6" t="s">
        <v>3757</v>
      </c>
      <c r="B336" s="8" t="s">
        <v>3353</v>
      </c>
      <c r="C336" s="6" t="s">
        <v>332</v>
      </c>
    </row>
    <row r="337" spans="1:3" ht="120" x14ac:dyDescent="0.25">
      <c r="A337" s="6" t="s">
        <v>3758</v>
      </c>
      <c r="B337" s="8" t="s">
        <v>3354</v>
      </c>
      <c r="C337" s="6"/>
    </row>
    <row r="338" spans="1:3" ht="60" x14ac:dyDescent="0.25">
      <c r="A338" s="6" t="s">
        <v>3759</v>
      </c>
      <c r="B338" s="8" t="s">
        <v>3355</v>
      </c>
      <c r="C338" s="6"/>
    </row>
    <row r="339" spans="1:3" ht="96" x14ac:dyDescent="0.25">
      <c r="A339" s="6" t="s">
        <v>3760</v>
      </c>
      <c r="B339" s="8" t="s">
        <v>3356</v>
      </c>
      <c r="C339" s="6"/>
    </row>
    <row r="340" spans="1:3" ht="48" x14ac:dyDescent="0.25">
      <c r="A340" s="6" t="s">
        <v>3761</v>
      </c>
      <c r="B340" s="8" t="s">
        <v>3357</v>
      </c>
      <c r="C340" s="6" t="s">
        <v>333</v>
      </c>
    </row>
    <row r="341" spans="1:3" ht="132" x14ac:dyDescent="0.25">
      <c r="A341" s="6" t="s">
        <v>3762</v>
      </c>
      <c r="B341" s="8" t="s">
        <v>3358</v>
      </c>
      <c r="C341" s="6" t="s">
        <v>334</v>
      </c>
    </row>
    <row r="342" spans="1:3" ht="132" x14ac:dyDescent="0.25">
      <c r="A342" s="6" t="s">
        <v>3763</v>
      </c>
      <c r="B342" s="8" t="s">
        <v>3359</v>
      </c>
      <c r="C342" s="6"/>
    </row>
    <row r="343" spans="1:3" ht="96" x14ac:dyDescent="0.25">
      <c r="A343" s="6" t="s">
        <v>3764</v>
      </c>
      <c r="B343" s="8" t="s">
        <v>3360</v>
      </c>
      <c r="C343" s="6" t="s">
        <v>334</v>
      </c>
    </row>
    <row r="344" spans="1:3" ht="144" x14ac:dyDescent="0.25">
      <c r="A344" s="6" t="s">
        <v>3765</v>
      </c>
      <c r="B344" s="8" t="s">
        <v>3361</v>
      </c>
      <c r="C344" s="6" t="s">
        <v>334</v>
      </c>
    </row>
    <row r="345" spans="1:3" ht="84" x14ac:dyDescent="0.25">
      <c r="A345" s="6" t="s">
        <v>3766</v>
      </c>
      <c r="B345" s="8" t="s">
        <v>3362</v>
      </c>
      <c r="C345" s="6" t="s">
        <v>335</v>
      </c>
    </row>
    <row r="346" spans="1:3" ht="96" x14ac:dyDescent="0.25">
      <c r="A346" s="6" t="s">
        <v>3767</v>
      </c>
      <c r="B346" s="8" t="s">
        <v>3363</v>
      </c>
      <c r="C346" s="6" t="s">
        <v>334</v>
      </c>
    </row>
    <row r="347" spans="1:3" ht="84" x14ac:dyDescent="0.25">
      <c r="A347" s="6" t="s">
        <v>3768</v>
      </c>
      <c r="B347" s="8" t="s">
        <v>3364</v>
      </c>
      <c r="C347" s="6" t="s">
        <v>336</v>
      </c>
    </row>
    <row r="348" spans="1:3" ht="84" x14ac:dyDescent="0.25">
      <c r="A348" s="6" t="s">
        <v>717</v>
      </c>
      <c r="B348" s="8" t="s">
        <v>2034</v>
      </c>
      <c r="C348" s="6"/>
    </row>
    <row r="349" spans="1:3" ht="48" x14ac:dyDescent="0.25">
      <c r="A349" s="6" t="s">
        <v>718</v>
      </c>
      <c r="B349" s="8" t="s">
        <v>1772</v>
      </c>
      <c r="C349" s="6" t="s">
        <v>337</v>
      </c>
    </row>
    <row r="350" spans="1:3" ht="48" x14ac:dyDescent="0.25">
      <c r="A350" s="6" t="s">
        <v>719</v>
      </c>
      <c r="B350" s="8" t="s">
        <v>1773</v>
      </c>
      <c r="C350" s="6"/>
    </row>
    <row r="351" spans="1:3" ht="48" x14ac:dyDescent="0.25">
      <c r="A351" s="6" t="s">
        <v>720</v>
      </c>
      <c r="B351" s="8" t="s">
        <v>2035</v>
      </c>
      <c r="C351" s="6" t="s">
        <v>252</v>
      </c>
    </row>
    <row r="352" spans="1:3" ht="96" x14ac:dyDescent="0.25">
      <c r="A352" s="6" t="s">
        <v>721</v>
      </c>
      <c r="B352" s="8" t="s">
        <v>2036</v>
      </c>
      <c r="C352" s="6" t="s">
        <v>252</v>
      </c>
    </row>
    <row r="353" spans="1:3" ht="72" x14ac:dyDescent="0.25">
      <c r="A353" s="6" t="s">
        <v>722</v>
      </c>
      <c r="B353" s="8" t="s">
        <v>2037</v>
      </c>
      <c r="C353" s="6" t="s">
        <v>338</v>
      </c>
    </row>
    <row r="354" spans="1:3" ht="48" x14ac:dyDescent="0.25">
      <c r="A354" s="6" t="s">
        <v>723</v>
      </c>
      <c r="B354" s="8" t="s">
        <v>1774</v>
      </c>
      <c r="C354" s="6" t="s">
        <v>339</v>
      </c>
    </row>
    <row r="355" spans="1:3" ht="60" x14ac:dyDescent="0.25">
      <c r="A355" s="6" t="s">
        <v>724</v>
      </c>
      <c r="B355" s="8" t="s">
        <v>1775</v>
      </c>
      <c r="C355" s="6"/>
    </row>
    <row r="356" spans="1:3" ht="48" x14ac:dyDescent="0.25">
      <c r="A356" s="6" t="s">
        <v>725</v>
      </c>
      <c r="B356" s="8" t="s">
        <v>1776</v>
      </c>
      <c r="C356" s="6" t="s">
        <v>340</v>
      </c>
    </row>
    <row r="357" spans="1:3" ht="48" x14ac:dyDescent="0.25">
      <c r="A357" s="6" t="s">
        <v>726</v>
      </c>
      <c r="B357" s="8" t="s">
        <v>1777</v>
      </c>
      <c r="C357" s="6"/>
    </row>
    <row r="358" spans="1:3" ht="72" x14ac:dyDescent="0.25">
      <c r="A358" s="6" t="s">
        <v>3769</v>
      </c>
      <c r="B358" s="8" t="s">
        <v>3986</v>
      </c>
      <c r="C358" s="6"/>
    </row>
    <row r="359" spans="1:3" ht="72" x14ac:dyDescent="0.25">
      <c r="A359" s="6" t="s">
        <v>3770</v>
      </c>
      <c r="B359" s="8" t="s">
        <v>3365</v>
      </c>
      <c r="C359" s="6" t="s">
        <v>341</v>
      </c>
    </row>
    <row r="360" spans="1:3" ht="96" x14ac:dyDescent="0.25">
      <c r="A360" s="6" t="s">
        <v>3771</v>
      </c>
      <c r="B360" s="8" t="s">
        <v>3366</v>
      </c>
      <c r="C360" s="6"/>
    </row>
    <row r="361" spans="1:3" ht="96" x14ac:dyDescent="0.25">
      <c r="A361" s="6" t="s">
        <v>727</v>
      </c>
      <c r="B361" s="8" t="s">
        <v>3987</v>
      </c>
      <c r="C361" s="6" t="s">
        <v>342</v>
      </c>
    </row>
    <row r="362" spans="1:3" ht="84" x14ac:dyDescent="0.25">
      <c r="A362" s="6" t="s">
        <v>728</v>
      </c>
      <c r="B362" s="8" t="s">
        <v>3109</v>
      </c>
      <c r="C362" s="6"/>
    </row>
    <row r="363" spans="1:3" ht="72" x14ac:dyDescent="0.25">
      <c r="A363" s="6" t="s">
        <v>729</v>
      </c>
      <c r="B363" s="8" t="s">
        <v>3110</v>
      </c>
      <c r="C363" s="6" t="s">
        <v>343</v>
      </c>
    </row>
    <row r="364" spans="1:3" ht="72" x14ac:dyDescent="0.25">
      <c r="A364" s="6" t="s">
        <v>730</v>
      </c>
      <c r="B364" s="8" t="s">
        <v>3111</v>
      </c>
      <c r="C364" s="6"/>
    </row>
    <row r="365" spans="1:3" ht="84" x14ac:dyDescent="0.25">
      <c r="A365" s="6" t="s">
        <v>731</v>
      </c>
      <c r="B365" s="8" t="s">
        <v>3112</v>
      </c>
      <c r="C365" s="6"/>
    </row>
    <row r="366" spans="1:3" ht="84" x14ac:dyDescent="0.25">
      <c r="A366" s="6" t="s">
        <v>732</v>
      </c>
      <c r="B366" s="8" t="s">
        <v>3113</v>
      </c>
      <c r="C366" s="6"/>
    </row>
    <row r="367" spans="1:3" ht="48" x14ac:dyDescent="0.25">
      <c r="A367" s="6" t="s">
        <v>733</v>
      </c>
      <c r="B367" s="8" t="s">
        <v>2252</v>
      </c>
      <c r="C367" s="6"/>
    </row>
    <row r="368" spans="1:3" ht="72" x14ac:dyDescent="0.25">
      <c r="A368" s="6" t="s">
        <v>734</v>
      </c>
      <c r="B368" s="8" t="s">
        <v>2253</v>
      </c>
      <c r="C368" s="6"/>
    </row>
    <row r="369" spans="1:3" ht="72" x14ac:dyDescent="0.25">
      <c r="A369" s="6" t="s">
        <v>735</v>
      </c>
      <c r="B369" s="8" t="s">
        <v>2254</v>
      </c>
      <c r="C369" s="6"/>
    </row>
    <row r="370" spans="1:3" ht="72" x14ac:dyDescent="0.25">
      <c r="A370" s="6" t="s">
        <v>736</v>
      </c>
      <c r="B370" s="8" t="s">
        <v>2255</v>
      </c>
      <c r="C370" s="6" t="s">
        <v>344</v>
      </c>
    </row>
    <row r="371" spans="1:3" ht="48" x14ac:dyDescent="0.25">
      <c r="A371" s="6" t="s">
        <v>737</v>
      </c>
      <c r="B371" s="8" t="s">
        <v>2256</v>
      </c>
      <c r="C371" s="6" t="s">
        <v>345</v>
      </c>
    </row>
    <row r="372" spans="1:3" ht="72" x14ac:dyDescent="0.25">
      <c r="A372" s="6" t="s">
        <v>738</v>
      </c>
      <c r="B372" s="8" t="s">
        <v>2257</v>
      </c>
      <c r="C372" s="6"/>
    </row>
    <row r="373" spans="1:3" ht="72" x14ac:dyDescent="0.25">
      <c r="A373" s="6" t="s">
        <v>739</v>
      </c>
      <c r="B373" s="8" t="s">
        <v>2258</v>
      </c>
      <c r="C373" s="6"/>
    </row>
    <row r="374" spans="1:3" ht="84" x14ac:dyDescent="0.25">
      <c r="A374" s="6" t="s">
        <v>740</v>
      </c>
      <c r="B374" s="8" t="s">
        <v>2259</v>
      </c>
      <c r="C374" s="6" t="s">
        <v>346</v>
      </c>
    </row>
    <row r="375" spans="1:3" ht="84" x14ac:dyDescent="0.25">
      <c r="A375" s="6" t="s">
        <v>741</v>
      </c>
      <c r="B375" s="8" t="s">
        <v>2038</v>
      </c>
      <c r="C375" s="6"/>
    </row>
    <row r="376" spans="1:3" ht="48" x14ac:dyDescent="0.25">
      <c r="A376" s="6" t="s">
        <v>742</v>
      </c>
      <c r="B376" s="8" t="s">
        <v>1778</v>
      </c>
      <c r="C376" s="6"/>
    </row>
    <row r="377" spans="1:3" ht="24" x14ac:dyDescent="0.25">
      <c r="A377" s="6" t="s">
        <v>743</v>
      </c>
      <c r="B377" s="8" t="s">
        <v>1779</v>
      </c>
      <c r="C377" s="6"/>
    </row>
    <row r="378" spans="1:3" ht="60" x14ac:dyDescent="0.25">
      <c r="A378" s="6" t="s">
        <v>744</v>
      </c>
      <c r="B378" s="8" t="s">
        <v>2039</v>
      </c>
      <c r="C378" s="6"/>
    </row>
    <row r="379" spans="1:3" ht="36" x14ac:dyDescent="0.25">
      <c r="A379" s="6" t="s">
        <v>745</v>
      </c>
      <c r="B379" s="8" t="s">
        <v>1780</v>
      </c>
      <c r="C379" s="6"/>
    </row>
    <row r="380" spans="1:3" ht="96" x14ac:dyDescent="0.25">
      <c r="A380" s="6" t="s">
        <v>746</v>
      </c>
      <c r="B380" s="8" t="s">
        <v>2040</v>
      </c>
      <c r="C380" s="6" t="s">
        <v>347</v>
      </c>
    </row>
    <row r="381" spans="1:3" ht="84" x14ac:dyDescent="0.25">
      <c r="A381" s="6" t="s">
        <v>747</v>
      </c>
      <c r="B381" s="8" t="s">
        <v>2041</v>
      </c>
      <c r="C381" s="6"/>
    </row>
    <row r="382" spans="1:3" ht="72" x14ac:dyDescent="0.25">
      <c r="A382" s="6" t="s">
        <v>748</v>
      </c>
      <c r="B382" s="8" t="s">
        <v>2042</v>
      </c>
      <c r="C382" s="6"/>
    </row>
    <row r="383" spans="1:3" ht="60" x14ac:dyDescent="0.25">
      <c r="A383" s="6" t="s">
        <v>749</v>
      </c>
      <c r="B383" s="8" t="s">
        <v>1781</v>
      </c>
      <c r="C383" s="6"/>
    </row>
    <row r="384" spans="1:3" ht="36" x14ac:dyDescent="0.25">
      <c r="A384" s="6" t="s">
        <v>750</v>
      </c>
      <c r="B384" s="8" t="s">
        <v>1782</v>
      </c>
      <c r="C384" s="6"/>
    </row>
    <row r="385" spans="1:3" ht="48" x14ac:dyDescent="0.25">
      <c r="A385" s="6" t="s">
        <v>3772</v>
      </c>
      <c r="B385" s="8" t="s">
        <v>3988</v>
      </c>
      <c r="C385" s="6"/>
    </row>
    <row r="386" spans="1:3" ht="48" x14ac:dyDescent="0.25">
      <c r="A386" s="6" t="s">
        <v>3773</v>
      </c>
      <c r="B386" s="8" t="s">
        <v>3367</v>
      </c>
      <c r="C386" s="6"/>
    </row>
    <row r="387" spans="1:3" ht="84" x14ac:dyDescent="0.25">
      <c r="A387" s="6" t="s">
        <v>3774</v>
      </c>
      <c r="B387" s="8" t="s">
        <v>3368</v>
      </c>
      <c r="C387" s="6"/>
    </row>
    <row r="388" spans="1:3" ht="96" x14ac:dyDescent="0.25">
      <c r="A388" s="6" t="s">
        <v>751</v>
      </c>
      <c r="B388" s="8" t="s">
        <v>3989</v>
      </c>
      <c r="C388" s="6"/>
    </row>
    <row r="389" spans="1:3" ht="84" x14ac:dyDescent="0.25">
      <c r="A389" s="6" t="s">
        <v>752</v>
      </c>
      <c r="B389" s="8" t="s">
        <v>3114</v>
      </c>
      <c r="C389" s="6"/>
    </row>
    <row r="390" spans="1:3" ht="72" x14ac:dyDescent="0.25">
      <c r="A390" s="6" t="s">
        <v>753</v>
      </c>
      <c r="B390" s="8" t="s">
        <v>3115</v>
      </c>
      <c r="C390" s="6"/>
    </row>
    <row r="391" spans="1:3" ht="72" x14ac:dyDescent="0.25">
      <c r="A391" s="6" t="s">
        <v>754</v>
      </c>
      <c r="B391" s="8" t="s">
        <v>3116</v>
      </c>
      <c r="C391" s="6"/>
    </row>
    <row r="392" spans="1:3" ht="72" x14ac:dyDescent="0.25">
      <c r="A392" s="6" t="s">
        <v>755</v>
      </c>
      <c r="B392" s="8" t="s">
        <v>3117</v>
      </c>
      <c r="C392" s="6"/>
    </row>
    <row r="393" spans="1:3" ht="60" x14ac:dyDescent="0.25">
      <c r="A393" s="6" t="s">
        <v>756</v>
      </c>
      <c r="B393" s="8" t="s">
        <v>2260</v>
      </c>
      <c r="C393" s="6"/>
    </row>
    <row r="394" spans="1:3" ht="72" x14ac:dyDescent="0.25">
      <c r="A394" s="6" t="s">
        <v>757</v>
      </c>
      <c r="B394" s="8" t="s">
        <v>2261</v>
      </c>
      <c r="C394" s="6"/>
    </row>
    <row r="395" spans="1:3" ht="60" x14ac:dyDescent="0.25">
      <c r="A395" s="6" t="s">
        <v>758</v>
      </c>
      <c r="B395" s="8" t="s">
        <v>2262</v>
      </c>
      <c r="C395" s="6"/>
    </row>
    <row r="396" spans="1:3" ht="72" x14ac:dyDescent="0.25">
      <c r="A396" s="6" t="s">
        <v>759</v>
      </c>
      <c r="B396" s="8" t="s">
        <v>2263</v>
      </c>
      <c r="C396" s="6"/>
    </row>
    <row r="397" spans="1:3" ht="72" x14ac:dyDescent="0.25">
      <c r="A397" s="6" t="s">
        <v>760</v>
      </c>
      <c r="B397" s="8" t="s">
        <v>2264</v>
      </c>
      <c r="C397" s="6"/>
    </row>
    <row r="398" spans="1:3" ht="96" x14ac:dyDescent="0.25">
      <c r="A398" s="6" t="s">
        <v>761</v>
      </c>
      <c r="B398" s="8" t="s">
        <v>2265</v>
      </c>
      <c r="C398" s="6"/>
    </row>
    <row r="399" spans="1:3" ht="60" x14ac:dyDescent="0.25">
      <c r="A399" s="6" t="s">
        <v>762</v>
      </c>
      <c r="B399" s="8" t="s">
        <v>2266</v>
      </c>
      <c r="C399" s="6"/>
    </row>
    <row r="400" spans="1:3" ht="72" x14ac:dyDescent="0.25">
      <c r="A400" s="6" t="s">
        <v>763</v>
      </c>
      <c r="B400" s="8" t="s">
        <v>1913</v>
      </c>
      <c r="C400" s="6"/>
    </row>
    <row r="401" spans="1:3" ht="36" x14ac:dyDescent="0.25">
      <c r="A401" s="6" t="s">
        <v>764</v>
      </c>
      <c r="B401" s="8" t="s">
        <v>2043</v>
      </c>
      <c r="C401" s="6"/>
    </row>
    <row r="402" spans="1:3" ht="72" x14ac:dyDescent="0.25">
      <c r="A402" s="6" t="s">
        <v>765</v>
      </c>
      <c r="B402" s="8" t="s">
        <v>2044</v>
      </c>
      <c r="C402" s="6" t="s">
        <v>348</v>
      </c>
    </row>
    <row r="403" spans="1:3" ht="96" x14ac:dyDescent="0.25">
      <c r="A403" s="6" t="s">
        <v>766</v>
      </c>
      <c r="B403" s="8" t="s">
        <v>1783</v>
      </c>
      <c r="C403" s="6"/>
    </row>
    <row r="404" spans="1:3" ht="96" x14ac:dyDescent="0.25">
      <c r="A404" s="6" t="s">
        <v>767</v>
      </c>
      <c r="B404" s="8" t="s">
        <v>2045</v>
      </c>
      <c r="C404" s="6" t="s">
        <v>349</v>
      </c>
    </row>
    <row r="405" spans="1:3" ht="60" x14ac:dyDescent="0.25">
      <c r="A405" s="6" t="s">
        <v>768</v>
      </c>
      <c r="B405" s="8" t="s">
        <v>3990</v>
      </c>
      <c r="C405" s="6"/>
    </row>
    <row r="406" spans="1:3" ht="36" x14ac:dyDescent="0.25">
      <c r="A406" s="6" t="s">
        <v>769</v>
      </c>
      <c r="B406" s="8" t="s">
        <v>2046</v>
      </c>
      <c r="C406" s="6" t="s">
        <v>339</v>
      </c>
    </row>
    <row r="407" spans="1:3" ht="48" x14ac:dyDescent="0.25">
      <c r="A407" s="6" t="s">
        <v>770</v>
      </c>
      <c r="B407" s="8" t="s">
        <v>1784</v>
      </c>
      <c r="C407" s="6"/>
    </row>
    <row r="408" spans="1:3" ht="48" x14ac:dyDescent="0.25">
      <c r="A408" s="6" t="s">
        <v>771</v>
      </c>
      <c r="B408" s="8" t="s">
        <v>1785</v>
      </c>
      <c r="C408" s="6" t="s">
        <v>350</v>
      </c>
    </row>
    <row r="409" spans="1:3" ht="72" x14ac:dyDescent="0.25">
      <c r="A409" s="6" t="s">
        <v>772</v>
      </c>
      <c r="B409" s="8" t="s">
        <v>1786</v>
      </c>
      <c r="C409" s="6"/>
    </row>
    <row r="410" spans="1:3" ht="72" x14ac:dyDescent="0.25">
      <c r="A410" s="6" t="s">
        <v>3775</v>
      </c>
      <c r="B410" s="8" t="s">
        <v>3369</v>
      </c>
      <c r="C410" s="6"/>
    </row>
    <row r="411" spans="1:3" ht="96" x14ac:dyDescent="0.25">
      <c r="A411" s="6" t="s">
        <v>3776</v>
      </c>
      <c r="B411" s="8" t="s">
        <v>3370</v>
      </c>
      <c r="C411" s="6"/>
    </row>
    <row r="412" spans="1:3" ht="132" x14ac:dyDescent="0.25">
      <c r="A412" s="6" t="s">
        <v>773</v>
      </c>
      <c r="B412" s="8" t="s">
        <v>3118</v>
      </c>
      <c r="C412" s="6"/>
    </row>
    <row r="413" spans="1:3" ht="60" x14ac:dyDescent="0.25">
      <c r="A413" s="6" t="s">
        <v>774</v>
      </c>
      <c r="B413" s="8" t="s">
        <v>3119</v>
      </c>
      <c r="C413" s="6"/>
    </row>
    <row r="414" spans="1:3" ht="72" x14ac:dyDescent="0.25">
      <c r="A414" s="6" t="s">
        <v>775</v>
      </c>
      <c r="B414" s="8" t="s">
        <v>3120</v>
      </c>
      <c r="C414" s="6"/>
    </row>
    <row r="415" spans="1:3" ht="60" x14ac:dyDescent="0.25">
      <c r="A415" s="6" t="s">
        <v>776</v>
      </c>
      <c r="B415" s="8" t="s">
        <v>3121</v>
      </c>
      <c r="C415" s="6"/>
    </row>
    <row r="416" spans="1:3" ht="72" x14ac:dyDescent="0.25">
      <c r="A416" s="6" t="s">
        <v>777</v>
      </c>
      <c r="B416" s="8" t="s">
        <v>3122</v>
      </c>
      <c r="C416" s="6"/>
    </row>
    <row r="417" spans="1:3" ht="72" x14ac:dyDescent="0.25">
      <c r="A417" s="6" t="s">
        <v>778</v>
      </c>
      <c r="B417" s="8" t="s">
        <v>2267</v>
      </c>
      <c r="C417" s="6"/>
    </row>
    <row r="418" spans="1:3" ht="36" x14ac:dyDescent="0.25">
      <c r="A418" s="6" t="s">
        <v>779</v>
      </c>
      <c r="B418" s="8" t="s">
        <v>2268</v>
      </c>
      <c r="C418" s="6"/>
    </row>
    <row r="419" spans="1:3" ht="120" x14ac:dyDescent="0.25">
      <c r="A419" s="6" t="s">
        <v>780</v>
      </c>
      <c r="B419" s="8" t="s">
        <v>2269</v>
      </c>
      <c r="C419" s="6"/>
    </row>
    <row r="420" spans="1:3" ht="84" x14ac:dyDescent="0.25">
      <c r="A420" s="6" t="s">
        <v>781</v>
      </c>
      <c r="B420" s="8" t="s">
        <v>2270</v>
      </c>
      <c r="C420" s="6" t="s">
        <v>351</v>
      </c>
    </row>
    <row r="421" spans="1:3" ht="72" x14ac:dyDescent="0.25">
      <c r="A421" s="6" t="s">
        <v>782</v>
      </c>
      <c r="B421" s="8" t="s">
        <v>2271</v>
      </c>
      <c r="C421" s="6"/>
    </row>
    <row r="422" spans="1:3" ht="84" x14ac:dyDescent="0.25">
      <c r="A422" s="6" t="s">
        <v>783</v>
      </c>
      <c r="B422" s="8" t="s">
        <v>2272</v>
      </c>
      <c r="C422" s="6"/>
    </row>
    <row r="423" spans="1:3" ht="84" x14ac:dyDescent="0.25">
      <c r="A423" s="6" t="s">
        <v>784</v>
      </c>
      <c r="B423" s="8" t="s">
        <v>2273</v>
      </c>
      <c r="C423" s="6"/>
    </row>
    <row r="424" spans="1:3" ht="72" x14ac:dyDescent="0.25">
      <c r="A424" s="6" t="s">
        <v>785</v>
      </c>
      <c r="B424" s="8" t="s">
        <v>2047</v>
      </c>
      <c r="C424" s="6" t="s">
        <v>352</v>
      </c>
    </row>
    <row r="425" spans="1:3" ht="60" x14ac:dyDescent="0.25">
      <c r="A425" s="6" t="s">
        <v>786</v>
      </c>
      <c r="B425" s="8" t="s">
        <v>1787</v>
      </c>
      <c r="C425" s="6"/>
    </row>
    <row r="426" spans="1:3" ht="48" x14ac:dyDescent="0.25">
      <c r="A426" s="6" t="s">
        <v>787</v>
      </c>
      <c r="B426" s="8" t="s">
        <v>1788</v>
      </c>
      <c r="C426" s="6" t="s">
        <v>353</v>
      </c>
    </row>
    <row r="427" spans="1:3" ht="48" x14ac:dyDescent="0.25">
      <c r="A427" s="6" t="s">
        <v>788</v>
      </c>
      <c r="B427" s="8" t="s">
        <v>2048</v>
      </c>
      <c r="C427" s="6"/>
    </row>
    <row r="428" spans="1:3" ht="48" x14ac:dyDescent="0.25">
      <c r="A428" s="6" t="s">
        <v>789</v>
      </c>
      <c r="B428" s="8" t="s">
        <v>2049</v>
      </c>
      <c r="C428" s="6"/>
    </row>
    <row r="429" spans="1:3" ht="36" x14ac:dyDescent="0.25">
      <c r="A429" s="6" t="s">
        <v>790</v>
      </c>
      <c r="B429" s="8" t="s">
        <v>1789</v>
      </c>
      <c r="C429" s="6" t="s">
        <v>354</v>
      </c>
    </row>
    <row r="430" spans="1:3" ht="60" x14ac:dyDescent="0.25">
      <c r="A430" s="6" t="s">
        <v>791</v>
      </c>
      <c r="B430" s="8" t="s">
        <v>1790</v>
      </c>
      <c r="C430" s="6"/>
    </row>
    <row r="431" spans="1:3" ht="60" x14ac:dyDescent="0.25">
      <c r="A431" s="6" t="s">
        <v>792</v>
      </c>
      <c r="B431" s="8" t="s">
        <v>2050</v>
      </c>
      <c r="C431" s="6"/>
    </row>
    <row r="432" spans="1:3" ht="36" x14ac:dyDescent="0.25">
      <c r="A432" s="6" t="s">
        <v>793</v>
      </c>
      <c r="B432" s="8" t="s">
        <v>1791</v>
      </c>
      <c r="C432" s="6"/>
    </row>
    <row r="433" spans="1:3" ht="60" x14ac:dyDescent="0.25">
      <c r="A433" s="6" t="s">
        <v>794</v>
      </c>
      <c r="B433" s="8" t="s">
        <v>2051</v>
      </c>
      <c r="C433" s="6"/>
    </row>
    <row r="434" spans="1:3" ht="108" x14ac:dyDescent="0.25">
      <c r="A434" s="6" t="s">
        <v>3777</v>
      </c>
      <c r="B434" s="8" t="s">
        <v>3371</v>
      </c>
      <c r="C434" s="6"/>
    </row>
    <row r="435" spans="1:3" ht="96" x14ac:dyDescent="0.25">
      <c r="A435" s="6" t="s">
        <v>3778</v>
      </c>
      <c r="B435" s="8" t="s">
        <v>3372</v>
      </c>
      <c r="C435" s="6"/>
    </row>
    <row r="436" spans="1:3" ht="72" x14ac:dyDescent="0.25">
      <c r="A436" s="6" t="s">
        <v>795</v>
      </c>
      <c r="B436" s="8" t="s">
        <v>2274</v>
      </c>
      <c r="C436" s="6"/>
    </row>
    <row r="437" spans="1:3" ht="72" x14ac:dyDescent="0.25">
      <c r="A437" s="6" t="s">
        <v>796</v>
      </c>
      <c r="B437" s="8" t="s">
        <v>3123</v>
      </c>
      <c r="C437" s="6"/>
    </row>
    <row r="438" spans="1:3" ht="60" x14ac:dyDescent="0.25">
      <c r="A438" s="6" t="s">
        <v>797</v>
      </c>
      <c r="B438" s="8" t="s">
        <v>3124</v>
      </c>
      <c r="C438" s="6"/>
    </row>
    <row r="439" spans="1:3" ht="60" x14ac:dyDescent="0.25">
      <c r="A439" s="6" t="s">
        <v>798</v>
      </c>
      <c r="B439" s="8" t="s">
        <v>3125</v>
      </c>
      <c r="C439" s="6"/>
    </row>
    <row r="440" spans="1:3" ht="84" x14ac:dyDescent="0.25">
      <c r="A440" s="6" t="s">
        <v>799</v>
      </c>
      <c r="B440" s="8" t="s">
        <v>3126</v>
      </c>
      <c r="C440" s="6"/>
    </row>
    <row r="441" spans="1:3" ht="72" x14ac:dyDescent="0.25">
      <c r="A441" s="6" t="s">
        <v>800</v>
      </c>
      <c r="B441" s="8" t="s">
        <v>2275</v>
      </c>
      <c r="C441" s="6"/>
    </row>
    <row r="442" spans="1:3" ht="48" x14ac:dyDescent="0.25">
      <c r="A442" s="6" t="s">
        <v>801</v>
      </c>
      <c r="B442" s="8" t="s">
        <v>2276</v>
      </c>
      <c r="C442" s="6"/>
    </row>
    <row r="443" spans="1:3" ht="72" x14ac:dyDescent="0.25">
      <c r="A443" s="6" t="s">
        <v>802</v>
      </c>
      <c r="B443" s="8" t="s">
        <v>2277</v>
      </c>
      <c r="C443" s="6"/>
    </row>
    <row r="444" spans="1:3" ht="48" x14ac:dyDescent="0.25">
      <c r="A444" s="6" t="s">
        <v>803</v>
      </c>
      <c r="B444" s="8" t="s">
        <v>2278</v>
      </c>
      <c r="C444" s="6"/>
    </row>
    <row r="445" spans="1:3" ht="96" x14ac:dyDescent="0.25">
      <c r="A445" s="6" t="s">
        <v>804</v>
      </c>
      <c r="B445" s="8" t="s">
        <v>2279</v>
      </c>
      <c r="C445" s="6"/>
    </row>
    <row r="446" spans="1:3" ht="84" x14ac:dyDescent="0.25">
      <c r="A446" s="6" t="s">
        <v>805</v>
      </c>
      <c r="B446" s="8" t="s">
        <v>2280</v>
      </c>
      <c r="C446" s="6"/>
    </row>
    <row r="447" spans="1:3" ht="72" x14ac:dyDescent="0.25">
      <c r="A447" s="6" t="s">
        <v>806</v>
      </c>
      <c r="B447" s="8" t="s">
        <v>2281</v>
      </c>
      <c r="C447" s="6"/>
    </row>
    <row r="448" spans="1:3" ht="84" x14ac:dyDescent="0.25">
      <c r="A448" s="6" t="s">
        <v>807</v>
      </c>
      <c r="B448" s="8" t="s">
        <v>2282</v>
      </c>
      <c r="C448" s="6"/>
    </row>
    <row r="449" spans="1:3" ht="60" x14ac:dyDescent="0.25">
      <c r="A449" s="6" t="s">
        <v>808</v>
      </c>
      <c r="B449" s="8" t="s">
        <v>1914</v>
      </c>
      <c r="C449" s="6"/>
    </row>
    <row r="450" spans="1:3" ht="84" x14ac:dyDescent="0.25">
      <c r="A450" s="6" t="s">
        <v>809</v>
      </c>
      <c r="B450" s="8" t="s">
        <v>2052</v>
      </c>
      <c r="C450" s="6"/>
    </row>
    <row r="451" spans="1:3" ht="60" x14ac:dyDescent="0.25">
      <c r="A451" s="6" t="s">
        <v>810</v>
      </c>
      <c r="B451" s="8" t="s">
        <v>1792</v>
      </c>
      <c r="C451" s="6"/>
    </row>
    <row r="452" spans="1:3" ht="96" x14ac:dyDescent="0.25">
      <c r="A452" s="6" t="s">
        <v>811</v>
      </c>
      <c r="B452" s="8" t="s">
        <v>1793</v>
      </c>
      <c r="C452" s="6"/>
    </row>
    <row r="453" spans="1:3" ht="72" x14ac:dyDescent="0.25">
      <c r="A453" s="6" t="s">
        <v>812</v>
      </c>
      <c r="B453" s="8" t="s">
        <v>1794</v>
      </c>
      <c r="C453" s="6" t="s">
        <v>355</v>
      </c>
    </row>
    <row r="454" spans="1:3" ht="72" x14ac:dyDescent="0.25">
      <c r="A454" s="6" t="s">
        <v>813</v>
      </c>
      <c r="B454" s="8" t="s">
        <v>1795</v>
      </c>
      <c r="C454" s="6"/>
    </row>
    <row r="455" spans="1:3" ht="48" x14ac:dyDescent="0.25">
      <c r="A455" s="6" t="s">
        <v>814</v>
      </c>
      <c r="B455" s="8" t="s">
        <v>1796</v>
      </c>
      <c r="C455" s="6"/>
    </row>
    <row r="456" spans="1:3" ht="24" x14ac:dyDescent="0.25">
      <c r="A456" s="6" t="s">
        <v>815</v>
      </c>
      <c r="B456" s="8" t="s">
        <v>1797</v>
      </c>
      <c r="C456" s="6"/>
    </row>
    <row r="457" spans="1:3" ht="48" x14ac:dyDescent="0.25">
      <c r="A457" s="6" t="s">
        <v>816</v>
      </c>
      <c r="B457" s="8" t="s">
        <v>2053</v>
      </c>
      <c r="C457" s="6"/>
    </row>
    <row r="458" spans="1:3" ht="60" x14ac:dyDescent="0.25">
      <c r="A458" s="6" t="s">
        <v>817</v>
      </c>
      <c r="B458" s="8" t="s">
        <v>1798</v>
      </c>
      <c r="C458" s="6"/>
    </row>
    <row r="459" spans="1:3" ht="60" x14ac:dyDescent="0.25">
      <c r="A459" s="6" t="s">
        <v>3779</v>
      </c>
      <c r="B459" s="8" t="s">
        <v>3373</v>
      </c>
      <c r="C459" s="6"/>
    </row>
    <row r="460" spans="1:3" ht="36" x14ac:dyDescent="0.25">
      <c r="A460" s="6" t="s">
        <v>3780</v>
      </c>
      <c r="B460" s="8" t="s">
        <v>3374</v>
      </c>
      <c r="C460" s="6"/>
    </row>
    <row r="461" spans="1:3" ht="96" x14ac:dyDescent="0.25">
      <c r="A461" s="6" t="s">
        <v>3781</v>
      </c>
      <c r="B461" s="8" t="s">
        <v>3375</v>
      </c>
      <c r="C461" s="6"/>
    </row>
    <row r="462" spans="1:3" ht="84" x14ac:dyDescent="0.25">
      <c r="A462" s="6" t="s">
        <v>3782</v>
      </c>
      <c r="B462" s="8" t="s">
        <v>3376</v>
      </c>
      <c r="C462" s="6"/>
    </row>
    <row r="463" spans="1:3" ht="84" x14ac:dyDescent="0.25">
      <c r="A463" s="6" t="s">
        <v>3783</v>
      </c>
      <c r="B463" s="8" t="s">
        <v>3377</v>
      </c>
      <c r="C463" s="6"/>
    </row>
    <row r="464" spans="1:3" ht="84" x14ac:dyDescent="0.25">
      <c r="A464" s="6" t="s">
        <v>3784</v>
      </c>
      <c r="B464" s="8" t="s">
        <v>3378</v>
      </c>
      <c r="C464" s="6"/>
    </row>
    <row r="465" spans="1:3" ht="84" x14ac:dyDescent="0.25">
      <c r="A465" s="6" t="s">
        <v>3785</v>
      </c>
      <c r="B465" s="8" t="s">
        <v>3379</v>
      </c>
      <c r="C465" s="6"/>
    </row>
    <row r="466" spans="1:3" ht="96" x14ac:dyDescent="0.25">
      <c r="A466" s="6" t="s">
        <v>3786</v>
      </c>
      <c r="B466" s="8" t="s">
        <v>3380</v>
      </c>
      <c r="C466" s="6"/>
    </row>
    <row r="467" spans="1:3" ht="84" x14ac:dyDescent="0.25">
      <c r="A467" s="6" t="s">
        <v>818</v>
      </c>
      <c r="B467" s="8" t="s">
        <v>2283</v>
      </c>
      <c r="C467" s="6"/>
    </row>
    <row r="468" spans="1:3" ht="84" x14ac:dyDescent="0.25">
      <c r="A468" s="6" t="s">
        <v>819</v>
      </c>
      <c r="B468" s="8" t="s">
        <v>2284</v>
      </c>
      <c r="C468" s="6"/>
    </row>
    <row r="469" spans="1:3" ht="96" x14ac:dyDescent="0.25">
      <c r="A469" s="6" t="s">
        <v>820</v>
      </c>
      <c r="B469" s="8" t="s">
        <v>3127</v>
      </c>
      <c r="C469" s="6"/>
    </row>
    <row r="470" spans="1:3" ht="96" x14ac:dyDescent="0.25">
      <c r="A470" s="6" t="s">
        <v>821</v>
      </c>
      <c r="B470" s="8" t="s">
        <v>3128</v>
      </c>
      <c r="C470" s="6"/>
    </row>
    <row r="471" spans="1:3" ht="72" x14ac:dyDescent="0.25">
      <c r="A471" s="6" t="s">
        <v>822</v>
      </c>
      <c r="B471" s="8" t="s">
        <v>2285</v>
      </c>
      <c r="C471" s="6"/>
    </row>
    <row r="472" spans="1:3" ht="60" x14ac:dyDescent="0.25">
      <c r="A472" s="6" t="s">
        <v>823</v>
      </c>
      <c r="B472" s="8" t="s">
        <v>2286</v>
      </c>
      <c r="C472" s="6"/>
    </row>
    <row r="473" spans="1:3" ht="108" x14ac:dyDescent="0.25">
      <c r="A473" s="6" t="s">
        <v>824</v>
      </c>
      <c r="B473" s="8" t="s">
        <v>2287</v>
      </c>
      <c r="C473" s="6"/>
    </row>
    <row r="474" spans="1:3" ht="108" x14ac:dyDescent="0.25">
      <c r="A474" s="6" t="s">
        <v>825</v>
      </c>
      <c r="B474" s="8" t="s">
        <v>1799</v>
      </c>
      <c r="C474" s="6"/>
    </row>
    <row r="475" spans="1:3" ht="84" x14ac:dyDescent="0.25">
      <c r="A475" s="6" t="s">
        <v>826</v>
      </c>
      <c r="B475" s="8" t="s">
        <v>2288</v>
      </c>
      <c r="C475" s="6"/>
    </row>
    <row r="476" spans="1:3" ht="96" x14ac:dyDescent="0.25">
      <c r="A476" s="6" t="s">
        <v>827</v>
      </c>
      <c r="B476" s="8" t="s">
        <v>2054</v>
      </c>
      <c r="C476" s="6"/>
    </row>
    <row r="477" spans="1:3" ht="36" x14ac:dyDescent="0.25">
      <c r="A477" s="6" t="s">
        <v>828</v>
      </c>
      <c r="B477" s="8" t="s">
        <v>1800</v>
      </c>
      <c r="C477" s="6"/>
    </row>
    <row r="478" spans="1:3" ht="36" x14ac:dyDescent="0.25">
      <c r="A478" s="6" t="s">
        <v>829</v>
      </c>
      <c r="B478" s="8" t="s">
        <v>2055</v>
      </c>
      <c r="C478" s="6"/>
    </row>
    <row r="479" spans="1:3" ht="48" x14ac:dyDescent="0.25">
      <c r="A479" s="6" t="s">
        <v>830</v>
      </c>
      <c r="B479" s="8" t="s">
        <v>2056</v>
      </c>
      <c r="C479" s="6" t="s">
        <v>356</v>
      </c>
    </row>
    <row r="480" spans="1:3" ht="60" x14ac:dyDescent="0.25">
      <c r="A480" s="6" t="s">
        <v>831</v>
      </c>
      <c r="B480" s="8" t="s">
        <v>1801</v>
      </c>
      <c r="C480" s="6" t="s">
        <v>357</v>
      </c>
    </row>
    <row r="481" spans="1:3" ht="72" x14ac:dyDescent="0.25">
      <c r="A481" s="6" t="s">
        <v>832</v>
      </c>
      <c r="B481" s="8" t="s">
        <v>2057</v>
      </c>
      <c r="C481" s="6"/>
    </row>
    <row r="482" spans="1:3" ht="72" x14ac:dyDescent="0.25">
      <c r="A482" s="6" t="s">
        <v>833</v>
      </c>
      <c r="B482" s="8" t="s">
        <v>1802</v>
      </c>
      <c r="C482" s="6"/>
    </row>
    <row r="483" spans="1:3" ht="24" x14ac:dyDescent="0.25">
      <c r="A483" s="6" t="s">
        <v>834</v>
      </c>
      <c r="B483" s="8" t="s">
        <v>1803</v>
      </c>
      <c r="C483" s="6" t="s">
        <v>358</v>
      </c>
    </row>
    <row r="484" spans="1:3" ht="60" x14ac:dyDescent="0.25">
      <c r="A484" s="6" t="s">
        <v>835</v>
      </c>
      <c r="B484" s="8" t="s">
        <v>1804</v>
      </c>
      <c r="C484" s="6"/>
    </row>
    <row r="485" spans="1:3" ht="72" x14ac:dyDescent="0.25">
      <c r="A485" s="6" t="s">
        <v>836</v>
      </c>
      <c r="B485" s="8" t="s">
        <v>2058</v>
      </c>
      <c r="C485" s="6" t="s">
        <v>359</v>
      </c>
    </row>
    <row r="486" spans="1:3" ht="84" x14ac:dyDescent="0.25">
      <c r="A486" s="6" t="s">
        <v>3787</v>
      </c>
      <c r="B486" s="8" t="s">
        <v>3381</v>
      </c>
      <c r="C486" s="6"/>
    </row>
    <row r="487" spans="1:3" ht="84" x14ac:dyDescent="0.25">
      <c r="A487" s="6" t="s">
        <v>3788</v>
      </c>
      <c r="B487" s="8" t="s">
        <v>3382</v>
      </c>
      <c r="C487" s="6"/>
    </row>
    <row r="488" spans="1:3" ht="72" x14ac:dyDescent="0.25">
      <c r="A488" s="6" t="s">
        <v>3789</v>
      </c>
      <c r="B488" s="8" t="s">
        <v>3383</v>
      </c>
      <c r="C488" s="6"/>
    </row>
    <row r="489" spans="1:3" ht="84" x14ac:dyDescent="0.25">
      <c r="A489" s="6" t="s">
        <v>837</v>
      </c>
      <c r="B489" s="8" t="s">
        <v>3129</v>
      </c>
      <c r="C489" s="6" t="s">
        <v>360</v>
      </c>
    </row>
    <row r="490" spans="1:3" ht="72" x14ac:dyDescent="0.25">
      <c r="A490" s="6" t="s">
        <v>838</v>
      </c>
      <c r="B490" s="8" t="s">
        <v>3130</v>
      </c>
      <c r="C490" s="6"/>
    </row>
    <row r="491" spans="1:3" ht="60" x14ac:dyDescent="0.25">
      <c r="A491" s="6" t="s">
        <v>839</v>
      </c>
      <c r="B491" s="8" t="s">
        <v>3131</v>
      </c>
      <c r="C491" s="6"/>
    </row>
    <row r="492" spans="1:3" ht="60" x14ac:dyDescent="0.25">
      <c r="A492" s="6" t="s">
        <v>840</v>
      </c>
      <c r="B492" s="8" t="s">
        <v>2289</v>
      </c>
      <c r="C492" s="6"/>
    </row>
    <row r="493" spans="1:3" ht="84" x14ac:dyDescent="0.25">
      <c r="A493" s="6" t="s">
        <v>841</v>
      </c>
      <c r="B493" s="8" t="s">
        <v>2290</v>
      </c>
      <c r="C493" s="6"/>
    </row>
    <row r="494" spans="1:3" ht="60" x14ac:dyDescent="0.25">
      <c r="A494" s="6" t="s">
        <v>842</v>
      </c>
      <c r="B494" s="8" t="s">
        <v>2291</v>
      </c>
      <c r="C494" s="6"/>
    </row>
    <row r="495" spans="1:3" ht="60" x14ac:dyDescent="0.25">
      <c r="A495" s="6" t="s">
        <v>843</v>
      </c>
      <c r="B495" s="8" t="s">
        <v>2292</v>
      </c>
      <c r="C495" s="6"/>
    </row>
    <row r="496" spans="1:3" ht="60" x14ac:dyDescent="0.25">
      <c r="A496" s="6" t="s">
        <v>844</v>
      </c>
      <c r="B496" s="8" t="s">
        <v>2293</v>
      </c>
      <c r="C496" s="6"/>
    </row>
    <row r="497" spans="1:3" ht="48" x14ac:dyDescent="0.25">
      <c r="A497" s="6" t="s">
        <v>845</v>
      </c>
      <c r="B497" s="8" t="s">
        <v>2294</v>
      </c>
      <c r="C497" s="6"/>
    </row>
    <row r="498" spans="1:3" ht="120" x14ac:dyDescent="0.25">
      <c r="A498" s="6" t="s">
        <v>846</v>
      </c>
      <c r="B498" s="8" t="s">
        <v>2295</v>
      </c>
      <c r="C498" s="6" t="s">
        <v>361</v>
      </c>
    </row>
    <row r="499" spans="1:3" ht="84" x14ac:dyDescent="0.25">
      <c r="A499" s="6" t="s">
        <v>847</v>
      </c>
      <c r="B499" s="8" t="s">
        <v>2296</v>
      </c>
      <c r="C499" s="6"/>
    </row>
    <row r="500" spans="1:3" ht="48" x14ac:dyDescent="0.25">
      <c r="A500" s="6" t="s">
        <v>848</v>
      </c>
      <c r="B500" s="8" t="s">
        <v>2297</v>
      </c>
      <c r="C500" s="6"/>
    </row>
    <row r="501" spans="1:3" ht="60" x14ac:dyDescent="0.25">
      <c r="A501" s="6" t="s">
        <v>849</v>
      </c>
      <c r="B501" s="8" t="s">
        <v>2298</v>
      </c>
      <c r="C501" s="6"/>
    </row>
    <row r="502" spans="1:3" ht="60" x14ac:dyDescent="0.25">
      <c r="A502" s="6" t="s">
        <v>850</v>
      </c>
      <c r="B502" s="8" t="s">
        <v>1915</v>
      </c>
      <c r="C502" s="6"/>
    </row>
    <row r="503" spans="1:3" ht="60" x14ac:dyDescent="0.25">
      <c r="A503" s="6" t="s">
        <v>851</v>
      </c>
      <c r="B503" s="8" t="s">
        <v>2059</v>
      </c>
      <c r="C503" s="6"/>
    </row>
    <row r="504" spans="1:3" ht="60" x14ac:dyDescent="0.25">
      <c r="A504" s="6" t="s">
        <v>852</v>
      </c>
      <c r="B504" s="8" t="s">
        <v>1805</v>
      </c>
      <c r="C504" s="6" t="s">
        <v>362</v>
      </c>
    </row>
    <row r="505" spans="1:3" ht="48" x14ac:dyDescent="0.25">
      <c r="A505" s="6" t="s">
        <v>853</v>
      </c>
      <c r="B505" s="8" t="s">
        <v>1806</v>
      </c>
      <c r="C505" s="6"/>
    </row>
    <row r="506" spans="1:3" ht="36" x14ac:dyDescent="0.25">
      <c r="A506" s="6" t="s">
        <v>854</v>
      </c>
      <c r="B506" s="8" t="s">
        <v>1807</v>
      </c>
      <c r="C506" s="6"/>
    </row>
    <row r="507" spans="1:3" ht="36" x14ac:dyDescent="0.25">
      <c r="A507" s="6" t="s">
        <v>855</v>
      </c>
      <c r="B507" s="8" t="s">
        <v>1808</v>
      </c>
      <c r="C507" s="6"/>
    </row>
    <row r="508" spans="1:3" ht="36" x14ac:dyDescent="0.25">
      <c r="A508" s="6" t="s">
        <v>856</v>
      </c>
      <c r="B508" s="8" t="s">
        <v>1809</v>
      </c>
      <c r="C508" s="6"/>
    </row>
    <row r="509" spans="1:3" ht="36" x14ac:dyDescent="0.25">
      <c r="A509" s="6" t="s">
        <v>857</v>
      </c>
      <c r="B509" s="8" t="s">
        <v>2060</v>
      </c>
      <c r="C509" s="6" t="s">
        <v>363</v>
      </c>
    </row>
    <row r="510" spans="1:3" ht="84" x14ac:dyDescent="0.25">
      <c r="A510" s="6" t="s">
        <v>858</v>
      </c>
      <c r="B510" s="8" t="s">
        <v>2061</v>
      </c>
      <c r="C510" s="6"/>
    </row>
    <row r="511" spans="1:3" ht="60" x14ac:dyDescent="0.25">
      <c r="A511" s="6" t="s">
        <v>859</v>
      </c>
      <c r="B511" s="8" t="s">
        <v>1810</v>
      </c>
      <c r="C511" s="6"/>
    </row>
    <row r="512" spans="1:3" ht="36" x14ac:dyDescent="0.25">
      <c r="A512" s="6" t="s">
        <v>860</v>
      </c>
      <c r="B512" s="8" t="s">
        <v>2062</v>
      </c>
      <c r="C512" s="6"/>
    </row>
    <row r="513" spans="1:3" ht="36" x14ac:dyDescent="0.25">
      <c r="A513" s="6" t="s">
        <v>861</v>
      </c>
      <c r="B513" s="8" t="s">
        <v>1811</v>
      </c>
      <c r="C513" s="6"/>
    </row>
    <row r="514" spans="1:3" ht="72" x14ac:dyDescent="0.25">
      <c r="A514" s="6" t="s">
        <v>862</v>
      </c>
      <c r="B514" s="8" t="s">
        <v>2063</v>
      </c>
      <c r="C514" s="6"/>
    </row>
    <row r="515" spans="1:3" ht="72" x14ac:dyDescent="0.25">
      <c r="A515" s="6" t="s">
        <v>863</v>
      </c>
      <c r="B515" s="8" t="s">
        <v>1812</v>
      </c>
      <c r="C515" s="6" t="s">
        <v>364</v>
      </c>
    </row>
    <row r="516" spans="1:3" ht="60" x14ac:dyDescent="0.25">
      <c r="A516" s="6" t="s">
        <v>864</v>
      </c>
      <c r="B516" s="8" t="s">
        <v>2064</v>
      </c>
      <c r="C516" s="6"/>
    </row>
    <row r="517" spans="1:3" ht="72" x14ac:dyDescent="0.25">
      <c r="A517" s="6" t="s">
        <v>865</v>
      </c>
      <c r="B517" s="8" t="s">
        <v>2065</v>
      </c>
      <c r="C517" s="6" t="s">
        <v>365</v>
      </c>
    </row>
    <row r="518" spans="1:3" ht="108" x14ac:dyDescent="0.25">
      <c r="A518" s="6" t="s">
        <v>866</v>
      </c>
      <c r="B518" s="8" t="s">
        <v>2066</v>
      </c>
      <c r="C518" s="6" t="s">
        <v>366</v>
      </c>
    </row>
    <row r="519" spans="1:3" ht="60" x14ac:dyDescent="0.25">
      <c r="A519" s="6" t="s">
        <v>867</v>
      </c>
      <c r="B519" s="8" t="s">
        <v>1813</v>
      </c>
      <c r="C519" s="6"/>
    </row>
    <row r="520" spans="1:3" ht="84" x14ac:dyDescent="0.25">
      <c r="A520" s="6" t="s">
        <v>868</v>
      </c>
      <c r="B520" s="8" t="s">
        <v>2299</v>
      </c>
      <c r="C520" s="6"/>
    </row>
    <row r="521" spans="1:3" ht="84" x14ac:dyDescent="0.25">
      <c r="A521" s="6" t="s">
        <v>869</v>
      </c>
      <c r="B521" s="8" t="s">
        <v>2300</v>
      </c>
      <c r="C521" s="6"/>
    </row>
    <row r="522" spans="1:3" ht="96" x14ac:dyDescent="0.25">
      <c r="A522" s="6" t="s">
        <v>870</v>
      </c>
      <c r="B522" s="8" t="s">
        <v>3132</v>
      </c>
      <c r="C522" s="6"/>
    </row>
    <row r="523" spans="1:3" ht="48" x14ac:dyDescent="0.25">
      <c r="A523" s="6" t="s">
        <v>871</v>
      </c>
      <c r="B523" s="8" t="s">
        <v>3133</v>
      </c>
      <c r="C523" s="6"/>
    </row>
    <row r="524" spans="1:3" ht="84" x14ac:dyDescent="0.25">
      <c r="A524" s="6" t="s">
        <v>872</v>
      </c>
      <c r="B524" s="8" t="s">
        <v>3134</v>
      </c>
      <c r="C524" s="6"/>
    </row>
    <row r="525" spans="1:3" ht="84" x14ac:dyDescent="0.25">
      <c r="A525" s="6" t="s">
        <v>873</v>
      </c>
      <c r="B525" s="8" t="s">
        <v>2301</v>
      </c>
      <c r="C525" s="6"/>
    </row>
    <row r="526" spans="1:3" ht="96" x14ac:dyDescent="0.25">
      <c r="A526" s="6" t="s">
        <v>874</v>
      </c>
      <c r="B526" s="8" t="s">
        <v>2302</v>
      </c>
      <c r="C526" s="6"/>
    </row>
    <row r="527" spans="1:3" ht="84" x14ac:dyDescent="0.25">
      <c r="A527" s="6" t="s">
        <v>875</v>
      </c>
      <c r="B527" s="8" t="s">
        <v>2303</v>
      </c>
      <c r="C527" s="6"/>
    </row>
    <row r="528" spans="1:3" ht="84" x14ac:dyDescent="0.25">
      <c r="A528" s="6" t="s">
        <v>876</v>
      </c>
      <c r="B528" s="8" t="s">
        <v>2304</v>
      </c>
      <c r="C528" s="6"/>
    </row>
    <row r="529" spans="1:3" ht="84" x14ac:dyDescent="0.25">
      <c r="A529" s="6" t="s">
        <v>877</v>
      </c>
      <c r="B529" s="8" t="s">
        <v>3135</v>
      </c>
      <c r="C529" s="6"/>
    </row>
    <row r="530" spans="1:3" ht="48" x14ac:dyDescent="0.25">
      <c r="A530" s="6" t="s">
        <v>878</v>
      </c>
      <c r="B530" s="8" t="s">
        <v>3384</v>
      </c>
      <c r="C530" s="6" t="s">
        <v>367</v>
      </c>
    </row>
    <row r="531" spans="1:3" ht="96" x14ac:dyDescent="0.25">
      <c r="A531" s="6" t="s">
        <v>879</v>
      </c>
      <c r="B531" s="8" t="s">
        <v>2305</v>
      </c>
      <c r="C531" s="6"/>
    </row>
    <row r="532" spans="1:3" ht="96" x14ac:dyDescent="0.25">
      <c r="A532" s="6" t="s">
        <v>880</v>
      </c>
      <c r="B532" s="8" t="s">
        <v>2306</v>
      </c>
      <c r="C532" s="6"/>
    </row>
    <row r="533" spans="1:3" ht="84" x14ac:dyDescent="0.25">
      <c r="A533" s="6" t="s">
        <v>881</v>
      </c>
      <c r="B533" s="8" t="s">
        <v>2307</v>
      </c>
      <c r="C533" s="6"/>
    </row>
    <row r="534" spans="1:3" ht="108" x14ac:dyDescent="0.25">
      <c r="A534" s="6" t="s">
        <v>882</v>
      </c>
      <c r="B534" s="8" t="s">
        <v>3136</v>
      </c>
      <c r="C534" s="6"/>
    </row>
    <row r="535" spans="1:3" ht="108" x14ac:dyDescent="0.25">
      <c r="A535" s="6" t="s">
        <v>883</v>
      </c>
      <c r="B535" s="8" t="s">
        <v>3137</v>
      </c>
      <c r="C535" s="6"/>
    </row>
    <row r="536" spans="1:3" ht="108" x14ac:dyDescent="0.25">
      <c r="A536" s="6" t="s">
        <v>884</v>
      </c>
      <c r="B536" s="8" t="s">
        <v>3138</v>
      </c>
      <c r="C536" s="6"/>
    </row>
    <row r="537" spans="1:3" ht="48" x14ac:dyDescent="0.25">
      <c r="A537" s="6" t="s">
        <v>885</v>
      </c>
      <c r="B537" s="8" t="s">
        <v>2308</v>
      </c>
      <c r="C537" s="6"/>
    </row>
    <row r="538" spans="1:3" ht="96" x14ac:dyDescent="0.25">
      <c r="A538" s="6" t="s">
        <v>886</v>
      </c>
      <c r="B538" s="8" t="s">
        <v>2309</v>
      </c>
      <c r="C538" s="6"/>
    </row>
    <row r="539" spans="1:3" ht="84" x14ac:dyDescent="0.25">
      <c r="A539" s="6" t="s">
        <v>887</v>
      </c>
      <c r="B539" s="8" t="s">
        <v>3139</v>
      </c>
      <c r="C539" s="6"/>
    </row>
    <row r="540" spans="1:3" ht="96" x14ac:dyDescent="0.25">
      <c r="A540" s="6" t="s">
        <v>888</v>
      </c>
      <c r="B540" s="8" t="s">
        <v>3140</v>
      </c>
      <c r="C540" s="6"/>
    </row>
    <row r="541" spans="1:3" ht="60" x14ac:dyDescent="0.25">
      <c r="A541" s="6" t="s">
        <v>889</v>
      </c>
      <c r="B541" s="8" t="s">
        <v>2310</v>
      </c>
      <c r="C541" s="6"/>
    </row>
    <row r="542" spans="1:3" ht="60" x14ac:dyDescent="0.25">
      <c r="A542" s="6" t="s">
        <v>890</v>
      </c>
      <c r="B542" s="8" t="s">
        <v>2311</v>
      </c>
      <c r="C542" s="6"/>
    </row>
    <row r="543" spans="1:3" ht="72" x14ac:dyDescent="0.25">
      <c r="A543" s="6" t="s">
        <v>891</v>
      </c>
      <c r="B543" s="8" t="s">
        <v>2312</v>
      </c>
      <c r="C543" s="6"/>
    </row>
    <row r="544" spans="1:3" ht="72" x14ac:dyDescent="0.25">
      <c r="A544" s="6" t="s">
        <v>892</v>
      </c>
      <c r="B544" s="8" t="s">
        <v>2313</v>
      </c>
      <c r="C544" s="6"/>
    </row>
    <row r="545" spans="1:3" ht="84" x14ac:dyDescent="0.25">
      <c r="A545" s="6" t="s">
        <v>893</v>
      </c>
      <c r="B545" s="8" t="s">
        <v>2314</v>
      </c>
      <c r="C545" s="6"/>
    </row>
    <row r="546" spans="1:3" ht="72" x14ac:dyDescent="0.25">
      <c r="A546" s="6" t="s">
        <v>894</v>
      </c>
      <c r="B546" s="8" t="s">
        <v>2315</v>
      </c>
      <c r="C546" s="6"/>
    </row>
    <row r="547" spans="1:3" ht="84" x14ac:dyDescent="0.25">
      <c r="A547" s="6" t="s">
        <v>895</v>
      </c>
      <c r="B547" s="8" t="s">
        <v>3141</v>
      </c>
      <c r="C547" s="6"/>
    </row>
    <row r="548" spans="1:3" ht="72" x14ac:dyDescent="0.25">
      <c r="A548" s="6" t="s">
        <v>896</v>
      </c>
      <c r="B548" s="8" t="s">
        <v>3142</v>
      </c>
      <c r="C548" s="6"/>
    </row>
    <row r="549" spans="1:3" ht="48" x14ac:dyDescent="0.25">
      <c r="A549" s="6" t="s">
        <v>897</v>
      </c>
      <c r="B549" s="8" t="s">
        <v>2316</v>
      </c>
      <c r="C549" s="6"/>
    </row>
    <row r="550" spans="1:3" ht="60" x14ac:dyDescent="0.25">
      <c r="A550" s="6" t="s">
        <v>898</v>
      </c>
      <c r="B550" s="8" t="s">
        <v>2317</v>
      </c>
      <c r="C550" s="6"/>
    </row>
    <row r="551" spans="1:3" ht="84" x14ac:dyDescent="0.25">
      <c r="A551" s="6" t="s">
        <v>899</v>
      </c>
      <c r="B551" s="8" t="s">
        <v>2318</v>
      </c>
      <c r="C551" s="6"/>
    </row>
    <row r="552" spans="1:3" ht="72" x14ac:dyDescent="0.25">
      <c r="A552" s="6" t="s">
        <v>900</v>
      </c>
      <c r="B552" s="8" t="s">
        <v>2319</v>
      </c>
      <c r="C552" s="6"/>
    </row>
    <row r="553" spans="1:3" ht="84" x14ac:dyDescent="0.25">
      <c r="A553" s="6" t="s">
        <v>901</v>
      </c>
      <c r="B553" s="8" t="s">
        <v>2320</v>
      </c>
      <c r="C553" s="6"/>
    </row>
    <row r="554" spans="1:3" ht="84" x14ac:dyDescent="0.25">
      <c r="A554" s="6" t="s">
        <v>902</v>
      </c>
      <c r="B554" s="8" t="s">
        <v>2321</v>
      </c>
      <c r="C554" s="6"/>
    </row>
    <row r="555" spans="1:3" ht="72" x14ac:dyDescent="0.25">
      <c r="A555" s="6" t="s">
        <v>903</v>
      </c>
      <c r="B555" s="8" t="s">
        <v>2322</v>
      </c>
      <c r="C555" s="6"/>
    </row>
    <row r="556" spans="1:3" ht="60" x14ac:dyDescent="0.25">
      <c r="A556" s="6" t="s">
        <v>904</v>
      </c>
      <c r="B556" s="8" t="s">
        <v>2323</v>
      </c>
      <c r="C556" s="6"/>
    </row>
    <row r="557" spans="1:3" ht="108" x14ac:dyDescent="0.25">
      <c r="A557" s="6" t="s">
        <v>905</v>
      </c>
      <c r="B557" s="8" t="s">
        <v>2324</v>
      </c>
      <c r="C557" s="6"/>
    </row>
    <row r="558" spans="1:3" ht="84" x14ac:dyDescent="0.25">
      <c r="A558" s="6" t="s">
        <v>906</v>
      </c>
      <c r="B558" s="8" t="s">
        <v>2325</v>
      </c>
      <c r="C558" s="6"/>
    </row>
    <row r="559" spans="1:3" ht="72" x14ac:dyDescent="0.25">
      <c r="A559" s="6" t="s">
        <v>907</v>
      </c>
      <c r="B559" s="8" t="s">
        <v>2326</v>
      </c>
      <c r="C559" s="6"/>
    </row>
    <row r="560" spans="1:3" ht="84" x14ac:dyDescent="0.25">
      <c r="A560" s="6" t="s">
        <v>908</v>
      </c>
      <c r="B560" s="8" t="s">
        <v>3143</v>
      </c>
      <c r="C560" s="6"/>
    </row>
    <row r="561" spans="1:3" ht="48" x14ac:dyDescent="0.25">
      <c r="A561" s="6" t="s">
        <v>909</v>
      </c>
      <c r="B561" s="8" t="s">
        <v>2327</v>
      </c>
      <c r="C561" s="6"/>
    </row>
    <row r="562" spans="1:3" ht="72" x14ac:dyDescent="0.25">
      <c r="A562" s="6" t="s">
        <v>910</v>
      </c>
      <c r="B562" s="8" t="s">
        <v>2328</v>
      </c>
      <c r="C562" s="6"/>
    </row>
    <row r="563" spans="1:3" ht="84" x14ac:dyDescent="0.25">
      <c r="A563" s="6" t="s">
        <v>911</v>
      </c>
      <c r="B563" s="8" t="s">
        <v>2329</v>
      </c>
      <c r="C563" s="6"/>
    </row>
    <row r="564" spans="1:3" ht="84" x14ac:dyDescent="0.25">
      <c r="A564" s="6" t="s">
        <v>912</v>
      </c>
      <c r="B564" s="8" t="s">
        <v>2330</v>
      </c>
      <c r="C564" s="6"/>
    </row>
    <row r="565" spans="1:3" ht="72" x14ac:dyDescent="0.25">
      <c r="A565" s="6" t="s">
        <v>913</v>
      </c>
      <c r="B565" s="8" t="s">
        <v>2331</v>
      </c>
      <c r="C565" s="6"/>
    </row>
    <row r="566" spans="1:3" ht="84" x14ac:dyDescent="0.25">
      <c r="A566" s="6" t="s">
        <v>3790</v>
      </c>
      <c r="B566" s="8" t="s">
        <v>3385</v>
      </c>
      <c r="C566" s="6"/>
    </row>
    <row r="567" spans="1:3" ht="72" x14ac:dyDescent="0.25">
      <c r="A567" s="6" t="s">
        <v>3791</v>
      </c>
      <c r="B567" s="8" t="s">
        <v>3386</v>
      </c>
      <c r="C567" s="6"/>
    </row>
    <row r="568" spans="1:3" ht="132" x14ac:dyDescent="0.25">
      <c r="A568" s="6" t="s">
        <v>3792</v>
      </c>
      <c r="B568" s="8" t="s">
        <v>3387</v>
      </c>
      <c r="C568" s="6"/>
    </row>
    <row r="569" spans="1:3" ht="84" x14ac:dyDescent="0.25">
      <c r="A569" s="6" t="s">
        <v>3793</v>
      </c>
      <c r="B569" s="8" t="s">
        <v>3388</v>
      </c>
      <c r="C569" s="6"/>
    </row>
    <row r="570" spans="1:3" ht="48" x14ac:dyDescent="0.25">
      <c r="A570" s="6" t="s">
        <v>3794</v>
      </c>
      <c r="B570" s="8" t="s">
        <v>3389</v>
      </c>
      <c r="C570" s="6"/>
    </row>
    <row r="571" spans="1:3" ht="60" x14ac:dyDescent="0.25">
      <c r="A571" s="6" t="s">
        <v>3795</v>
      </c>
      <c r="B571" s="8" t="s">
        <v>3390</v>
      </c>
      <c r="C571" s="6"/>
    </row>
    <row r="572" spans="1:3" ht="72" x14ac:dyDescent="0.25">
      <c r="A572" s="6" t="s">
        <v>3796</v>
      </c>
      <c r="B572" s="8" t="s">
        <v>3391</v>
      </c>
      <c r="C572" s="6"/>
    </row>
    <row r="573" spans="1:3" ht="72" x14ac:dyDescent="0.25">
      <c r="A573" s="6" t="s">
        <v>3797</v>
      </c>
      <c r="B573" s="8" t="s">
        <v>3392</v>
      </c>
      <c r="C573" s="6"/>
    </row>
    <row r="574" spans="1:3" ht="36" x14ac:dyDescent="0.25">
      <c r="A574" s="6" t="s">
        <v>3798</v>
      </c>
      <c r="B574" s="8" t="s">
        <v>3393</v>
      </c>
      <c r="C574" s="6"/>
    </row>
    <row r="575" spans="1:3" ht="36" x14ac:dyDescent="0.25">
      <c r="A575" s="6" t="s">
        <v>3799</v>
      </c>
      <c r="B575" s="8" t="s">
        <v>3394</v>
      </c>
      <c r="C575" s="6"/>
    </row>
    <row r="576" spans="1:3" ht="36" x14ac:dyDescent="0.25">
      <c r="A576" s="6" t="s">
        <v>3800</v>
      </c>
      <c r="B576" s="8" t="s">
        <v>3395</v>
      </c>
      <c r="C576" s="6"/>
    </row>
    <row r="577" spans="1:3" ht="96" x14ac:dyDescent="0.25">
      <c r="A577" s="6" t="s">
        <v>3801</v>
      </c>
      <c r="B577" s="8" t="s">
        <v>3396</v>
      </c>
      <c r="C577" s="6"/>
    </row>
    <row r="578" spans="1:3" ht="72" x14ac:dyDescent="0.25">
      <c r="A578" s="6" t="s">
        <v>914</v>
      </c>
      <c r="B578" s="8" t="s">
        <v>1916</v>
      </c>
      <c r="C578" s="6"/>
    </row>
    <row r="579" spans="1:3" ht="48" x14ac:dyDescent="0.25">
      <c r="A579" s="6" t="s">
        <v>915</v>
      </c>
      <c r="B579" s="8" t="s">
        <v>2067</v>
      </c>
      <c r="C579" s="6"/>
    </row>
    <row r="580" spans="1:3" ht="36" x14ac:dyDescent="0.25">
      <c r="A580" s="6" t="s">
        <v>916</v>
      </c>
      <c r="B580" s="8" t="s">
        <v>1814</v>
      </c>
      <c r="C580" s="6"/>
    </row>
    <row r="581" spans="1:3" ht="48" x14ac:dyDescent="0.25">
      <c r="A581" s="6" t="s">
        <v>917</v>
      </c>
      <c r="B581" s="8" t="s">
        <v>2068</v>
      </c>
      <c r="C581" s="6"/>
    </row>
    <row r="582" spans="1:3" ht="60" x14ac:dyDescent="0.25">
      <c r="A582" s="6" t="s">
        <v>918</v>
      </c>
      <c r="B582" s="8" t="s">
        <v>2069</v>
      </c>
      <c r="C582" s="6"/>
    </row>
    <row r="583" spans="1:3" ht="48" x14ac:dyDescent="0.25">
      <c r="A583" s="6" t="s">
        <v>919</v>
      </c>
      <c r="B583" s="8" t="s">
        <v>2070</v>
      </c>
      <c r="C583" s="6"/>
    </row>
    <row r="584" spans="1:3" ht="72" x14ac:dyDescent="0.25">
      <c r="A584" s="6" t="s">
        <v>920</v>
      </c>
      <c r="B584" s="8" t="s">
        <v>2071</v>
      </c>
      <c r="C584" s="6"/>
    </row>
    <row r="585" spans="1:3" ht="48" x14ac:dyDescent="0.25">
      <c r="A585" s="6" t="s">
        <v>921</v>
      </c>
      <c r="B585" s="8" t="s">
        <v>1815</v>
      </c>
      <c r="C585" s="6"/>
    </row>
    <row r="586" spans="1:3" ht="36" x14ac:dyDescent="0.25">
      <c r="A586" s="6" t="s">
        <v>922</v>
      </c>
      <c r="B586" s="8" t="s">
        <v>2072</v>
      </c>
      <c r="C586" s="6"/>
    </row>
    <row r="587" spans="1:3" ht="48" x14ac:dyDescent="0.25">
      <c r="A587" s="6" t="s">
        <v>923</v>
      </c>
      <c r="B587" s="8" t="s">
        <v>1816</v>
      </c>
      <c r="C587" s="6" t="s">
        <v>368</v>
      </c>
    </row>
    <row r="588" spans="1:3" ht="156" x14ac:dyDescent="0.25">
      <c r="A588" s="6" t="s">
        <v>3802</v>
      </c>
      <c r="B588" s="8" t="s">
        <v>3397</v>
      </c>
      <c r="C588" s="6"/>
    </row>
    <row r="589" spans="1:3" ht="132" x14ac:dyDescent="0.25">
      <c r="A589" s="6" t="s">
        <v>3803</v>
      </c>
      <c r="B589" s="8" t="s">
        <v>3398</v>
      </c>
      <c r="C589" s="6"/>
    </row>
    <row r="590" spans="1:3" ht="84" x14ac:dyDescent="0.25">
      <c r="A590" s="6" t="s">
        <v>3804</v>
      </c>
      <c r="B590" s="8" t="s">
        <v>3399</v>
      </c>
      <c r="C590" s="6"/>
    </row>
    <row r="591" spans="1:3" ht="72" x14ac:dyDescent="0.25">
      <c r="A591" s="6" t="s">
        <v>924</v>
      </c>
      <c r="B591" s="8" t="s">
        <v>2332</v>
      </c>
      <c r="C591" s="6"/>
    </row>
    <row r="592" spans="1:3" ht="84" x14ac:dyDescent="0.25">
      <c r="A592" s="6" t="s">
        <v>925</v>
      </c>
      <c r="B592" s="8" t="s">
        <v>2333</v>
      </c>
      <c r="C592" s="6"/>
    </row>
    <row r="593" spans="1:3" ht="96" x14ac:dyDescent="0.25">
      <c r="A593" s="6" t="s">
        <v>926</v>
      </c>
      <c r="B593" s="8" t="s">
        <v>2334</v>
      </c>
      <c r="C593" s="6" t="s">
        <v>369</v>
      </c>
    </row>
    <row r="594" spans="1:3" ht="96" x14ac:dyDescent="0.25">
      <c r="A594" s="6" t="s">
        <v>927</v>
      </c>
      <c r="B594" s="8" t="s">
        <v>2335</v>
      </c>
      <c r="C594" s="6"/>
    </row>
    <row r="595" spans="1:3" ht="72" x14ac:dyDescent="0.25">
      <c r="A595" s="6" t="s">
        <v>928</v>
      </c>
      <c r="B595" s="8" t="s">
        <v>3144</v>
      </c>
      <c r="C595" s="6"/>
    </row>
    <row r="596" spans="1:3" ht="60" x14ac:dyDescent="0.25">
      <c r="A596" s="6" t="s">
        <v>929</v>
      </c>
      <c r="B596" s="8" t="s">
        <v>3145</v>
      </c>
      <c r="C596" s="6" t="s">
        <v>370</v>
      </c>
    </row>
    <row r="597" spans="1:3" ht="72" x14ac:dyDescent="0.25">
      <c r="A597" s="6" t="s">
        <v>930</v>
      </c>
      <c r="B597" s="8" t="s">
        <v>3146</v>
      </c>
      <c r="C597" s="6"/>
    </row>
    <row r="598" spans="1:3" ht="72" x14ac:dyDescent="0.25">
      <c r="A598" s="6" t="s">
        <v>931</v>
      </c>
      <c r="B598" s="8" t="s">
        <v>3147</v>
      </c>
      <c r="C598" s="6"/>
    </row>
    <row r="599" spans="1:3" ht="72" x14ac:dyDescent="0.25">
      <c r="A599" s="6" t="s">
        <v>932</v>
      </c>
      <c r="B599" s="8" t="s">
        <v>3148</v>
      </c>
      <c r="C599" s="6"/>
    </row>
    <row r="600" spans="1:3" ht="48" x14ac:dyDescent="0.25">
      <c r="A600" s="6" t="s">
        <v>933</v>
      </c>
      <c r="B600" s="8" t="s">
        <v>2336</v>
      </c>
      <c r="C600" s="6"/>
    </row>
    <row r="601" spans="1:3" ht="60" x14ac:dyDescent="0.25">
      <c r="A601" s="6" t="s">
        <v>934</v>
      </c>
      <c r="B601" s="8" t="s">
        <v>2337</v>
      </c>
      <c r="C601" s="6"/>
    </row>
    <row r="602" spans="1:3" ht="48" x14ac:dyDescent="0.25">
      <c r="A602" s="6" t="s">
        <v>935</v>
      </c>
      <c r="B602" s="8" t="s">
        <v>2338</v>
      </c>
      <c r="C602" s="6"/>
    </row>
    <row r="603" spans="1:3" ht="60" x14ac:dyDescent="0.25">
      <c r="A603" s="6" t="s">
        <v>936</v>
      </c>
      <c r="B603" s="8" t="s">
        <v>1817</v>
      </c>
      <c r="C603" s="6"/>
    </row>
    <row r="604" spans="1:3" ht="84" x14ac:dyDescent="0.25">
      <c r="A604" s="6" t="s">
        <v>937</v>
      </c>
      <c r="B604" s="8" t="s">
        <v>1818</v>
      </c>
      <c r="C604" s="6"/>
    </row>
    <row r="605" spans="1:3" ht="60" x14ac:dyDescent="0.25">
      <c r="A605" s="6" t="s">
        <v>938</v>
      </c>
      <c r="B605" s="8" t="s">
        <v>1819</v>
      </c>
      <c r="C605" s="6"/>
    </row>
    <row r="606" spans="1:3" ht="72" x14ac:dyDescent="0.25">
      <c r="A606" s="6" t="s">
        <v>939</v>
      </c>
      <c r="B606" s="8" t="s">
        <v>2339</v>
      </c>
      <c r="C606" s="6"/>
    </row>
    <row r="607" spans="1:3" ht="84" x14ac:dyDescent="0.25">
      <c r="A607" s="6" t="s">
        <v>940</v>
      </c>
      <c r="B607" s="8" t="s">
        <v>2340</v>
      </c>
      <c r="C607" s="6"/>
    </row>
    <row r="608" spans="1:3" ht="36" x14ac:dyDescent="0.25">
      <c r="A608" s="6" t="s">
        <v>941</v>
      </c>
      <c r="B608" s="8" t="s">
        <v>2341</v>
      </c>
      <c r="C608" s="6" t="s">
        <v>371</v>
      </c>
    </row>
    <row r="609" spans="1:3" ht="48" x14ac:dyDescent="0.25">
      <c r="A609" s="6" t="s">
        <v>942</v>
      </c>
      <c r="B609" s="8" t="s">
        <v>2073</v>
      </c>
      <c r="C609" s="6"/>
    </row>
    <row r="610" spans="1:3" ht="60" x14ac:dyDescent="0.25">
      <c r="A610" s="6" t="s">
        <v>943</v>
      </c>
      <c r="B610" s="8" t="s">
        <v>1820</v>
      </c>
      <c r="C610" s="6"/>
    </row>
    <row r="611" spans="1:3" ht="48" x14ac:dyDescent="0.25">
      <c r="A611" s="6" t="s">
        <v>944</v>
      </c>
      <c r="B611" s="8" t="s">
        <v>2074</v>
      </c>
      <c r="C611" s="6"/>
    </row>
    <row r="612" spans="1:3" ht="60" x14ac:dyDescent="0.25">
      <c r="A612" s="6" t="s">
        <v>945</v>
      </c>
      <c r="B612" s="8" t="s">
        <v>2075</v>
      </c>
      <c r="C612" s="6"/>
    </row>
    <row r="613" spans="1:3" ht="60" x14ac:dyDescent="0.25">
      <c r="A613" s="6" t="s">
        <v>946</v>
      </c>
      <c r="B613" s="8" t="s">
        <v>2076</v>
      </c>
      <c r="C613" s="6"/>
    </row>
    <row r="614" spans="1:3" ht="48" x14ac:dyDescent="0.25">
      <c r="A614" s="6" t="s">
        <v>947</v>
      </c>
      <c r="B614" s="8" t="s">
        <v>1821</v>
      </c>
      <c r="C614" s="6"/>
    </row>
    <row r="615" spans="1:3" ht="48" x14ac:dyDescent="0.25">
      <c r="A615" s="6" t="s">
        <v>948</v>
      </c>
      <c r="B615" s="8" t="s">
        <v>2077</v>
      </c>
      <c r="C615" s="6"/>
    </row>
    <row r="616" spans="1:3" ht="72" x14ac:dyDescent="0.25">
      <c r="A616" s="6" t="s">
        <v>949</v>
      </c>
      <c r="B616" s="8" t="s">
        <v>2078</v>
      </c>
      <c r="C616" s="6"/>
    </row>
    <row r="617" spans="1:3" ht="60" x14ac:dyDescent="0.25">
      <c r="A617" s="6" t="s">
        <v>950</v>
      </c>
      <c r="B617" s="8" t="s">
        <v>2079</v>
      </c>
      <c r="C617" s="6"/>
    </row>
    <row r="618" spans="1:3" ht="72" x14ac:dyDescent="0.25">
      <c r="A618" s="6" t="s">
        <v>951</v>
      </c>
      <c r="B618" s="8" t="s">
        <v>1822</v>
      </c>
      <c r="C618" s="6" t="s">
        <v>372</v>
      </c>
    </row>
    <row r="619" spans="1:3" ht="60" x14ac:dyDescent="0.25">
      <c r="A619" s="6" t="s">
        <v>3805</v>
      </c>
      <c r="B619" s="8" t="s">
        <v>3400</v>
      </c>
      <c r="C619" s="6"/>
    </row>
    <row r="620" spans="1:3" ht="36" x14ac:dyDescent="0.25">
      <c r="A620" s="6" t="s">
        <v>3806</v>
      </c>
      <c r="B620" s="8" t="s">
        <v>3401</v>
      </c>
      <c r="C620" s="6"/>
    </row>
    <row r="621" spans="1:3" ht="108" x14ac:dyDescent="0.25">
      <c r="A621" s="6" t="s">
        <v>952</v>
      </c>
      <c r="B621" s="8" t="s">
        <v>2342</v>
      </c>
      <c r="C621" s="6"/>
    </row>
    <row r="622" spans="1:3" ht="96" x14ac:dyDescent="0.25">
      <c r="A622" s="6" t="s">
        <v>3807</v>
      </c>
      <c r="B622" s="8" t="s">
        <v>3402</v>
      </c>
      <c r="C622" s="6"/>
    </row>
    <row r="623" spans="1:3" ht="72" x14ac:dyDescent="0.25">
      <c r="A623" s="6" t="s">
        <v>953</v>
      </c>
      <c r="B623" s="8" t="s">
        <v>2343</v>
      </c>
      <c r="C623" s="6"/>
    </row>
    <row r="624" spans="1:3" ht="96" x14ac:dyDescent="0.25">
      <c r="A624" s="6" t="s">
        <v>954</v>
      </c>
      <c r="B624" s="8" t="s">
        <v>2344</v>
      </c>
      <c r="C624" s="6"/>
    </row>
    <row r="625" spans="1:3" ht="84" x14ac:dyDescent="0.25">
      <c r="A625" s="6" t="s">
        <v>955</v>
      </c>
      <c r="B625" s="8" t="s">
        <v>2345</v>
      </c>
      <c r="C625" s="6"/>
    </row>
    <row r="626" spans="1:3" ht="72" x14ac:dyDescent="0.25">
      <c r="A626" s="6" t="s">
        <v>956</v>
      </c>
      <c r="B626" s="8" t="s">
        <v>2346</v>
      </c>
      <c r="C626" s="6"/>
    </row>
    <row r="627" spans="1:3" ht="72" x14ac:dyDescent="0.25">
      <c r="A627" s="6" t="s">
        <v>957</v>
      </c>
      <c r="B627" s="8" t="s">
        <v>3149</v>
      </c>
      <c r="C627" s="6"/>
    </row>
    <row r="628" spans="1:3" ht="72" x14ac:dyDescent="0.25">
      <c r="A628" s="6" t="s">
        <v>958</v>
      </c>
      <c r="B628" s="8" t="s">
        <v>3150</v>
      </c>
      <c r="C628" s="6"/>
    </row>
    <row r="629" spans="1:3" ht="84" x14ac:dyDescent="0.25">
      <c r="A629" s="6" t="s">
        <v>959</v>
      </c>
      <c r="B629" s="8" t="s">
        <v>3151</v>
      </c>
      <c r="C629" s="6"/>
    </row>
    <row r="630" spans="1:3" ht="60" x14ac:dyDescent="0.25">
      <c r="A630" s="6" t="s">
        <v>960</v>
      </c>
      <c r="B630" s="8" t="s">
        <v>2347</v>
      </c>
      <c r="C630" s="6"/>
    </row>
    <row r="631" spans="1:3" ht="72" x14ac:dyDescent="0.25">
      <c r="A631" s="6" t="s">
        <v>961</v>
      </c>
      <c r="B631" s="8" t="s">
        <v>2348</v>
      </c>
      <c r="C631" s="6"/>
    </row>
    <row r="632" spans="1:3" ht="60" x14ac:dyDescent="0.25">
      <c r="A632" s="6" t="s">
        <v>962</v>
      </c>
      <c r="B632" s="8" t="s">
        <v>2349</v>
      </c>
      <c r="C632" s="6"/>
    </row>
    <row r="633" spans="1:3" ht="72" x14ac:dyDescent="0.25">
      <c r="A633" s="6" t="s">
        <v>963</v>
      </c>
      <c r="B633" s="8" t="s">
        <v>1917</v>
      </c>
      <c r="C633" s="6"/>
    </row>
    <row r="634" spans="1:3" ht="72" x14ac:dyDescent="0.25">
      <c r="A634" s="6" t="s">
        <v>964</v>
      </c>
      <c r="B634" s="8" t="s">
        <v>2080</v>
      </c>
      <c r="C634" s="6"/>
    </row>
    <row r="635" spans="1:3" ht="60" x14ac:dyDescent="0.25">
      <c r="A635" s="6" t="s">
        <v>965</v>
      </c>
      <c r="B635" s="8" t="s">
        <v>2081</v>
      </c>
      <c r="C635" s="6"/>
    </row>
    <row r="636" spans="1:3" ht="108" x14ac:dyDescent="0.25">
      <c r="A636" s="6" t="s">
        <v>966</v>
      </c>
      <c r="B636" s="8" t="s">
        <v>2082</v>
      </c>
      <c r="C636" s="6"/>
    </row>
    <row r="637" spans="1:3" ht="48" x14ac:dyDescent="0.25">
      <c r="A637" s="6" t="s">
        <v>967</v>
      </c>
      <c r="B637" s="8" t="s">
        <v>1823</v>
      </c>
      <c r="C637" s="6"/>
    </row>
    <row r="638" spans="1:3" ht="84" x14ac:dyDescent="0.25">
      <c r="A638" s="6" t="s">
        <v>968</v>
      </c>
      <c r="B638" s="8" t="s">
        <v>1824</v>
      </c>
      <c r="C638" s="6"/>
    </row>
    <row r="639" spans="1:3" ht="72" x14ac:dyDescent="0.25">
      <c r="A639" s="6" t="s">
        <v>969</v>
      </c>
      <c r="B639" s="8" t="s">
        <v>1825</v>
      </c>
      <c r="C639" s="6"/>
    </row>
    <row r="640" spans="1:3" ht="72" x14ac:dyDescent="0.25">
      <c r="A640" s="6" t="s">
        <v>970</v>
      </c>
      <c r="B640" s="8" t="s">
        <v>1826</v>
      </c>
      <c r="C640" s="6"/>
    </row>
    <row r="641" spans="1:3" ht="96" x14ac:dyDescent="0.25">
      <c r="A641" s="6" t="s">
        <v>971</v>
      </c>
      <c r="B641" s="8" t="s">
        <v>1827</v>
      </c>
      <c r="C641" s="6"/>
    </row>
    <row r="642" spans="1:3" ht="48" x14ac:dyDescent="0.25">
      <c r="A642" s="6" t="s">
        <v>972</v>
      </c>
      <c r="B642" s="8" t="s">
        <v>1828</v>
      </c>
      <c r="C642" s="6"/>
    </row>
    <row r="643" spans="1:3" ht="144" x14ac:dyDescent="0.25">
      <c r="A643" s="6" t="s">
        <v>3808</v>
      </c>
      <c r="B643" s="8" t="s">
        <v>3403</v>
      </c>
      <c r="C643" s="6"/>
    </row>
    <row r="644" spans="1:3" ht="96" x14ac:dyDescent="0.25">
      <c r="A644" s="6" t="s">
        <v>3809</v>
      </c>
      <c r="B644" s="8" t="s">
        <v>3404</v>
      </c>
      <c r="C644" s="6"/>
    </row>
    <row r="645" spans="1:3" ht="72" x14ac:dyDescent="0.25">
      <c r="A645" s="6" t="s">
        <v>973</v>
      </c>
      <c r="B645" s="8" t="s">
        <v>2350</v>
      </c>
      <c r="C645" s="6"/>
    </row>
    <row r="646" spans="1:3" ht="72" x14ac:dyDescent="0.25">
      <c r="A646" s="6" t="s">
        <v>974</v>
      </c>
      <c r="B646" s="8" t="s">
        <v>2351</v>
      </c>
      <c r="C646" s="6"/>
    </row>
    <row r="647" spans="1:3" ht="84" x14ac:dyDescent="0.25">
      <c r="A647" s="6" t="s">
        <v>975</v>
      </c>
      <c r="B647" s="8" t="s">
        <v>2352</v>
      </c>
      <c r="C647" s="6"/>
    </row>
    <row r="648" spans="1:3" ht="96" x14ac:dyDescent="0.25">
      <c r="A648" s="6" t="s">
        <v>976</v>
      </c>
      <c r="B648" s="8" t="s">
        <v>2353</v>
      </c>
      <c r="C648" s="6"/>
    </row>
    <row r="649" spans="1:3" ht="84" x14ac:dyDescent="0.25">
      <c r="A649" s="6" t="s">
        <v>977</v>
      </c>
      <c r="B649" s="8" t="s">
        <v>2354</v>
      </c>
      <c r="C649" s="6"/>
    </row>
    <row r="650" spans="1:3" ht="84" x14ac:dyDescent="0.25">
      <c r="A650" s="6" t="s">
        <v>978</v>
      </c>
      <c r="B650" s="8" t="s">
        <v>2355</v>
      </c>
      <c r="C650" s="6"/>
    </row>
    <row r="651" spans="1:3" ht="72" x14ac:dyDescent="0.25">
      <c r="A651" s="6" t="s">
        <v>979</v>
      </c>
      <c r="B651" s="8" t="s">
        <v>2356</v>
      </c>
      <c r="C651" s="6"/>
    </row>
    <row r="652" spans="1:3" ht="84" x14ac:dyDescent="0.25">
      <c r="A652" s="6" t="s">
        <v>980</v>
      </c>
      <c r="B652" s="8" t="s">
        <v>3152</v>
      </c>
      <c r="C652" s="6"/>
    </row>
    <row r="653" spans="1:3" ht="96" x14ac:dyDescent="0.25">
      <c r="A653" s="6" t="s">
        <v>981</v>
      </c>
      <c r="B653" s="8" t="s">
        <v>3153</v>
      </c>
      <c r="C653" s="6"/>
    </row>
    <row r="654" spans="1:3" ht="84" x14ac:dyDescent="0.25">
      <c r="A654" s="6" t="s">
        <v>982</v>
      </c>
      <c r="B654" s="8" t="s">
        <v>3154</v>
      </c>
      <c r="C654" s="6"/>
    </row>
    <row r="655" spans="1:3" ht="72" x14ac:dyDescent="0.25">
      <c r="A655" s="6" t="s">
        <v>983</v>
      </c>
      <c r="B655" s="8" t="s">
        <v>2357</v>
      </c>
      <c r="C655" s="6"/>
    </row>
    <row r="656" spans="1:3" ht="84" x14ac:dyDescent="0.25">
      <c r="A656" s="6" t="s">
        <v>984</v>
      </c>
      <c r="B656" s="8" t="s">
        <v>2358</v>
      </c>
      <c r="C656" s="6"/>
    </row>
    <row r="657" spans="1:3" ht="72" x14ac:dyDescent="0.25">
      <c r="A657" s="6" t="s">
        <v>985</v>
      </c>
      <c r="B657" s="8" t="s">
        <v>2359</v>
      </c>
      <c r="C657" s="6"/>
    </row>
    <row r="658" spans="1:3" ht="60" x14ac:dyDescent="0.25">
      <c r="A658" s="6" t="s">
        <v>986</v>
      </c>
      <c r="B658" s="8" t="s">
        <v>2083</v>
      </c>
      <c r="C658" s="6"/>
    </row>
    <row r="659" spans="1:3" ht="48" x14ac:dyDescent="0.25">
      <c r="A659" s="6" t="s">
        <v>987</v>
      </c>
      <c r="B659" s="8" t="s">
        <v>1829</v>
      </c>
      <c r="C659" s="6"/>
    </row>
    <row r="660" spans="1:3" ht="36" x14ac:dyDescent="0.25">
      <c r="A660" s="6" t="s">
        <v>988</v>
      </c>
      <c r="B660" s="8" t="s">
        <v>1830</v>
      </c>
      <c r="C660" s="6"/>
    </row>
    <row r="661" spans="1:3" ht="96" x14ac:dyDescent="0.25">
      <c r="A661" s="6" t="s">
        <v>989</v>
      </c>
      <c r="B661" s="8" t="s">
        <v>2084</v>
      </c>
      <c r="C661" s="6"/>
    </row>
    <row r="662" spans="1:3" ht="72" x14ac:dyDescent="0.25">
      <c r="A662" s="6" t="s">
        <v>990</v>
      </c>
      <c r="B662" s="8" t="s">
        <v>2085</v>
      </c>
      <c r="C662" s="6"/>
    </row>
    <row r="663" spans="1:3" ht="60" x14ac:dyDescent="0.25">
      <c r="A663" s="6" t="s">
        <v>991</v>
      </c>
      <c r="B663" s="8" t="s">
        <v>2086</v>
      </c>
      <c r="C663" s="6"/>
    </row>
    <row r="664" spans="1:3" ht="108" x14ac:dyDescent="0.25">
      <c r="A664" s="6" t="s">
        <v>992</v>
      </c>
      <c r="B664" s="8" t="s">
        <v>2087</v>
      </c>
      <c r="C664" s="6"/>
    </row>
    <row r="665" spans="1:3" ht="60" x14ac:dyDescent="0.25">
      <c r="A665" s="6" t="s">
        <v>993</v>
      </c>
      <c r="B665" s="8" t="s">
        <v>1831</v>
      </c>
      <c r="C665" s="6"/>
    </row>
    <row r="666" spans="1:3" ht="48" x14ac:dyDescent="0.25">
      <c r="A666" s="6" t="s">
        <v>994</v>
      </c>
      <c r="B666" s="8" t="s">
        <v>1832</v>
      </c>
      <c r="C666" s="6"/>
    </row>
    <row r="667" spans="1:3" ht="84" x14ac:dyDescent="0.25">
      <c r="A667" s="6" t="s">
        <v>995</v>
      </c>
      <c r="B667" s="8" t="s">
        <v>1833</v>
      </c>
      <c r="C667" s="6"/>
    </row>
    <row r="668" spans="1:3" ht="96" x14ac:dyDescent="0.25">
      <c r="A668" s="6" t="s">
        <v>3810</v>
      </c>
      <c r="B668" s="8" t="s">
        <v>3405</v>
      </c>
      <c r="C668" s="6"/>
    </row>
    <row r="669" spans="1:3" ht="84" x14ac:dyDescent="0.25">
      <c r="A669" s="6" t="s">
        <v>996</v>
      </c>
      <c r="B669" s="8" t="s">
        <v>2360</v>
      </c>
      <c r="C669" s="6"/>
    </row>
    <row r="670" spans="1:3" ht="96" x14ac:dyDescent="0.25">
      <c r="A670" s="6" t="s">
        <v>997</v>
      </c>
      <c r="B670" s="8" t="s">
        <v>2361</v>
      </c>
      <c r="C670" s="6"/>
    </row>
    <row r="671" spans="1:3" ht="84" x14ac:dyDescent="0.25">
      <c r="A671" s="6" t="s">
        <v>998</v>
      </c>
      <c r="B671" s="8" t="s">
        <v>2362</v>
      </c>
      <c r="C671" s="6"/>
    </row>
    <row r="672" spans="1:3" ht="60" x14ac:dyDescent="0.25">
      <c r="A672" s="6" t="s">
        <v>999</v>
      </c>
      <c r="B672" s="8" t="s">
        <v>2363</v>
      </c>
      <c r="C672" s="6"/>
    </row>
    <row r="673" spans="1:3" ht="108" x14ac:dyDescent="0.25">
      <c r="A673" s="6" t="s">
        <v>1000</v>
      </c>
      <c r="B673" s="8" t="s">
        <v>3155</v>
      </c>
      <c r="C673" s="6"/>
    </row>
    <row r="674" spans="1:3" ht="96" x14ac:dyDescent="0.25">
      <c r="A674" s="6" t="s">
        <v>1001</v>
      </c>
      <c r="B674" s="8" t="s">
        <v>3156</v>
      </c>
      <c r="C674" s="6"/>
    </row>
    <row r="675" spans="1:3" ht="108" x14ac:dyDescent="0.25">
      <c r="A675" s="6" t="s">
        <v>1002</v>
      </c>
      <c r="B675" s="8" t="s">
        <v>3157</v>
      </c>
      <c r="C675" s="6"/>
    </row>
    <row r="676" spans="1:3" ht="120" x14ac:dyDescent="0.25">
      <c r="A676" s="6" t="s">
        <v>1003</v>
      </c>
      <c r="B676" s="8" t="s">
        <v>3158</v>
      </c>
      <c r="C676" s="6"/>
    </row>
    <row r="677" spans="1:3" ht="96" x14ac:dyDescent="0.25">
      <c r="A677" s="6" t="s">
        <v>1004</v>
      </c>
      <c r="B677" s="8" t="s">
        <v>3159</v>
      </c>
      <c r="C677" s="6"/>
    </row>
    <row r="678" spans="1:3" ht="96" x14ac:dyDescent="0.25">
      <c r="A678" s="6" t="s">
        <v>1005</v>
      </c>
      <c r="B678" s="8" t="s">
        <v>3160</v>
      </c>
      <c r="C678" s="6"/>
    </row>
    <row r="679" spans="1:3" ht="108" x14ac:dyDescent="0.25">
      <c r="A679" s="6" t="s">
        <v>1006</v>
      </c>
      <c r="B679" s="8" t="s">
        <v>3161</v>
      </c>
      <c r="C679" s="6"/>
    </row>
    <row r="680" spans="1:3" ht="96" x14ac:dyDescent="0.25">
      <c r="A680" s="6" t="s">
        <v>1007</v>
      </c>
      <c r="B680" s="8" t="s">
        <v>3162</v>
      </c>
      <c r="C680" s="6"/>
    </row>
    <row r="681" spans="1:3" ht="84" x14ac:dyDescent="0.25">
      <c r="A681" s="6" t="s">
        <v>1008</v>
      </c>
      <c r="B681" s="8" t="s">
        <v>2364</v>
      </c>
      <c r="C681" s="6"/>
    </row>
    <row r="682" spans="1:3" ht="60" x14ac:dyDescent="0.25">
      <c r="A682" s="6" t="s">
        <v>1009</v>
      </c>
      <c r="B682" s="8" t="s">
        <v>2365</v>
      </c>
      <c r="C682" s="6"/>
    </row>
    <row r="683" spans="1:3" ht="60" x14ac:dyDescent="0.25">
      <c r="A683" s="6" t="s">
        <v>1010</v>
      </c>
      <c r="B683" s="8" t="s">
        <v>2366</v>
      </c>
      <c r="C683" s="6"/>
    </row>
    <row r="684" spans="1:3" ht="60" x14ac:dyDescent="0.25">
      <c r="A684" s="6" t="s">
        <v>1011</v>
      </c>
      <c r="B684" s="8" t="s">
        <v>3406</v>
      </c>
      <c r="C684" s="6"/>
    </row>
    <row r="685" spans="1:3" ht="60" x14ac:dyDescent="0.25">
      <c r="A685" s="6" t="s">
        <v>1012</v>
      </c>
      <c r="B685" s="8" t="s">
        <v>3407</v>
      </c>
      <c r="C685" s="6"/>
    </row>
    <row r="686" spans="1:3" ht="84" x14ac:dyDescent="0.25">
      <c r="A686" s="6" t="s">
        <v>1013</v>
      </c>
      <c r="B686" s="8" t="s">
        <v>3408</v>
      </c>
      <c r="C686" s="6"/>
    </row>
    <row r="687" spans="1:3" ht="60" x14ac:dyDescent="0.25">
      <c r="A687" s="6" t="s">
        <v>1014</v>
      </c>
      <c r="B687" s="8" t="s">
        <v>3409</v>
      </c>
      <c r="C687" s="6"/>
    </row>
    <row r="688" spans="1:3" ht="24" x14ac:dyDescent="0.25">
      <c r="A688" s="6" t="s">
        <v>1015</v>
      </c>
      <c r="B688" s="8" t="s">
        <v>3410</v>
      </c>
      <c r="C688" s="6"/>
    </row>
    <row r="689" spans="1:3" ht="72" x14ac:dyDescent="0.25">
      <c r="A689" s="6" t="s">
        <v>1016</v>
      </c>
      <c r="B689" s="8" t="s">
        <v>3411</v>
      </c>
      <c r="C689" s="6"/>
    </row>
    <row r="690" spans="1:3" ht="48" x14ac:dyDescent="0.25">
      <c r="A690" s="6" t="s">
        <v>1017</v>
      </c>
      <c r="B690" s="8" t="s">
        <v>3412</v>
      </c>
      <c r="C690" s="6"/>
    </row>
    <row r="691" spans="1:3" ht="60" x14ac:dyDescent="0.25">
      <c r="A691" s="6" t="s">
        <v>1018</v>
      </c>
      <c r="B691" s="8" t="s">
        <v>3413</v>
      </c>
      <c r="C691" s="6"/>
    </row>
    <row r="692" spans="1:3" ht="60" x14ac:dyDescent="0.25">
      <c r="A692" s="6" t="s">
        <v>1019</v>
      </c>
      <c r="B692" s="8" t="s">
        <v>3414</v>
      </c>
      <c r="C692" s="6"/>
    </row>
    <row r="693" spans="1:3" ht="36" x14ac:dyDescent="0.25">
      <c r="A693" s="6" t="s">
        <v>1020</v>
      </c>
      <c r="B693" s="8" t="s">
        <v>3415</v>
      </c>
      <c r="C693" s="6"/>
    </row>
    <row r="694" spans="1:3" ht="96" x14ac:dyDescent="0.25">
      <c r="A694" s="6" t="s">
        <v>3811</v>
      </c>
      <c r="B694" s="8" t="s">
        <v>3416</v>
      </c>
      <c r="C694" s="6"/>
    </row>
    <row r="695" spans="1:3" ht="84" x14ac:dyDescent="0.25">
      <c r="A695" s="6" t="s">
        <v>3812</v>
      </c>
      <c r="B695" s="8" t="s">
        <v>3417</v>
      </c>
      <c r="C695" s="6"/>
    </row>
    <row r="696" spans="1:3" ht="84" x14ac:dyDescent="0.25">
      <c r="A696" s="6" t="s">
        <v>1021</v>
      </c>
      <c r="B696" s="8" t="s">
        <v>3418</v>
      </c>
      <c r="C696" s="6"/>
    </row>
    <row r="697" spans="1:3" ht="72" x14ac:dyDescent="0.25">
      <c r="A697" s="6" t="s">
        <v>1022</v>
      </c>
      <c r="B697" s="8" t="s">
        <v>3419</v>
      </c>
      <c r="C697" s="6"/>
    </row>
    <row r="698" spans="1:3" ht="84" x14ac:dyDescent="0.25">
      <c r="A698" s="6" t="s">
        <v>1023</v>
      </c>
      <c r="B698" s="8" t="s">
        <v>3420</v>
      </c>
      <c r="C698" s="6"/>
    </row>
    <row r="699" spans="1:3" ht="60" x14ac:dyDescent="0.25">
      <c r="A699" s="6" t="s">
        <v>1024</v>
      </c>
      <c r="B699" s="8" t="s">
        <v>3421</v>
      </c>
      <c r="C699" s="6"/>
    </row>
    <row r="700" spans="1:3" ht="84" x14ac:dyDescent="0.25">
      <c r="A700" s="6" t="s">
        <v>1025</v>
      </c>
      <c r="B700" s="8" t="s">
        <v>3422</v>
      </c>
      <c r="C700" s="6"/>
    </row>
    <row r="701" spans="1:3" ht="48" x14ac:dyDescent="0.25">
      <c r="A701" s="6" t="s">
        <v>1026</v>
      </c>
      <c r="B701" s="8" t="s">
        <v>3423</v>
      </c>
      <c r="C701" s="6"/>
    </row>
    <row r="702" spans="1:3" ht="60" x14ac:dyDescent="0.25">
      <c r="A702" s="6" t="s">
        <v>1027</v>
      </c>
      <c r="B702" s="8" t="s">
        <v>3424</v>
      </c>
      <c r="C702" s="6"/>
    </row>
    <row r="703" spans="1:3" ht="48" x14ac:dyDescent="0.25">
      <c r="A703" s="6" t="s">
        <v>1028</v>
      </c>
      <c r="B703" s="8" t="s">
        <v>3425</v>
      </c>
      <c r="C703" s="6"/>
    </row>
    <row r="704" spans="1:3" ht="60" x14ac:dyDescent="0.25">
      <c r="A704" s="6" t="s">
        <v>1029</v>
      </c>
      <c r="B704" s="8" t="s">
        <v>3426</v>
      </c>
      <c r="C704" s="6"/>
    </row>
    <row r="705" spans="1:3" ht="72" x14ac:dyDescent="0.25">
      <c r="A705" s="6" t="s">
        <v>1030</v>
      </c>
      <c r="B705" s="8" t="s">
        <v>3427</v>
      </c>
      <c r="C705" s="6"/>
    </row>
    <row r="706" spans="1:3" ht="48" x14ac:dyDescent="0.25">
      <c r="A706" s="6" t="s">
        <v>1031</v>
      </c>
      <c r="B706" s="8" t="s">
        <v>3428</v>
      </c>
      <c r="C706" s="6"/>
    </row>
    <row r="707" spans="1:3" ht="60" x14ac:dyDescent="0.25">
      <c r="A707" s="6" t="s">
        <v>1032</v>
      </c>
      <c r="B707" s="8" t="s">
        <v>3429</v>
      </c>
      <c r="C707" s="6"/>
    </row>
    <row r="708" spans="1:3" ht="72" x14ac:dyDescent="0.25">
      <c r="A708" s="6" t="s">
        <v>1033</v>
      </c>
      <c r="B708" s="8" t="s">
        <v>3430</v>
      </c>
      <c r="C708" s="6"/>
    </row>
    <row r="709" spans="1:3" ht="72" x14ac:dyDescent="0.25">
      <c r="A709" s="6" t="s">
        <v>1034</v>
      </c>
      <c r="B709" s="8" t="s">
        <v>3431</v>
      </c>
      <c r="C709" s="6"/>
    </row>
    <row r="710" spans="1:3" ht="60" x14ac:dyDescent="0.25">
      <c r="A710" s="6" t="s">
        <v>1035</v>
      </c>
      <c r="B710" s="8" t="s">
        <v>3432</v>
      </c>
      <c r="C710" s="6"/>
    </row>
    <row r="711" spans="1:3" ht="60" x14ac:dyDescent="0.25">
      <c r="A711" s="6" t="s">
        <v>1036</v>
      </c>
      <c r="B711" s="8" t="s">
        <v>2088</v>
      </c>
      <c r="C711" s="6"/>
    </row>
    <row r="712" spans="1:3" ht="60" x14ac:dyDescent="0.25">
      <c r="A712" s="6" t="s">
        <v>1037</v>
      </c>
      <c r="B712" s="8" t="s">
        <v>1834</v>
      </c>
      <c r="C712" s="6"/>
    </row>
    <row r="713" spans="1:3" ht="60" x14ac:dyDescent="0.25">
      <c r="A713" s="6" t="s">
        <v>1038</v>
      </c>
      <c r="B713" s="8" t="s">
        <v>2089</v>
      </c>
      <c r="C713" s="6"/>
    </row>
    <row r="714" spans="1:3" ht="60" x14ac:dyDescent="0.25">
      <c r="A714" s="6" t="s">
        <v>1039</v>
      </c>
      <c r="B714" s="8" t="s">
        <v>2090</v>
      </c>
      <c r="C714" s="6"/>
    </row>
    <row r="715" spans="1:3" ht="36" x14ac:dyDescent="0.25">
      <c r="A715" s="6" t="s">
        <v>1040</v>
      </c>
      <c r="B715" s="8" t="s">
        <v>1835</v>
      </c>
      <c r="C715" s="6"/>
    </row>
    <row r="716" spans="1:3" ht="60" x14ac:dyDescent="0.25">
      <c r="A716" s="6" t="s">
        <v>1041</v>
      </c>
      <c r="B716" s="8" t="s">
        <v>1836</v>
      </c>
      <c r="C716" s="6"/>
    </row>
    <row r="717" spans="1:3" ht="48" x14ac:dyDescent="0.25">
      <c r="A717" s="6" t="s">
        <v>1042</v>
      </c>
      <c r="B717" s="8" t="s">
        <v>2091</v>
      </c>
      <c r="C717" s="6"/>
    </row>
    <row r="718" spans="1:3" ht="72" x14ac:dyDescent="0.25">
      <c r="A718" s="6" t="s">
        <v>1043</v>
      </c>
      <c r="B718" s="8" t="s">
        <v>1837</v>
      </c>
      <c r="C718" s="6"/>
    </row>
    <row r="719" spans="1:3" ht="108" x14ac:dyDescent="0.25">
      <c r="A719" s="6" t="s">
        <v>1044</v>
      </c>
      <c r="B719" s="8" t="s">
        <v>2092</v>
      </c>
      <c r="C719" s="6"/>
    </row>
    <row r="720" spans="1:3" ht="60" x14ac:dyDescent="0.25">
      <c r="A720" s="6" t="s">
        <v>1045</v>
      </c>
      <c r="B720" s="8" t="s">
        <v>1838</v>
      </c>
      <c r="C720" s="6"/>
    </row>
    <row r="721" spans="1:3" ht="72" x14ac:dyDescent="0.25">
      <c r="A721" s="6" t="s">
        <v>3813</v>
      </c>
      <c r="B721" s="8" t="s">
        <v>3433</v>
      </c>
      <c r="C721" s="6"/>
    </row>
    <row r="722" spans="1:3" ht="48" x14ac:dyDescent="0.25">
      <c r="A722" s="6" t="s">
        <v>3814</v>
      </c>
      <c r="B722" s="8" t="s">
        <v>3434</v>
      </c>
      <c r="C722" s="6"/>
    </row>
    <row r="723" spans="1:3" ht="108" x14ac:dyDescent="0.25">
      <c r="A723" s="6" t="s">
        <v>3815</v>
      </c>
      <c r="B723" s="8" t="s">
        <v>3435</v>
      </c>
      <c r="C723" s="6"/>
    </row>
    <row r="724" spans="1:3" ht="96" x14ac:dyDescent="0.25">
      <c r="A724" s="6" t="s">
        <v>1046</v>
      </c>
      <c r="B724" s="8" t="s">
        <v>2367</v>
      </c>
      <c r="C724" s="6"/>
    </row>
    <row r="725" spans="1:3" ht="84" x14ac:dyDescent="0.25">
      <c r="A725" s="6" t="s">
        <v>1047</v>
      </c>
      <c r="B725" s="8" t="s">
        <v>2368</v>
      </c>
      <c r="C725" s="6"/>
    </row>
    <row r="726" spans="1:3" ht="84" x14ac:dyDescent="0.25">
      <c r="A726" s="6" t="s">
        <v>1048</v>
      </c>
      <c r="B726" s="8" t="s">
        <v>2369</v>
      </c>
      <c r="C726" s="6"/>
    </row>
    <row r="727" spans="1:3" ht="96" x14ac:dyDescent="0.25">
      <c r="A727" s="6" t="s">
        <v>1049</v>
      </c>
      <c r="B727" s="8" t="s">
        <v>2370</v>
      </c>
      <c r="C727" s="6"/>
    </row>
    <row r="728" spans="1:3" ht="60" x14ac:dyDescent="0.25">
      <c r="A728" s="6" t="s">
        <v>1050</v>
      </c>
      <c r="B728" s="8" t="s">
        <v>2371</v>
      </c>
      <c r="C728" s="6" t="s">
        <v>373</v>
      </c>
    </row>
    <row r="729" spans="1:3" ht="108" x14ac:dyDescent="0.25">
      <c r="A729" s="6" t="s">
        <v>1051</v>
      </c>
      <c r="B729" s="8" t="s">
        <v>2372</v>
      </c>
      <c r="C729" s="6"/>
    </row>
    <row r="730" spans="1:3" ht="72" x14ac:dyDescent="0.25">
      <c r="A730" s="6" t="s">
        <v>1052</v>
      </c>
      <c r="B730" s="8" t="s">
        <v>2373</v>
      </c>
      <c r="C730" s="6"/>
    </row>
    <row r="731" spans="1:3" ht="96" x14ac:dyDescent="0.25">
      <c r="A731" s="6" t="s">
        <v>1053</v>
      </c>
      <c r="B731" s="8" t="s">
        <v>3163</v>
      </c>
      <c r="C731" s="6"/>
    </row>
    <row r="732" spans="1:3" ht="84" x14ac:dyDescent="0.25">
      <c r="A732" s="6" t="s">
        <v>1054</v>
      </c>
      <c r="B732" s="8" t="s">
        <v>3164</v>
      </c>
      <c r="C732" s="6"/>
    </row>
    <row r="733" spans="1:3" ht="48" x14ac:dyDescent="0.25">
      <c r="A733" s="6" t="s">
        <v>1055</v>
      </c>
      <c r="B733" s="8" t="s">
        <v>3165</v>
      </c>
      <c r="C733" s="6"/>
    </row>
    <row r="734" spans="1:3" ht="48" x14ac:dyDescent="0.25">
      <c r="A734" s="6" t="s">
        <v>1056</v>
      </c>
      <c r="B734" s="8" t="s">
        <v>2374</v>
      </c>
      <c r="C734" s="6"/>
    </row>
    <row r="735" spans="1:3" ht="72" x14ac:dyDescent="0.25">
      <c r="A735" s="6" t="s">
        <v>1057</v>
      </c>
      <c r="B735" s="8" t="s">
        <v>2375</v>
      </c>
      <c r="C735" s="6"/>
    </row>
    <row r="736" spans="1:3" ht="60" x14ac:dyDescent="0.25">
      <c r="A736" s="6" t="s">
        <v>1058</v>
      </c>
      <c r="B736" s="8" t="s">
        <v>2376</v>
      </c>
      <c r="C736" s="6"/>
    </row>
    <row r="737" spans="1:3" ht="72" x14ac:dyDescent="0.25">
      <c r="A737" s="6" t="s">
        <v>1059</v>
      </c>
      <c r="B737" s="8" t="s">
        <v>2377</v>
      </c>
      <c r="C737" s="6"/>
    </row>
    <row r="738" spans="1:3" ht="60" x14ac:dyDescent="0.25">
      <c r="A738" s="6" t="s">
        <v>3991</v>
      </c>
      <c r="B738" s="8" t="s">
        <v>3992</v>
      </c>
      <c r="C738" s="6"/>
    </row>
    <row r="739" spans="1:3" ht="60" x14ac:dyDescent="0.25">
      <c r="A739" s="6" t="s">
        <v>1060</v>
      </c>
      <c r="B739" s="8" t="s">
        <v>1918</v>
      </c>
      <c r="C739" s="6"/>
    </row>
    <row r="740" spans="1:3" ht="84" x14ac:dyDescent="0.25">
      <c r="A740" s="6" t="s">
        <v>1061</v>
      </c>
      <c r="B740" s="8" t="s">
        <v>1839</v>
      </c>
      <c r="C740" s="6"/>
    </row>
    <row r="741" spans="1:3" ht="60" x14ac:dyDescent="0.25">
      <c r="A741" s="6" t="s">
        <v>1062</v>
      </c>
      <c r="B741" s="8" t="s">
        <v>1840</v>
      </c>
      <c r="C741" s="6"/>
    </row>
    <row r="742" spans="1:3" ht="72" x14ac:dyDescent="0.25">
      <c r="A742" s="6" t="s">
        <v>1063</v>
      </c>
      <c r="B742" s="8" t="s">
        <v>2093</v>
      </c>
      <c r="C742" s="6"/>
    </row>
    <row r="743" spans="1:3" ht="60" x14ac:dyDescent="0.25">
      <c r="A743" s="6" t="s">
        <v>1064</v>
      </c>
      <c r="B743" s="8" t="s">
        <v>1841</v>
      </c>
      <c r="C743" s="6"/>
    </row>
    <row r="744" spans="1:3" ht="72" x14ac:dyDescent="0.25">
      <c r="A744" s="6" t="s">
        <v>1065</v>
      </c>
      <c r="B744" s="8" t="s">
        <v>1842</v>
      </c>
      <c r="C744" s="6"/>
    </row>
    <row r="745" spans="1:3" ht="60" x14ac:dyDescent="0.25">
      <c r="A745" s="6" t="s">
        <v>1066</v>
      </c>
      <c r="B745" s="8" t="s">
        <v>2094</v>
      </c>
      <c r="C745" s="6"/>
    </row>
    <row r="746" spans="1:3" ht="72" x14ac:dyDescent="0.25">
      <c r="A746" s="6" t="s">
        <v>1067</v>
      </c>
      <c r="B746" s="8" t="s">
        <v>2095</v>
      </c>
      <c r="C746" s="6"/>
    </row>
    <row r="747" spans="1:3" ht="60" x14ac:dyDescent="0.25">
      <c r="A747" s="6" t="s">
        <v>1068</v>
      </c>
      <c r="B747" s="8" t="s">
        <v>1843</v>
      </c>
      <c r="C747" s="6"/>
    </row>
    <row r="748" spans="1:3" ht="36" x14ac:dyDescent="0.25">
      <c r="A748" s="6" t="s">
        <v>1069</v>
      </c>
      <c r="B748" s="8" t="s">
        <v>1844</v>
      </c>
      <c r="C748" s="6"/>
    </row>
    <row r="749" spans="1:3" ht="36" x14ac:dyDescent="0.25">
      <c r="A749" s="6" t="s">
        <v>1070</v>
      </c>
      <c r="B749" s="8" t="s">
        <v>1845</v>
      </c>
      <c r="C749" s="6"/>
    </row>
    <row r="750" spans="1:3" ht="60" x14ac:dyDescent="0.25">
      <c r="A750" s="6" t="s">
        <v>1071</v>
      </c>
      <c r="B750" s="8" t="s">
        <v>1846</v>
      </c>
      <c r="C750" s="6"/>
    </row>
    <row r="751" spans="1:3" ht="60" x14ac:dyDescent="0.25">
      <c r="A751" s="6" t="s">
        <v>1072</v>
      </c>
      <c r="B751" s="8" t="s">
        <v>1972</v>
      </c>
      <c r="C751" s="6"/>
    </row>
    <row r="752" spans="1:3" ht="48" x14ac:dyDescent="0.25">
      <c r="A752" s="6" t="s">
        <v>1073</v>
      </c>
      <c r="B752" s="8" t="s">
        <v>1847</v>
      </c>
      <c r="C752" s="6"/>
    </row>
    <row r="753" spans="1:3" ht="84" x14ac:dyDescent="0.25">
      <c r="A753" s="6" t="s">
        <v>1074</v>
      </c>
      <c r="B753" s="8" t="s">
        <v>3436</v>
      </c>
      <c r="C753" s="6"/>
    </row>
    <row r="754" spans="1:3" ht="84" x14ac:dyDescent="0.25">
      <c r="A754" s="6" t="s">
        <v>1075</v>
      </c>
      <c r="B754" s="8" t="s">
        <v>3166</v>
      </c>
      <c r="C754" s="6"/>
    </row>
    <row r="755" spans="1:3" ht="96" x14ac:dyDescent="0.25">
      <c r="A755" s="6" t="s">
        <v>1076</v>
      </c>
      <c r="B755" s="8" t="s">
        <v>3167</v>
      </c>
      <c r="C755" s="6"/>
    </row>
    <row r="756" spans="1:3" ht="108" x14ac:dyDescent="0.25">
      <c r="A756" s="6" t="s">
        <v>1077</v>
      </c>
      <c r="B756" s="8" t="s">
        <v>3168</v>
      </c>
      <c r="C756" s="6"/>
    </row>
    <row r="757" spans="1:3" ht="84" x14ac:dyDescent="0.25">
      <c r="A757" s="6" t="s">
        <v>1078</v>
      </c>
      <c r="B757" s="8" t="s">
        <v>3169</v>
      </c>
      <c r="C757" s="6"/>
    </row>
    <row r="758" spans="1:3" ht="60" x14ac:dyDescent="0.25">
      <c r="A758" s="6" t="s">
        <v>1079</v>
      </c>
      <c r="B758" s="8" t="s">
        <v>2378</v>
      </c>
      <c r="C758" s="6"/>
    </row>
    <row r="759" spans="1:3" ht="72" x14ac:dyDescent="0.25">
      <c r="A759" s="6" t="s">
        <v>1080</v>
      </c>
      <c r="B759" s="8" t="s">
        <v>2379</v>
      </c>
      <c r="C759" s="6"/>
    </row>
    <row r="760" spans="1:3" ht="48" x14ac:dyDescent="0.25">
      <c r="A760" s="6" t="s">
        <v>1081</v>
      </c>
      <c r="B760" s="8" t="s">
        <v>2380</v>
      </c>
      <c r="C760" s="6"/>
    </row>
    <row r="761" spans="1:3" ht="96" x14ac:dyDescent="0.25">
      <c r="A761" s="6" t="s">
        <v>1082</v>
      </c>
      <c r="B761" s="8" t="s">
        <v>2381</v>
      </c>
      <c r="C761" s="6"/>
    </row>
    <row r="762" spans="1:3" ht="108" x14ac:dyDescent="0.25">
      <c r="A762" s="6" t="s">
        <v>1083</v>
      </c>
      <c r="B762" s="8" t="s">
        <v>1848</v>
      </c>
      <c r="C762" s="6"/>
    </row>
    <row r="763" spans="1:3" ht="84" x14ac:dyDescent="0.25">
      <c r="A763" s="6" t="s">
        <v>1084</v>
      </c>
      <c r="B763" s="8" t="s">
        <v>2382</v>
      </c>
      <c r="C763" s="6"/>
    </row>
    <row r="764" spans="1:3" ht="96" x14ac:dyDescent="0.25">
      <c r="A764" s="6" t="s">
        <v>1085</v>
      </c>
      <c r="B764" s="8" t="s">
        <v>3170</v>
      </c>
      <c r="C764" s="6"/>
    </row>
    <row r="765" spans="1:3" ht="108" x14ac:dyDescent="0.25">
      <c r="A765" s="6" t="s">
        <v>1086</v>
      </c>
      <c r="B765" s="8" t="s">
        <v>3171</v>
      </c>
      <c r="C765" s="6"/>
    </row>
    <row r="766" spans="1:3" ht="84" x14ac:dyDescent="0.25">
      <c r="A766" s="6" t="s">
        <v>1087</v>
      </c>
      <c r="B766" s="8" t="s">
        <v>3172</v>
      </c>
      <c r="C766" s="6"/>
    </row>
    <row r="767" spans="1:3" ht="60" x14ac:dyDescent="0.25">
      <c r="A767" s="6" t="s">
        <v>1088</v>
      </c>
      <c r="B767" s="8" t="s">
        <v>2383</v>
      </c>
      <c r="C767" s="6"/>
    </row>
    <row r="768" spans="1:3" ht="96" x14ac:dyDescent="0.25">
      <c r="A768" s="6" t="s">
        <v>1089</v>
      </c>
      <c r="B768" s="8" t="s">
        <v>2384</v>
      </c>
      <c r="C768" s="6"/>
    </row>
    <row r="769" spans="1:3" ht="96" x14ac:dyDescent="0.25">
      <c r="A769" s="6" t="s">
        <v>1090</v>
      </c>
      <c r="B769" s="8" t="s">
        <v>3173</v>
      </c>
      <c r="C769" s="6"/>
    </row>
    <row r="770" spans="1:3" ht="72" x14ac:dyDescent="0.25">
      <c r="A770" s="6" t="s">
        <v>1091</v>
      </c>
      <c r="B770" s="8" t="s">
        <v>2385</v>
      </c>
      <c r="C770" s="6"/>
    </row>
    <row r="771" spans="1:3" ht="72" x14ac:dyDescent="0.25">
      <c r="A771" s="6" t="s">
        <v>1092</v>
      </c>
      <c r="B771" s="8" t="s">
        <v>2386</v>
      </c>
      <c r="C771" s="6"/>
    </row>
    <row r="772" spans="1:3" ht="72" x14ac:dyDescent="0.25">
      <c r="A772" s="6" t="s">
        <v>1093</v>
      </c>
      <c r="B772" s="8" t="s">
        <v>2387</v>
      </c>
      <c r="C772" s="6"/>
    </row>
    <row r="773" spans="1:3" ht="84" x14ac:dyDescent="0.25">
      <c r="A773" s="6" t="s">
        <v>1094</v>
      </c>
      <c r="B773" s="8" t="s">
        <v>3174</v>
      </c>
      <c r="C773" s="6"/>
    </row>
    <row r="774" spans="1:3" ht="60" x14ac:dyDescent="0.25">
      <c r="A774" s="6" t="s">
        <v>1095</v>
      </c>
      <c r="B774" s="8" t="s">
        <v>2388</v>
      </c>
      <c r="C774" s="6"/>
    </row>
    <row r="775" spans="1:3" ht="84" x14ac:dyDescent="0.25">
      <c r="A775" s="6" t="s">
        <v>1096</v>
      </c>
      <c r="B775" s="8" t="s">
        <v>2389</v>
      </c>
      <c r="C775" s="6"/>
    </row>
    <row r="776" spans="1:3" ht="84" x14ac:dyDescent="0.25">
      <c r="A776" s="6" t="s">
        <v>1097</v>
      </c>
      <c r="B776" s="8" t="s">
        <v>2390</v>
      </c>
      <c r="C776" s="6"/>
    </row>
    <row r="777" spans="1:3" ht="72" x14ac:dyDescent="0.25">
      <c r="A777" s="6" t="s">
        <v>1098</v>
      </c>
      <c r="B777" s="8" t="s">
        <v>2391</v>
      </c>
      <c r="C777" s="6"/>
    </row>
    <row r="778" spans="1:3" ht="48" x14ac:dyDescent="0.25">
      <c r="A778" s="6" t="s">
        <v>1099</v>
      </c>
      <c r="B778" s="8" t="s">
        <v>2392</v>
      </c>
      <c r="C778" s="6"/>
    </row>
    <row r="779" spans="1:3" ht="84" x14ac:dyDescent="0.25">
      <c r="A779" s="6" t="s">
        <v>1100</v>
      </c>
      <c r="B779" s="8" t="s">
        <v>2393</v>
      </c>
      <c r="C779" s="6"/>
    </row>
    <row r="780" spans="1:3" ht="84" x14ac:dyDescent="0.25">
      <c r="A780" s="6" t="s">
        <v>1101</v>
      </c>
      <c r="B780" s="8" t="s">
        <v>2394</v>
      </c>
      <c r="C780" s="6"/>
    </row>
    <row r="781" spans="1:3" ht="84" x14ac:dyDescent="0.25">
      <c r="A781" s="6" t="s">
        <v>1102</v>
      </c>
      <c r="B781" s="8" t="s">
        <v>2395</v>
      </c>
      <c r="C781" s="6"/>
    </row>
    <row r="782" spans="1:3" ht="60" x14ac:dyDescent="0.25">
      <c r="A782" s="6" t="s">
        <v>1103</v>
      </c>
      <c r="B782" s="8" t="s">
        <v>2396</v>
      </c>
      <c r="C782" s="6"/>
    </row>
    <row r="783" spans="1:3" ht="96" x14ac:dyDescent="0.25">
      <c r="A783" s="6" t="s">
        <v>1104</v>
      </c>
      <c r="B783" s="8" t="s">
        <v>2397</v>
      </c>
      <c r="C783" s="6"/>
    </row>
    <row r="784" spans="1:3" ht="84" x14ac:dyDescent="0.25">
      <c r="A784" s="6" t="s">
        <v>1105</v>
      </c>
      <c r="B784" s="8" t="s">
        <v>2398</v>
      </c>
      <c r="C784" s="6"/>
    </row>
    <row r="785" spans="1:3" ht="84" x14ac:dyDescent="0.25">
      <c r="A785" s="6" t="s">
        <v>1106</v>
      </c>
      <c r="B785" s="8" t="s">
        <v>2399</v>
      </c>
      <c r="C785" s="6"/>
    </row>
    <row r="786" spans="1:3" ht="60" x14ac:dyDescent="0.25">
      <c r="A786" s="6" t="s">
        <v>1107</v>
      </c>
      <c r="B786" s="8" t="s">
        <v>2400</v>
      </c>
      <c r="C786" s="6"/>
    </row>
    <row r="787" spans="1:3" ht="84" x14ac:dyDescent="0.25">
      <c r="A787" s="6" t="s">
        <v>1108</v>
      </c>
      <c r="B787" s="8" t="s">
        <v>3175</v>
      </c>
      <c r="C787" s="6"/>
    </row>
    <row r="788" spans="1:3" ht="72" x14ac:dyDescent="0.25">
      <c r="A788" s="6" t="s">
        <v>1109</v>
      </c>
      <c r="B788" s="8" t="s">
        <v>3176</v>
      </c>
      <c r="C788" s="6"/>
    </row>
    <row r="789" spans="1:3" ht="60" x14ac:dyDescent="0.25">
      <c r="A789" s="6" t="s">
        <v>1110</v>
      </c>
      <c r="B789" s="8" t="s">
        <v>2401</v>
      </c>
      <c r="C789" s="6"/>
    </row>
    <row r="790" spans="1:3" ht="72" x14ac:dyDescent="0.25">
      <c r="A790" s="6" t="s">
        <v>1111</v>
      </c>
      <c r="B790" s="8" t="s">
        <v>2402</v>
      </c>
      <c r="C790" s="6"/>
    </row>
    <row r="791" spans="1:3" ht="84" x14ac:dyDescent="0.25">
      <c r="A791" s="6" t="s">
        <v>1112</v>
      </c>
      <c r="B791" s="8" t="s">
        <v>3177</v>
      </c>
      <c r="C791" s="6"/>
    </row>
    <row r="792" spans="1:3" ht="48" x14ac:dyDescent="0.25">
      <c r="A792" s="6" t="s">
        <v>1113</v>
      </c>
      <c r="B792" s="8" t="s">
        <v>3437</v>
      </c>
      <c r="C792" s="6"/>
    </row>
    <row r="793" spans="1:3" ht="60" x14ac:dyDescent="0.25">
      <c r="A793" s="6" t="s">
        <v>1114</v>
      </c>
      <c r="B793" s="8" t="s">
        <v>2403</v>
      </c>
      <c r="C793" s="6"/>
    </row>
    <row r="794" spans="1:3" ht="72" x14ac:dyDescent="0.25">
      <c r="A794" s="6" t="s">
        <v>1115</v>
      </c>
      <c r="B794" s="8" t="s">
        <v>2404</v>
      </c>
      <c r="C794" s="6"/>
    </row>
    <row r="795" spans="1:3" ht="60" x14ac:dyDescent="0.25">
      <c r="A795" s="6" t="s">
        <v>1116</v>
      </c>
      <c r="B795" s="8" t="s">
        <v>2405</v>
      </c>
      <c r="C795" s="6"/>
    </row>
    <row r="796" spans="1:3" ht="96" x14ac:dyDescent="0.25">
      <c r="A796" s="6" t="s">
        <v>3816</v>
      </c>
      <c r="B796" s="8" t="s">
        <v>3438</v>
      </c>
      <c r="C796" s="6"/>
    </row>
    <row r="797" spans="1:3" ht="96" x14ac:dyDescent="0.25">
      <c r="A797" s="6" t="s">
        <v>3817</v>
      </c>
      <c r="B797" s="8" t="s">
        <v>3439</v>
      </c>
      <c r="C797" s="6"/>
    </row>
    <row r="798" spans="1:3" ht="132" x14ac:dyDescent="0.25">
      <c r="A798" s="6" t="s">
        <v>3818</v>
      </c>
      <c r="B798" s="8" t="s">
        <v>3440</v>
      </c>
      <c r="C798" s="6"/>
    </row>
    <row r="799" spans="1:3" ht="108" x14ac:dyDescent="0.25">
      <c r="A799" s="6" t="s">
        <v>3819</v>
      </c>
      <c r="B799" s="8" t="s">
        <v>3441</v>
      </c>
      <c r="C799" s="6"/>
    </row>
    <row r="800" spans="1:3" ht="96" x14ac:dyDescent="0.25">
      <c r="A800" s="6" t="s">
        <v>3820</v>
      </c>
      <c r="B800" s="8" t="s">
        <v>3442</v>
      </c>
      <c r="C800" s="6"/>
    </row>
    <row r="801" spans="1:3" ht="96" x14ac:dyDescent="0.25">
      <c r="A801" s="6" t="s">
        <v>3821</v>
      </c>
      <c r="B801" s="8" t="s">
        <v>3443</v>
      </c>
      <c r="C801" s="6"/>
    </row>
    <row r="802" spans="1:3" ht="96" x14ac:dyDescent="0.25">
      <c r="A802" s="6" t="s">
        <v>3822</v>
      </c>
      <c r="B802" s="8" t="s">
        <v>3444</v>
      </c>
      <c r="C802" s="6"/>
    </row>
    <row r="803" spans="1:3" ht="120" x14ac:dyDescent="0.25">
      <c r="A803" s="6" t="s">
        <v>3823</v>
      </c>
      <c r="B803" s="8" t="s">
        <v>3445</v>
      </c>
      <c r="C803" s="6"/>
    </row>
    <row r="804" spans="1:3" ht="96" x14ac:dyDescent="0.25">
      <c r="A804" s="6" t="s">
        <v>3824</v>
      </c>
      <c r="B804" s="8" t="s">
        <v>3446</v>
      </c>
      <c r="C804" s="6"/>
    </row>
    <row r="805" spans="1:3" ht="60" x14ac:dyDescent="0.25">
      <c r="A805" s="6" t="s">
        <v>1117</v>
      </c>
      <c r="B805" s="8" t="s">
        <v>2096</v>
      </c>
      <c r="C805" s="6"/>
    </row>
    <row r="806" spans="1:3" ht="60" x14ac:dyDescent="0.25">
      <c r="A806" s="6" t="s">
        <v>1118</v>
      </c>
      <c r="B806" s="8" t="s">
        <v>1973</v>
      </c>
      <c r="C806" s="6"/>
    </row>
    <row r="807" spans="1:3" ht="48" x14ac:dyDescent="0.25">
      <c r="A807" s="6" t="s">
        <v>1119</v>
      </c>
      <c r="B807" s="8" t="s">
        <v>1849</v>
      </c>
      <c r="C807" s="6"/>
    </row>
    <row r="808" spans="1:3" ht="108" x14ac:dyDescent="0.25">
      <c r="A808" s="6" t="s">
        <v>1120</v>
      </c>
      <c r="B808" s="8" t="s">
        <v>3447</v>
      </c>
      <c r="C808" s="6"/>
    </row>
    <row r="809" spans="1:3" ht="36" x14ac:dyDescent="0.25">
      <c r="A809" s="6" t="s">
        <v>1121</v>
      </c>
      <c r="B809" s="8" t="s">
        <v>1850</v>
      </c>
      <c r="C809" s="6"/>
    </row>
    <row r="810" spans="1:3" ht="84" x14ac:dyDescent="0.25">
      <c r="A810" s="6" t="s">
        <v>1122</v>
      </c>
      <c r="B810" s="8" t="s">
        <v>1974</v>
      </c>
      <c r="C810" s="6"/>
    </row>
    <row r="811" spans="1:3" ht="72" x14ac:dyDescent="0.25">
      <c r="A811" s="6" t="s">
        <v>1123</v>
      </c>
      <c r="B811" s="8" t="s">
        <v>1851</v>
      </c>
      <c r="C811" s="6"/>
    </row>
    <row r="812" spans="1:3" ht="72" x14ac:dyDescent="0.25">
      <c r="A812" s="6" t="s">
        <v>1124</v>
      </c>
      <c r="B812" s="8" t="s">
        <v>1975</v>
      </c>
      <c r="C812" s="6"/>
    </row>
    <row r="813" spans="1:3" ht="60" x14ac:dyDescent="0.25">
      <c r="A813" s="6" t="s">
        <v>1125</v>
      </c>
      <c r="B813" s="8" t="s">
        <v>1852</v>
      </c>
      <c r="C813" s="6"/>
    </row>
    <row r="814" spans="1:3" ht="84" x14ac:dyDescent="0.25">
      <c r="A814" s="6" t="s">
        <v>1126</v>
      </c>
      <c r="B814" s="8" t="s">
        <v>1853</v>
      </c>
      <c r="C814" s="6"/>
    </row>
    <row r="815" spans="1:3" ht="96" x14ac:dyDescent="0.25">
      <c r="A815" s="6" t="s">
        <v>3825</v>
      </c>
      <c r="B815" s="8" t="s">
        <v>3448</v>
      </c>
      <c r="C815" s="6"/>
    </row>
    <row r="816" spans="1:3" ht="132" x14ac:dyDescent="0.25">
      <c r="A816" s="6" t="s">
        <v>3826</v>
      </c>
      <c r="B816" s="8" t="s">
        <v>3449</v>
      </c>
      <c r="C816" s="6"/>
    </row>
    <row r="817" spans="1:3" ht="120" x14ac:dyDescent="0.25">
      <c r="A817" s="6" t="s">
        <v>3827</v>
      </c>
      <c r="B817" s="8" t="s">
        <v>3450</v>
      </c>
      <c r="C817" s="6"/>
    </row>
    <row r="818" spans="1:3" ht="132" x14ac:dyDescent="0.25">
      <c r="A818" s="6" t="s">
        <v>1127</v>
      </c>
      <c r="B818" s="8" t="s">
        <v>2406</v>
      </c>
      <c r="C818" s="6"/>
    </row>
    <row r="819" spans="1:3" ht="60" x14ac:dyDescent="0.25">
      <c r="A819" s="6" t="s">
        <v>1128</v>
      </c>
      <c r="B819" s="8" t="s">
        <v>2407</v>
      </c>
      <c r="C819" s="6"/>
    </row>
    <row r="820" spans="1:3" ht="72" x14ac:dyDescent="0.25">
      <c r="A820" s="6" t="s">
        <v>1129</v>
      </c>
      <c r="B820" s="8" t="s">
        <v>2127</v>
      </c>
      <c r="C820" s="6"/>
    </row>
    <row r="821" spans="1:3" ht="96" x14ac:dyDescent="0.25">
      <c r="A821" s="6" t="s">
        <v>1130</v>
      </c>
      <c r="B821" s="8" t="s">
        <v>2408</v>
      </c>
      <c r="C821" s="6"/>
    </row>
    <row r="822" spans="1:3" ht="72" x14ac:dyDescent="0.25">
      <c r="A822" s="6" t="s">
        <v>2128</v>
      </c>
      <c r="B822" s="8" t="s">
        <v>2409</v>
      </c>
      <c r="C822" s="6"/>
    </row>
    <row r="823" spans="1:3" ht="96" x14ac:dyDescent="0.25">
      <c r="A823" s="6" t="s">
        <v>1131</v>
      </c>
      <c r="B823" s="8" t="s">
        <v>2410</v>
      </c>
      <c r="C823" s="6"/>
    </row>
    <row r="824" spans="1:3" ht="120" x14ac:dyDescent="0.25">
      <c r="A824" s="6" t="s">
        <v>2129</v>
      </c>
      <c r="B824" s="8" t="s">
        <v>2411</v>
      </c>
      <c r="C824" s="6"/>
    </row>
    <row r="825" spans="1:3" ht="84" x14ac:dyDescent="0.25">
      <c r="A825" s="6" t="s">
        <v>2130</v>
      </c>
      <c r="B825" s="8" t="s">
        <v>2412</v>
      </c>
      <c r="C825" s="6"/>
    </row>
    <row r="826" spans="1:3" ht="96" x14ac:dyDescent="0.25">
      <c r="A826" s="6" t="s">
        <v>1132</v>
      </c>
      <c r="B826" s="8" t="s">
        <v>2413</v>
      </c>
      <c r="C826" s="6"/>
    </row>
    <row r="827" spans="1:3" ht="72" x14ac:dyDescent="0.25">
      <c r="A827" s="6" t="s">
        <v>2131</v>
      </c>
      <c r="B827" s="8" t="s">
        <v>2414</v>
      </c>
      <c r="C827" s="6"/>
    </row>
    <row r="828" spans="1:3" ht="84" x14ac:dyDescent="0.25">
      <c r="A828" s="6" t="s">
        <v>1133</v>
      </c>
      <c r="B828" s="8" t="s">
        <v>2415</v>
      </c>
      <c r="C828" s="6"/>
    </row>
    <row r="829" spans="1:3" ht="48" x14ac:dyDescent="0.25">
      <c r="A829" s="6" t="s">
        <v>2416</v>
      </c>
      <c r="B829" s="8" t="s">
        <v>2417</v>
      </c>
      <c r="C829" s="6" t="s">
        <v>374</v>
      </c>
    </row>
    <row r="830" spans="1:3" ht="48" x14ac:dyDescent="0.25">
      <c r="A830" s="6" t="s">
        <v>2418</v>
      </c>
      <c r="B830" s="8" t="s">
        <v>2419</v>
      </c>
      <c r="C830" s="6"/>
    </row>
    <row r="831" spans="1:3" ht="48" x14ac:dyDescent="0.25">
      <c r="A831" s="6" t="s">
        <v>2420</v>
      </c>
      <c r="B831" s="8" t="s">
        <v>3451</v>
      </c>
      <c r="C831" s="6"/>
    </row>
    <row r="832" spans="1:3" ht="84" x14ac:dyDescent="0.25">
      <c r="A832" s="6" t="s">
        <v>2421</v>
      </c>
      <c r="B832" s="8" t="s">
        <v>2422</v>
      </c>
      <c r="C832" s="6" t="s">
        <v>375</v>
      </c>
    </row>
    <row r="833" spans="1:3" ht="48" x14ac:dyDescent="0.25">
      <c r="A833" s="6" t="s">
        <v>2423</v>
      </c>
      <c r="B833" s="8" t="s">
        <v>2424</v>
      </c>
      <c r="C833" s="6" t="s">
        <v>376</v>
      </c>
    </row>
    <row r="834" spans="1:3" ht="84" x14ac:dyDescent="0.25">
      <c r="A834" s="6" t="s">
        <v>2425</v>
      </c>
      <c r="B834" s="8" t="s">
        <v>2426</v>
      </c>
      <c r="C834" s="6" t="s">
        <v>376</v>
      </c>
    </row>
    <row r="835" spans="1:3" ht="60" x14ac:dyDescent="0.25">
      <c r="A835" s="6" t="s">
        <v>2427</v>
      </c>
      <c r="B835" s="8" t="s">
        <v>2428</v>
      </c>
      <c r="C835" s="6" t="s">
        <v>377</v>
      </c>
    </row>
    <row r="836" spans="1:3" ht="48" x14ac:dyDescent="0.25">
      <c r="A836" s="6" t="s">
        <v>2429</v>
      </c>
      <c r="B836" s="8" t="s">
        <v>2430</v>
      </c>
      <c r="C836" s="6" t="s">
        <v>378</v>
      </c>
    </row>
    <row r="837" spans="1:3" ht="60" x14ac:dyDescent="0.25">
      <c r="A837" s="6" t="s">
        <v>2431</v>
      </c>
      <c r="B837" s="8" t="s">
        <v>2432</v>
      </c>
      <c r="C837" s="6" t="s">
        <v>376</v>
      </c>
    </row>
    <row r="838" spans="1:3" ht="60" x14ac:dyDescent="0.25">
      <c r="A838" s="6" t="s">
        <v>2433</v>
      </c>
      <c r="B838" s="8" t="s">
        <v>2434</v>
      </c>
      <c r="C838" s="6" t="s">
        <v>379</v>
      </c>
    </row>
    <row r="839" spans="1:3" ht="60" x14ac:dyDescent="0.25">
      <c r="A839" s="6" t="s">
        <v>3828</v>
      </c>
      <c r="B839" s="8" t="s">
        <v>3452</v>
      </c>
      <c r="C839" s="6" t="s">
        <v>376</v>
      </c>
    </row>
    <row r="840" spans="1:3" ht="156" x14ac:dyDescent="0.25">
      <c r="A840" s="6" t="s">
        <v>3829</v>
      </c>
      <c r="B840" s="8" t="s">
        <v>3453</v>
      </c>
      <c r="C840" s="6"/>
    </row>
    <row r="841" spans="1:3" ht="156" x14ac:dyDescent="0.25">
      <c r="A841" s="6" t="s">
        <v>3830</v>
      </c>
      <c r="B841" s="8" t="s">
        <v>3454</v>
      </c>
      <c r="C841" s="6"/>
    </row>
    <row r="842" spans="1:3" ht="204" x14ac:dyDescent="0.25">
      <c r="A842" s="6" t="s">
        <v>3831</v>
      </c>
      <c r="B842" s="8" t="s">
        <v>3455</v>
      </c>
      <c r="C842" s="6" t="s">
        <v>376</v>
      </c>
    </row>
    <row r="843" spans="1:3" ht="108" x14ac:dyDescent="0.25">
      <c r="A843" s="6" t="s">
        <v>3832</v>
      </c>
      <c r="B843" s="8" t="s">
        <v>3456</v>
      </c>
      <c r="C843" s="6"/>
    </row>
    <row r="844" spans="1:3" ht="96" x14ac:dyDescent="0.25">
      <c r="A844" s="6" t="s">
        <v>2435</v>
      </c>
      <c r="B844" s="8" t="s">
        <v>2436</v>
      </c>
      <c r="C844" s="6"/>
    </row>
    <row r="845" spans="1:3" ht="96" x14ac:dyDescent="0.25">
      <c r="A845" s="6" t="s">
        <v>2437</v>
      </c>
      <c r="B845" s="8" t="s">
        <v>2438</v>
      </c>
      <c r="C845" s="6"/>
    </row>
    <row r="846" spans="1:3" ht="96" x14ac:dyDescent="0.25">
      <c r="A846" s="6" t="s">
        <v>2439</v>
      </c>
      <c r="B846" s="8" t="s">
        <v>2440</v>
      </c>
      <c r="C846" s="6"/>
    </row>
    <row r="847" spans="1:3" ht="72" x14ac:dyDescent="0.25">
      <c r="A847" s="6" t="s">
        <v>2441</v>
      </c>
      <c r="B847" s="8" t="s">
        <v>2442</v>
      </c>
      <c r="C847" s="6"/>
    </row>
    <row r="848" spans="1:3" ht="72" x14ac:dyDescent="0.25">
      <c r="A848" s="6" t="s">
        <v>2443</v>
      </c>
      <c r="B848" s="8" t="s">
        <v>2444</v>
      </c>
      <c r="C848" s="6"/>
    </row>
    <row r="849" spans="1:3" ht="72" x14ac:dyDescent="0.25">
      <c r="A849" s="6" t="s">
        <v>2445</v>
      </c>
      <c r="B849" s="8" t="s">
        <v>2446</v>
      </c>
      <c r="C849" s="6"/>
    </row>
    <row r="850" spans="1:3" ht="60" x14ac:dyDescent="0.25">
      <c r="A850" s="6" t="s">
        <v>2447</v>
      </c>
      <c r="B850" s="8" t="s">
        <v>2448</v>
      </c>
      <c r="C850" s="6" t="s">
        <v>380</v>
      </c>
    </row>
    <row r="851" spans="1:3" ht="72" x14ac:dyDescent="0.25">
      <c r="A851" s="6" t="s">
        <v>2449</v>
      </c>
      <c r="B851" s="8" t="s">
        <v>2450</v>
      </c>
      <c r="C851" s="6"/>
    </row>
    <row r="852" spans="1:3" ht="72" x14ac:dyDescent="0.25">
      <c r="A852" s="6" t="s">
        <v>2451</v>
      </c>
      <c r="B852" s="8" t="s">
        <v>2452</v>
      </c>
      <c r="C852" s="6"/>
    </row>
    <row r="853" spans="1:3" ht="120" x14ac:dyDescent="0.25">
      <c r="A853" s="6" t="s">
        <v>2453</v>
      </c>
      <c r="B853" s="8" t="s">
        <v>2454</v>
      </c>
      <c r="C853" s="6"/>
    </row>
    <row r="854" spans="1:3" ht="96" x14ac:dyDescent="0.25">
      <c r="A854" s="6" t="s">
        <v>2455</v>
      </c>
      <c r="B854" s="8" t="s">
        <v>3993</v>
      </c>
      <c r="C854" s="6"/>
    </row>
    <row r="855" spans="1:3" ht="84" x14ac:dyDescent="0.25">
      <c r="A855" s="6" t="s">
        <v>2456</v>
      </c>
      <c r="B855" s="8" t="s">
        <v>3994</v>
      </c>
      <c r="C855" s="6"/>
    </row>
    <row r="856" spans="1:3" ht="84" x14ac:dyDescent="0.25">
      <c r="A856" s="6" t="s">
        <v>2457</v>
      </c>
      <c r="B856" s="8" t="s">
        <v>2458</v>
      </c>
      <c r="C856" s="6"/>
    </row>
    <row r="857" spans="1:3" ht="60" x14ac:dyDescent="0.25">
      <c r="A857" s="6" t="s">
        <v>2459</v>
      </c>
      <c r="B857" s="8" t="s">
        <v>3995</v>
      </c>
      <c r="C857" s="6"/>
    </row>
    <row r="858" spans="1:3" ht="72" x14ac:dyDescent="0.25">
      <c r="A858" s="6" t="s">
        <v>2460</v>
      </c>
      <c r="B858" s="8" t="s">
        <v>3996</v>
      </c>
      <c r="C858" s="6"/>
    </row>
    <row r="859" spans="1:3" ht="60" x14ac:dyDescent="0.25">
      <c r="A859" s="6" t="s">
        <v>2461</v>
      </c>
      <c r="B859" s="8" t="s">
        <v>3997</v>
      </c>
      <c r="C859" s="6"/>
    </row>
    <row r="860" spans="1:3" ht="84" x14ac:dyDescent="0.25">
      <c r="A860" s="6" t="s">
        <v>3457</v>
      </c>
      <c r="B860" s="8" t="s">
        <v>3458</v>
      </c>
      <c r="C860" s="6"/>
    </row>
    <row r="861" spans="1:3" ht="84" x14ac:dyDescent="0.25">
      <c r="A861" s="6" t="s">
        <v>3459</v>
      </c>
      <c r="B861" s="8" t="s">
        <v>3460</v>
      </c>
      <c r="C861" s="6"/>
    </row>
    <row r="862" spans="1:3" ht="60" x14ac:dyDescent="0.25">
      <c r="A862" s="6" t="s">
        <v>3461</v>
      </c>
      <c r="B862" s="8" t="s">
        <v>3462</v>
      </c>
      <c r="C862" s="6"/>
    </row>
    <row r="863" spans="1:3" ht="84" x14ac:dyDescent="0.25">
      <c r="A863" s="6" t="s">
        <v>3463</v>
      </c>
      <c r="B863" s="8" t="s">
        <v>3464</v>
      </c>
      <c r="C863" s="6"/>
    </row>
    <row r="864" spans="1:3" ht="36" x14ac:dyDescent="0.25">
      <c r="A864" s="6" t="s">
        <v>3465</v>
      </c>
      <c r="B864" s="8" t="s">
        <v>3466</v>
      </c>
      <c r="C864" s="6"/>
    </row>
    <row r="865" spans="1:3" ht="60" x14ac:dyDescent="0.25">
      <c r="A865" s="6" t="s">
        <v>3467</v>
      </c>
      <c r="B865" s="8" t="s">
        <v>3468</v>
      </c>
      <c r="C865" s="6"/>
    </row>
    <row r="866" spans="1:3" ht="36" x14ac:dyDescent="0.25">
      <c r="A866" s="6" t="s">
        <v>3469</v>
      </c>
      <c r="B866" s="8" t="s">
        <v>3470</v>
      </c>
      <c r="C866" s="6"/>
    </row>
    <row r="867" spans="1:3" ht="72" x14ac:dyDescent="0.25">
      <c r="A867" s="6" t="s">
        <v>3471</v>
      </c>
      <c r="B867" s="8" t="s">
        <v>3472</v>
      </c>
      <c r="C867" s="6"/>
    </row>
    <row r="868" spans="1:3" ht="72" x14ac:dyDescent="0.25">
      <c r="A868" s="6" t="s">
        <v>3473</v>
      </c>
      <c r="B868" s="8" t="s">
        <v>3474</v>
      </c>
      <c r="C868" s="6"/>
    </row>
    <row r="869" spans="1:3" ht="72" x14ac:dyDescent="0.25">
      <c r="A869" s="6" t="s">
        <v>3475</v>
      </c>
      <c r="B869" s="8" t="s">
        <v>3476</v>
      </c>
      <c r="C869" s="6"/>
    </row>
    <row r="870" spans="1:3" ht="156" x14ac:dyDescent="0.25">
      <c r="A870" s="6" t="s">
        <v>3833</v>
      </c>
      <c r="B870" s="8" t="s">
        <v>3477</v>
      </c>
      <c r="C870" s="6"/>
    </row>
    <row r="871" spans="1:3" ht="168" x14ac:dyDescent="0.25">
      <c r="A871" s="6" t="s">
        <v>3834</v>
      </c>
      <c r="B871" s="8" t="s">
        <v>3478</v>
      </c>
      <c r="C871" s="6"/>
    </row>
    <row r="872" spans="1:3" ht="84" x14ac:dyDescent="0.25">
      <c r="A872" s="6" t="s">
        <v>3479</v>
      </c>
      <c r="B872" s="8" t="s">
        <v>3480</v>
      </c>
      <c r="C872" s="6"/>
    </row>
    <row r="873" spans="1:3" ht="96" x14ac:dyDescent="0.25">
      <c r="A873" s="6" t="s">
        <v>3481</v>
      </c>
      <c r="B873" s="8" t="s">
        <v>3482</v>
      </c>
      <c r="C873" s="6"/>
    </row>
    <row r="874" spans="1:3" ht="84" x14ac:dyDescent="0.25">
      <c r="A874" s="6" t="s">
        <v>3483</v>
      </c>
      <c r="B874" s="8" t="s">
        <v>3484</v>
      </c>
      <c r="C874" s="6"/>
    </row>
    <row r="875" spans="1:3" ht="84" x14ac:dyDescent="0.25">
      <c r="A875" s="6" t="s">
        <v>3485</v>
      </c>
      <c r="B875" s="8" t="s">
        <v>3486</v>
      </c>
      <c r="C875" s="6"/>
    </row>
    <row r="876" spans="1:3" ht="60" x14ac:dyDescent="0.25">
      <c r="A876" s="6" t="s">
        <v>3487</v>
      </c>
      <c r="B876" s="8" t="s">
        <v>3488</v>
      </c>
      <c r="C876" s="6"/>
    </row>
    <row r="877" spans="1:3" ht="84" x14ac:dyDescent="0.25">
      <c r="A877" s="6" t="s">
        <v>3489</v>
      </c>
      <c r="B877" s="8" t="s">
        <v>3998</v>
      </c>
      <c r="C877" s="6"/>
    </row>
    <row r="878" spans="1:3" ht="84" x14ac:dyDescent="0.25">
      <c r="A878" s="6" t="s">
        <v>3490</v>
      </c>
      <c r="B878" s="8" t="s">
        <v>3491</v>
      </c>
      <c r="C878" s="6"/>
    </row>
    <row r="879" spans="1:3" ht="108" x14ac:dyDescent="0.25">
      <c r="A879" s="6" t="s">
        <v>3492</v>
      </c>
      <c r="B879" s="8" t="s">
        <v>3493</v>
      </c>
      <c r="C879" s="6"/>
    </row>
    <row r="880" spans="1:3" ht="96" x14ac:dyDescent="0.25">
      <c r="A880" s="6" t="s">
        <v>3494</v>
      </c>
      <c r="B880" s="8" t="s">
        <v>3495</v>
      </c>
      <c r="C880" s="6"/>
    </row>
    <row r="881" spans="1:3" ht="84" x14ac:dyDescent="0.25">
      <c r="A881" s="6" t="s">
        <v>3496</v>
      </c>
      <c r="B881" s="8" t="s">
        <v>3999</v>
      </c>
      <c r="C881" s="6"/>
    </row>
    <row r="882" spans="1:3" ht="96" x14ac:dyDescent="0.25">
      <c r="A882" s="6" t="s">
        <v>3497</v>
      </c>
      <c r="B882" s="8" t="s">
        <v>3498</v>
      </c>
      <c r="C882" s="6"/>
    </row>
    <row r="883" spans="1:3" ht="96" x14ac:dyDescent="0.25">
      <c r="A883" s="6" t="s">
        <v>3499</v>
      </c>
      <c r="B883" s="8" t="s">
        <v>3500</v>
      </c>
      <c r="C883" s="6"/>
    </row>
    <row r="884" spans="1:3" ht="48" x14ac:dyDescent="0.25">
      <c r="A884" s="6" t="s">
        <v>3501</v>
      </c>
      <c r="B884" s="8" t="s">
        <v>3502</v>
      </c>
      <c r="C884" s="6"/>
    </row>
    <row r="885" spans="1:3" ht="60" x14ac:dyDescent="0.25">
      <c r="A885" s="6" t="s">
        <v>3503</v>
      </c>
      <c r="B885" s="8" t="s">
        <v>4000</v>
      </c>
      <c r="C885" s="6"/>
    </row>
    <row r="886" spans="1:3" ht="72" x14ac:dyDescent="0.25">
      <c r="A886" s="6" t="s">
        <v>3504</v>
      </c>
      <c r="B886" s="8" t="s">
        <v>4001</v>
      </c>
      <c r="C886" s="6"/>
    </row>
    <row r="887" spans="1:3" ht="60" x14ac:dyDescent="0.25">
      <c r="A887" s="6" t="s">
        <v>3505</v>
      </c>
      <c r="B887" s="8" t="s">
        <v>4002</v>
      </c>
      <c r="C887" s="6"/>
    </row>
    <row r="888" spans="1:3" ht="96" x14ac:dyDescent="0.25">
      <c r="A888" s="6" t="s">
        <v>1134</v>
      </c>
      <c r="B888" s="8" t="s">
        <v>2462</v>
      </c>
      <c r="C888" s="6"/>
    </row>
    <row r="889" spans="1:3" ht="72" x14ac:dyDescent="0.25">
      <c r="A889" s="6" t="s">
        <v>1135</v>
      </c>
      <c r="B889" s="8" t="s">
        <v>2463</v>
      </c>
      <c r="C889" s="6"/>
    </row>
    <row r="890" spans="1:3" ht="72" x14ac:dyDescent="0.25">
      <c r="A890" s="6" t="s">
        <v>1136</v>
      </c>
      <c r="B890" s="8" t="s">
        <v>2464</v>
      </c>
      <c r="C890" s="6"/>
    </row>
    <row r="891" spans="1:3" ht="48" x14ac:dyDescent="0.25">
      <c r="A891" s="6" t="s">
        <v>1137</v>
      </c>
      <c r="B891" s="8" t="s">
        <v>2465</v>
      </c>
      <c r="C891" s="6"/>
    </row>
    <row r="892" spans="1:3" ht="96" x14ac:dyDescent="0.25">
      <c r="A892" s="6" t="s">
        <v>1138</v>
      </c>
      <c r="B892" s="8" t="s">
        <v>2466</v>
      </c>
      <c r="C892" s="6"/>
    </row>
    <row r="893" spans="1:3" ht="72" x14ac:dyDescent="0.25">
      <c r="A893" s="6" t="s">
        <v>1139</v>
      </c>
      <c r="B893" s="8" t="s">
        <v>2467</v>
      </c>
      <c r="C893" s="6"/>
    </row>
    <row r="894" spans="1:3" ht="72" x14ac:dyDescent="0.25">
      <c r="A894" s="6" t="s">
        <v>1140</v>
      </c>
      <c r="B894" s="8" t="s">
        <v>3178</v>
      </c>
      <c r="C894" s="6"/>
    </row>
    <row r="895" spans="1:3" ht="60" x14ac:dyDescent="0.25">
      <c r="A895" s="6" t="s">
        <v>1141</v>
      </c>
      <c r="B895" s="8" t="s">
        <v>3179</v>
      </c>
      <c r="C895" s="6"/>
    </row>
    <row r="896" spans="1:3" ht="96" x14ac:dyDescent="0.25">
      <c r="A896" s="6" t="s">
        <v>1142</v>
      </c>
      <c r="B896" s="8" t="s">
        <v>3180</v>
      </c>
      <c r="C896" s="6" t="s">
        <v>381</v>
      </c>
    </row>
    <row r="897" spans="1:3" ht="84" x14ac:dyDescent="0.25">
      <c r="A897" s="6" t="s">
        <v>1143</v>
      </c>
      <c r="B897" s="8" t="s">
        <v>3181</v>
      </c>
      <c r="C897" s="6"/>
    </row>
    <row r="898" spans="1:3" ht="48" x14ac:dyDescent="0.25">
      <c r="A898" s="6" t="s">
        <v>1144</v>
      </c>
      <c r="B898" s="8" t="s">
        <v>3182</v>
      </c>
      <c r="C898" s="6"/>
    </row>
    <row r="899" spans="1:3" ht="84" x14ac:dyDescent="0.25">
      <c r="A899" s="6" t="s">
        <v>1145</v>
      </c>
      <c r="B899" s="8" t="s">
        <v>2468</v>
      </c>
      <c r="C899" s="6"/>
    </row>
    <row r="900" spans="1:3" ht="48" x14ac:dyDescent="0.25">
      <c r="A900" s="6" t="s">
        <v>1146</v>
      </c>
      <c r="B900" s="8" t="s">
        <v>2469</v>
      </c>
      <c r="C900" s="6"/>
    </row>
    <row r="901" spans="1:3" ht="60" x14ac:dyDescent="0.25">
      <c r="A901" s="6" t="s">
        <v>1147</v>
      </c>
      <c r="B901" s="8" t="s">
        <v>2470</v>
      </c>
      <c r="C901" s="6"/>
    </row>
    <row r="902" spans="1:3" ht="48" x14ac:dyDescent="0.25">
      <c r="A902" s="6" t="s">
        <v>1148</v>
      </c>
      <c r="B902" s="8" t="s">
        <v>2471</v>
      </c>
      <c r="C902" s="6"/>
    </row>
    <row r="903" spans="1:3" ht="72" x14ac:dyDescent="0.25">
      <c r="A903" s="6" t="s">
        <v>3835</v>
      </c>
      <c r="B903" s="8" t="s">
        <v>3506</v>
      </c>
      <c r="C903" s="6"/>
    </row>
    <row r="904" spans="1:3" ht="60" x14ac:dyDescent="0.25">
      <c r="A904" s="6" t="s">
        <v>3836</v>
      </c>
      <c r="B904" s="8" t="s">
        <v>3507</v>
      </c>
      <c r="C904" s="6"/>
    </row>
    <row r="905" spans="1:3" ht="108" x14ac:dyDescent="0.25">
      <c r="A905" s="6" t="s">
        <v>3837</v>
      </c>
      <c r="B905" s="8" t="s">
        <v>3508</v>
      </c>
      <c r="C905" s="6"/>
    </row>
    <row r="906" spans="1:3" ht="60" x14ac:dyDescent="0.25">
      <c r="A906" s="6" t="s">
        <v>3838</v>
      </c>
      <c r="B906" s="8" t="s">
        <v>3509</v>
      </c>
      <c r="C906" s="6"/>
    </row>
    <row r="907" spans="1:3" ht="108" x14ac:dyDescent="0.25">
      <c r="A907" s="6" t="s">
        <v>3839</v>
      </c>
      <c r="B907" s="8" t="s">
        <v>3510</v>
      </c>
      <c r="C907" s="6"/>
    </row>
    <row r="908" spans="1:3" ht="72" x14ac:dyDescent="0.25">
      <c r="A908" s="6" t="s">
        <v>3840</v>
      </c>
      <c r="B908" s="8" t="s">
        <v>3511</v>
      </c>
      <c r="C908" s="6"/>
    </row>
    <row r="909" spans="1:3" ht="132" x14ac:dyDescent="0.25">
      <c r="A909" s="6" t="s">
        <v>3841</v>
      </c>
      <c r="B909" s="8" t="s">
        <v>3512</v>
      </c>
      <c r="C909" s="6"/>
    </row>
    <row r="910" spans="1:3" ht="72" x14ac:dyDescent="0.25">
      <c r="A910" s="6" t="s">
        <v>1149</v>
      </c>
      <c r="B910" s="8" t="s">
        <v>2472</v>
      </c>
      <c r="C910" s="6"/>
    </row>
    <row r="911" spans="1:3" ht="60" x14ac:dyDescent="0.25">
      <c r="A911" s="6" t="s">
        <v>1150</v>
      </c>
      <c r="B911" s="8" t="s">
        <v>2473</v>
      </c>
      <c r="C911" s="6"/>
    </row>
    <row r="912" spans="1:3" ht="108" x14ac:dyDescent="0.25">
      <c r="A912" s="6" t="s">
        <v>1151</v>
      </c>
      <c r="B912" s="8" t="s">
        <v>2474</v>
      </c>
      <c r="C912" s="6"/>
    </row>
    <row r="913" spans="1:3" ht="48" x14ac:dyDescent="0.25">
      <c r="A913" s="6" t="s">
        <v>1152</v>
      </c>
      <c r="B913" s="8" t="s">
        <v>2475</v>
      </c>
      <c r="C913" s="6"/>
    </row>
    <row r="914" spans="1:3" ht="96" x14ac:dyDescent="0.25">
      <c r="A914" s="6" t="s">
        <v>1153</v>
      </c>
      <c r="B914" s="8" t="s">
        <v>2476</v>
      </c>
      <c r="C914" s="6"/>
    </row>
    <row r="915" spans="1:3" ht="48" x14ac:dyDescent="0.25">
      <c r="A915" s="6" t="s">
        <v>1154</v>
      </c>
      <c r="B915" s="8" t="s">
        <v>2477</v>
      </c>
      <c r="C915" s="6"/>
    </row>
    <row r="916" spans="1:3" ht="48" x14ac:dyDescent="0.25">
      <c r="A916" s="6" t="s">
        <v>1155</v>
      </c>
      <c r="B916" s="8" t="s">
        <v>2478</v>
      </c>
      <c r="C916" s="6"/>
    </row>
    <row r="917" spans="1:3" ht="48" x14ac:dyDescent="0.25">
      <c r="A917" s="6" t="s">
        <v>1156</v>
      </c>
      <c r="B917" s="8" t="s">
        <v>2479</v>
      </c>
      <c r="C917" s="6"/>
    </row>
    <row r="918" spans="1:3" ht="60" x14ac:dyDescent="0.25">
      <c r="A918" s="6" t="s">
        <v>1157</v>
      </c>
      <c r="B918" s="8" t="s">
        <v>2480</v>
      </c>
      <c r="C918" s="6"/>
    </row>
    <row r="919" spans="1:3" ht="60" x14ac:dyDescent="0.25">
      <c r="A919" s="6" t="s">
        <v>1158</v>
      </c>
      <c r="B919" s="8" t="s">
        <v>2481</v>
      </c>
      <c r="C919" s="6"/>
    </row>
    <row r="920" spans="1:3" ht="72" x14ac:dyDescent="0.25">
      <c r="A920" s="6" t="s">
        <v>1159</v>
      </c>
      <c r="B920" s="8" t="s">
        <v>2482</v>
      </c>
      <c r="C920" s="6"/>
    </row>
    <row r="921" spans="1:3" ht="60" x14ac:dyDescent="0.25">
      <c r="A921" s="6" t="s">
        <v>1160</v>
      </c>
      <c r="B921" s="8" t="s">
        <v>3183</v>
      </c>
      <c r="C921" s="6"/>
    </row>
    <row r="922" spans="1:3" ht="96" x14ac:dyDescent="0.25">
      <c r="A922" s="6" t="s">
        <v>1161</v>
      </c>
      <c r="B922" s="8" t="s">
        <v>3184</v>
      </c>
      <c r="C922" s="6"/>
    </row>
    <row r="923" spans="1:3" ht="84" x14ac:dyDescent="0.25">
      <c r="A923" s="6" t="s">
        <v>1162</v>
      </c>
      <c r="B923" s="8" t="s">
        <v>3185</v>
      </c>
      <c r="C923" s="6"/>
    </row>
    <row r="924" spans="1:3" ht="72" x14ac:dyDescent="0.25">
      <c r="A924" s="6" t="s">
        <v>1163</v>
      </c>
      <c r="B924" s="8" t="s">
        <v>3186</v>
      </c>
      <c r="C924" s="6"/>
    </row>
    <row r="925" spans="1:3" ht="108" x14ac:dyDescent="0.25">
      <c r="A925" s="6" t="s">
        <v>1164</v>
      </c>
      <c r="B925" s="8" t="s">
        <v>3187</v>
      </c>
      <c r="C925" s="6"/>
    </row>
    <row r="926" spans="1:3" ht="72" x14ac:dyDescent="0.25">
      <c r="A926" s="6" t="s">
        <v>1165</v>
      </c>
      <c r="B926" s="8" t="s">
        <v>3188</v>
      </c>
      <c r="C926" s="6"/>
    </row>
    <row r="927" spans="1:3" ht="72" x14ac:dyDescent="0.25">
      <c r="A927" s="6" t="s">
        <v>1166</v>
      </c>
      <c r="B927" s="8" t="s">
        <v>3189</v>
      </c>
      <c r="C927" s="6"/>
    </row>
    <row r="928" spans="1:3" ht="96" x14ac:dyDescent="0.25">
      <c r="A928" s="6" t="s">
        <v>1167</v>
      </c>
      <c r="B928" s="8" t="s">
        <v>3190</v>
      </c>
      <c r="C928" s="6"/>
    </row>
    <row r="929" spans="1:3" ht="96" x14ac:dyDescent="0.25">
      <c r="A929" s="6" t="s">
        <v>1168</v>
      </c>
      <c r="B929" s="8" t="s">
        <v>3191</v>
      </c>
      <c r="C929" s="6"/>
    </row>
    <row r="930" spans="1:3" ht="96" x14ac:dyDescent="0.25">
      <c r="A930" s="6" t="s">
        <v>1169</v>
      </c>
      <c r="B930" s="8" t="s">
        <v>3192</v>
      </c>
      <c r="C930" s="6"/>
    </row>
    <row r="931" spans="1:3" ht="108" x14ac:dyDescent="0.25">
      <c r="A931" s="6" t="s">
        <v>3842</v>
      </c>
      <c r="B931" s="8" t="s">
        <v>3513</v>
      </c>
      <c r="C931" s="6"/>
    </row>
    <row r="932" spans="1:3" ht="72" x14ac:dyDescent="0.25">
      <c r="A932" s="6" t="s">
        <v>3843</v>
      </c>
      <c r="B932" s="8" t="s">
        <v>3514</v>
      </c>
      <c r="C932" s="6"/>
    </row>
    <row r="933" spans="1:3" ht="120" x14ac:dyDescent="0.25">
      <c r="A933" s="6" t="s">
        <v>3844</v>
      </c>
      <c r="B933" s="8" t="s">
        <v>3515</v>
      </c>
      <c r="C933" s="6"/>
    </row>
    <row r="934" spans="1:3" ht="120" x14ac:dyDescent="0.25">
      <c r="A934" s="6" t="s">
        <v>1170</v>
      </c>
      <c r="B934" s="8" t="s">
        <v>2483</v>
      </c>
      <c r="C934" s="6"/>
    </row>
    <row r="935" spans="1:3" ht="72" x14ac:dyDescent="0.25">
      <c r="A935" s="6" t="s">
        <v>1171</v>
      </c>
      <c r="B935" s="8" t="s">
        <v>3516</v>
      </c>
      <c r="C935" s="6"/>
    </row>
    <row r="936" spans="1:3" ht="108" x14ac:dyDescent="0.25">
      <c r="A936" s="6" t="s">
        <v>1172</v>
      </c>
      <c r="B936" s="8" t="s">
        <v>3193</v>
      </c>
      <c r="C936" s="6"/>
    </row>
    <row r="937" spans="1:3" ht="96" x14ac:dyDescent="0.25">
      <c r="A937" s="6" t="s">
        <v>1173</v>
      </c>
      <c r="B937" s="8" t="s">
        <v>3194</v>
      </c>
      <c r="C937" s="6"/>
    </row>
    <row r="938" spans="1:3" ht="72" x14ac:dyDescent="0.25">
      <c r="A938" s="6" t="s">
        <v>1174</v>
      </c>
      <c r="B938" s="8" t="s">
        <v>2484</v>
      </c>
      <c r="C938" s="6"/>
    </row>
    <row r="939" spans="1:3" ht="72" x14ac:dyDescent="0.25">
      <c r="A939" s="6" t="s">
        <v>1175</v>
      </c>
      <c r="B939" s="8" t="s">
        <v>2485</v>
      </c>
      <c r="C939" s="6"/>
    </row>
    <row r="940" spans="1:3" ht="48" x14ac:dyDescent="0.25">
      <c r="A940" s="6" t="s">
        <v>1176</v>
      </c>
      <c r="B940" s="8" t="s">
        <v>2486</v>
      </c>
      <c r="C940" s="6"/>
    </row>
    <row r="941" spans="1:3" ht="72" x14ac:dyDescent="0.25">
      <c r="A941" s="6" t="s">
        <v>1177</v>
      </c>
      <c r="B941" s="8" t="s">
        <v>2487</v>
      </c>
      <c r="C941" s="6"/>
    </row>
    <row r="942" spans="1:3" ht="84" x14ac:dyDescent="0.25">
      <c r="A942" s="6" t="s">
        <v>1178</v>
      </c>
      <c r="B942" s="8" t="s">
        <v>2488</v>
      </c>
      <c r="C942" s="6"/>
    </row>
    <row r="943" spans="1:3" ht="72" x14ac:dyDescent="0.25">
      <c r="A943" s="6" t="s">
        <v>1179</v>
      </c>
      <c r="B943" s="8" t="s">
        <v>2489</v>
      </c>
      <c r="C943" s="6"/>
    </row>
    <row r="944" spans="1:3" ht="84" x14ac:dyDescent="0.25">
      <c r="A944" s="6" t="s">
        <v>1180</v>
      </c>
      <c r="B944" s="8" t="s">
        <v>2490</v>
      </c>
      <c r="C944" s="6"/>
    </row>
    <row r="945" spans="1:3" ht="84" x14ac:dyDescent="0.25">
      <c r="A945" s="6" t="s">
        <v>1181</v>
      </c>
      <c r="B945" s="8" t="s">
        <v>2491</v>
      </c>
      <c r="C945" s="6"/>
    </row>
    <row r="946" spans="1:3" ht="72" x14ac:dyDescent="0.25">
      <c r="A946" s="6" t="s">
        <v>1182</v>
      </c>
      <c r="B946" s="8" t="s">
        <v>2492</v>
      </c>
      <c r="C946" s="6"/>
    </row>
    <row r="947" spans="1:3" ht="84" x14ac:dyDescent="0.25">
      <c r="A947" s="6" t="s">
        <v>1183</v>
      </c>
      <c r="B947" s="8" t="s">
        <v>3195</v>
      </c>
      <c r="C947" s="6"/>
    </row>
    <row r="948" spans="1:3" ht="108" x14ac:dyDescent="0.25">
      <c r="A948" s="6" t="s">
        <v>1184</v>
      </c>
      <c r="B948" s="8" t="s">
        <v>3196</v>
      </c>
      <c r="C948" s="6"/>
    </row>
    <row r="949" spans="1:3" ht="84" x14ac:dyDescent="0.25">
      <c r="A949" s="6" t="s">
        <v>1185</v>
      </c>
      <c r="B949" s="8" t="s">
        <v>3197</v>
      </c>
      <c r="C949" s="6"/>
    </row>
    <row r="950" spans="1:3" ht="72" x14ac:dyDescent="0.25">
      <c r="A950" s="6" t="s">
        <v>1186</v>
      </c>
      <c r="B950" s="8" t="s">
        <v>3198</v>
      </c>
      <c r="C950" s="6"/>
    </row>
    <row r="951" spans="1:3" ht="84" x14ac:dyDescent="0.25">
      <c r="A951" s="6" t="s">
        <v>1187</v>
      </c>
      <c r="B951" s="8" t="s">
        <v>3199</v>
      </c>
      <c r="C951" s="6"/>
    </row>
    <row r="952" spans="1:3" ht="96" x14ac:dyDescent="0.25">
      <c r="A952" s="6" t="s">
        <v>1188</v>
      </c>
      <c r="B952" s="8" t="s">
        <v>2493</v>
      </c>
      <c r="C952" s="6"/>
    </row>
    <row r="953" spans="1:3" ht="60" x14ac:dyDescent="0.25">
      <c r="A953" s="6" t="s">
        <v>1189</v>
      </c>
      <c r="B953" s="8" t="s">
        <v>2494</v>
      </c>
      <c r="C953" s="6"/>
    </row>
    <row r="954" spans="1:3" ht="72" x14ac:dyDescent="0.25">
      <c r="A954" s="6" t="s">
        <v>1190</v>
      </c>
      <c r="B954" s="8" t="s">
        <v>2495</v>
      </c>
      <c r="C954" s="6"/>
    </row>
    <row r="955" spans="1:3" ht="60" x14ac:dyDescent="0.25">
      <c r="A955" s="6" t="s">
        <v>1191</v>
      </c>
      <c r="B955" s="8" t="s">
        <v>2496</v>
      </c>
      <c r="C955" s="6"/>
    </row>
    <row r="956" spans="1:3" ht="36" x14ac:dyDescent="0.25">
      <c r="A956" s="6" t="s">
        <v>1192</v>
      </c>
      <c r="B956" s="8" t="s">
        <v>2497</v>
      </c>
      <c r="C956" s="6"/>
    </row>
    <row r="957" spans="1:3" ht="36" x14ac:dyDescent="0.25">
      <c r="A957" s="6" t="s">
        <v>1193</v>
      </c>
      <c r="B957" s="8" t="s">
        <v>2498</v>
      </c>
      <c r="C957" s="6"/>
    </row>
    <row r="958" spans="1:3" ht="96" x14ac:dyDescent="0.25">
      <c r="A958" s="6" t="s">
        <v>3845</v>
      </c>
      <c r="B958" s="6" t="s">
        <v>1976</v>
      </c>
      <c r="C958" s="6"/>
    </row>
    <row r="959" spans="1:3" ht="84" x14ac:dyDescent="0.25">
      <c r="A959" s="6" t="s">
        <v>1194</v>
      </c>
      <c r="B959" s="8" t="s">
        <v>2499</v>
      </c>
      <c r="C959" s="6"/>
    </row>
    <row r="960" spans="1:3" ht="84" x14ac:dyDescent="0.25">
      <c r="A960" s="6" t="s">
        <v>1195</v>
      </c>
      <c r="B960" s="8" t="s">
        <v>2500</v>
      </c>
      <c r="C960" s="6"/>
    </row>
    <row r="961" spans="1:3" ht="84" x14ac:dyDescent="0.25">
      <c r="A961" s="6" t="s">
        <v>1196</v>
      </c>
      <c r="B961" s="8" t="s">
        <v>2501</v>
      </c>
      <c r="C961" s="6"/>
    </row>
    <row r="962" spans="1:3" ht="84" x14ac:dyDescent="0.25">
      <c r="A962" s="6" t="s">
        <v>1197</v>
      </c>
      <c r="B962" s="8" t="s">
        <v>2502</v>
      </c>
      <c r="C962" s="6"/>
    </row>
    <row r="963" spans="1:3" ht="60" x14ac:dyDescent="0.25">
      <c r="A963" s="6" t="s">
        <v>1198</v>
      </c>
      <c r="B963" s="8" t="s">
        <v>2503</v>
      </c>
      <c r="C963" s="6"/>
    </row>
    <row r="964" spans="1:3" ht="72" x14ac:dyDescent="0.25">
      <c r="A964" s="6" t="s">
        <v>1199</v>
      </c>
      <c r="B964" s="8" t="s">
        <v>2504</v>
      </c>
      <c r="C964" s="6"/>
    </row>
    <row r="965" spans="1:3" ht="96" x14ac:dyDescent="0.25">
      <c r="A965" s="6" t="s">
        <v>1200</v>
      </c>
      <c r="B965" s="8" t="s">
        <v>3200</v>
      </c>
      <c r="C965" s="6"/>
    </row>
    <row r="966" spans="1:3" ht="72" x14ac:dyDescent="0.25">
      <c r="A966" s="6" t="s">
        <v>1201</v>
      </c>
      <c r="B966" s="8" t="s">
        <v>3201</v>
      </c>
      <c r="C966" s="6"/>
    </row>
    <row r="967" spans="1:3" ht="120" x14ac:dyDescent="0.25">
      <c r="A967" s="6" t="s">
        <v>3846</v>
      </c>
      <c r="B967" s="6" t="s">
        <v>1977</v>
      </c>
      <c r="C967" s="6"/>
    </row>
    <row r="968" spans="1:3" ht="84" x14ac:dyDescent="0.25">
      <c r="A968" s="6" t="s">
        <v>1202</v>
      </c>
      <c r="B968" s="8" t="s">
        <v>2505</v>
      </c>
      <c r="C968" s="6"/>
    </row>
    <row r="969" spans="1:3" ht="84" x14ac:dyDescent="0.25">
      <c r="A969" s="6" t="s">
        <v>1203</v>
      </c>
      <c r="B969" s="8" t="s">
        <v>2506</v>
      </c>
      <c r="C969" s="6"/>
    </row>
    <row r="970" spans="1:3" ht="84" x14ac:dyDescent="0.25">
      <c r="A970" s="6" t="s">
        <v>1204</v>
      </c>
      <c r="B970" s="8" t="s">
        <v>2507</v>
      </c>
      <c r="C970" s="6"/>
    </row>
    <row r="971" spans="1:3" ht="84" x14ac:dyDescent="0.25">
      <c r="A971" s="6" t="s">
        <v>1205</v>
      </c>
      <c r="B971" s="8" t="s">
        <v>3202</v>
      </c>
      <c r="C971" s="6"/>
    </row>
    <row r="972" spans="1:3" ht="108" x14ac:dyDescent="0.25">
      <c r="A972" s="6" t="s">
        <v>1206</v>
      </c>
      <c r="B972" s="8" t="s">
        <v>3203</v>
      </c>
      <c r="C972" s="6"/>
    </row>
    <row r="973" spans="1:3" ht="60" x14ac:dyDescent="0.25">
      <c r="A973" s="6" t="s">
        <v>1207</v>
      </c>
      <c r="B973" s="8" t="s">
        <v>2508</v>
      </c>
      <c r="C973" s="6"/>
    </row>
    <row r="974" spans="1:3" ht="72" x14ac:dyDescent="0.25">
      <c r="A974" s="6" t="s">
        <v>1208</v>
      </c>
      <c r="B974" s="8" t="s">
        <v>2509</v>
      </c>
      <c r="C974" s="6"/>
    </row>
    <row r="975" spans="1:3" ht="96" x14ac:dyDescent="0.25">
      <c r="A975" s="6" t="s">
        <v>1209</v>
      </c>
      <c r="B975" s="8" t="s">
        <v>2510</v>
      </c>
      <c r="C975" s="6"/>
    </row>
    <row r="976" spans="1:3" ht="156" x14ac:dyDescent="0.25">
      <c r="A976" s="6" t="s">
        <v>3847</v>
      </c>
      <c r="B976" s="6" t="s">
        <v>1978</v>
      </c>
      <c r="C976" s="6"/>
    </row>
    <row r="977" spans="1:3" ht="96" x14ac:dyDescent="0.25">
      <c r="A977" s="6" t="s">
        <v>1210</v>
      </c>
      <c r="B977" s="8" t="s">
        <v>2511</v>
      </c>
      <c r="C977" s="6"/>
    </row>
    <row r="978" spans="1:3" ht="84" x14ac:dyDescent="0.25">
      <c r="A978" s="6" t="s">
        <v>1211</v>
      </c>
      <c r="B978" s="8" t="s">
        <v>2512</v>
      </c>
      <c r="C978" s="6"/>
    </row>
    <row r="979" spans="1:3" ht="84" x14ac:dyDescent="0.25">
      <c r="A979" s="6" t="s">
        <v>1212</v>
      </c>
      <c r="B979" s="8" t="s">
        <v>2513</v>
      </c>
      <c r="C979" s="6"/>
    </row>
    <row r="980" spans="1:3" ht="96" x14ac:dyDescent="0.25">
      <c r="A980" s="6" t="s">
        <v>1213</v>
      </c>
      <c r="B980" s="8" t="s">
        <v>3204</v>
      </c>
      <c r="C980" s="6"/>
    </row>
    <row r="981" spans="1:3" ht="96" x14ac:dyDescent="0.25">
      <c r="A981" s="6" t="s">
        <v>1214</v>
      </c>
      <c r="B981" s="8" t="s">
        <v>3205</v>
      </c>
      <c r="C981" s="6"/>
    </row>
    <row r="982" spans="1:3" ht="60" x14ac:dyDescent="0.25">
      <c r="A982" s="6" t="s">
        <v>1215</v>
      </c>
      <c r="B982" s="8" t="s">
        <v>2514</v>
      </c>
      <c r="C982" s="6"/>
    </row>
    <row r="983" spans="1:3" ht="84" x14ac:dyDescent="0.25">
      <c r="A983" s="6" t="s">
        <v>1216</v>
      </c>
      <c r="B983" s="8" t="s">
        <v>2515</v>
      </c>
      <c r="C983" s="6"/>
    </row>
    <row r="984" spans="1:3" ht="84" x14ac:dyDescent="0.25">
      <c r="A984" s="6" t="s">
        <v>1217</v>
      </c>
      <c r="B984" s="8" t="s">
        <v>2516</v>
      </c>
      <c r="C984" s="6"/>
    </row>
    <row r="985" spans="1:3" ht="156" x14ac:dyDescent="0.25">
      <c r="A985" s="6" t="s">
        <v>3848</v>
      </c>
      <c r="B985" s="6" t="s">
        <v>1979</v>
      </c>
      <c r="C985" s="6"/>
    </row>
    <row r="986" spans="1:3" ht="84" x14ac:dyDescent="0.25">
      <c r="A986" s="6" t="s">
        <v>1218</v>
      </c>
      <c r="B986" s="8" t="s">
        <v>2517</v>
      </c>
      <c r="C986" s="6"/>
    </row>
    <row r="987" spans="1:3" ht="84" x14ac:dyDescent="0.25">
      <c r="A987" s="6" t="s">
        <v>1219</v>
      </c>
      <c r="B987" s="8" t="s">
        <v>2518</v>
      </c>
      <c r="C987" s="6"/>
    </row>
    <row r="988" spans="1:3" ht="84" x14ac:dyDescent="0.25">
      <c r="A988" s="6" t="s">
        <v>1220</v>
      </c>
      <c r="B988" s="8" t="s">
        <v>3206</v>
      </c>
      <c r="C988" s="6"/>
    </row>
    <row r="989" spans="1:3" ht="72" x14ac:dyDescent="0.25">
      <c r="A989" s="6" t="s">
        <v>1221</v>
      </c>
      <c r="B989" s="8" t="s">
        <v>3207</v>
      </c>
      <c r="C989" s="6"/>
    </row>
    <row r="990" spans="1:3" ht="84" x14ac:dyDescent="0.25">
      <c r="A990" s="6" t="s">
        <v>1222</v>
      </c>
      <c r="B990" s="8" t="s">
        <v>3208</v>
      </c>
      <c r="C990" s="6"/>
    </row>
    <row r="991" spans="1:3" ht="72" x14ac:dyDescent="0.25">
      <c r="A991" s="6" t="s">
        <v>1223</v>
      </c>
      <c r="B991" s="8" t="s">
        <v>2519</v>
      </c>
      <c r="C991" s="6"/>
    </row>
    <row r="992" spans="1:3" ht="72" x14ac:dyDescent="0.25">
      <c r="A992" s="6" t="s">
        <v>1224</v>
      </c>
      <c r="B992" s="8" t="s">
        <v>2520</v>
      </c>
      <c r="C992" s="6"/>
    </row>
    <row r="993" spans="1:3" ht="96" x14ac:dyDescent="0.25">
      <c r="A993" s="6" t="s">
        <v>1225</v>
      </c>
      <c r="B993" s="8" t="s">
        <v>2521</v>
      </c>
      <c r="C993" s="6"/>
    </row>
    <row r="994" spans="1:3" ht="204" x14ac:dyDescent="0.25">
      <c r="A994" s="6" t="s">
        <v>3849</v>
      </c>
      <c r="B994" s="6" t="s">
        <v>1980</v>
      </c>
      <c r="C994" s="6"/>
    </row>
    <row r="995" spans="1:3" ht="96" x14ac:dyDescent="0.25">
      <c r="A995" s="6" t="s">
        <v>1226</v>
      </c>
      <c r="B995" s="8" t="s">
        <v>2522</v>
      </c>
      <c r="C995" s="6"/>
    </row>
    <row r="996" spans="1:3" ht="72" x14ac:dyDescent="0.25">
      <c r="A996" s="6" t="s">
        <v>1227</v>
      </c>
      <c r="B996" s="8" t="s">
        <v>2523</v>
      </c>
      <c r="C996" s="6"/>
    </row>
    <row r="997" spans="1:3" ht="108" x14ac:dyDescent="0.25">
      <c r="A997" s="6" t="s">
        <v>1228</v>
      </c>
      <c r="B997" s="8" t="s">
        <v>2524</v>
      </c>
      <c r="C997" s="6"/>
    </row>
    <row r="998" spans="1:3" ht="96" x14ac:dyDescent="0.25">
      <c r="A998" s="6" t="s">
        <v>1229</v>
      </c>
      <c r="B998" s="8" t="s">
        <v>2525</v>
      </c>
      <c r="C998" s="6"/>
    </row>
    <row r="999" spans="1:3" ht="96" x14ac:dyDescent="0.25">
      <c r="A999" s="6" t="s">
        <v>1230</v>
      </c>
      <c r="B999" s="8" t="s">
        <v>2526</v>
      </c>
      <c r="C999" s="6"/>
    </row>
    <row r="1000" spans="1:3" ht="96" x14ac:dyDescent="0.25">
      <c r="A1000" s="6" t="s">
        <v>1231</v>
      </c>
      <c r="B1000" s="8" t="s">
        <v>2527</v>
      </c>
      <c r="C1000" s="6"/>
    </row>
    <row r="1001" spans="1:3" ht="72" x14ac:dyDescent="0.25">
      <c r="A1001" s="6" t="s">
        <v>1232</v>
      </c>
      <c r="B1001" s="8" t="s">
        <v>3209</v>
      </c>
      <c r="C1001" s="6"/>
    </row>
    <row r="1002" spans="1:3" ht="72" x14ac:dyDescent="0.25">
      <c r="A1002" s="6" t="s">
        <v>1233</v>
      </c>
      <c r="B1002" s="8" t="s">
        <v>3210</v>
      </c>
      <c r="C1002" s="6"/>
    </row>
    <row r="1003" spans="1:3" ht="60" x14ac:dyDescent="0.25">
      <c r="A1003" s="6" t="s">
        <v>1234</v>
      </c>
      <c r="B1003" s="8" t="s">
        <v>2528</v>
      </c>
      <c r="C1003" s="6"/>
    </row>
    <row r="1004" spans="1:3" ht="84" x14ac:dyDescent="0.25">
      <c r="A1004" s="6" t="s">
        <v>3850</v>
      </c>
      <c r="B1004" s="8" t="s">
        <v>3517</v>
      </c>
      <c r="C1004" s="6"/>
    </row>
    <row r="1005" spans="1:3" ht="168" x14ac:dyDescent="0.25">
      <c r="A1005" s="6" t="s">
        <v>3851</v>
      </c>
      <c r="B1005" s="6" t="s">
        <v>1981</v>
      </c>
      <c r="C1005" s="6"/>
    </row>
    <row r="1006" spans="1:3" ht="96" x14ac:dyDescent="0.25">
      <c r="A1006" s="6" t="s">
        <v>1235</v>
      </c>
      <c r="B1006" s="8" t="s">
        <v>2529</v>
      </c>
      <c r="C1006" s="6"/>
    </row>
    <row r="1007" spans="1:3" ht="96" x14ac:dyDescent="0.25">
      <c r="A1007" s="6" t="s">
        <v>1236</v>
      </c>
      <c r="B1007" s="8" t="s">
        <v>2530</v>
      </c>
      <c r="C1007" s="6"/>
    </row>
    <row r="1008" spans="1:3" ht="84" x14ac:dyDescent="0.25">
      <c r="A1008" s="6" t="s">
        <v>1237</v>
      </c>
      <c r="B1008" s="8" t="s">
        <v>3211</v>
      </c>
      <c r="C1008" s="6"/>
    </row>
    <row r="1009" spans="1:3" ht="84" x14ac:dyDescent="0.25">
      <c r="A1009" s="6" t="s">
        <v>1238</v>
      </c>
      <c r="B1009" s="8" t="s">
        <v>3212</v>
      </c>
      <c r="C1009" s="6"/>
    </row>
    <row r="1010" spans="1:3" ht="84" x14ac:dyDescent="0.25">
      <c r="A1010" s="6" t="s">
        <v>1239</v>
      </c>
      <c r="B1010" s="8" t="s">
        <v>3213</v>
      </c>
      <c r="C1010" s="6"/>
    </row>
    <row r="1011" spans="1:3" ht="84" x14ac:dyDescent="0.25">
      <c r="A1011" s="6" t="s">
        <v>1240</v>
      </c>
      <c r="B1011" s="8" t="s">
        <v>2531</v>
      </c>
      <c r="C1011" s="6"/>
    </row>
    <row r="1012" spans="1:3" ht="72" x14ac:dyDescent="0.25">
      <c r="A1012" s="6" t="s">
        <v>1241</v>
      </c>
      <c r="B1012" s="8" t="s">
        <v>2532</v>
      </c>
      <c r="C1012" s="6"/>
    </row>
    <row r="1013" spans="1:3" ht="96" x14ac:dyDescent="0.25">
      <c r="A1013" s="6" t="s">
        <v>3852</v>
      </c>
      <c r="B1013" s="6" t="s">
        <v>1982</v>
      </c>
      <c r="C1013" s="6"/>
    </row>
    <row r="1014" spans="1:3" ht="96" x14ac:dyDescent="0.25">
      <c r="A1014" s="6" t="s">
        <v>1242</v>
      </c>
      <c r="B1014" s="8" t="s">
        <v>2533</v>
      </c>
      <c r="C1014" s="6"/>
    </row>
    <row r="1015" spans="1:3" ht="84" x14ac:dyDescent="0.25">
      <c r="A1015" s="6" t="s">
        <v>1243</v>
      </c>
      <c r="B1015" s="8" t="s">
        <v>2534</v>
      </c>
      <c r="C1015" s="6"/>
    </row>
    <row r="1016" spans="1:3" ht="84" x14ac:dyDescent="0.25">
      <c r="A1016" s="6" t="s">
        <v>1244</v>
      </c>
      <c r="B1016" s="8" t="s">
        <v>3214</v>
      </c>
      <c r="C1016" s="6"/>
    </row>
    <row r="1017" spans="1:3" ht="72" x14ac:dyDescent="0.25">
      <c r="A1017" s="6" t="s">
        <v>1245</v>
      </c>
      <c r="B1017" s="8" t="s">
        <v>3215</v>
      </c>
      <c r="C1017" s="6"/>
    </row>
    <row r="1018" spans="1:3" ht="84" x14ac:dyDescent="0.25">
      <c r="A1018" s="6" t="s">
        <v>1246</v>
      </c>
      <c r="B1018" s="8" t="s">
        <v>2535</v>
      </c>
      <c r="C1018" s="6"/>
    </row>
    <row r="1019" spans="1:3" ht="84" x14ac:dyDescent="0.25">
      <c r="A1019" s="6" t="s">
        <v>1247</v>
      </c>
      <c r="B1019" s="8" t="s">
        <v>2536</v>
      </c>
      <c r="C1019" s="6"/>
    </row>
    <row r="1020" spans="1:3" ht="72" x14ac:dyDescent="0.25">
      <c r="A1020" s="6" t="s">
        <v>1248</v>
      </c>
      <c r="B1020" s="8" t="s">
        <v>2537</v>
      </c>
      <c r="C1020" s="6"/>
    </row>
    <row r="1021" spans="1:3" ht="48" x14ac:dyDescent="0.25">
      <c r="A1021" s="6" t="s">
        <v>1249</v>
      </c>
      <c r="B1021" s="8" t="s">
        <v>2538</v>
      </c>
      <c r="C1021" s="6"/>
    </row>
    <row r="1022" spans="1:3" ht="156" x14ac:dyDescent="0.25">
      <c r="A1022" s="6" t="s">
        <v>3853</v>
      </c>
      <c r="B1022" s="6" t="s">
        <v>1983</v>
      </c>
      <c r="C1022" s="6"/>
    </row>
    <row r="1023" spans="1:3" ht="120" x14ac:dyDescent="0.25">
      <c r="A1023" s="6" t="s">
        <v>1250</v>
      </c>
      <c r="B1023" s="8" t="s">
        <v>3216</v>
      </c>
      <c r="C1023" s="6"/>
    </row>
    <row r="1024" spans="1:3" ht="108" x14ac:dyDescent="0.25">
      <c r="A1024" s="6" t="s">
        <v>1251</v>
      </c>
      <c r="B1024" s="8" t="s">
        <v>3217</v>
      </c>
      <c r="C1024" s="6"/>
    </row>
    <row r="1025" spans="1:3" ht="84" x14ac:dyDescent="0.25">
      <c r="A1025" s="6" t="s">
        <v>1252</v>
      </c>
      <c r="B1025" s="8" t="s">
        <v>2539</v>
      </c>
      <c r="C1025" s="6"/>
    </row>
    <row r="1026" spans="1:3" ht="72" x14ac:dyDescent="0.25">
      <c r="A1026" s="6" t="s">
        <v>1253</v>
      </c>
      <c r="B1026" s="8" t="s">
        <v>2540</v>
      </c>
      <c r="C1026" s="6"/>
    </row>
    <row r="1027" spans="1:3" ht="72" x14ac:dyDescent="0.25">
      <c r="A1027" s="6" t="s">
        <v>1254</v>
      </c>
      <c r="B1027" s="8" t="s">
        <v>2541</v>
      </c>
      <c r="C1027" s="6"/>
    </row>
    <row r="1028" spans="1:3" ht="84" x14ac:dyDescent="0.25">
      <c r="A1028" s="6" t="s">
        <v>1255</v>
      </c>
      <c r="B1028" s="8" t="s">
        <v>2542</v>
      </c>
      <c r="C1028" s="6"/>
    </row>
    <row r="1029" spans="1:3" ht="84" x14ac:dyDescent="0.25">
      <c r="A1029" s="6" t="s">
        <v>1256</v>
      </c>
      <c r="B1029" s="8" t="s">
        <v>2543</v>
      </c>
      <c r="C1029" s="6"/>
    </row>
    <row r="1030" spans="1:3" ht="96" x14ac:dyDescent="0.25">
      <c r="A1030" s="6" t="s">
        <v>1257</v>
      </c>
      <c r="B1030" s="8" t="s">
        <v>2544</v>
      </c>
      <c r="C1030" s="6"/>
    </row>
    <row r="1031" spans="1:3" ht="96" x14ac:dyDescent="0.25">
      <c r="A1031" s="6" t="s">
        <v>1258</v>
      </c>
      <c r="B1031" s="8" t="s">
        <v>2545</v>
      </c>
      <c r="C1031" s="6"/>
    </row>
    <row r="1032" spans="1:3" ht="156" x14ac:dyDescent="0.25">
      <c r="A1032" s="6" t="s">
        <v>3854</v>
      </c>
      <c r="B1032" s="6" t="s">
        <v>1984</v>
      </c>
      <c r="C1032" s="6"/>
    </row>
    <row r="1033" spans="1:3" ht="60" x14ac:dyDescent="0.25">
      <c r="A1033" s="6" t="s">
        <v>1259</v>
      </c>
      <c r="B1033" s="8" t="s">
        <v>2546</v>
      </c>
      <c r="C1033" s="6"/>
    </row>
    <row r="1034" spans="1:3" ht="84" x14ac:dyDescent="0.25">
      <c r="A1034" s="6" t="s">
        <v>1260</v>
      </c>
      <c r="B1034" s="8" t="s">
        <v>2547</v>
      </c>
      <c r="C1034" s="6"/>
    </row>
    <row r="1035" spans="1:3" ht="84" x14ac:dyDescent="0.25">
      <c r="A1035" s="6" t="s">
        <v>1261</v>
      </c>
      <c r="B1035" s="8" t="s">
        <v>2548</v>
      </c>
      <c r="C1035" s="6"/>
    </row>
    <row r="1036" spans="1:3" ht="108" x14ac:dyDescent="0.25">
      <c r="A1036" s="6" t="s">
        <v>1262</v>
      </c>
      <c r="B1036" s="8" t="s">
        <v>3218</v>
      </c>
      <c r="C1036" s="6"/>
    </row>
    <row r="1037" spans="1:3" ht="84" x14ac:dyDescent="0.25">
      <c r="A1037" s="6" t="s">
        <v>1263</v>
      </c>
      <c r="B1037" s="8" t="s">
        <v>3219</v>
      </c>
      <c r="C1037" s="6"/>
    </row>
    <row r="1038" spans="1:3" ht="72" x14ac:dyDescent="0.25">
      <c r="A1038" s="6" t="s">
        <v>1264</v>
      </c>
      <c r="B1038" s="8" t="s">
        <v>2549</v>
      </c>
      <c r="C1038" s="6"/>
    </row>
    <row r="1039" spans="1:3" ht="96" x14ac:dyDescent="0.25">
      <c r="A1039" s="6" t="s">
        <v>1265</v>
      </c>
      <c r="B1039" s="8" t="s">
        <v>2550</v>
      </c>
      <c r="C1039" s="6"/>
    </row>
    <row r="1040" spans="1:3" ht="84" x14ac:dyDescent="0.25">
      <c r="A1040" s="6" t="s">
        <v>1266</v>
      </c>
      <c r="B1040" s="8" t="s">
        <v>2551</v>
      </c>
      <c r="C1040" s="6"/>
    </row>
    <row r="1041" spans="1:3" ht="288" x14ac:dyDescent="0.25">
      <c r="A1041" s="6" t="s">
        <v>3855</v>
      </c>
      <c r="B1041" s="6" t="s">
        <v>1985</v>
      </c>
      <c r="C1041" s="6"/>
    </row>
    <row r="1042" spans="1:3" ht="96" x14ac:dyDescent="0.25">
      <c r="A1042" s="6" t="s">
        <v>3856</v>
      </c>
      <c r="B1042" s="8" t="s">
        <v>3518</v>
      </c>
      <c r="C1042" s="6"/>
    </row>
    <row r="1043" spans="1:3" ht="72" x14ac:dyDescent="0.25">
      <c r="A1043" s="6" t="s">
        <v>1267</v>
      </c>
      <c r="B1043" s="8" t="s">
        <v>2552</v>
      </c>
      <c r="C1043" s="6"/>
    </row>
    <row r="1044" spans="1:3" ht="96" x14ac:dyDescent="0.25">
      <c r="A1044" s="6" t="s">
        <v>1268</v>
      </c>
      <c r="B1044" s="8" t="s">
        <v>2553</v>
      </c>
      <c r="C1044" s="6"/>
    </row>
    <row r="1045" spans="1:3" ht="84" x14ac:dyDescent="0.25">
      <c r="A1045" s="6" t="s">
        <v>1269</v>
      </c>
      <c r="B1045" s="8" t="s">
        <v>2554</v>
      </c>
      <c r="C1045" s="6"/>
    </row>
    <row r="1046" spans="1:3" ht="72" x14ac:dyDescent="0.25">
      <c r="A1046" s="6" t="s">
        <v>1270</v>
      </c>
      <c r="B1046" s="8" t="s">
        <v>2555</v>
      </c>
      <c r="C1046" s="6"/>
    </row>
    <row r="1047" spans="1:3" ht="72" x14ac:dyDescent="0.25">
      <c r="A1047" s="6" t="s">
        <v>1271</v>
      </c>
      <c r="B1047" s="8" t="s">
        <v>2556</v>
      </c>
      <c r="C1047" s="6"/>
    </row>
    <row r="1048" spans="1:3" ht="72" x14ac:dyDescent="0.25">
      <c r="A1048" s="6" t="s">
        <v>1272</v>
      </c>
      <c r="B1048" s="8" t="s">
        <v>2557</v>
      </c>
      <c r="C1048" s="6"/>
    </row>
    <row r="1049" spans="1:3" ht="312" x14ac:dyDescent="0.25">
      <c r="A1049" s="6" t="s">
        <v>3857</v>
      </c>
      <c r="B1049" s="6" t="s">
        <v>1986</v>
      </c>
      <c r="C1049" s="6"/>
    </row>
    <row r="1050" spans="1:3" ht="96" x14ac:dyDescent="0.25">
      <c r="A1050" s="6" t="s">
        <v>1273</v>
      </c>
      <c r="B1050" s="8" t="s">
        <v>2558</v>
      </c>
      <c r="C1050" s="6"/>
    </row>
    <row r="1051" spans="1:3" ht="96" x14ac:dyDescent="0.25">
      <c r="A1051" s="6" t="s">
        <v>1274</v>
      </c>
      <c r="B1051" s="8" t="s">
        <v>2559</v>
      </c>
      <c r="C1051" s="6"/>
    </row>
    <row r="1052" spans="1:3" ht="84" x14ac:dyDescent="0.25">
      <c r="A1052" s="6" t="s">
        <v>1275</v>
      </c>
      <c r="B1052" s="8" t="s">
        <v>2560</v>
      </c>
      <c r="C1052" s="6"/>
    </row>
    <row r="1053" spans="1:3" ht="84" x14ac:dyDescent="0.25">
      <c r="A1053" s="6" t="s">
        <v>1276</v>
      </c>
      <c r="B1053" s="8" t="s">
        <v>2561</v>
      </c>
      <c r="C1053" s="6"/>
    </row>
    <row r="1054" spans="1:3" ht="60" x14ac:dyDescent="0.25">
      <c r="A1054" s="6" t="s">
        <v>1277</v>
      </c>
      <c r="B1054" s="8" t="s">
        <v>2562</v>
      </c>
      <c r="C1054" s="6"/>
    </row>
    <row r="1055" spans="1:3" ht="84" x14ac:dyDescent="0.25">
      <c r="A1055" s="6" t="s">
        <v>1278</v>
      </c>
      <c r="B1055" s="8" t="s">
        <v>2563</v>
      </c>
      <c r="C1055" s="6"/>
    </row>
    <row r="1056" spans="1:3" ht="72" x14ac:dyDescent="0.25">
      <c r="A1056" s="6" t="s">
        <v>1279</v>
      </c>
      <c r="B1056" s="8" t="s">
        <v>2564</v>
      </c>
      <c r="C1056" s="6"/>
    </row>
    <row r="1057" spans="1:3" ht="48" x14ac:dyDescent="0.25">
      <c r="A1057" s="6" t="s">
        <v>1280</v>
      </c>
      <c r="B1057" s="8" t="s">
        <v>2565</v>
      </c>
      <c r="C1057" s="6"/>
    </row>
    <row r="1058" spans="1:3" ht="60" x14ac:dyDescent="0.25">
      <c r="A1058" s="6" t="s">
        <v>1281</v>
      </c>
      <c r="B1058" s="8" t="s">
        <v>2566</v>
      </c>
      <c r="C1058" s="6"/>
    </row>
    <row r="1059" spans="1:3" ht="336" x14ac:dyDescent="0.25">
      <c r="A1059" s="6" t="s">
        <v>3858</v>
      </c>
      <c r="B1059" s="6" t="s">
        <v>1987</v>
      </c>
      <c r="C1059" s="6"/>
    </row>
    <row r="1060" spans="1:3" ht="108" x14ac:dyDescent="0.25">
      <c r="A1060" s="6" t="s">
        <v>3859</v>
      </c>
      <c r="B1060" s="8" t="s">
        <v>3519</v>
      </c>
      <c r="C1060" s="6"/>
    </row>
    <row r="1061" spans="1:3" ht="168" x14ac:dyDescent="0.25">
      <c r="A1061" s="6" t="s">
        <v>3860</v>
      </c>
      <c r="B1061" s="8" t="s">
        <v>3520</v>
      </c>
      <c r="C1061" s="6" t="s">
        <v>382</v>
      </c>
    </row>
    <row r="1062" spans="1:3" ht="60" x14ac:dyDescent="0.25">
      <c r="A1062" s="6" t="s">
        <v>3861</v>
      </c>
      <c r="B1062" s="8" t="s">
        <v>3521</v>
      </c>
      <c r="C1062" s="6"/>
    </row>
    <row r="1063" spans="1:3" ht="84" x14ac:dyDescent="0.25">
      <c r="A1063" s="6" t="s">
        <v>1282</v>
      </c>
      <c r="B1063" s="8" t="s">
        <v>2567</v>
      </c>
      <c r="C1063" s="6" t="s">
        <v>383</v>
      </c>
    </row>
    <row r="1064" spans="1:3" ht="72" x14ac:dyDescent="0.25">
      <c r="A1064" s="6" t="s">
        <v>1283</v>
      </c>
      <c r="B1064" s="8" t="s">
        <v>2568</v>
      </c>
      <c r="C1064" s="6"/>
    </row>
    <row r="1065" spans="1:3" ht="96" x14ac:dyDescent="0.25">
      <c r="A1065" s="6" t="s">
        <v>1284</v>
      </c>
      <c r="B1065" s="8" t="s">
        <v>2569</v>
      </c>
      <c r="C1065" s="6" t="s">
        <v>384</v>
      </c>
    </row>
    <row r="1066" spans="1:3" ht="72" x14ac:dyDescent="0.25">
      <c r="A1066" s="6" t="s">
        <v>1285</v>
      </c>
      <c r="B1066" s="8" t="s">
        <v>2570</v>
      </c>
      <c r="C1066" s="6"/>
    </row>
    <row r="1067" spans="1:3" ht="60" x14ac:dyDescent="0.25">
      <c r="A1067" s="6" t="s">
        <v>1286</v>
      </c>
      <c r="B1067" s="8" t="s">
        <v>2571</v>
      </c>
      <c r="C1067" s="6"/>
    </row>
    <row r="1068" spans="1:3" ht="300" x14ac:dyDescent="0.25">
      <c r="A1068" s="6" t="s">
        <v>4003</v>
      </c>
      <c r="B1068" s="6" t="s">
        <v>4004</v>
      </c>
      <c r="C1068" s="6"/>
    </row>
    <row r="1069" spans="1:3" ht="96" x14ac:dyDescent="0.25">
      <c r="A1069" s="6" t="s">
        <v>4005</v>
      </c>
      <c r="B1069" s="8" t="s">
        <v>4006</v>
      </c>
      <c r="C1069" s="6"/>
    </row>
    <row r="1070" spans="1:3" ht="84" x14ac:dyDescent="0.25">
      <c r="A1070" s="6" t="s">
        <v>4007</v>
      </c>
      <c r="B1070" s="8" t="s">
        <v>4008</v>
      </c>
      <c r="C1070" s="6"/>
    </row>
    <row r="1071" spans="1:3" ht="108" x14ac:dyDescent="0.25">
      <c r="A1071" s="6" t="s">
        <v>4009</v>
      </c>
      <c r="B1071" s="8" t="s">
        <v>4010</v>
      </c>
      <c r="C1071" s="6"/>
    </row>
    <row r="1072" spans="1:3" ht="108" x14ac:dyDescent="0.25">
      <c r="A1072" s="6" t="s">
        <v>4011</v>
      </c>
      <c r="B1072" s="8" t="s">
        <v>4012</v>
      </c>
      <c r="C1072" s="6"/>
    </row>
    <row r="1073" spans="1:3" ht="84" x14ac:dyDescent="0.25">
      <c r="A1073" s="6" t="s">
        <v>4013</v>
      </c>
      <c r="B1073" s="8" t="s">
        <v>4014</v>
      </c>
      <c r="C1073" s="6"/>
    </row>
    <row r="1074" spans="1:3" ht="108" x14ac:dyDescent="0.25">
      <c r="A1074" s="6" t="s">
        <v>4015</v>
      </c>
      <c r="B1074" s="8" t="s">
        <v>4016</v>
      </c>
      <c r="C1074" s="6"/>
    </row>
    <row r="1075" spans="1:3" ht="60" x14ac:dyDescent="0.25">
      <c r="A1075" s="6" t="s">
        <v>4017</v>
      </c>
      <c r="B1075" s="8" t="s">
        <v>4018</v>
      </c>
      <c r="C1075" s="6"/>
    </row>
    <row r="1076" spans="1:3" ht="300" x14ac:dyDescent="0.25">
      <c r="A1076" s="6" t="s">
        <v>4019</v>
      </c>
      <c r="B1076" s="6" t="s">
        <v>4020</v>
      </c>
      <c r="C1076" s="6"/>
    </row>
    <row r="1077" spans="1:3" ht="192" x14ac:dyDescent="0.25">
      <c r="A1077" s="6" t="s">
        <v>4021</v>
      </c>
      <c r="B1077" s="8" t="s">
        <v>4022</v>
      </c>
      <c r="C1077" s="6"/>
    </row>
    <row r="1078" spans="1:3" ht="84" x14ac:dyDescent="0.25">
      <c r="A1078" s="6" t="s">
        <v>4023</v>
      </c>
      <c r="B1078" s="8" t="s">
        <v>4024</v>
      </c>
      <c r="C1078" s="6"/>
    </row>
    <row r="1079" spans="1:3" ht="84" x14ac:dyDescent="0.25">
      <c r="A1079" s="6" t="s">
        <v>4025</v>
      </c>
      <c r="B1079" s="8" t="s">
        <v>4026</v>
      </c>
      <c r="C1079" s="6"/>
    </row>
    <row r="1080" spans="1:3" ht="96" x14ac:dyDescent="0.25">
      <c r="A1080" s="6" t="s">
        <v>4027</v>
      </c>
      <c r="B1080" s="8" t="s">
        <v>4028</v>
      </c>
      <c r="C1080" s="6"/>
    </row>
    <row r="1081" spans="1:3" ht="72" x14ac:dyDescent="0.25">
      <c r="A1081" s="6" t="s">
        <v>4029</v>
      </c>
      <c r="B1081" s="8" t="s">
        <v>4030</v>
      </c>
      <c r="C1081" s="6"/>
    </row>
    <row r="1082" spans="1:3" ht="84" x14ac:dyDescent="0.25">
      <c r="A1082" s="6" t="s">
        <v>4031</v>
      </c>
      <c r="B1082" s="8" t="s">
        <v>4032</v>
      </c>
      <c r="C1082" s="6"/>
    </row>
    <row r="1083" spans="1:3" ht="84" x14ac:dyDescent="0.25">
      <c r="A1083" s="6" t="s">
        <v>4033</v>
      </c>
      <c r="B1083" s="8" t="s">
        <v>4034</v>
      </c>
      <c r="C1083" s="6"/>
    </row>
    <row r="1084" spans="1:3" ht="72" x14ac:dyDescent="0.25">
      <c r="A1084" s="6" t="s">
        <v>4035</v>
      </c>
      <c r="B1084" s="8" t="s">
        <v>4036</v>
      </c>
      <c r="C1084" s="6"/>
    </row>
    <row r="1085" spans="1:3" ht="312" x14ac:dyDescent="0.25">
      <c r="A1085" s="6" t="s">
        <v>4037</v>
      </c>
      <c r="B1085" s="6" t="s">
        <v>4038</v>
      </c>
      <c r="C1085" s="6"/>
    </row>
    <row r="1086" spans="1:3" ht="108" x14ac:dyDescent="0.25">
      <c r="A1086" s="6" t="s">
        <v>4039</v>
      </c>
      <c r="B1086" s="8" t="s">
        <v>4040</v>
      </c>
      <c r="C1086" s="6"/>
    </row>
    <row r="1087" spans="1:3" ht="96" x14ac:dyDescent="0.25">
      <c r="A1087" s="6" t="s">
        <v>4041</v>
      </c>
      <c r="B1087" s="8" t="s">
        <v>4042</v>
      </c>
      <c r="C1087" s="6"/>
    </row>
    <row r="1088" spans="1:3" ht="96" x14ac:dyDescent="0.25">
      <c r="A1088" s="6" t="s">
        <v>4043</v>
      </c>
      <c r="B1088" s="8" t="s">
        <v>4044</v>
      </c>
      <c r="C1088" s="6"/>
    </row>
    <row r="1089" spans="1:3" ht="84" x14ac:dyDescent="0.25">
      <c r="A1089" s="6" t="s">
        <v>4045</v>
      </c>
      <c r="B1089" s="8" t="s">
        <v>4046</v>
      </c>
      <c r="C1089" s="6"/>
    </row>
    <row r="1090" spans="1:3" ht="96" x14ac:dyDescent="0.25">
      <c r="A1090" s="6" t="s">
        <v>4047</v>
      </c>
      <c r="B1090" s="8" t="s">
        <v>4048</v>
      </c>
      <c r="C1090" s="6"/>
    </row>
    <row r="1091" spans="1:3" ht="72" x14ac:dyDescent="0.25">
      <c r="A1091" s="6" t="s">
        <v>4049</v>
      </c>
      <c r="B1091" s="8" t="s">
        <v>4050</v>
      </c>
      <c r="C1091" s="6"/>
    </row>
    <row r="1092" spans="1:3" ht="60" x14ac:dyDescent="0.25">
      <c r="A1092" s="6" t="s">
        <v>4051</v>
      </c>
      <c r="B1092" s="8" t="s">
        <v>4052</v>
      </c>
      <c r="C1092" s="6"/>
    </row>
    <row r="1093" spans="1:3" ht="84" x14ac:dyDescent="0.25">
      <c r="A1093" s="6" t="s">
        <v>3862</v>
      </c>
      <c r="B1093" s="6" t="s">
        <v>1988</v>
      </c>
      <c r="C1093" s="6"/>
    </row>
    <row r="1094" spans="1:3" ht="108" x14ac:dyDescent="0.25">
      <c r="A1094" s="6" t="s">
        <v>1287</v>
      </c>
      <c r="B1094" s="8" t="s">
        <v>2572</v>
      </c>
      <c r="C1094" s="6"/>
    </row>
    <row r="1095" spans="1:3" ht="84" x14ac:dyDescent="0.25">
      <c r="A1095" s="6" t="s">
        <v>1288</v>
      </c>
      <c r="B1095" s="8" t="s">
        <v>3220</v>
      </c>
      <c r="C1095" s="6"/>
    </row>
    <row r="1096" spans="1:3" ht="96" x14ac:dyDescent="0.25">
      <c r="A1096" s="6" t="s">
        <v>1289</v>
      </c>
      <c r="B1096" s="8" t="s">
        <v>3221</v>
      </c>
      <c r="C1096" s="6"/>
    </row>
    <row r="1097" spans="1:3" ht="108" x14ac:dyDescent="0.25">
      <c r="A1097" s="6" t="s">
        <v>1290</v>
      </c>
      <c r="B1097" s="8" t="s">
        <v>3222</v>
      </c>
      <c r="C1097" s="6" t="s">
        <v>385</v>
      </c>
    </row>
    <row r="1098" spans="1:3" ht="72" x14ac:dyDescent="0.25">
      <c r="A1098" s="6" t="s">
        <v>1291</v>
      </c>
      <c r="B1098" s="8" t="s">
        <v>2573</v>
      </c>
      <c r="C1098" s="6" t="s">
        <v>386</v>
      </c>
    </row>
    <row r="1099" spans="1:3" ht="96" x14ac:dyDescent="0.25">
      <c r="A1099" s="6" t="s">
        <v>1292</v>
      </c>
      <c r="B1099" s="8" t="s">
        <v>2574</v>
      </c>
      <c r="C1099" s="6"/>
    </row>
    <row r="1100" spans="1:3" ht="48" x14ac:dyDescent="0.25">
      <c r="A1100" s="6" t="s">
        <v>1293</v>
      </c>
      <c r="B1100" s="8" t="s">
        <v>2575</v>
      </c>
      <c r="C1100" s="6"/>
    </row>
    <row r="1101" spans="1:3" ht="108" x14ac:dyDescent="0.25">
      <c r="A1101" s="6" t="s">
        <v>3863</v>
      </c>
      <c r="B1101" s="6" t="s">
        <v>1989</v>
      </c>
      <c r="C1101" s="6"/>
    </row>
    <row r="1102" spans="1:3" ht="84" x14ac:dyDescent="0.25">
      <c r="A1102" s="6" t="s">
        <v>1294</v>
      </c>
      <c r="B1102" s="8" t="s">
        <v>3223</v>
      </c>
      <c r="C1102" s="6"/>
    </row>
    <row r="1103" spans="1:3" ht="96" x14ac:dyDescent="0.25">
      <c r="A1103" s="6" t="s">
        <v>1295</v>
      </c>
      <c r="B1103" s="8" t="s">
        <v>3224</v>
      </c>
      <c r="C1103" s="6" t="s">
        <v>387</v>
      </c>
    </row>
    <row r="1104" spans="1:3" ht="48" x14ac:dyDescent="0.25">
      <c r="A1104" s="6" t="s">
        <v>1296</v>
      </c>
      <c r="B1104" s="8" t="s">
        <v>2576</v>
      </c>
      <c r="C1104" s="6"/>
    </row>
    <row r="1105" spans="1:3" ht="108" x14ac:dyDescent="0.25">
      <c r="A1105" s="6" t="s">
        <v>1297</v>
      </c>
      <c r="B1105" s="8" t="s">
        <v>2577</v>
      </c>
      <c r="C1105" s="6" t="s">
        <v>388</v>
      </c>
    </row>
    <row r="1106" spans="1:3" ht="96" x14ac:dyDescent="0.25">
      <c r="A1106" s="6" t="s">
        <v>1298</v>
      </c>
      <c r="B1106" s="8" t="s">
        <v>2578</v>
      </c>
      <c r="C1106" s="6" t="s">
        <v>388</v>
      </c>
    </row>
    <row r="1107" spans="1:3" ht="108" x14ac:dyDescent="0.25">
      <c r="A1107" s="6" t="s">
        <v>1299</v>
      </c>
      <c r="B1107" s="8" t="s">
        <v>3225</v>
      </c>
      <c r="C1107" s="6" t="s">
        <v>388</v>
      </c>
    </row>
    <row r="1108" spans="1:3" ht="60" x14ac:dyDescent="0.25">
      <c r="A1108" s="6" t="s">
        <v>1300</v>
      </c>
      <c r="B1108" s="8" t="s">
        <v>1854</v>
      </c>
      <c r="C1108" s="6"/>
    </row>
    <row r="1109" spans="1:3" ht="156" x14ac:dyDescent="0.25">
      <c r="A1109" s="6" t="s">
        <v>3864</v>
      </c>
      <c r="B1109" s="6" t="s">
        <v>1990</v>
      </c>
      <c r="C1109" s="6" t="s">
        <v>389</v>
      </c>
    </row>
    <row r="1110" spans="1:3" ht="96" x14ac:dyDescent="0.25">
      <c r="A1110" s="6" t="s">
        <v>1301</v>
      </c>
      <c r="B1110" s="8" t="s">
        <v>3226</v>
      </c>
      <c r="C1110" s="6"/>
    </row>
    <row r="1111" spans="1:3" ht="96" x14ac:dyDescent="0.25">
      <c r="A1111" s="6" t="s">
        <v>1302</v>
      </c>
      <c r="B1111" s="8" t="s">
        <v>2579</v>
      </c>
      <c r="C1111" s="6"/>
    </row>
    <row r="1112" spans="1:3" ht="84" x14ac:dyDescent="0.25">
      <c r="A1112" s="6" t="s">
        <v>1303</v>
      </c>
      <c r="B1112" s="8" t="s">
        <v>3227</v>
      </c>
      <c r="C1112" s="6"/>
    </row>
    <row r="1113" spans="1:3" ht="84" x14ac:dyDescent="0.25">
      <c r="A1113" s="6" t="s">
        <v>1304</v>
      </c>
      <c r="B1113" s="8" t="s">
        <v>2580</v>
      </c>
      <c r="C1113" s="6"/>
    </row>
    <row r="1114" spans="1:3" ht="108" x14ac:dyDescent="0.25">
      <c r="A1114" s="6" t="s">
        <v>1305</v>
      </c>
      <c r="B1114" s="8" t="s">
        <v>3228</v>
      </c>
      <c r="C1114" s="6" t="s">
        <v>390</v>
      </c>
    </row>
    <row r="1115" spans="1:3" ht="96" x14ac:dyDescent="0.25">
      <c r="A1115" s="6" t="s">
        <v>1306</v>
      </c>
      <c r="B1115" s="8" t="s">
        <v>2581</v>
      </c>
      <c r="C1115" s="6"/>
    </row>
    <row r="1116" spans="1:3" ht="96" x14ac:dyDescent="0.25">
      <c r="A1116" s="6" t="s">
        <v>1307</v>
      </c>
      <c r="B1116" s="8" t="s">
        <v>2582</v>
      </c>
      <c r="C1116" s="6" t="s">
        <v>391</v>
      </c>
    </row>
    <row r="1117" spans="1:3" ht="84" x14ac:dyDescent="0.25">
      <c r="A1117" s="6" t="s">
        <v>1308</v>
      </c>
      <c r="B1117" s="8" t="s">
        <v>1919</v>
      </c>
      <c r="C1117" s="6" t="s">
        <v>392</v>
      </c>
    </row>
    <row r="1118" spans="1:3" ht="72" x14ac:dyDescent="0.25">
      <c r="A1118" s="6" t="s">
        <v>1309</v>
      </c>
      <c r="B1118" s="8" t="s">
        <v>1920</v>
      </c>
      <c r="C1118" s="6" t="s">
        <v>392</v>
      </c>
    </row>
    <row r="1119" spans="1:3" ht="60" x14ac:dyDescent="0.25">
      <c r="A1119" s="6" t="s">
        <v>1310</v>
      </c>
      <c r="B1119" s="8" t="s">
        <v>1921</v>
      </c>
      <c r="C1119" s="6" t="s">
        <v>392</v>
      </c>
    </row>
    <row r="1120" spans="1:3" ht="60" x14ac:dyDescent="0.25">
      <c r="A1120" s="6" t="s">
        <v>1311</v>
      </c>
      <c r="B1120" s="8" t="s">
        <v>1922</v>
      </c>
      <c r="C1120" s="6"/>
    </row>
    <row r="1121" spans="1:3" ht="84" x14ac:dyDescent="0.25">
      <c r="A1121" s="6" t="s">
        <v>1312</v>
      </c>
      <c r="B1121" s="8" t="s">
        <v>1923</v>
      </c>
      <c r="C1121" s="6"/>
    </row>
    <row r="1122" spans="1:3" ht="72" x14ac:dyDescent="0.25">
      <c r="A1122" s="6" t="s">
        <v>1313</v>
      </c>
      <c r="B1122" s="8" t="s">
        <v>1855</v>
      </c>
      <c r="C1122" s="6"/>
    </row>
    <row r="1123" spans="1:3" ht="72" x14ac:dyDescent="0.25">
      <c r="A1123" s="6" t="s">
        <v>1314</v>
      </c>
      <c r="B1123" s="8" t="s">
        <v>1856</v>
      </c>
      <c r="C1123" s="6"/>
    </row>
    <row r="1124" spans="1:3" ht="72" x14ac:dyDescent="0.25">
      <c r="A1124" s="6" t="s">
        <v>1315</v>
      </c>
      <c r="B1124" s="8" t="s">
        <v>1857</v>
      </c>
      <c r="C1124" s="6"/>
    </row>
    <row r="1125" spans="1:3" ht="60" x14ac:dyDescent="0.25">
      <c r="A1125" s="6" t="s">
        <v>1316</v>
      </c>
      <c r="B1125" s="8" t="s">
        <v>1858</v>
      </c>
      <c r="C1125" s="6"/>
    </row>
    <row r="1126" spans="1:3" ht="84" x14ac:dyDescent="0.25">
      <c r="A1126" s="6" t="s">
        <v>1317</v>
      </c>
      <c r="B1126" s="8" t="s">
        <v>1859</v>
      </c>
      <c r="C1126" s="6"/>
    </row>
    <row r="1127" spans="1:3" ht="48" x14ac:dyDescent="0.25">
      <c r="A1127" s="6" t="s">
        <v>1318</v>
      </c>
      <c r="B1127" s="8" t="s">
        <v>1860</v>
      </c>
      <c r="C1127" s="6" t="s">
        <v>393</v>
      </c>
    </row>
    <row r="1128" spans="1:3" ht="72" x14ac:dyDescent="0.25">
      <c r="A1128" s="6" t="s">
        <v>1319</v>
      </c>
      <c r="B1128" s="8" t="s">
        <v>1861</v>
      </c>
      <c r="C1128" s="6" t="s">
        <v>394</v>
      </c>
    </row>
    <row r="1129" spans="1:3" ht="72" x14ac:dyDescent="0.25">
      <c r="A1129" s="6" t="s">
        <v>1320</v>
      </c>
      <c r="B1129" s="8" t="s">
        <v>1862</v>
      </c>
      <c r="C1129" s="6" t="s">
        <v>395</v>
      </c>
    </row>
    <row r="1130" spans="1:3" ht="60" x14ac:dyDescent="0.25">
      <c r="A1130" s="6" t="s">
        <v>1321</v>
      </c>
      <c r="B1130" s="8" t="s">
        <v>1863</v>
      </c>
      <c r="C1130" s="6" t="s">
        <v>395</v>
      </c>
    </row>
    <row r="1131" spans="1:3" ht="36" x14ac:dyDescent="0.25">
      <c r="A1131" s="6" t="s">
        <v>1322</v>
      </c>
      <c r="B1131" s="8" t="s">
        <v>1864</v>
      </c>
      <c r="C1131" s="6" t="s">
        <v>396</v>
      </c>
    </row>
    <row r="1132" spans="1:3" ht="48" x14ac:dyDescent="0.25">
      <c r="A1132" s="6" t="s">
        <v>1323</v>
      </c>
      <c r="B1132" s="8" t="s">
        <v>1865</v>
      </c>
      <c r="C1132" s="6" t="s">
        <v>395</v>
      </c>
    </row>
    <row r="1133" spans="1:3" ht="36" x14ac:dyDescent="0.25">
      <c r="A1133" s="6" t="s">
        <v>1324</v>
      </c>
      <c r="B1133" s="8" t="s">
        <v>1866</v>
      </c>
      <c r="C1133" s="6" t="s">
        <v>395</v>
      </c>
    </row>
    <row r="1134" spans="1:3" ht="60" x14ac:dyDescent="0.25">
      <c r="A1134" s="6" t="s">
        <v>1325</v>
      </c>
      <c r="B1134" s="8" t="s">
        <v>1867</v>
      </c>
      <c r="C1134" s="6" t="s">
        <v>395</v>
      </c>
    </row>
    <row r="1135" spans="1:3" ht="48" x14ac:dyDescent="0.25">
      <c r="A1135" s="6" t="s">
        <v>1326</v>
      </c>
      <c r="B1135" s="8" t="s">
        <v>2097</v>
      </c>
      <c r="C1135" s="6" t="s">
        <v>396</v>
      </c>
    </row>
    <row r="1136" spans="1:3" ht="84" x14ac:dyDescent="0.25">
      <c r="A1136" s="6" t="s">
        <v>1327</v>
      </c>
      <c r="B1136" s="8" t="s">
        <v>2098</v>
      </c>
      <c r="C1136" s="6"/>
    </row>
    <row r="1137" spans="1:3" ht="72" x14ac:dyDescent="0.25">
      <c r="A1137" s="6" t="s">
        <v>1328</v>
      </c>
      <c r="B1137" s="8" t="s">
        <v>2099</v>
      </c>
      <c r="C1137" s="6"/>
    </row>
    <row r="1138" spans="1:3" ht="60" x14ac:dyDescent="0.25">
      <c r="A1138" s="6" t="s">
        <v>1329</v>
      </c>
      <c r="B1138" s="8" t="s">
        <v>2100</v>
      </c>
      <c r="C1138" s="6"/>
    </row>
    <row r="1139" spans="1:3" ht="72" x14ac:dyDescent="0.25">
      <c r="A1139" s="6" t="s">
        <v>3865</v>
      </c>
      <c r="B1139" s="8" t="s">
        <v>3522</v>
      </c>
      <c r="C1139" s="6"/>
    </row>
    <row r="1140" spans="1:3" ht="120" x14ac:dyDescent="0.25">
      <c r="A1140" s="6" t="s">
        <v>3866</v>
      </c>
      <c r="B1140" s="8" t="s">
        <v>3523</v>
      </c>
      <c r="C1140" s="6"/>
    </row>
    <row r="1141" spans="1:3" ht="72" x14ac:dyDescent="0.25">
      <c r="A1141" s="6" t="s">
        <v>3867</v>
      </c>
      <c r="B1141" s="8" t="s">
        <v>3524</v>
      </c>
      <c r="C1141" s="6"/>
    </row>
    <row r="1142" spans="1:3" ht="96" x14ac:dyDescent="0.25">
      <c r="A1142" s="6" t="s">
        <v>3868</v>
      </c>
      <c r="B1142" s="8" t="s">
        <v>3525</v>
      </c>
      <c r="C1142" s="6"/>
    </row>
    <row r="1143" spans="1:3" ht="48" x14ac:dyDescent="0.25">
      <c r="A1143" s="6" t="s">
        <v>3869</v>
      </c>
      <c r="B1143" s="8" t="s">
        <v>3526</v>
      </c>
      <c r="C1143" s="6"/>
    </row>
    <row r="1144" spans="1:3" ht="168" x14ac:dyDescent="0.25">
      <c r="A1144" s="6" t="s">
        <v>3870</v>
      </c>
      <c r="B1144" s="8" t="s">
        <v>3527</v>
      </c>
      <c r="C1144" s="6"/>
    </row>
    <row r="1145" spans="1:3" ht="96" x14ac:dyDescent="0.25">
      <c r="A1145" s="6" t="s">
        <v>3871</v>
      </c>
      <c r="B1145" s="8" t="s">
        <v>3528</v>
      </c>
      <c r="C1145" s="6"/>
    </row>
    <row r="1146" spans="1:3" ht="144" x14ac:dyDescent="0.25">
      <c r="A1146" s="6" t="s">
        <v>3872</v>
      </c>
      <c r="B1146" s="8" t="s">
        <v>3529</v>
      </c>
      <c r="C1146" s="6"/>
    </row>
    <row r="1147" spans="1:3" ht="120" x14ac:dyDescent="0.25">
      <c r="A1147" s="6" t="s">
        <v>3873</v>
      </c>
      <c r="B1147" s="8" t="s">
        <v>3530</v>
      </c>
      <c r="C1147" s="6"/>
    </row>
    <row r="1148" spans="1:3" ht="120" x14ac:dyDescent="0.25">
      <c r="A1148" s="6" t="s">
        <v>1330</v>
      </c>
      <c r="B1148" s="8" t="s">
        <v>2583</v>
      </c>
      <c r="C1148" s="6"/>
    </row>
    <row r="1149" spans="1:3" ht="120" x14ac:dyDescent="0.25">
      <c r="A1149" s="6" t="s">
        <v>1331</v>
      </c>
      <c r="B1149" s="8" t="s">
        <v>2584</v>
      </c>
      <c r="C1149" s="6"/>
    </row>
    <row r="1150" spans="1:3" ht="120" x14ac:dyDescent="0.25">
      <c r="A1150" s="6" t="s">
        <v>1332</v>
      </c>
      <c r="B1150" s="8" t="s">
        <v>2585</v>
      </c>
      <c r="C1150" s="6"/>
    </row>
    <row r="1151" spans="1:3" ht="84" x14ac:dyDescent="0.25">
      <c r="A1151" s="6" t="s">
        <v>1333</v>
      </c>
      <c r="B1151" s="8" t="s">
        <v>2586</v>
      </c>
      <c r="C1151" s="6"/>
    </row>
    <row r="1152" spans="1:3" ht="120" x14ac:dyDescent="0.25">
      <c r="A1152" s="6" t="s">
        <v>1334</v>
      </c>
      <c r="B1152" s="8" t="s">
        <v>3229</v>
      </c>
      <c r="C1152" s="6"/>
    </row>
    <row r="1153" spans="1:3" ht="96" x14ac:dyDescent="0.25">
      <c r="A1153" s="6" t="s">
        <v>1335</v>
      </c>
      <c r="B1153" s="8" t="s">
        <v>3230</v>
      </c>
      <c r="C1153" s="6"/>
    </row>
    <row r="1154" spans="1:3" ht="84" x14ac:dyDescent="0.25">
      <c r="A1154" s="6" t="s">
        <v>1336</v>
      </c>
      <c r="B1154" s="8" t="s">
        <v>3231</v>
      </c>
      <c r="C1154" s="6"/>
    </row>
    <row r="1155" spans="1:3" ht="96" x14ac:dyDescent="0.25">
      <c r="A1155" s="6" t="s">
        <v>1337</v>
      </c>
      <c r="B1155" s="8" t="s">
        <v>3232</v>
      </c>
      <c r="C1155" s="6"/>
    </row>
    <row r="1156" spans="1:3" ht="96" x14ac:dyDescent="0.25">
      <c r="A1156" s="6" t="s">
        <v>1338</v>
      </c>
      <c r="B1156" s="8" t="s">
        <v>3233</v>
      </c>
      <c r="C1156" s="6"/>
    </row>
    <row r="1157" spans="1:3" ht="72" x14ac:dyDescent="0.25">
      <c r="A1157" s="6" t="s">
        <v>1339</v>
      </c>
      <c r="B1157" s="8" t="s">
        <v>3234</v>
      </c>
      <c r="C1157" s="6"/>
    </row>
    <row r="1158" spans="1:3" ht="96" x14ac:dyDescent="0.25">
      <c r="A1158" s="6" t="s">
        <v>1340</v>
      </c>
      <c r="B1158" s="8" t="s">
        <v>2587</v>
      </c>
      <c r="C1158" s="6"/>
    </row>
    <row r="1159" spans="1:3" ht="108" x14ac:dyDescent="0.25">
      <c r="A1159" s="6" t="s">
        <v>1341</v>
      </c>
      <c r="B1159" s="8" t="s">
        <v>2588</v>
      </c>
      <c r="C1159" s="6"/>
    </row>
    <row r="1160" spans="1:3" ht="84" x14ac:dyDescent="0.25">
      <c r="A1160" s="6" t="s">
        <v>1342</v>
      </c>
      <c r="B1160" s="8" t="s">
        <v>2589</v>
      </c>
      <c r="C1160" s="6"/>
    </row>
    <row r="1161" spans="1:3" ht="84" x14ac:dyDescent="0.25">
      <c r="A1161" s="6" t="s">
        <v>1343</v>
      </c>
      <c r="B1161" s="8" t="s">
        <v>2590</v>
      </c>
      <c r="C1161" s="6"/>
    </row>
    <row r="1162" spans="1:3" ht="84" x14ac:dyDescent="0.25">
      <c r="A1162" s="6" t="s">
        <v>1344</v>
      </c>
      <c r="B1162" s="8" t="s">
        <v>2591</v>
      </c>
      <c r="C1162" s="6"/>
    </row>
    <row r="1163" spans="1:3" ht="84" x14ac:dyDescent="0.25">
      <c r="A1163" s="6" t="s">
        <v>1345</v>
      </c>
      <c r="B1163" s="8" t="s">
        <v>2592</v>
      </c>
      <c r="C1163" s="6"/>
    </row>
    <row r="1164" spans="1:3" ht="84" x14ac:dyDescent="0.25">
      <c r="A1164" s="6" t="s">
        <v>1346</v>
      </c>
      <c r="B1164" s="8" t="s">
        <v>2593</v>
      </c>
      <c r="C1164" s="6"/>
    </row>
    <row r="1165" spans="1:3" ht="84" x14ac:dyDescent="0.25">
      <c r="A1165" s="6" t="s">
        <v>1347</v>
      </c>
      <c r="B1165" s="8" t="s">
        <v>2594</v>
      </c>
      <c r="C1165" s="6"/>
    </row>
    <row r="1166" spans="1:3" ht="84" x14ac:dyDescent="0.25">
      <c r="A1166" s="6" t="s">
        <v>1348</v>
      </c>
      <c r="B1166" s="8" t="s">
        <v>2595</v>
      </c>
      <c r="C1166" s="6"/>
    </row>
    <row r="1167" spans="1:3" ht="60" x14ac:dyDescent="0.25">
      <c r="A1167" s="6" t="s">
        <v>1349</v>
      </c>
      <c r="B1167" s="8" t="s">
        <v>2596</v>
      </c>
      <c r="C1167" s="6"/>
    </row>
    <row r="1168" spans="1:3" ht="72" x14ac:dyDescent="0.25">
      <c r="A1168" s="6" t="s">
        <v>1350</v>
      </c>
      <c r="B1168" s="8" t="s">
        <v>2597</v>
      </c>
      <c r="C1168" s="6"/>
    </row>
    <row r="1169" spans="1:3" ht="60" x14ac:dyDescent="0.25">
      <c r="A1169" s="6" t="s">
        <v>1351</v>
      </c>
      <c r="B1169" s="8" t="s">
        <v>2598</v>
      </c>
      <c r="C1169" s="6"/>
    </row>
    <row r="1170" spans="1:3" ht="72" x14ac:dyDescent="0.25">
      <c r="A1170" s="6" t="s">
        <v>1352</v>
      </c>
      <c r="B1170" s="8" t="s">
        <v>2599</v>
      </c>
      <c r="C1170" s="6"/>
    </row>
    <row r="1171" spans="1:3" ht="72" x14ac:dyDescent="0.25">
      <c r="A1171" s="6" t="s">
        <v>1353</v>
      </c>
      <c r="B1171" s="8" t="s">
        <v>2600</v>
      </c>
      <c r="C1171" s="6"/>
    </row>
    <row r="1172" spans="1:3" ht="48" x14ac:dyDescent="0.25">
      <c r="A1172" s="6" t="s">
        <v>1354</v>
      </c>
      <c r="B1172" s="8" t="s">
        <v>2601</v>
      </c>
      <c r="C1172" s="6" t="s">
        <v>397</v>
      </c>
    </row>
    <row r="1173" spans="1:3" ht="36" x14ac:dyDescent="0.25">
      <c r="A1173" s="6" t="s">
        <v>1355</v>
      </c>
      <c r="B1173" s="8" t="s">
        <v>2602</v>
      </c>
      <c r="C1173" s="6"/>
    </row>
    <row r="1174" spans="1:3" ht="60" x14ac:dyDescent="0.25">
      <c r="A1174" s="6" t="s">
        <v>1356</v>
      </c>
      <c r="B1174" s="8" t="s">
        <v>2603</v>
      </c>
      <c r="C1174" s="6" t="s">
        <v>398</v>
      </c>
    </row>
    <row r="1175" spans="1:3" ht="60" x14ac:dyDescent="0.25">
      <c r="A1175" s="6" t="s">
        <v>1357</v>
      </c>
      <c r="B1175" s="8" t="s">
        <v>2604</v>
      </c>
      <c r="C1175" s="6"/>
    </row>
    <row r="1176" spans="1:3" ht="72" x14ac:dyDescent="0.25">
      <c r="A1176" s="6" t="s">
        <v>1358</v>
      </c>
      <c r="B1176" s="8" t="s">
        <v>2605</v>
      </c>
      <c r="C1176" s="6"/>
    </row>
    <row r="1177" spans="1:3" ht="60" x14ac:dyDescent="0.25">
      <c r="A1177" s="6" t="s">
        <v>1359</v>
      </c>
      <c r="B1177" s="8" t="s">
        <v>2606</v>
      </c>
      <c r="C1177" s="6"/>
    </row>
    <row r="1178" spans="1:3" ht="72" x14ac:dyDescent="0.25">
      <c r="A1178" s="6" t="s">
        <v>1360</v>
      </c>
      <c r="B1178" s="8" t="s">
        <v>2607</v>
      </c>
      <c r="C1178" s="6"/>
    </row>
    <row r="1179" spans="1:3" ht="84" x14ac:dyDescent="0.25">
      <c r="A1179" s="6" t="s">
        <v>1361</v>
      </c>
      <c r="B1179" s="8" t="s">
        <v>2608</v>
      </c>
      <c r="C1179" s="6" t="s">
        <v>399</v>
      </c>
    </row>
    <row r="1180" spans="1:3" ht="96" x14ac:dyDescent="0.25">
      <c r="A1180" s="6" t="s">
        <v>1362</v>
      </c>
      <c r="B1180" s="8" t="s">
        <v>2609</v>
      </c>
      <c r="C1180" s="6" t="s">
        <v>400</v>
      </c>
    </row>
    <row r="1181" spans="1:3" ht="72" x14ac:dyDescent="0.25">
      <c r="A1181" s="6" t="s">
        <v>1363</v>
      </c>
      <c r="B1181" s="8" t="s">
        <v>3235</v>
      </c>
      <c r="C1181" s="6"/>
    </row>
    <row r="1182" spans="1:3" ht="96" x14ac:dyDescent="0.25">
      <c r="A1182" s="6" t="s">
        <v>1364</v>
      </c>
      <c r="B1182" s="8" t="s">
        <v>3236</v>
      </c>
      <c r="C1182" s="6"/>
    </row>
    <row r="1183" spans="1:3" ht="108" x14ac:dyDescent="0.25">
      <c r="A1183" s="6" t="s">
        <v>1365</v>
      </c>
      <c r="B1183" s="8" t="s">
        <v>3237</v>
      </c>
      <c r="C1183" s="6" t="s">
        <v>401</v>
      </c>
    </row>
    <row r="1184" spans="1:3" ht="72" x14ac:dyDescent="0.25">
      <c r="A1184" s="6" t="s">
        <v>1366</v>
      </c>
      <c r="B1184" s="8" t="s">
        <v>3238</v>
      </c>
      <c r="C1184" s="6"/>
    </row>
    <row r="1185" spans="1:3" ht="84" x14ac:dyDescent="0.25">
      <c r="A1185" s="6" t="s">
        <v>1367</v>
      </c>
      <c r="B1185" s="8" t="s">
        <v>3239</v>
      </c>
      <c r="C1185" s="6"/>
    </row>
    <row r="1186" spans="1:3" ht="60" x14ac:dyDescent="0.25">
      <c r="A1186" s="6" t="s">
        <v>1368</v>
      </c>
      <c r="B1186" s="8" t="s">
        <v>2610</v>
      </c>
      <c r="C1186" s="6" t="s">
        <v>402</v>
      </c>
    </row>
    <row r="1187" spans="1:3" ht="60" x14ac:dyDescent="0.25">
      <c r="A1187" s="6" t="s">
        <v>1369</v>
      </c>
      <c r="B1187" s="8" t="s">
        <v>2611</v>
      </c>
      <c r="C1187" s="6"/>
    </row>
    <row r="1188" spans="1:3" ht="48" x14ac:dyDescent="0.25">
      <c r="A1188" s="6" t="s">
        <v>1370</v>
      </c>
      <c r="B1188" s="8" t="s">
        <v>2612</v>
      </c>
      <c r="C1188" s="6"/>
    </row>
    <row r="1189" spans="1:3" ht="60" x14ac:dyDescent="0.25">
      <c r="A1189" s="6" t="s">
        <v>1371</v>
      </c>
      <c r="B1189" s="8" t="s">
        <v>2613</v>
      </c>
      <c r="C1189" s="6"/>
    </row>
    <row r="1190" spans="1:3" ht="72" x14ac:dyDescent="0.25">
      <c r="A1190" s="6" t="s">
        <v>1372</v>
      </c>
      <c r="B1190" s="8" t="s">
        <v>2614</v>
      </c>
      <c r="C1190" s="6"/>
    </row>
    <row r="1191" spans="1:3" ht="108" x14ac:dyDescent="0.25">
      <c r="A1191" s="6" t="s">
        <v>1373</v>
      </c>
      <c r="B1191" s="8" t="s">
        <v>2615</v>
      </c>
      <c r="C1191" s="6"/>
    </row>
    <row r="1192" spans="1:3" ht="96" x14ac:dyDescent="0.25">
      <c r="A1192" s="6" t="s">
        <v>1374</v>
      </c>
      <c r="B1192" s="8" t="s">
        <v>2616</v>
      </c>
      <c r="C1192" s="6"/>
    </row>
    <row r="1193" spans="1:3" ht="108" x14ac:dyDescent="0.25">
      <c r="A1193" s="6" t="s">
        <v>1375</v>
      </c>
      <c r="B1193" s="8" t="s">
        <v>3240</v>
      </c>
      <c r="C1193" s="6"/>
    </row>
    <row r="1194" spans="1:3" ht="120" x14ac:dyDescent="0.25">
      <c r="A1194" s="6" t="s">
        <v>1376</v>
      </c>
      <c r="B1194" s="8" t="s">
        <v>3241</v>
      </c>
      <c r="C1194" s="6"/>
    </row>
    <row r="1195" spans="1:3" ht="96" x14ac:dyDescent="0.25">
      <c r="A1195" s="6" t="s">
        <v>1377</v>
      </c>
      <c r="B1195" s="8" t="s">
        <v>2617</v>
      </c>
      <c r="C1195" s="6"/>
    </row>
    <row r="1196" spans="1:3" ht="96" x14ac:dyDescent="0.25">
      <c r="A1196" s="6" t="s">
        <v>1378</v>
      </c>
      <c r="B1196" s="8" t="s">
        <v>2618</v>
      </c>
      <c r="C1196" s="6"/>
    </row>
    <row r="1197" spans="1:3" ht="96" x14ac:dyDescent="0.25">
      <c r="A1197" s="6" t="s">
        <v>1379</v>
      </c>
      <c r="B1197" s="8" t="s">
        <v>2619</v>
      </c>
      <c r="C1197" s="6"/>
    </row>
    <row r="1198" spans="1:3" ht="84" x14ac:dyDescent="0.25">
      <c r="A1198" s="6" t="s">
        <v>1380</v>
      </c>
      <c r="B1198" s="8" t="s">
        <v>2620</v>
      </c>
      <c r="C1198" s="6" t="s">
        <v>403</v>
      </c>
    </row>
    <row r="1199" spans="1:3" ht="84" x14ac:dyDescent="0.25">
      <c r="A1199" s="6" t="s">
        <v>1381</v>
      </c>
      <c r="B1199" s="8" t="s">
        <v>2621</v>
      </c>
      <c r="C1199" s="6"/>
    </row>
    <row r="1200" spans="1:3" ht="60" x14ac:dyDescent="0.25">
      <c r="A1200" s="6" t="s">
        <v>1382</v>
      </c>
      <c r="B1200" s="8" t="s">
        <v>2622</v>
      </c>
      <c r="C1200" s="6"/>
    </row>
    <row r="1201" spans="1:3" ht="120" x14ac:dyDescent="0.25">
      <c r="A1201" s="6" t="s">
        <v>1383</v>
      </c>
      <c r="B1201" s="8" t="s">
        <v>2101</v>
      </c>
      <c r="C1201" s="6"/>
    </row>
    <row r="1202" spans="1:3" ht="72" x14ac:dyDescent="0.25">
      <c r="A1202" s="6" t="s">
        <v>1384</v>
      </c>
      <c r="B1202" s="8" t="s">
        <v>1924</v>
      </c>
      <c r="C1202" s="6"/>
    </row>
    <row r="1203" spans="1:3" ht="72" x14ac:dyDescent="0.25">
      <c r="A1203" s="6" t="s">
        <v>1385</v>
      </c>
      <c r="B1203" s="8" t="s">
        <v>2102</v>
      </c>
      <c r="C1203" s="6"/>
    </row>
    <row r="1204" spans="1:3" ht="60" x14ac:dyDescent="0.25">
      <c r="A1204" s="6" t="s">
        <v>1386</v>
      </c>
      <c r="B1204" s="8" t="s">
        <v>2103</v>
      </c>
      <c r="C1204" s="6"/>
    </row>
    <row r="1205" spans="1:3" ht="60" x14ac:dyDescent="0.25">
      <c r="A1205" s="6" t="s">
        <v>1387</v>
      </c>
      <c r="B1205" s="8" t="s">
        <v>1925</v>
      </c>
      <c r="C1205" s="6"/>
    </row>
    <row r="1206" spans="1:3" ht="72" x14ac:dyDescent="0.25">
      <c r="A1206" s="6" t="s">
        <v>1388</v>
      </c>
      <c r="B1206" s="8" t="s">
        <v>1868</v>
      </c>
      <c r="C1206" s="6" t="s">
        <v>404</v>
      </c>
    </row>
    <row r="1207" spans="1:3" ht="60" x14ac:dyDescent="0.25">
      <c r="A1207" s="6" t="s">
        <v>1389</v>
      </c>
      <c r="B1207" s="8" t="s">
        <v>1869</v>
      </c>
      <c r="C1207" s="6"/>
    </row>
    <row r="1208" spans="1:3" ht="72" x14ac:dyDescent="0.25">
      <c r="A1208" s="6" t="s">
        <v>1390</v>
      </c>
      <c r="B1208" s="8" t="s">
        <v>1870</v>
      </c>
      <c r="C1208" s="6"/>
    </row>
    <row r="1209" spans="1:3" ht="36" x14ac:dyDescent="0.25">
      <c r="A1209" s="6" t="s">
        <v>1391</v>
      </c>
      <c r="B1209" s="8" t="s">
        <v>2104</v>
      </c>
      <c r="C1209" s="6"/>
    </row>
    <row r="1210" spans="1:3" ht="72" x14ac:dyDescent="0.25">
      <c r="A1210" s="6" t="s">
        <v>1392</v>
      </c>
      <c r="B1210" s="8" t="s">
        <v>1871</v>
      </c>
      <c r="C1210" s="6" t="s">
        <v>405</v>
      </c>
    </row>
    <row r="1211" spans="1:3" ht="48" x14ac:dyDescent="0.25">
      <c r="A1211" s="6" t="s">
        <v>1393</v>
      </c>
      <c r="B1211" s="8" t="s">
        <v>2105</v>
      </c>
      <c r="C1211" s="6"/>
    </row>
    <row r="1212" spans="1:3" ht="48" x14ac:dyDescent="0.25">
      <c r="A1212" s="6" t="s">
        <v>1394</v>
      </c>
      <c r="B1212" s="8" t="s">
        <v>1872</v>
      </c>
      <c r="C1212" s="6"/>
    </row>
    <row r="1213" spans="1:3" ht="48" x14ac:dyDescent="0.25">
      <c r="A1213" s="6" t="s">
        <v>1395</v>
      </c>
      <c r="B1213" s="8" t="s">
        <v>2106</v>
      </c>
      <c r="C1213" s="6"/>
    </row>
    <row r="1214" spans="1:3" ht="84" x14ac:dyDescent="0.25">
      <c r="A1214" s="6" t="s">
        <v>1396</v>
      </c>
      <c r="B1214" s="8" t="s">
        <v>1873</v>
      </c>
      <c r="C1214" s="6"/>
    </row>
    <row r="1215" spans="1:3" ht="60" x14ac:dyDescent="0.25">
      <c r="A1215" s="6" t="s">
        <v>1397</v>
      </c>
      <c r="B1215" s="8" t="s">
        <v>2107</v>
      </c>
      <c r="C1215" s="6"/>
    </row>
    <row r="1216" spans="1:3" ht="72" x14ac:dyDescent="0.25">
      <c r="A1216" s="6" t="s">
        <v>1398</v>
      </c>
      <c r="B1216" s="8" t="s">
        <v>1874</v>
      </c>
      <c r="C1216" s="6"/>
    </row>
    <row r="1217" spans="1:3" ht="72" x14ac:dyDescent="0.25">
      <c r="A1217" s="6" t="s">
        <v>1399</v>
      </c>
      <c r="B1217" s="8" t="s">
        <v>1875</v>
      </c>
      <c r="C1217" s="6"/>
    </row>
    <row r="1218" spans="1:3" ht="60" x14ac:dyDescent="0.25">
      <c r="A1218" s="6" t="s">
        <v>1400</v>
      </c>
      <c r="B1218" s="8" t="s">
        <v>1876</v>
      </c>
      <c r="C1218" s="6"/>
    </row>
    <row r="1219" spans="1:3" ht="96" x14ac:dyDescent="0.25">
      <c r="A1219" s="6" t="s">
        <v>1401</v>
      </c>
      <c r="B1219" s="8" t="s">
        <v>2108</v>
      </c>
      <c r="C1219" s="6"/>
    </row>
    <row r="1220" spans="1:3" ht="60" x14ac:dyDescent="0.25">
      <c r="A1220" s="6" t="s">
        <v>1402</v>
      </c>
      <c r="B1220" s="8" t="s">
        <v>1877</v>
      </c>
      <c r="C1220" s="6"/>
    </row>
    <row r="1221" spans="1:3" ht="36" x14ac:dyDescent="0.25">
      <c r="A1221" s="6" t="s">
        <v>1403</v>
      </c>
      <c r="B1221" s="8" t="s">
        <v>2109</v>
      </c>
      <c r="C1221" s="6"/>
    </row>
    <row r="1222" spans="1:3" ht="72" x14ac:dyDescent="0.25">
      <c r="A1222" s="6" t="s">
        <v>1404</v>
      </c>
      <c r="B1222" s="8" t="s">
        <v>2110</v>
      </c>
      <c r="C1222" s="6"/>
    </row>
    <row r="1223" spans="1:3" ht="60" x14ac:dyDescent="0.25">
      <c r="A1223" s="6" t="s">
        <v>1405</v>
      </c>
      <c r="B1223" s="8" t="s">
        <v>2111</v>
      </c>
      <c r="C1223" s="6"/>
    </row>
    <row r="1224" spans="1:3" ht="36" x14ac:dyDescent="0.25">
      <c r="A1224" s="6" t="s">
        <v>1406</v>
      </c>
      <c r="B1224" s="8" t="s">
        <v>1878</v>
      </c>
      <c r="C1224" s="6"/>
    </row>
    <row r="1225" spans="1:3" ht="108" x14ac:dyDescent="0.25">
      <c r="A1225" s="6" t="s">
        <v>1407</v>
      </c>
      <c r="B1225" s="8" t="s">
        <v>3242</v>
      </c>
      <c r="C1225" s="6"/>
    </row>
    <row r="1226" spans="1:3" ht="96" x14ac:dyDescent="0.25">
      <c r="A1226" s="6" t="s">
        <v>1408</v>
      </c>
      <c r="B1226" s="8" t="s">
        <v>3243</v>
      </c>
      <c r="C1226" s="6"/>
    </row>
    <row r="1227" spans="1:3" ht="84" x14ac:dyDescent="0.25">
      <c r="A1227" s="6" t="s">
        <v>1409</v>
      </c>
      <c r="B1227" s="8" t="s">
        <v>3244</v>
      </c>
      <c r="C1227" s="6"/>
    </row>
    <row r="1228" spans="1:3" ht="72" x14ac:dyDescent="0.25">
      <c r="A1228" s="6" t="s">
        <v>1410</v>
      </c>
      <c r="B1228" s="8" t="s">
        <v>2623</v>
      </c>
      <c r="C1228" s="6"/>
    </row>
    <row r="1229" spans="1:3" ht="84" x14ac:dyDescent="0.25">
      <c r="A1229" s="6" t="s">
        <v>1411</v>
      </c>
      <c r="B1229" s="8" t="s">
        <v>2624</v>
      </c>
      <c r="C1229" s="6"/>
    </row>
    <row r="1230" spans="1:3" ht="84" x14ac:dyDescent="0.25">
      <c r="A1230" s="6" t="s">
        <v>1412</v>
      </c>
      <c r="B1230" s="8" t="s">
        <v>2625</v>
      </c>
      <c r="C1230" s="6"/>
    </row>
    <row r="1231" spans="1:3" ht="96" x14ac:dyDescent="0.25">
      <c r="A1231" s="6" t="s">
        <v>1413</v>
      </c>
      <c r="B1231" s="8" t="s">
        <v>2626</v>
      </c>
      <c r="C1231" s="6"/>
    </row>
    <row r="1232" spans="1:3" ht="84" x14ac:dyDescent="0.25">
      <c r="A1232" s="6" t="s">
        <v>1414</v>
      </c>
      <c r="B1232" s="8" t="s">
        <v>2627</v>
      </c>
      <c r="C1232" s="6"/>
    </row>
    <row r="1233" spans="1:3" ht="48" x14ac:dyDescent="0.25">
      <c r="A1233" s="6" t="s">
        <v>1415</v>
      </c>
      <c r="B1233" s="8" t="s">
        <v>2628</v>
      </c>
      <c r="C1233" s="6"/>
    </row>
    <row r="1234" spans="1:3" ht="60" x14ac:dyDescent="0.25">
      <c r="A1234" s="6" t="s">
        <v>1416</v>
      </c>
      <c r="B1234" s="8" t="s">
        <v>2629</v>
      </c>
      <c r="C1234" s="6"/>
    </row>
    <row r="1235" spans="1:3" ht="84" x14ac:dyDescent="0.25">
      <c r="A1235" s="6" t="s">
        <v>1417</v>
      </c>
      <c r="B1235" s="8" t="s">
        <v>3245</v>
      </c>
      <c r="C1235" s="6"/>
    </row>
    <row r="1236" spans="1:3" ht="84" x14ac:dyDescent="0.25">
      <c r="A1236" s="6" t="s">
        <v>1418</v>
      </c>
      <c r="B1236" s="8" t="s">
        <v>2630</v>
      </c>
      <c r="C1236" s="6" t="s">
        <v>406</v>
      </c>
    </row>
    <row r="1237" spans="1:3" ht="72" x14ac:dyDescent="0.25">
      <c r="A1237" s="6" t="s">
        <v>1419</v>
      </c>
      <c r="B1237" s="8" t="s">
        <v>2631</v>
      </c>
      <c r="C1237" s="6" t="s">
        <v>407</v>
      </c>
    </row>
    <row r="1238" spans="1:3" ht="60" x14ac:dyDescent="0.25">
      <c r="A1238" s="6" t="s">
        <v>1420</v>
      </c>
      <c r="B1238" s="8" t="s">
        <v>2632</v>
      </c>
      <c r="C1238" s="6"/>
    </row>
    <row r="1239" spans="1:3" ht="72" x14ac:dyDescent="0.25">
      <c r="A1239" s="6" t="s">
        <v>1421</v>
      </c>
      <c r="B1239" s="8" t="s">
        <v>2633</v>
      </c>
      <c r="C1239" s="6"/>
    </row>
    <row r="1240" spans="1:3" ht="120" x14ac:dyDescent="0.25">
      <c r="A1240" s="6" t="s">
        <v>1422</v>
      </c>
      <c r="B1240" s="8" t="s">
        <v>2634</v>
      </c>
      <c r="C1240" s="6"/>
    </row>
    <row r="1241" spans="1:3" ht="108" x14ac:dyDescent="0.25">
      <c r="A1241" s="6" t="s">
        <v>1423</v>
      </c>
      <c r="B1241" s="8" t="s">
        <v>2635</v>
      </c>
      <c r="C1241" s="6" t="s">
        <v>408</v>
      </c>
    </row>
    <row r="1242" spans="1:3" ht="120" x14ac:dyDescent="0.25">
      <c r="A1242" s="6" t="s">
        <v>1424</v>
      </c>
      <c r="B1242" s="8" t="s">
        <v>2636</v>
      </c>
      <c r="C1242" s="6"/>
    </row>
    <row r="1243" spans="1:3" ht="132" x14ac:dyDescent="0.25">
      <c r="A1243" s="6" t="s">
        <v>1425</v>
      </c>
      <c r="B1243" s="8" t="s">
        <v>3246</v>
      </c>
      <c r="C1243" s="6"/>
    </row>
    <row r="1244" spans="1:3" ht="96" x14ac:dyDescent="0.25">
      <c r="A1244" s="6" t="s">
        <v>1426</v>
      </c>
      <c r="B1244" s="8" t="s">
        <v>3247</v>
      </c>
      <c r="C1244" s="6"/>
    </row>
    <row r="1245" spans="1:3" ht="120" x14ac:dyDescent="0.25">
      <c r="A1245" s="6" t="s">
        <v>1427</v>
      </c>
      <c r="B1245" s="8" t="s">
        <v>3248</v>
      </c>
      <c r="C1245" s="6"/>
    </row>
    <row r="1246" spans="1:3" ht="96" x14ac:dyDescent="0.25">
      <c r="A1246" s="6" t="s">
        <v>1428</v>
      </c>
      <c r="B1246" s="8" t="s">
        <v>3249</v>
      </c>
      <c r="C1246" s="6"/>
    </row>
    <row r="1247" spans="1:3" ht="108" x14ac:dyDescent="0.25">
      <c r="A1247" s="6" t="s">
        <v>1429</v>
      </c>
      <c r="B1247" s="8" t="s">
        <v>3250</v>
      </c>
      <c r="C1247" s="6"/>
    </row>
    <row r="1248" spans="1:3" ht="96" x14ac:dyDescent="0.25">
      <c r="A1248" s="6" t="s">
        <v>1430</v>
      </c>
      <c r="B1248" s="8" t="s">
        <v>2637</v>
      </c>
      <c r="C1248" s="6"/>
    </row>
    <row r="1249" spans="1:3" ht="96" x14ac:dyDescent="0.25">
      <c r="A1249" s="6" t="s">
        <v>1431</v>
      </c>
      <c r="B1249" s="8" t="s">
        <v>2638</v>
      </c>
      <c r="C1249" s="6"/>
    </row>
    <row r="1250" spans="1:3" ht="84" x14ac:dyDescent="0.25">
      <c r="A1250" s="6" t="s">
        <v>1432</v>
      </c>
      <c r="B1250" s="8" t="s">
        <v>2639</v>
      </c>
      <c r="C1250" s="6"/>
    </row>
    <row r="1251" spans="1:3" ht="84" x14ac:dyDescent="0.25">
      <c r="A1251" s="6" t="s">
        <v>1433</v>
      </c>
      <c r="B1251" s="8" t="s">
        <v>2640</v>
      </c>
      <c r="C1251" s="6"/>
    </row>
    <row r="1252" spans="1:3" ht="60" x14ac:dyDescent="0.25">
      <c r="A1252" s="6" t="s">
        <v>1434</v>
      </c>
      <c r="B1252" s="8" t="s">
        <v>2641</v>
      </c>
      <c r="C1252" s="6"/>
    </row>
    <row r="1253" spans="1:3" ht="108" x14ac:dyDescent="0.25">
      <c r="A1253" s="6" t="s">
        <v>1435</v>
      </c>
      <c r="B1253" s="8" t="s">
        <v>2642</v>
      </c>
      <c r="C1253" s="6"/>
    </row>
    <row r="1254" spans="1:3" ht="72" x14ac:dyDescent="0.25">
      <c r="A1254" s="6" t="s">
        <v>1436</v>
      </c>
      <c r="B1254" s="8" t="s">
        <v>2643</v>
      </c>
      <c r="C1254" s="6"/>
    </row>
    <row r="1255" spans="1:3" ht="84" x14ac:dyDescent="0.25">
      <c r="A1255" s="6" t="s">
        <v>1437</v>
      </c>
      <c r="B1255" s="8" t="s">
        <v>2644</v>
      </c>
      <c r="C1255" s="6"/>
    </row>
    <row r="1256" spans="1:3" ht="60" x14ac:dyDescent="0.25">
      <c r="A1256" s="6" t="s">
        <v>1438</v>
      </c>
      <c r="B1256" s="8" t="s">
        <v>2645</v>
      </c>
      <c r="C1256" s="6"/>
    </row>
    <row r="1257" spans="1:3" ht="84" x14ac:dyDescent="0.25">
      <c r="A1257" s="6" t="s">
        <v>1439</v>
      </c>
      <c r="B1257" s="8" t="s">
        <v>2646</v>
      </c>
      <c r="C1257" s="6"/>
    </row>
    <row r="1258" spans="1:3" ht="84" x14ac:dyDescent="0.25">
      <c r="A1258" s="6" t="s">
        <v>1440</v>
      </c>
      <c r="B1258" s="8" t="s">
        <v>2647</v>
      </c>
      <c r="C1258" s="6"/>
    </row>
    <row r="1259" spans="1:3" ht="96" x14ac:dyDescent="0.25">
      <c r="A1259" s="6" t="s">
        <v>1441</v>
      </c>
      <c r="B1259" s="8" t="s">
        <v>2648</v>
      </c>
      <c r="C1259" s="6"/>
    </row>
    <row r="1260" spans="1:3" ht="96" x14ac:dyDescent="0.25">
      <c r="A1260" s="6" t="s">
        <v>1442</v>
      </c>
      <c r="B1260" s="8" t="s">
        <v>3251</v>
      </c>
      <c r="C1260" s="6"/>
    </row>
    <row r="1261" spans="1:3" ht="120" x14ac:dyDescent="0.25">
      <c r="A1261" s="6" t="s">
        <v>1443</v>
      </c>
      <c r="B1261" s="8" t="s">
        <v>3252</v>
      </c>
      <c r="C1261" s="6"/>
    </row>
    <row r="1262" spans="1:3" ht="120" x14ac:dyDescent="0.25">
      <c r="A1262" s="6" t="s">
        <v>1444</v>
      </c>
      <c r="B1262" s="8" t="s">
        <v>3253</v>
      </c>
      <c r="C1262" s="6"/>
    </row>
    <row r="1263" spans="1:3" ht="120" x14ac:dyDescent="0.25">
      <c r="A1263" s="6" t="s">
        <v>1445</v>
      </c>
      <c r="B1263" s="8" t="s">
        <v>3254</v>
      </c>
      <c r="C1263" s="6"/>
    </row>
    <row r="1264" spans="1:3" ht="72" x14ac:dyDescent="0.25">
      <c r="A1264" s="6" t="s">
        <v>1446</v>
      </c>
      <c r="B1264" s="8" t="s">
        <v>2649</v>
      </c>
      <c r="C1264" s="6" t="s">
        <v>409</v>
      </c>
    </row>
    <row r="1265" spans="1:3" ht="72" x14ac:dyDescent="0.25">
      <c r="A1265" s="6" t="s">
        <v>1447</v>
      </c>
      <c r="B1265" s="8" t="s">
        <v>2650</v>
      </c>
      <c r="C1265" s="6"/>
    </row>
    <row r="1266" spans="1:3" ht="60" x14ac:dyDescent="0.25">
      <c r="A1266" s="6" t="s">
        <v>1448</v>
      </c>
      <c r="B1266" s="8" t="s">
        <v>2651</v>
      </c>
      <c r="C1266" s="6"/>
    </row>
    <row r="1267" spans="1:3" ht="96" x14ac:dyDescent="0.25">
      <c r="A1267" s="6" t="s">
        <v>3874</v>
      </c>
      <c r="B1267" s="8" t="s">
        <v>3531</v>
      </c>
      <c r="C1267" s="6"/>
    </row>
    <row r="1268" spans="1:3" ht="60" x14ac:dyDescent="0.25">
      <c r="A1268" s="6" t="s">
        <v>3875</v>
      </c>
      <c r="B1268" s="8" t="s">
        <v>3532</v>
      </c>
      <c r="C1268" s="6"/>
    </row>
    <row r="1269" spans="1:3" ht="168" x14ac:dyDescent="0.25">
      <c r="A1269" s="6" t="s">
        <v>3876</v>
      </c>
      <c r="B1269" s="8" t="s">
        <v>3533</v>
      </c>
      <c r="C1269" s="6"/>
    </row>
    <row r="1270" spans="1:3" ht="156" x14ac:dyDescent="0.25">
      <c r="A1270" s="6" t="s">
        <v>3877</v>
      </c>
      <c r="B1270" s="8" t="s">
        <v>3534</v>
      </c>
      <c r="C1270" s="6"/>
    </row>
    <row r="1271" spans="1:3" ht="108" x14ac:dyDescent="0.25">
      <c r="A1271" s="6" t="s">
        <v>3878</v>
      </c>
      <c r="B1271" s="8" t="s">
        <v>3535</v>
      </c>
      <c r="C1271" s="6"/>
    </row>
    <row r="1272" spans="1:3" ht="96" x14ac:dyDescent="0.25">
      <c r="A1272" s="6" t="s">
        <v>3879</v>
      </c>
      <c r="B1272" s="8" t="s">
        <v>3536</v>
      </c>
      <c r="C1272" s="6"/>
    </row>
    <row r="1273" spans="1:3" ht="144" x14ac:dyDescent="0.25">
      <c r="A1273" s="6" t="s">
        <v>3880</v>
      </c>
      <c r="B1273" s="8" t="s">
        <v>3537</v>
      </c>
      <c r="C1273" s="6"/>
    </row>
    <row r="1274" spans="1:3" ht="96" x14ac:dyDescent="0.25">
      <c r="A1274" s="6" t="s">
        <v>3881</v>
      </c>
      <c r="B1274" s="8" t="s">
        <v>3538</v>
      </c>
      <c r="C1274" s="6"/>
    </row>
    <row r="1275" spans="1:3" ht="72" x14ac:dyDescent="0.25">
      <c r="A1275" s="6" t="s">
        <v>3882</v>
      </c>
      <c r="B1275" s="8" t="s">
        <v>3539</v>
      </c>
      <c r="C1275" s="6"/>
    </row>
    <row r="1276" spans="1:3" ht="72" x14ac:dyDescent="0.25">
      <c r="A1276" s="6" t="s">
        <v>3883</v>
      </c>
      <c r="B1276" s="8" t="s">
        <v>3540</v>
      </c>
      <c r="C1276" s="6"/>
    </row>
    <row r="1277" spans="1:3" ht="84" x14ac:dyDescent="0.25">
      <c r="A1277" s="6" t="s">
        <v>3884</v>
      </c>
      <c r="B1277" s="8" t="s">
        <v>3541</v>
      </c>
      <c r="C1277" s="6"/>
    </row>
    <row r="1278" spans="1:3" ht="72" x14ac:dyDescent="0.25">
      <c r="A1278" s="6" t="s">
        <v>3885</v>
      </c>
      <c r="B1278" s="8" t="s">
        <v>3542</v>
      </c>
      <c r="C1278" s="6"/>
    </row>
    <row r="1279" spans="1:3" ht="108" x14ac:dyDescent="0.25">
      <c r="A1279" s="6" t="s">
        <v>3886</v>
      </c>
      <c r="B1279" s="8" t="s">
        <v>3543</v>
      </c>
      <c r="C1279" s="6"/>
    </row>
    <row r="1280" spans="1:3" ht="72" x14ac:dyDescent="0.25">
      <c r="A1280" s="6" t="s">
        <v>1449</v>
      </c>
      <c r="B1280" s="8" t="s">
        <v>2112</v>
      </c>
      <c r="C1280" s="6"/>
    </row>
    <row r="1281" spans="1:3" ht="72" x14ac:dyDescent="0.25">
      <c r="A1281" s="6" t="s">
        <v>1450</v>
      </c>
      <c r="B1281" s="8" t="s">
        <v>2113</v>
      </c>
      <c r="C1281" s="6"/>
    </row>
    <row r="1282" spans="1:3" ht="84" x14ac:dyDescent="0.25">
      <c r="A1282" s="6" t="s">
        <v>1451</v>
      </c>
      <c r="B1282" s="8" t="s">
        <v>2114</v>
      </c>
      <c r="C1282" s="6"/>
    </row>
    <row r="1283" spans="1:3" ht="96" x14ac:dyDescent="0.25">
      <c r="A1283" s="6" t="s">
        <v>1452</v>
      </c>
      <c r="B1283" s="8" t="s">
        <v>1926</v>
      </c>
      <c r="C1283" s="6"/>
    </row>
    <row r="1284" spans="1:3" ht="72" x14ac:dyDescent="0.25">
      <c r="A1284" s="6" t="s">
        <v>1453</v>
      </c>
      <c r="B1284" s="8" t="s">
        <v>2115</v>
      </c>
      <c r="C1284" s="6"/>
    </row>
    <row r="1285" spans="1:3" ht="84" x14ac:dyDescent="0.25">
      <c r="A1285" s="6" t="s">
        <v>1454</v>
      </c>
      <c r="B1285" s="8" t="s">
        <v>1879</v>
      </c>
      <c r="C1285" s="6"/>
    </row>
    <row r="1286" spans="1:3" ht="60" x14ac:dyDescent="0.25">
      <c r="A1286" s="6" t="s">
        <v>1455</v>
      </c>
      <c r="B1286" s="8" t="s">
        <v>1880</v>
      </c>
      <c r="C1286" s="6"/>
    </row>
    <row r="1287" spans="1:3" ht="72" x14ac:dyDescent="0.25">
      <c r="A1287" s="6" t="s">
        <v>1456</v>
      </c>
      <c r="B1287" s="8" t="s">
        <v>1881</v>
      </c>
      <c r="C1287" s="6"/>
    </row>
    <row r="1288" spans="1:3" ht="36" x14ac:dyDescent="0.25">
      <c r="A1288" s="6" t="s">
        <v>1457</v>
      </c>
      <c r="B1288" s="8" t="s">
        <v>2116</v>
      </c>
      <c r="C1288" s="6"/>
    </row>
    <row r="1289" spans="1:3" ht="36" x14ac:dyDescent="0.25">
      <c r="A1289" s="6" t="s">
        <v>1458</v>
      </c>
      <c r="B1289" s="8" t="s">
        <v>2117</v>
      </c>
      <c r="C1289" s="6"/>
    </row>
    <row r="1290" spans="1:3" ht="60" x14ac:dyDescent="0.25">
      <c r="A1290" s="6" t="s">
        <v>1459</v>
      </c>
      <c r="B1290" s="8" t="s">
        <v>1882</v>
      </c>
      <c r="C1290" s="6"/>
    </row>
    <row r="1291" spans="1:3" ht="36" x14ac:dyDescent="0.25">
      <c r="A1291" s="6" t="s">
        <v>1460</v>
      </c>
      <c r="B1291" s="8" t="s">
        <v>2118</v>
      </c>
      <c r="C1291" s="6"/>
    </row>
    <row r="1292" spans="1:3" ht="60" x14ac:dyDescent="0.25">
      <c r="A1292" s="6" t="s">
        <v>1461</v>
      </c>
      <c r="B1292" s="8" t="s">
        <v>2119</v>
      </c>
      <c r="C1292" s="6"/>
    </row>
    <row r="1293" spans="1:3" ht="60" x14ac:dyDescent="0.25">
      <c r="A1293" s="6" t="s">
        <v>1462</v>
      </c>
      <c r="B1293" s="8" t="s">
        <v>2120</v>
      </c>
      <c r="C1293" s="6"/>
    </row>
    <row r="1294" spans="1:3" ht="60" x14ac:dyDescent="0.25">
      <c r="A1294" s="6" t="s">
        <v>1463</v>
      </c>
      <c r="B1294" s="8" t="s">
        <v>1883</v>
      </c>
      <c r="C1294" s="6"/>
    </row>
    <row r="1295" spans="1:3" ht="72" x14ac:dyDescent="0.25">
      <c r="A1295" s="6" t="s">
        <v>1464</v>
      </c>
      <c r="B1295" s="8" t="s">
        <v>1884</v>
      </c>
      <c r="C1295" s="6"/>
    </row>
    <row r="1296" spans="1:3" ht="84" x14ac:dyDescent="0.25">
      <c r="A1296" s="6" t="s">
        <v>1465</v>
      </c>
      <c r="B1296" s="8" t="s">
        <v>1885</v>
      </c>
      <c r="C1296" s="6"/>
    </row>
    <row r="1297" spans="1:3" ht="72" x14ac:dyDescent="0.25">
      <c r="A1297" s="6" t="s">
        <v>1466</v>
      </c>
      <c r="B1297" s="8" t="s">
        <v>2121</v>
      </c>
      <c r="C1297" s="6"/>
    </row>
    <row r="1298" spans="1:3" ht="72" x14ac:dyDescent="0.25">
      <c r="A1298" s="6" t="s">
        <v>1467</v>
      </c>
      <c r="B1298" s="8" t="s">
        <v>1886</v>
      </c>
      <c r="C1298" s="6"/>
    </row>
    <row r="1299" spans="1:3" ht="72" x14ac:dyDescent="0.25">
      <c r="A1299" s="6" t="s">
        <v>1468</v>
      </c>
      <c r="B1299" s="8" t="s">
        <v>2122</v>
      </c>
      <c r="C1299" s="6"/>
    </row>
    <row r="1300" spans="1:3" ht="72" x14ac:dyDescent="0.25">
      <c r="A1300" s="6" t="s">
        <v>1469</v>
      </c>
      <c r="B1300" s="8" t="s">
        <v>2123</v>
      </c>
      <c r="C1300" s="6"/>
    </row>
    <row r="1301" spans="1:3" ht="96" x14ac:dyDescent="0.25">
      <c r="A1301" s="6" t="s">
        <v>3887</v>
      </c>
      <c r="B1301" s="8" t="s">
        <v>3544</v>
      </c>
      <c r="C1301" s="6"/>
    </row>
    <row r="1302" spans="1:3" ht="120" x14ac:dyDescent="0.25">
      <c r="A1302" s="6" t="s">
        <v>3888</v>
      </c>
      <c r="B1302" s="8" t="s">
        <v>3545</v>
      </c>
      <c r="C1302" s="6"/>
    </row>
    <row r="1303" spans="1:3" ht="144" x14ac:dyDescent="0.25">
      <c r="A1303" s="6" t="s">
        <v>3889</v>
      </c>
      <c r="B1303" s="8" t="s">
        <v>3546</v>
      </c>
      <c r="C1303" s="6"/>
    </row>
    <row r="1304" spans="1:3" ht="60" x14ac:dyDescent="0.25">
      <c r="A1304" s="6" t="s">
        <v>3890</v>
      </c>
      <c r="B1304" s="8" t="s">
        <v>3547</v>
      </c>
      <c r="C1304" s="6"/>
    </row>
    <row r="1305" spans="1:3" ht="108" x14ac:dyDescent="0.25">
      <c r="A1305" s="6" t="s">
        <v>3891</v>
      </c>
      <c r="B1305" s="8" t="s">
        <v>3548</v>
      </c>
      <c r="C1305" s="6"/>
    </row>
    <row r="1306" spans="1:3" ht="60" x14ac:dyDescent="0.25">
      <c r="A1306" s="6" t="s">
        <v>3892</v>
      </c>
      <c r="B1306" s="8" t="s">
        <v>3549</v>
      </c>
      <c r="C1306" s="6" t="s">
        <v>410</v>
      </c>
    </row>
    <row r="1307" spans="1:3" ht="120" x14ac:dyDescent="0.25">
      <c r="A1307" s="6" t="s">
        <v>3893</v>
      </c>
      <c r="B1307" s="8" t="s">
        <v>3550</v>
      </c>
      <c r="C1307" s="6"/>
    </row>
    <row r="1308" spans="1:3" ht="120" x14ac:dyDescent="0.25">
      <c r="A1308" s="6" t="s">
        <v>3894</v>
      </c>
      <c r="B1308" s="8" t="s">
        <v>3551</v>
      </c>
      <c r="C1308" s="6"/>
    </row>
    <row r="1309" spans="1:3" ht="96" x14ac:dyDescent="0.25">
      <c r="A1309" s="6" t="s">
        <v>3895</v>
      </c>
      <c r="B1309" s="8" t="s">
        <v>1887</v>
      </c>
      <c r="C1309" s="6"/>
    </row>
    <row r="1310" spans="1:3" ht="72" x14ac:dyDescent="0.25">
      <c r="A1310" s="6" t="s">
        <v>1470</v>
      </c>
      <c r="B1310" s="8" t="s">
        <v>3255</v>
      </c>
      <c r="C1310" s="6"/>
    </row>
    <row r="1311" spans="1:3" ht="60" x14ac:dyDescent="0.25">
      <c r="A1311" s="6" t="s">
        <v>1471</v>
      </c>
      <c r="B1311" s="8" t="s">
        <v>3256</v>
      </c>
      <c r="C1311" s="6"/>
    </row>
    <row r="1312" spans="1:3" ht="72" x14ac:dyDescent="0.25">
      <c r="A1312" s="6" t="s">
        <v>1472</v>
      </c>
      <c r="B1312" s="8" t="s">
        <v>3257</v>
      </c>
      <c r="C1312" s="6"/>
    </row>
    <row r="1313" spans="1:3" ht="72" x14ac:dyDescent="0.25">
      <c r="A1313" s="6" t="s">
        <v>1473</v>
      </c>
      <c r="B1313" s="8" t="s">
        <v>3258</v>
      </c>
      <c r="C1313" s="6"/>
    </row>
    <row r="1314" spans="1:3" ht="120" x14ac:dyDescent="0.25">
      <c r="A1314" s="6" t="s">
        <v>1474</v>
      </c>
      <c r="B1314" s="8" t="s">
        <v>3259</v>
      </c>
      <c r="C1314" s="6"/>
    </row>
    <row r="1315" spans="1:3" ht="84" x14ac:dyDescent="0.25">
      <c r="A1315" s="6" t="s">
        <v>1475</v>
      </c>
      <c r="B1315" s="8" t="s">
        <v>3260</v>
      </c>
      <c r="C1315" s="6"/>
    </row>
    <row r="1316" spans="1:3" ht="84" x14ac:dyDescent="0.25">
      <c r="A1316" s="6" t="s">
        <v>1476</v>
      </c>
      <c r="B1316" s="8" t="s">
        <v>3261</v>
      </c>
      <c r="C1316" s="6"/>
    </row>
    <row r="1317" spans="1:3" ht="84" x14ac:dyDescent="0.25">
      <c r="A1317" s="6" t="s">
        <v>1477</v>
      </c>
      <c r="B1317" s="8" t="s">
        <v>3262</v>
      </c>
      <c r="C1317" s="6"/>
    </row>
    <row r="1318" spans="1:3" ht="72" x14ac:dyDescent="0.25">
      <c r="A1318" s="6" t="s">
        <v>1478</v>
      </c>
      <c r="B1318" s="8" t="s">
        <v>2652</v>
      </c>
      <c r="C1318" s="6"/>
    </row>
    <row r="1319" spans="1:3" ht="84" x14ac:dyDescent="0.25">
      <c r="A1319" s="6" t="s">
        <v>1479</v>
      </c>
      <c r="B1319" s="8" t="s">
        <v>2653</v>
      </c>
      <c r="C1319" s="6"/>
    </row>
    <row r="1320" spans="1:3" ht="72" x14ac:dyDescent="0.25">
      <c r="A1320" s="6" t="s">
        <v>1480</v>
      </c>
      <c r="B1320" s="8" t="s">
        <v>2654</v>
      </c>
      <c r="C1320" s="6"/>
    </row>
    <row r="1321" spans="1:3" ht="60" x14ac:dyDescent="0.25">
      <c r="A1321" s="6" t="s">
        <v>1481</v>
      </c>
      <c r="B1321" s="8" t="s">
        <v>2655</v>
      </c>
      <c r="C1321" s="6"/>
    </row>
    <row r="1322" spans="1:3" ht="60" x14ac:dyDescent="0.25">
      <c r="A1322" s="6" t="s">
        <v>1482</v>
      </c>
      <c r="B1322" s="8" t="s">
        <v>2656</v>
      </c>
      <c r="C1322" s="6"/>
    </row>
    <row r="1323" spans="1:3" ht="60" x14ac:dyDescent="0.25">
      <c r="A1323" s="6" t="s">
        <v>3896</v>
      </c>
      <c r="B1323" s="8" t="s">
        <v>1888</v>
      </c>
      <c r="C1323" s="6"/>
    </row>
    <row r="1324" spans="1:3" ht="132" x14ac:dyDescent="0.25">
      <c r="A1324" s="6" t="s">
        <v>1483</v>
      </c>
      <c r="B1324" s="8" t="s">
        <v>3263</v>
      </c>
      <c r="C1324" s="6"/>
    </row>
    <row r="1325" spans="1:3" ht="96" x14ac:dyDescent="0.25">
      <c r="A1325" s="6" t="s">
        <v>1484</v>
      </c>
      <c r="B1325" s="8" t="s">
        <v>3264</v>
      </c>
      <c r="C1325" s="6" t="s">
        <v>411</v>
      </c>
    </row>
    <row r="1326" spans="1:3" ht="72" x14ac:dyDescent="0.25">
      <c r="A1326" s="6" t="s">
        <v>1485</v>
      </c>
      <c r="B1326" s="8" t="s">
        <v>3265</v>
      </c>
      <c r="C1326" s="6"/>
    </row>
    <row r="1327" spans="1:3" ht="108" x14ac:dyDescent="0.25">
      <c r="A1327" s="6" t="s">
        <v>1486</v>
      </c>
      <c r="B1327" s="8" t="s">
        <v>3266</v>
      </c>
      <c r="C1327" s="6"/>
    </row>
    <row r="1328" spans="1:3" ht="108" x14ac:dyDescent="0.25">
      <c r="A1328" s="6" t="s">
        <v>1487</v>
      </c>
      <c r="B1328" s="8" t="s">
        <v>3267</v>
      </c>
      <c r="C1328" s="6"/>
    </row>
    <row r="1329" spans="1:3" ht="108" x14ac:dyDescent="0.25">
      <c r="A1329" s="6" t="s">
        <v>1488</v>
      </c>
      <c r="B1329" s="8" t="s">
        <v>2657</v>
      </c>
      <c r="C1329" s="6"/>
    </row>
    <row r="1330" spans="1:3" ht="96" x14ac:dyDescent="0.25">
      <c r="A1330" s="6" t="s">
        <v>1489</v>
      </c>
      <c r="B1330" s="8" t="s">
        <v>2124</v>
      </c>
      <c r="C1330" s="6"/>
    </row>
    <row r="1331" spans="1:3" ht="84" x14ac:dyDescent="0.25">
      <c r="A1331" s="6" t="s">
        <v>1490</v>
      </c>
      <c r="B1331" s="8" t="s">
        <v>2658</v>
      </c>
      <c r="C1331" s="6"/>
    </row>
    <row r="1332" spans="1:3" ht="60" x14ac:dyDescent="0.25">
      <c r="A1332" s="6" t="s">
        <v>1491</v>
      </c>
      <c r="B1332" s="8" t="s">
        <v>2659</v>
      </c>
      <c r="C1332" s="6"/>
    </row>
    <row r="1333" spans="1:3" ht="72" x14ac:dyDescent="0.25">
      <c r="A1333" s="6" t="s">
        <v>1492</v>
      </c>
      <c r="B1333" s="8" t="s">
        <v>2660</v>
      </c>
      <c r="C1333" s="6"/>
    </row>
    <row r="1334" spans="1:3" ht="60" x14ac:dyDescent="0.25">
      <c r="A1334" s="6" t="s">
        <v>1493</v>
      </c>
      <c r="B1334" s="8" t="s">
        <v>2661</v>
      </c>
      <c r="C1334" s="6"/>
    </row>
    <row r="1335" spans="1:3" ht="84" x14ac:dyDescent="0.25">
      <c r="A1335" s="6" t="s">
        <v>3897</v>
      </c>
      <c r="B1335" s="8" t="s">
        <v>1889</v>
      </c>
      <c r="C1335" s="6"/>
    </row>
    <row r="1336" spans="1:3" ht="84" x14ac:dyDescent="0.25">
      <c r="A1336" s="6" t="s">
        <v>1494</v>
      </c>
      <c r="B1336" s="8" t="s">
        <v>2662</v>
      </c>
      <c r="C1336" s="6"/>
    </row>
    <row r="1337" spans="1:3" ht="120" x14ac:dyDescent="0.25">
      <c r="A1337" s="6" t="s">
        <v>1495</v>
      </c>
      <c r="B1337" s="8" t="s">
        <v>3268</v>
      </c>
      <c r="C1337" s="6"/>
    </row>
    <row r="1338" spans="1:3" ht="120" x14ac:dyDescent="0.25">
      <c r="A1338" s="6" t="s">
        <v>1496</v>
      </c>
      <c r="B1338" s="8" t="s">
        <v>3269</v>
      </c>
      <c r="C1338" s="6"/>
    </row>
    <row r="1339" spans="1:3" ht="72" x14ac:dyDescent="0.25">
      <c r="A1339" s="6" t="s">
        <v>1497</v>
      </c>
      <c r="B1339" s="8" t="s">
        <v>3270</v>
      </c>
      <c r="C1339" s="6"/>
    </row>
    <row r="1340" spans="1:3" ht="96" x14ac:dyDescent="0.25">
      <c r="A1340" s="6" t="s">
        <v>1498</v>
      </c>
      <c r="B1340" s="8" t="s">
        <v>3271</v>
      </c>
      <c r="C1340" s="6"/>
    </row>
    <row r="1341" spans="1:3" ht="72" x14ac:dyDescent="0.25">
      <c r="A1341" s="6" t="s">
        <v>1499</v>
      </c>
      <c r="B1341" s="8" t="s">
        <v>3272</v>
      </c>
      <c r="C1341" s="6"/>
    </row>
    <row r="1342" spans="1:3" ht="84" x14ac:dyDescent="0.25">
      <c r="A1342" s="6" t="s">
        <v>1500</v>
      </c>
      <c r="B1342" s="8" t="s">
        <v>2663</v>
      </c>
      <c r="C1342" s="6"/>
    </row>
    <row r="1343" spans="1:3" ht="72" x14ac:dyDescent="0.25">
      <c r="A1343" s="6" t="s">
        <v>1501</v>
      </c>
      <c r="B1343" s="8" t="s">
        <v>2664</v>
      </c>
      <c r="C1343" s="6"/>
    </row>
    <row r="1344" spans="1:3" ht="60" x14ac:dyDescent="0.25">
      <c r="A1344" s="6" t="s">
        <v>1502</v>
      </c>
      <c r="B1344" s="8" t="s">
        <v>2665</v>
      </c>
      <c r="C1344" s="6"/>
    </row>
    <row r="1345" spans="1:3" ht="60" x14ac:dyDescent="0.25">
      <c r="A1345" s="6" t="s">
        <v>1503</v>
      </c>
      <c r="B1345" s="8" t="s">
        <v>2666</v>
      </c>
      <c r="C1345" s="6"/>
    </row>
    <row r="1346" spans="1:3" ht="84" x14ac:dyDescent="0.25">
      <c r="A1346" s="6" t="s">
        <v>1504</v>
      </c>
      <c r="B1346" s="8" t="s">
        <v>2667</v>
      </c>
      <c r="C1346" s="6"/>
    </row>
    <row r="1347" spans="1:3" ht="84" x14ac:dyDescent="0.25">
      <c r="A1347" s="6" t="s">
        <v>1505</v>
      </c>
      <c r="B1347" s="8" t="s">
        <v>2668</v>
      </c>
      <c r="C1347" s="6"/>
    </row>
    <row r="1348" spans="1:3" ht="84" x14ac:dyDescent="0.25">
      <c r="A1348" s="6" t="s">
        <v>1506</v>
      </c>
      <c r="B1348" s="8" t="s">
        <v>2669</v>
      </c>
      <c r="C1348" s="6"/>
    </row>
    <row r="1349" spans="1:3" ht="60" x14ac:dyDescent="0.25">
      <c r="A1349" s="6" t="s">
        <v>1507</v>
      </c>
      <c r="B1349" s="8" t="s">
        <v>2670</v>
      </c>
      <c r="C1349" s="6"/>
    </row>
    <row r="1350" spans="1:3" ht="48" x14ac:dyDescent="0.25">
      <c r="A1350" s="6" t="s">
        <v>1508</v>
      </c>
      <c r="B1350" s="8" t="s">
        <v>2671</v>
      </c>
      <c r="C1350" s="6"/>
    </row>
    <row r="1351" spans="1:3" ht="72" x14ac:dyDescent="0.25">
      <c r="A1351" s="6" t="s">
        <v>1509</v>
      </c>
      <c r="B1351" s="8" t="s">
        <v>3273</v>
      </c>
      <c r="C1351" s="6"/>
    </row>
    <row r="1352" spans="1:3" ht="84" x14ac:dyDescent="0.25">
      <c r="A1352" s="6" t="s">
        <v>1510</v>
      </c>
      <c r="B1352" s="8" t="s">
        <v>2672</v>
      </c>
      <c r="C1352" s="6"/>
    </row>
    <row r="1353" spans="1:3" ht="72" x14ac:dyDescent="0.25">
      <c r="A1353" s="6" t="s">
        <v>1511</v>
      </c>
      <c r="B1353" s="8" t="s">
        <v>2673</v>
      </c>
      <c r="C1353" s="6"/>
    </row>
    <row r="1354" spans="1:3" ht="72" x14ac:dyDescent="0.25">
      <c r="A1354" s="6" t="s">
        <v>1512</v>
      </c>
      <c r="B1354" s="8" t="s">
        <v>2674</v>
      </c>
      <c r="C1354" s="6"/>
    </row>
    <row r="1355" spans="1:3" ht="72" x14ac:dyDescent="0.25">
      <c r="A1355" s="6" t="s">
        <v>1513</v>
      </c>
      <c r="B1355" s="8" t="s">
        <v>2675</v>
      </c>
      <c r="C1355" s="6"/>
    </row>
    <row r="1356" spans="1:3" ht="60" x14ac:dyDescent="0.25">
      <c r="A1356" s="6" t="s">
        <v>1514</v>
      </c>
      <c r="B1356" s="8" t="s">
        <v>2676</v>
      </c>
      <c r="C1356" s="6"/>
    </row>
    <row r="1357" spans="1:3" ht="48" x14ac:dyDescent="0.25">
      <c r="A1357" s="6" t="s">
        <v>1515</v>
      </c>
      <c r="B1357" s="8" t="s">
        <v>2677</v>
      </c>
      <c r="C1357" s="6"/>
    </row>
    <row r="1358" spans="1:3" ht="60" x14ac:dyDescent="0.25">
      <c r="A1358" s="6" t="s">
        <v>1516</v>
      </c>
      <c r="B1358" s="8" t="s">
        <v>2678</v>
      </c>
      <c r="C1358" s="6"/>
    </row>
    <row r="1359" spans="1:3" ht="72" x14ac:dyDescent="0.25">
      <c r="A1359" s="6" t="s">
        <v>1517</v>
      </c>
      <c r="B1359" s="8" t="s">
        <v>2679</v>
      </c>
      <c r="C1359" s="6"/>
    </row>
    <row r="1360" spans="1:3" ht="60" x14ac:dyDescent="0.25">
      <c r="A1360" s="6" t="s">
        <v>1518</v>
      </c>
      <c r="B1360" s="8" t="s">
        <v>2680</v>
      </c>
      <c r="C1360" s="6"/>
    </row>
    <row r="1361" spans="1:3" ht="60" x14ac:dyDescent="0.25">
      <c r="A1361" s="6" t="s">
        <v>1519</v>
      </c>
      <c r="B1361" s="8" t="s">
        <v>2681</v>
      </c>
      <c r="C1361" s="6"/>
    </row>
    <row r="1362" spans="1:3" ht="60" x14ac:dyDescent="0.25">
      <c r="A1362" s="6" t="s">
        <v>1520</v>
      </c>
      <c r="B1362" s="8" t="s">
        <v>2682</v>
      </c>
      <c r="C1362" s="6"/>
    </row>
    <row r="1363" spans="1:3" ht="84" x14ac:dyDescent="0.25">
      <c r="A1363" s="6" t="s">
        <v>1521</v>
      </c>
      <c r="B1363" s="8" t="s">
        <v>2683</v>
      </c>
      <c r="C1363" s="6"/>
    </row>
    <row r="1364" spans="1:3" ht="108" x14ac:dyDescent="0.25">
      <c r="A1364" s="6" t="s">
        <v>1522</v>
      </c>
      <c r="B1364" s="8" t="s">
        <v>2684</v>
      </c>
      <c r="C1364" s="6"/>
    </row>
    <row r="1365" spans="1:3" ht="36" x14ac:dyDescent="0.25">
      <c r="A1365" s="6" t="s">
        <v>1523</v>
      </c>
      <c r="B1365" s="8" t="s">
        <v>1927</v>
      </c>
      <c r="C1365" s="6"/>
    </row>
    <row r="1366" spans="1:3" ht="36" x14ac:dyDescent="0.25">
      <c r="A1366" s="6" t="s">
        <v>1524</v>
      </c>
      <c r="B1366" s="8" t="s">
        <v>1928</v>
      </c>
      <c r="C1366" s="6"/>
    </row>
    <row r="1367" spans="1:3" ht="48" x14ac:dyDescent="0.25">
      <c r="A1367" s="6" t="s">
        <v>1525</v>
      </c>
      <c r="B1367" s="8" t="s">
        <v>2685</v>
      </c>
      <c r="C1367" s="6"/>
    </row>
    <row r="1368" spans="1:3" ht="36" x14ac:dyDescent="0.25">
      <c r="A1368" s="6" t="s">
        <v>1526</v>
      </c>
      <c r="B1368" s="8" t="s">
        <v>2686</v>
      </c>
      <c r="C1368" s="6"/>
    </row>
    <row r="1369" spans="1:3" ht="36" x14ac:dyDescent="0.25">
      <c r="A1369" s="6" t="s">
        <v>1527</v>
      </c>
      <c r="B1369" s="8" t="s">
        <v>2687</v>
      </c>
      <c r="C1369" s="6"/>
    </row>
    <row r="1370" spans="1:3" ht="36" x14ac:dyDescent="0.25">
      <c r="A1370" s="6" t="s">
        <v>1528</v>
      </c>
      <c r="B1370" s="8" t="s">
        <v>2688</v>
      </c>
      <c r="C1370" s="6"/>
    </row>
    <row r="1371" spans="1:3" ht="36" x14ac:dyDescent="0.25">
      <c r="A1371" s="6" t="s">
        <v>1529</v>
      </c>
      <c r="B1371" s="8" t="s">
        <v>2689</v>
      </c>
      <c r="C1371" s="6"/>
    </row>
    <row r="1372" spans="1:3" ht="36" x14ac:dyDescent="0.25">
      <c r="A1372" s="6" t="s">
        <v>1530</v>
      </c>
      <c r="B1372" s="8" t="s">
        <v>2690</v>
      </c>
      <c r="C1372" s="6"/>
    </row>
    <row r="1373" spans="1:3" ht="48" x14ac:dyDescent="0.25">
      <c r="A1373" s="6" t="s">
        <v>1531</v>
      </c>
      <c r="B1373" s="8" t="s">
        <v>2691</v>
      </c>
      <c r="C1373" s="6"/>
    </row>
    <row r="1374" spans="1:3" ht="36" x14ac:dyDescent="0.25">
      <c r="A1374" s="6" t="s">
        <v>1532</v>
      </c>
      <c r="B1374" s="8" t="s">
        <v>3274</v>
      </c>
      <c r="C1374" s="6"/>
    </row>
    <row r="1375" spans="1:3" ht="36" x14ac:dyDescent="0.25">
      <c r="A1375" s="6" t="s">
        <v>1533</v>
      </c>
      <c r="B1375" s="8" t="s">
        <v>3275</v>
      </c>
      <c r="C1375" s="6"/>
    </row>
    <row r="1376" spans="1:3" ht="48" x14ac:dyDescent="0.25">
      <c r="A1376" s="6" t="s">
        <v>1534</v>
      </c>
      <c r="B1376" s="8" t="s">
        <v>3276</v>
      </c>
      <c r="C1376" s="6"/>
    </row>
    <row r="1377" spans="1:3" ht="36" x14ac:dyDescent="0.25">
      <c r="A1377" s="6" t="s">
        <v>1535</v>
      </c>
      <c r="B1377" s="8" t="s">
        <v>3277</v>
      </c>
      <c r="C1377" s="6"/>
    </row>
    <row r="1378" spans="1:3" ht="24" x14ac:dyDescent="0.25">
      <c r="A1378" s="6" t="s">
        <v>1536</v>
      </c>
      <c r="B1378" s="8" t="s">
        <v>2692</v>
      </c>
      <c r="C1378" s="6"/>
    </row>
    <row r="1379" spans="1:3" ht="24" x14ac:dyDescent="0.25">
      <c r="A1379" s="6" t="s">
        <v>1537</v>
      </c>
      <c r="B1379" s="8" t="s">
        <v>2693</v>
      </c>
      <c r="C1379" s="6"/>
    </row>
    <row r="1380" spans="1:3" ht="36" x14ac:dyDescent="0.25">
      <c r="A1380" s="6" t="s">
        <v>3898</v>
      </c>
      <c r="B1380" s="8" t="s">
        <v>3552</v>
      </c>
      <c r="C1380" s="6"/>
    </row>
    <row r="1381" spans="1:3" ht="36" x14ac:dyDescent="0.25">
      <c r="A1381" s="6" t="s">
        <v>3899</v>
      </c>
      <c r="B1381" s="8" t="s">
        <v>3553</v>
      </c>
      <c r="C1381" s="6"/>
    </row>
    <row r="1382" spans="1:3" ht="36" x14ac:dyDescent="0.25">
      <c r="A1382" s="6" t="s">
        <v>3900</v>
      </c>
      <c r="B1382" s="8" t="s">
        <v>3554</v>
      </c>
      <c r="C1382" s="6"/>
    </row>
    <row r="1383" spans="1:3" ht="24" x14ac:dyDescent="0.25">
      <c r="A1383" s="6" t="s">
        <v>1538</v>
      </c>
      <c r="B1383" s="8" t="s">
        <v>2694</v>
      </c>
      <c r="C1383" s="6"/>
    </row>
    <row r="1384" spans="1:3" ht="24" x14ac:dyDescent="0.25">
      <c r="A1384" s="6" t="s">
        <v>1539</v>
      </c>
      <c r="B1384" s="8" t="s">
        <v>2695</v>
      </c>
      <c r="C1384" s="6"/>
    </row>
    <row r="1385" spans="1:3" ht="24" x14ac:dyDescent="0.25">
      <c r="A1385" s="6" t="s">
        <v>1540</v>
      </c>
      <c r="B1385" s="8" t="s">
        <v>2695</v>
      </c>
      <c r="C1385" s="6"/>
    </row>
    <row r="1386" spans="1:3" ht="36" x14ac:dyDescent="0.25">
      <c r="A1386" s="6" t="s">
        <v>1541</v>
      </c>
      <c r="B1386" s="8" t="s">
        <v>1929</v>
      </c>
      <c r="C1386" s="6"/>
    </row>
    <row r="1387" spans="1:3" ht="48" x14ac:dyDescent="0.25">
      <c r="A1387" s="6" t="s">
        <v>1542</v>
      </c>
      <c r="B1387" s="8" t="s">
        <v>2696</v>
      </c>
      <c r="C1387" s="6"/>
    </row>
    <row r="1388" spans="1:3" ht="36" x14ac:dyDescent="0.25">
      <c r="A1388" s="6" t="s">
        <v>1543</v>
      </c>
      <c r="B1388" s="8" t="s">
        <v>2697</v>
      </c>
      <c r="C1388" s="6"/>
    </row>
    <row r="1389" spans="1:3" ht="36" x14ac:dyDescent="0.25">
      <c r="A1389" s="6" t="s">
        <v>1544</v>
      </c>
      <c r="B1389" s="8" t="s">
        <v>2698</v>
      </c>
      <c r="C1389" s="6"/>
    </row>
    <row r="1390" spans="1:3" ht="36" x14ac:dyDescent="0.25">
      <c r="A1390" s="6" t="s">
        <v>1545</v>
      </c>
      <c r="B1390" s="8" t="s">
        <v>2699</v>
      </c>
      <c r="C1390" s="6"/>
    </row>
    <row r="1391" spans="1:3" ht="48" x14ac:dyDescent="0.25">
      <c r="A1391" s="6" t="s">
        <v>1546</v>
      </c>
      <c r="B1391" s="8" t="s">
        <v>2700</v>
      </c>
      <c r="C1391" s="6"/>
    </row>
    <row r="1392" spans="1:3" ht="36" x14ac:dyDescent="0.25">
      <c r="A1392" s="6" t="s">
        <v>1547</v>
      </c>
      <c r="B1392" s="8" t="s">
        <v>3278</v>
      </c>
      <c r="C1392" s="6"/>
    </row>
    <row r="1393" spans="1:3" ht="36" x14ac:dyDescent="0.25">
      <c r="A1393" s="6" t="s">
        <v>1548</v>
      </c>
      <c r="B1393" s="8" t="s">
        <v>3279</v>
      </c>
      <c r="C1393" s="6"/>
    </row>
    <row r="1394" spans="1:3" ht="24" x14ac:dyDescent="0.25">
      <c r="A1394" s="6" t="s">
        <v>1549</v>
      </c>
      <c r="B1394" s="8" t="s">
        <v>2701</v>
      </c>
      <c r="C1394" s="6"/>
    </row>
    <row r="1395" spans="1:3" ht="36" x14ac:dyDescent="0.25">
      <c r="A1395" s="6" t="s">
        <v>3901</v>
      </c>
      <c r="B1395" s="8" t="s">
        <v>3555</v>
      </c>
      <c r="C1395" s="6"/>
    </row>
    <row r="1396" spans="1:3" ht="36" x14ac:dyDescent="0.25">
      <c r="A1396" s="6" t="s">
        <v>3902</v>
      </c>
      <c r="B1396" s="8" t="s">
        <v>3556</v>
      </c>
      <c r="C1396" s="6"/>
    </row>
    <row r="1397" spans="1:3" ht="36" x14ac:dyDescent="0.25">
      <c r="A1397" s="6" t="s">
        <v>3903</v>
      </c>
      <c r="B1397" s="8" t="s">
        <v>3557</v>
      </c>
      <c r="C1397" s="6"/>
    </row>
    <row r="1398" spans="1:3" ht="24" x14ac:dyDescent="0.25">
      <c r="A1398" s="6" t="s">
        <v>1550</v>
      </c>
      <c r="B1398" s="8" t="s">
        <v>2702</v>
      </c>
      <c r="C1398" s="6"/>
    </row>
    <row r="1399" spans="1:3" ht="24" x14ac:dyDescent="0.25">
      <c r="A1399" s="6" t="s">
        <v>1551</v>
      </c>
      <c r="B1399" s="8" t="s">
        <v>2702</v>
      </c>
      <c r="C1399" s="6"/>
    </row>
    <row r="1400" spans="1:3" ht="24" x14ac:dyDescent="0.25">
      <c r="A1400" s="6" t="s">
        <v>1552</v>
      </c>
      <c r="B1400" s="8" t="s">
        <v>2703</v>
      </c>
      <c r="C1400" s="6"/>
    </row>
    <row r="1401" spans="1:3" ht="24" x14ac:dyDescent="0.25">
      <c r="A1401" s="6" t="s">
        <v>1553</v>
      </c>
      <c r="B1401" s="8" t="s">
        <v>2704</v>
      </c>
      <c r="C1401" s="6"/>
    </row>
    <row r="1402" spans="1:3" ht="24" x14ac:dyDescent="0.25">
      <c r="A1402" s="6" t="s">
        <v>1554</v>
      </c>
      <c r="B1402" s="8" t="s">
        <v>2705</v>
      </c>
      <c r="C1402" s="6"/>
    </row>
    <row r="1403" spans="1:3" ht="24" x14ac:dyDescent="0.25">
      <c r="A1403" s="6" t="s">
        <v>1555</v>
      </c>
      <c r="B1403" s="8" t="s">
        <v>2706</v>
      </c>
      <c r="C1403" s="6"/>
    </row>
    <row r="1404" spans="1:3" ht="24" x14ac:dyDescent="0.25">
      <c r="A1404" s="6" t="s">
        <v>1556</v>
      </c>
      <c r="B1404" s="8" t="s">
        <v>2705</v>
      </c>
      <c r="C1404" s="6"/>
    </row>
    <row r="1405" spans="1:3" ht="24" x14ac:dyDescent="0.25">
      <c r="A1405" s="6" t="s">
        <v>1557</v>
      </c>
      <c r="B1405" s="8" t="s">
        <v>2705</v>
      </c>
      <c r="C1405" s="6"/>
    </row>
    <row r="1406" spans="1:3" ht="36" x14ac:dyDescent="0.25">
      <c r="A1406" s="6" t="s">
        <v>1558</v>
      </c>
      <c r="B1406" s="8" t="s">
        <v>3280</v>
      </c>
      <c r="C1406" s="6"/>
    </row>
    <row r="1407" spans="1:3" ht="36" x14ac:dyDescent="0.25">
      <c r="A1407" s="6" t="s">
        <v>1559</v>
      </c>
      <c r="B1407" s="8" t="s">
        <v>3281</v>
      </c>
      <c r="C1407" s="6"/>
    </row>
    <row r="1408" spans="1:3" ht="36" x14ac:dyDescent="0.25">
      <c r="A1408" s="6" t="s">
        <v>1560</v>
      </c>
      <c r="B1408" s="8" t="s">
        <v>3282</v>
      </c>
      <c r="C1408" s="6"/>
    </row>
    <row r="1409" spans="1:3" ht="36" x14ac:dyDescent="0.25">
      <c r="A1409" s="6" t="s">
        <v>1561</v>
      </c>
      <c r="B1409" s="8" t="s">
        <v>3283</v>
      </c>
      <c r="C1409" s="6"/>
    </row>
    <row r="1410" spans="1:3" ht="36" x14ac:dyDescent="0.25">
      <c r="A1410" s="6" t="s">
        <v>1562</v>
      </c>
      <c r="B1410" s="8" t="s">
        <v>3284</v>
      </c>
      <c r="C1410" s="6"/>
    </row>
    <row r="1411" spans="1:3" ht="24" x14ac:dyDescent="0.25">
      <c r="A1411" s="6" t="s">
        <v>1563</v>
      </c>
      <c r="B1411" s="8" t="s">
        <v>2707</v>
      </c>
      <c r="C1411" s="6"/>
    </row>
    <row r="1412" spans="1:3" ht="24" x14ac:dyDescent="0.25">
      <c r="A1412" s="6" t="s">
        <v>1564</v>
      </c>
      <c r="B1412" s="8" t="s">
        <v>2708</v>
      </c>
      <c r="C1412" s="6"/>
    </row>
    <row r="1413" spans="1:3" ht="36" x14ac:dyDescent="0.25">
      <c r="A1413" s="6" t="s">
        <v>3904</v>
      </c>
      <c r="B1413" s="8" t="s">
        <v>3558</v>
      </c>
      <c r="C1413" s="6"/>
    </row>
    <row r="1414" spans="1:3" ht="36" x14ac:dyDescent="0.25">
      <c r="A1414" s="6" t="s">
        <v>3905</v>
      </c>
      <c r="B1414" s="8" t="s">
        <v>3559</v>
      </c>
      <c r="C1414" s="6"/>
    </row>
    <row r="1415" spans="1:3" ht="36" x14ac:dyDescent="0.25">
      <c r="A1415" s="6" t="s">
        <v>3906</v>
      </c>
      <c r="B1415" s="8" t="s">
        <v>3560</v>
      </c>
      <c r="C1415" s="6"/>
    </row>
    <row r="1416" spans="1:3" ht="36" x14ac:dyDescent="0.25">
      <c r="A1416" s="6" t="s">
        <v>3907</v>
      </c>
      <c r="B1416" s="8" t="s">
        <v>3561</v>
      </c>
      <c r="C1416" s="6"/>
    </row>
    <row r="1417" spans="1:3" ht="36" x14ac:dyDescent="0.25">
      <c r="A1417" s="6" t="s">
        <v>3908</v>
      </c>
      <c r="B1417" s="8" t="s">
        <v>3562</v>
      </c>
      <c r="C1417" s="6"/>
    </row>
    <row r="1418" spans="1:3" ht="24" x14ac:dyDescent="0.25">
      <c r="A1418" s="6" t="s">
        <v>1565</v>
      </c>
      <c r="B1418" s="8" t="s">
        <v>2709</v>
      </c>
      <c r="C1418" s="6"/>
    </row>
    <row r="1419" spans="1:3" ht="24" x14ac:dyDescent="0.25">
      <c r="A1419" s="6" t="s">
        <v>1566</v>
      </c>
      <c r="B1419" s="8" t="s">
        <v>2710</v>
      </c>
      <c r="C1419" s="6"/>
    </row>
    <row r="1420" spans="1:3" ht="24" x14ac:dyDescent="0.25">
      <c r="A1420" s="6" t="s">
        <v>1567</v>
      </c>
      <c r="B1420" s="8" t="s">
        <v>2710</v>
      </c>
      <c r="C1420" s="6"/>
    </row>
    <row r="1421" spans="1:3" ht="24" x14ac:dyDescent="0.25">
      <c r="A1421" s="6" t="s">
        <v>1568</v>
      </c>
      <c r="B1421" s="8" t="s">
        <v>2711</v>
      </c>
      <c r="C1421" s="6"/>
    </row>
    <row r="1422" spans="1:3" ht="24" x14ac:dyDescent="0.25">
      <c r="A1422" s="6" t="s">
        <v>1569</v>
      </c>
      <c r="B1422" s="8" t="s">
        <v>2709</v>
      </c>
      <c r="C1422" s="6"/>
    </row>
    <row r="1423" spans="1:3" ht="60" x14ac:dyDescent="0.25">
      <c r="A1423" s="6" t="s">
        <v>1570</v>
      </c>
      <c r="B1423" s="8" t="s">
        <v>1930</v>
      </c>
      <c r="C1423" s="6"/>
    </row>
    <row r="1424" spans="1:3" ht="108" x14ac:dyDescent="0.25">
      <c r="A1424" s="6" t="s">
        <v>1571</v>
      </c>
      <c r="B1424" s="8" t="s">
        <v>3285</v>
      </c>
      <c r="C1424" s="6"/>
    </row>
    <row r="1425" spans="1:3" ht="120" x14ac:dyDescent="0.25">
      <c r="A1425" s="6" t="s">
        <v>1572</v>
      </c>
      <c r="B1425" s="8" t="s">
        <v>2712</v>
      </c>
      <c r="C1425" s="6"/>
    </row>
    <row r="1426" spans="1:3" ht="72" x14ac:dyDescent="0.25">
      <c r="A1426" s="6" t="s">
        <v>3909</v>
      </c>
      <c r="B1426" s="8" t="s">
        <v>3563</v>
      </c>
      <c r="C1426" s="6"/>
    </row>
    <row r="1427" spans="1:3" ht="108" x14ac:dyDescent="0.25">
      <c r="A1427" s="6" t="s">
        <v>3910</v>
      </c>
      <c r="B1427" s="8" t="s">
        <v>3564</v>
      </c>
      <c r="C1427" s="6"/>
    </row>
    <row r="1428" spans="1:3" ht="168" x14ac:dyDescent="0.25">
      <c r="A1428" s="6" t="s">
        <v>3911</v>
      </c>
      <c r="B1428" s="8" t="s">
        <v>3565</v>
      </c>
      <c r="C1428" s="6"/>
    </row>
    <row r="1429" spans="1:3" ht="144" x14ac:dyDescent="0.25">
      <c r="A1429" s="6" t="s">
        <v>1573</v>
      </c>
      <c r="B1429" s="8" t="s">
        <v>2713</v>
      </c>
      <c r="C1429" s="6"/>
    </row>
    <row r="1430" spans="1:3" ht="120" x14ac:dyDescent="0.25">
      <c r="A1430" s="6" t="s">
        <v>1574</v>
      </c>
      <c r="B1430" s="8" t="s">
        <v>3286</v>
      </c>
      <c r="C1430" s="6"/>
    </row>
    <row r="1431" spans="1:3" ht="120" x14ac:dyDescent="0.25">
      <c r="A1431" s="6" t="s">
        <v>1575</v>
      </c>
      <c r="B1431" s="8" t="s">
        <v>3287</v>
      </c>
      <c r="C1431" s="6"/>
    </row>
    <row r="1432" spans="1:3" ht="120" x14ac:dyDescent="0.25">
      <c r="A1432" s="6" t="s">
        <v>1576</v>
      </c>
      <c r="B1432" s="8" t="s">
        <v>3288</v>
      </c>
      <c r="C1432" s="6"/>
    </row>
    <row r="1433" spans="1:3" ht="132" x14ac:dyDescent="0.25">
      <c r="A1433" s="6" t="s">
        <v>1577</v>
      </c>
      <c r="B1433" s="8" t="s">
        <v>3289</v>
      </c>
      <c r="C1433" s="6"/>
    </row>
    <row r="1434" spans="1:3" ht="132" x14ac:dyDescent="0.25">
      <c r="A1434" s="6" t="s">
        <v>3912</v>
      </c>
      <c r="B1434" s="8" t="s">
        <v>3566</v>
      </c>
      <c r="C1434" s="6"/>
    </row>
    <row r="1435" spans="1:3" ht="60" x14ac:dyDescent="0.25">
      <c r="A1435" s="6" t="s">
        <v>1578</v>
      </c>
      <c r="B1435" s="8" t="s">
        <v>2714</v>
      </c>
      <c r="C1435" s="6"/>
    </row>
    <row r="1436" spans="1:3" ht="72" x14ac:dyDescent="0.25">
      <c r="A1436" s="6" t="s">
        <v>1579</v>
      </c>
      <c r="B1436" s="8" t="s">
        <v>2715</v>
      </c>
      <c r="C1436" s="6"/>
    </row>
    <row r="1437" spans="1:3" ht="108" x14ac:dyDescent="0.25">
      <c r="A1437" s="6" t="s">
        <v>1580</v>
      </c>
      <c r="B1437" s="8" t="s">
        <v>2125</v>
      </c>
      <c r="C1437" s="6"/>
    </row>
    <row r="1438" spans="1:3" ht="168" x14ac:dyDescent="0.25">
      <c r="A1438" s="6" t="s">
        <v>3913</v>
      </c>
      <c r="B1438" s="8" t="s">
        <v>3567</v>
      </c>
      <c r="C1438" s="6"/>
    </row>
    <row r="1439" spans="1:3" ht="84" x14ac:dyDescent="0.25">
      <c r="A1439" s="6" t="s">
        <v>3914</v>
      </c>
      <c r="B1439" s="8" t="s">
        <v>3568</v>
      </c>
      <c r="C1439" s="6"/>
    </row>
    <row r="1440" spans="1:3" ht="84" x14ac:dyDescent="0.25">
      <c r="A1440" s="6" t="s">
        <v>3915</v>
      </c>
      <c r="B1440" s="8" t="s">
        <v>3569</v>
      </c>
      <c r="C1440" s="6"/>
    </row>
    <row r="1441" spans="1:3" ht="96" x14ac:dyDescent="0.25">
      <c r="A1441" s="6" t="s">
        <v>3916</v>
      </c>
      <c r="B1441" s="8" t="s">
        <v>3570</v>
      </c>
      <c r="C1441" s="6"/>
    </row>
    <row r="1442" spans="1:3" ht="108" x14ac:dyDescent="0.25">
      <c r="A1442" s="6" t="s">
        <v>3917</v>
      </c>
      <c r="B1442" s="8" t="s">
        <v>3571</v>
      </c>
      <c r="C1442" s="6"/>
    </row>
    <row r="1443" spans="1:3" ht="132" x14ac:dyDescent="0.25">
      <c r="A1443" s="6" t="s">
        <v>3918</v>
      </c>
      <c r="B1443" s="8" t="s">
        <v>3572</v>
      </c>
      <c r="C1443" s="6"/>
    </row>
    <row r="1444" spans="1:3" ht="108" x14ac:dyDescent="0.25">
      <c r="A1444" s="6" t="s">
        <v>3919</v>
      </c>
      <c r="B1444" s="8" t="s">
        <v>3573</v>
      </c>
      <c r="C1444" s="6"/>
    </row>
    <row r="1445" spans="1:3" ht="96" x14ac:dyDescent="0.25">
      <c r="A1445" s="6" t="s">
        <v>3920</v>
      </c>
      <c r="B1445" s="8" t="s">
        <v>3574</v>
      </c>
      <c r="C1445" s="6"/>
    </row>
    <row r="1446" spans="1:3" ht="132" x14ac:dyDescent="0.25">
      <c r="A1446" s="6" t="s">
        <v>3921</v>
      </c>
      <c r="B1446" s="8" t="s">
        <v>3575</v>
      </c>
      <c r="C1446" s="6"/>
    </row>
    <row r="1447" spans="1:3" ht="48" x14ac:dyDescent="0.25">
      <c r="A1447" s="6" t="s">
        <v>1581</v>
      </c>
      <c r="B1447" s="8" t="s">
        <v>2716</v>
      </c>
      <c r="C1447" s="6"/>
    </row>
    <row r="1448" spans="1:3" ht="60" x14ac:dyDescent="0.25">
      <c r="A1448" s="6" t="s">
        <v>1582</v>
      </c>
      <c r="B1448" s="8" t="s">
        <v>2717</v>
      </c>
      <c r="C1448" s="6"/>
    </row>
    <row r="1449" spans="1:3" ht="48" x14ac:dyDescent="0.25">
      <c r="A1449" s="6" t="s">
        <v>1583</v>
      </c>
      <c r="B1449" s="8" t="s">
        <v>2718</v>
      </c>
      <c r="C1449" s="6"/>
    </row>
    <row r="1450" spans="1:3" ht="36" x14ac:dyDescent="0.25">
      <c r="A1450" s="6" t="s">
        <v>1584</v>
      </c>
      <c r="B1450" s="8" t="s">
        <v>2719</v>
      </c>
      <c r="C1450" s="6"/>
    </row>
    <row r="1451" spans="1:3" ht="36" x14ac:dyDescent="0.25">
      <c r="A1451" s="6" t="s">
        <v>1585</v>
      </c>
      <c r="B1451" s="8" t="s">
        <v>3290</v>
      </c>
      <c r="C1451" s="6"/>
    </row>
    <row r="1452" spans="1:3" ht="36" x14ac:dyDescent="0.25">
      <c r="A1452" s="6" t="s">
        <v>1586</v>
      </c>
      <c r="B1452" s="8" t="s">
        <v>3291</v>
      </c>
      <c r="C1452" s="6"/>
    </row>
    <row r="1453" spans="1:3" ht="36" x14ac:dyDescent="0.25">
      <c r="A1453" s="6" t="s">
        <v>1587</v>
      </c>
      <c r="B1453" s="8" t="s">
        <v>3292</v>
      </c>
      <c r="C1453" s="6"/>
    </row>
    <row r="1454" spans="1:3" ht="24" x14ac:dyDescent="0.25">
      <c r="A1454" s="6" t="s">
        <v>1588</v>
      </c>
      <c r="B1454" s="8" t="s">
        <v>2720</v>
      </c>
      <c r="C1454" s="6"/>
    </row>
    <row r="1455" spans="1:3" ht="24" x14ac:dyDescent="0.25">
      <c r="A1455" s="6" t="s">
        <v>1589</v>
      </c>
      <c r="B1455" s="8" t="s">
        <v>2721</v>
      </c>
      <c r="C1455" s="6"/>
    </row>
    <row r="1456" spans="1:3" ht="36" x14ac:dyDescent="0.25">
      <c r="A1456" s="6" t="s">
        <v>1590</v>
      </c>
      <c r="B1456" s="8" t="s">
        <v>2722</v>
      </c>
      <c r="C1456" s="6"/>
    </row>
    <row r="1457" spans="1:3" ht="36" x14ac:dyDescent="0.25">
      <c r="A1457" s="6" t="s">
        <v>1591</v>
      </c>
      <c r="B1457" s="8" t="s">
        <v>2723</v>
      </c>
      <c r="C1457" s="6"/>
    </row>
    <row r="1458" spans="1:3" ht="36" x14ac:dyDescent="0.25">
      <c r="A1458" s="6" t="s">
        <v>1592</v>
      </c>
      <c r="B1458" s="8" t="s">
        <v>2724</v>
      </c>
      <c r="C1458" s="6"/>
    </row>
    <row r="1459" spans="1:3" ht="48" x14ac:dyDescent="0.25">
      <c r="A1459" s="6" t="s">
        <v>1593</v>
      </c>
      <c r="B1459" s="8" t="s">
        <v>2725</v>
      </c>
      <c r="C1459" s="6"/>
    </row>
    <row r="1460" spans="1:3" ht="36" x14ac:dyDescent="0.25">
      <c r="A1460" s="6" t="s">
        <v>1594</v>
      </c>
      <c r="B1460" s="8" t="s">
        <v>3293</v>
      </c>
      <c r="C1460" s="6"/>
    </row>
    <row r="1461" spans="1:3" ht="48" x14ac:dyDescent="0.25">
      <c r="A1461" s="6" t="s">
        <v>1595</v>
      </c>
      <c r="B1461" s="8" t="s">
        <v>3294</v>
      </c>
      <c r="C1461" s="6"/>
    </row>
    <row r="1462" spans="1:3" ht="36" x14ac:dyDescent="0.25">
      <c r="A1462" s="6" t="s">
        <v>1596</v>
      </c>
      <c r="B1462" s="8" t="s">
        <v>2726</v>
      </c>
      <c r="C1462" s="6"/>
    </row>
    <row r="1463" spans="1:3" ht="24" x14ac:dyDescent="0.25">
      <c r="A1463" s="6" t="s">
        <v>1597</v>
      </c>
      <c r="B1463" s="8" t="s">
        <v>2727</v>
      </c>
      <c r="C1463" s="6"/>
    </row>
    <row r="1464" spans="1:3" ht="36" x14ac:dyDescent="0.25">
      <c r="A1464" s="6" t="s">
        <v>1598</v>
      </c>
      <c r="B1464" s="8" t="s">
        <v>1931</v>
      </c>
      <c r="C1464" s="6"/>
    </row>
    <row r="1465" spans="1:3" ht="48" x14ac:dyDescent="0.25">
      <c r="A1465" s="6" t="s">
        <v>1599</v>
      </c>
      <c r="B1465" s="8" t="s">
        <v>1932</v>
      </c>
      <c r="C1465" s="6"/>
    </row>
    <row r="1466" spans="1:3" ht="48" x14ac:dyDescent="0.25">
      <c r="A1466" s="6" t="s">
        <v>1600</v>
      </c>
      <c r="B1466" s="8" t="s">
        <v>1933</v>
      </c>
      <c r="C1466" s="6"/>
    </row>
    <row r="1467" spans="1:3" ht="48" x14ac:dyDescent="0.25">
      <c r="A1467" s="6" t="s">
        <v>1601</v>
      </c>
      <c r="B1467" s="8" t="s">
        <v>1934</v>
      </c>
      <c r="C1467" s="6"/>
    </row>
    <row r="1468" spans="1:3" ht="48" x14ac:dyDescent="0.25">
      <c r="A1468" s="6" t="s">
        <v>1602</v>
      </c>
      <c r="B1468" s="8" t="s">
        <v>1935</v>
      </c>
      <c r="C1468" s="6"/>
    </row>
    <row r="1469" spans="1:3" ht="36" x14ac:dyDescent="0.25">
      <c r="A1469" s="6" t="s">
        <v>1603</v>
      </c>
      <c r="B1469" s="8" t="s">
        <v>3295</v>
      </c>
      <c r="C1469" s="6"/>
    </row>
    <row r="1470" spans="1:3" ht="36" x14ac:dyDescent="0.25">
      <c r="A1470" s="6" t="s">
        <v>1604</v>
      </c>
      <c r="B1470" s="8" t="s">
        <v>3296</v>
      </c>
      <c r="C1470" s="6"/>
    </row>
    <row r="1471" spans="1:3" ht="48" x14ac:dyDescent="0.25">
      <c r="A1471" s="6" t="s">
        <v>1605</v>
      </c>
      <c r="B1471" s="8" t="s">
        <v>3297</v>
      </c>
      <c r="C1471" s="6"/>
    </row>
    <row r="1472" spans="1:3" ht="36" x14ac:dyDescent="0.25">
      <c r="A1472" s="6" t="s">
        <v>3922</v>
      </c>
      <c r="B1472" s="8" t="s">
        <v>3576</v>
      </c>
      <c r="C1472" s="6"/>
    </row>
    <row r="1473" spans="1:3" ht="36" x14ac:dyDescent="0.25">
      <c r="A1473" s="6" t="s">
        <v>3923</v>
      </c>
      <c r="B1473" s="8" t="s">
        <v>3577</v>
      </c>
      <c r="C1473" s="6"/>
    </row>
    <row r="1474" spans="1:3" ht="36" x14ac:dyDescent="0.25">
      <c r="A1474" s="6" t="s">
        <v>3924</v>
      </c>
      <c r="B1474" s="8" t="s">
        <v>3578</v>
      </c>
      <c r="C1474" s="6"/>
    </row>
    <row r="1475" spans="1:3" ht="36" x14ac:dyDescent="0.25">
      <c r="A1475" s="6" t="s">
        <v>3925</v>
      </c>
      <c r="B1475" s="8" t="s">
        <v>3579</v>
      </c>
      <c r="C1475" s="6"/>
    </row>
    <row r="1476" spans="1:3" ht="36" x14ac:dyDescent="0.25">
      <c r="A1476" s="6" t="s">
        <v>3926</v>
      </c>
      <c r="B1476" s="8" t="s">
        <v>3579</v>
      </c>
      <c r="C1476" s="6"/>
    </row>
    <row r="1477" spans="1:3" ht="24" x14ac:dyDescent="0.25">
      <c r="A1477" s="6" t="s">
        <v>1606</v>
      </c>
      <c r="B1477" s="8" t="s">
        <v>2728</v>
      </c>
      <c r="C1477" s="6"/>
    </row>
    <row r="1478" spans="1:3" ht="36" x14ac:dyDescent="0.25">
      <c r="A1478" s="6" t="s">
        <v>1607</v>
      </c>
      <c r="B1478" s="8" t="s">
        <v>2729</v>
      </c>
      <c r="C1478" s="6"/>
    </row>
    <row r="1479" spans="1:3" ht="36" x14ac:dyDescent="0.25">
      <c r="A1479" s="6" t="s">
        <v>1608</v>
      </c>
      <c r="B1479" s="8" t="s">
        <v>2730</v>
      </c>
      <c r="C1479" s="6"/>
    </row>
    <row r="1480" spans="1:3" ht="36" x14ac:dyDescent="0.25">
      <c r="A1480" s="6" t="s">
        <v>1609</v>
      </c>
      <c r="B1480" s="8" t="s">
        <v>2731</v>
      </c>
      <c r="C1480" s="6"/>
    </row>
    <row r="1481" spans="1:3" ht="60" x14ac:dyDescent="0.25">
      <c r="A1481" s="6" t="s">
        <v>1610</v>
      </c>
      <c r="B1481" s="8" t="s">
        <v>2732</v>
      </c>
      <c r="C1481" s="6"/>
    </row>
    <row r="1482" spans="1:3" ht="36" x14ac:dyDescent="0.25">
      <c r="A1482" s="6" t="s">
        <v>1611</v>
      </c>
      <c r="B1482" s="8" t="s">
        <v>2733</v>
      </c>
      <c r="C1482" s="6"/>
    </row>
    <row r="1483" spans="1:3" ht="48" x14ac:dyDescent="0.25">
      <c r="A1483" s="6" t="s">
        <v>1612</v>
      </c>
      <c r="B1483" s="8" t="s">
        <v>3298</v>
      </c>
      <c r="C1483" s="6"/>
    </row>
    <row r="1484" spans="1:3" ht="36" x14ac:dyDescent="0.25">
      <c r="A1484" s="6" t="s">
        <v>1613</v>
      </c>
      <c r="B1484" s="8" t="s">
        <v>3299</v>
      </c>
      <c r="C1484" s="6"/>
    </row>
    <row r="1485" spans="1:3" ht="24" x14ac:dyDescent="0.25">
      <c r="A1485" s="6" t="s">
        <v>1614</v>
      </c>
      <c r="B1485" s="8" t="s">
        <v>2734</v>
      </c>
      <c r="C1485" s="6"/>
    </row>
    <row r="1486" spans="1:3" ht="24" x14ac:dyDescent="0.25">
      <c r="A1486" s="6" t="s">
        <v>1615</v>
      </c>
      <c r="B1486" s="8" t="s">
        <v>2735</v>
      </c>
      <c r="C1486" s="6"/>
    </row>
    <row r="1487" spans="1:3" ht="24" x14ac:dyDescent="0.25">
      <c r="A1487" s="6" t="s">
        <v>1616</v>
      </c>
      <c r="B1487" s="8" t="s">
        <v>2736</v>
      </c>
      <c r="C1487" s="6"/>
    </row>
    <row r="1488" spans="1:3" ht="24" x14ac:dyDescent="0.25">
      <c r="A1488" s="6" t="s">
        <v>1617</v>
      </c>
      <c r="B1488" s="8" t="s">
        <v>2737</v>
      </c>
      <c r="C1488" s="6"/>
    </row>
    <row r="1489" spans="1:3" ht="24" x14ac:dyDescent="0.25">
      <c r="A1489" s="6" t="s">
        <v>1618</v>
      </c>
      <c r="B1489" s="8" t="s">
        <v>2737</v>
      </c>
      <c r="C1489" s="6"/>
    </row>
    <row r="1490" spans="1:3" ht="36" x14ac:dyDescent="0.25">
      <c r="A1490" s="6" t="s">
        <v>3927</v>
      </c>
      <c r="B1490" s="8" t="s">
        <v>3580</v>
      </c>
      <c r="C1490" s="6"/>
    </row>
    <row r="1491" spans="1:3" ht="36" x14ac:dyDescent="0.25">
      <c r="A1491" s="6" t="s">
        <v>3928</v>
      </c>
      <c r="B1491" s="8" t="s">
        <v>3581</v>
      </c>
      <c r="C1491" s="6"/>
    </row>
    <row r="1492" spans="1:3" ht="36" x14ac:dyDescent="0.25">
      <c r="A1492" s="6" t="s">
        <v>3929</v>
      </c>
      <c r="B1492" s="8" t="s">
        <v>3582</v>
      </c>
      <c r="C1492" s="6"/>
    </row>
    <row r="1493" spans="1:3" ht="36" x14ac:dyDescent="0.25">
      <c r="A1493" s="6" t="s">
        <v>3930</v>
      </c>
      <c r="B1493" s="8" t="s">
        <v>3583</v>
      </c>
      <c r="C1493" s="6"/>
    </row>
    <row r="1494" spans="1:3" ht="24" x14ac:dyDescent="0.25">
      <c r="A1494" s="6" t="s">
        <v>1619</v>
      </c>
      <c r="B1494" s="8" t="s">
        <v>1959</v>
      </c>
      <c r="C1494" s="6"/>
    </row>
    <row r="1495" spans="1:3" ht="24" x14ac:dyDescent="0.25">
      <c r="A1495" s="6" t="s">
        <v>1620</v>
      </c>
      <c r="B1495" s="8" t="s">
        <v>2738</v>
      </c>
      <c r="C1495" s="6"/>
    </row>
    <row r="1496" spans="1:3" ht="24" x14ac:dyDescent="0.25">
      <c r="A1496" s="6" t="s">
        <v>1621</v>
      </c>
      <c r="B1496" s="8" t="s">
        <v>2739</v>
      </c>
      <c r="C1496" s="6"/>
    </row>
    <row r="1497" spans="1:3" ht="48" x14ac:dyDescent="0.25">
      <c r="A1497" s="6" t="s">
        <v>1622</v>
      </c>
      <c r="B1497" s="8" t="s">
        <v>2740</v>
      </c>
      <c r="C1497" s="6"/>
    </row>
    <row r="1498" spans="1:3" ht="36" x14ac:dyDescent="0.25">
      <c r="A1498" s="6" t="s">
        <v>1623</v>
      </c>
      <c r="B1498" s="8" t="s">
        <v>2741</v>
      </c>
      <c r="C1498" s="6"/>
    </row>
    <row r="1499" spans="1:3" ht="36" x14ac:dyDescent="0.25">
      <c r="A1499" s="6" t="s">
        <v>1624</v>
      </c>
      <c r="B1499" s="8" t="s">
        <v>2742</v>
      </c>
      <c r="C1499" s="6"/>
    </row>
    <row r="1500" spans="1:3" ht="48" x14ac:dyDescent="0.25">
      <c r="A1500" s="6" t="s">
        <v>1625</v>
      </c>
      <c r="B1500" s="8" t="s">
        <v>2743</v>
      </c>
      <c r="C1500" s="6"/>
    </row>
    <row r="1501" spans="1:3" ht="36" x14ac:dyDescent="0.25">
      <c r="A1501" s="6" t="s">
        <v>1626</v>
      </c>
      <c r="B1501" s="8" t="s">
        <v>2744</v>
      </c>
      <c r="C1501" s="6"/>
    </row>
    <row r="1502" spans="1:3" ht="48" x14ac:dyDescent="0.25">
      <c r="A1502" s="6" t="s">
        <v>1627</v>
      </c>
      <c r="B1502" s="8" t="s">
        <v>2745</v>
      </c>
      <c r="C1502" s="6"/>
    </row>
    <row r="1503" spans="1:3" ht="36" x14ac:dyDescent="0.25">
      <c r="A1503" s="6" t="s">
        <v>1628</v>
      </c>
      <c r="B1503" s="8" t="s">
        <v>2746</v>
      </c>
      <c r="C1503" s="6"/>
    </row>
    <row r="1504" spans="1:3" ht="48" x14ac:dyDescent="0.25">
      <c r="A1504" s="6" t="s">
        <v>1629</v>
      </c>
      <c r="B1504" s="8" t="s">
        <v>2747</v>
      </c>
      <c r="C1504" s="6"/>
    </row>
    <row r="1505" spans="1:3" ht="48" x14ac:dyDescent="0.25">
      <c r="A1505" s="6" t="s">
        <v>1630</v>
      </c>
      <c r="B1505" s="8" t="s">
        <v>2748</v>
      </c>
      <c r="C1505" s="6"/>
    </row>
    <row r="1506" spans="1:3" ht="36" x14ac:dyDescent="0.25">
      <c r="A1506" s="6" t="s">
        <v>1631</v>
      </c>
      <c r="B1506" s="8" t="s">
        <v>2749</v>
      </c>
      <c r="C1506" s="6"/>
    </row>
    <row r="1507" spans="1:3" ht="36" x14ac:dyDescent="0.25">
      <c r="A1507" s="6" t="s">
        <v>1632</v>
      </c>
      <c r="B1507" s="8" t="s">
        <v>2750</v>
      </c>
      <c r="C1507" s="6"/>
    </row>
    <row r="1508" spans="1:3" ht="48" x14ac:dyDescent="0.25">
      <c r="A1508" s="6" t="s">
        <v>1633</v>
      </c>
      <c r="B1508" s="8" t="s">
        <v>2751</v>
      </c>
      <c r="C1508" s="6"/>
    </row>
    <row r="1509" spans="1:3" ht="48" x14ac:dyDescent="0.25">
      <c r="A1509" s="6" t="s">
        <v>1634</v>
      </c>
      <c r="B1509" s="8" t="s">
        <v>1936</v>
      </c>
      <c r="C1509" s="6"/>
    </row>
    <row r="1510" spans="1:3" ht="36" x14ac:dyDescent="0.25">
      <c r="A1510" s="6" t="s">
        <v>1635</v>
      </c>
      <c r="B1510" s="8" t="s">
        <v>3300</v>
      </c>
      <c r="C1510" s="6"/>
    </row>
    <row r="1511" spans="1:3" ht="48" x14ac:dyDescent="0.25">
      <c r="A1511" s="6" t="s">
        <v>1636</v>
      </c>
      <c r="B1511" s="8" t="s">
        <v>3301</v>
      </c>
      <c r="C1511" s="6"/>
    </row>
    <row r="1512" spans="1:3" ht="36" x14ac:dyDescent="0.25">
      <c r="A1512" s="6" t="s">
        <v>1637</v>
      </c>
      <c r="B1512" s="8" t="s">
        <v>3302</v>
      </c>
      <c r="C1512" s="6"/>
    </row>
    <row r="1513" spans="1:3" ht="36" x14ac:dyDescent="0.25">
      <c r="A1513" s="6" t="s">
        <v>1638</v>
      </c>
      <c r="B1513" s="8" t="s">
        <v>3303</v>
      </c>
      <c r="C1513" s="6"/>
    </row>
    <row r="1514" spans="1:3" ht="48" x14ac:dyDescent="0.25">
      <c r="A1514" s="6" t="s">
        <v>1639</v>
      </c>
      <c r="B1514" s="8" t="s">
        <v>3304</v>
      </c>
      <c r="C1514" s="6"/>
    </row>
    <row r="1515" spans="1:3" ht="24" x14ac:dyDescent="0.25">
      <c r="A1515" s="6" t="s">
        <v>1640</v>
      </c>
      <c r="B1515" s="8" t="s">
        <v>2752</v>
      </c>
      <c r="C1515" s="6"/>
    </row>
    <row r="1516" spans="1:3" ht="36" x14ac:dyDescent="0.25">
      <c r="A1516" s="6" t="s">
        <v>1641</v>
      </c>
      <c r="B1516" s="8" t="s">
        <v>2753</v>
      </c>
      <c r="C1516" s="6"/>
    </row>
    <row r="1517" spans="1:3" ht="48" x14ac:dyDescent="0.25">
      <c r="A1517" s="6" t="s">
        <v>3931</v>
      </c>
      <c r="B1517" s="8" t="s">
        <v>3584</v>
      </c>
      <c r="C1517" s="6"/>
    </row>
    <row r="1518" spans="1:3" ht="36" x14ac:dyDescent="0.25">
      <c r="A1518" s="6" t="s">
        <v>3932</v>
      </c>
      <c r="B1518" s="8" t="s">
        <v>3581</v>
      </c>
      <c r="C1518" s="6"/>
    </row>
    <row r="1519" spans="1:3" ht="36" x14ac:dyDescent="0.25">
      <c r="A1519" s="6" t="s">
        <v>3933</v>
      </c>
      <c r="B1519" s="8" t="s">
        <v>3578</v>
      </c>
      <c r="C1519" s="6"/>
    </row>
    <row r="1520" spans="1:3" ht="36" x14ac:dyDescent="0.25">
      <c r="A1520" s="6" t="s">
        <v>3934</v>
      </c>
      <c r="B1520" s="8" t="s">
        <v>3585</v>
      </c>
      <c r="C1520" s="6"/>
    </row>
    <row r="1521" spans="1:3" ht="36" x14ac:dyDescent="0.25">
      <c r="A1521" s="6" t="s">
        <v>3935</v>
      </c>
      <c r="B1521" s="8" t="s">
        <v>3586</v>
      </c>
      <c r="C1521" s="6"/>
    </row>
    <row r="1522" spans="1:3" ht="36" x14ac:dyDescent="0.25">
      <c r="A1522" s="6" t="s">
        <v>3936</v>
      </c>
      <c r="B1522" s="8" t="s">
        <v>3579</v>
      </c>
      <c r="C1522" s="6"/>
    </row>
    <row r="1523" spans="1:3" ht="36" x14ac:dyDescent="0.25">
      <c r="A1523" s="6" t="s">
        <v>3937</v>
      </c>
      <c r="B1523" s="8" t="s">
        <v>3587</v>
      </c>
      <c r="C1523" s="6"/>
    </row>
    <row r="1524" spans="1:3" ht="24" x14ac:dyDescent="0.25">
      <c r="A1524" s="6" t="s">
        <v>1642</v>
      </c>
      <c r="B1524" s="8" t="s">
        <v>1959</v>
      </c>
      <c r="C1524" s="6"/>
    </row>
    <row r="1525" spans="1:3" ht="24" x14ac:dyDescent="0.25">
      <c r="A1525" s="6" t="s">
        <v>1643</v>
      </c>
      <c r="B1525" s="8" t="s">
        <v>2754</v>
      </c>
      <c r="C1525" s="6"/>
    </row>
    <row r="1526" spans="1:3" ht="24" x14ac:dyDescent="0.25">
      <c r="A1526" s="6" t="s">
        <v>1644</v>
      </c>
      <c r="B1526" s="8" t="s">
        <v>2754</v>
      </c>
      <c r="C1526" s="6"/>
    </row>
    <row r="1527" spans="1:3" ht="24" x14ac:dyDescent="0.25">
      <c r="A1527" s="6" t="s">
        <v>1645</v>
      </c>
      <c r="B1527" s="8" t="s">
        <v>2754</v>
      </c>
      <c r="C1527" s="6"/>
    </row>
    <row r="1528" spans="1:3" ht="24" x14ac:dyDescent="0.25">
      <c r="A1528" s="6" t="s">
        <v>1646</v>
      </c>
      <c r="B1528" s="8" t="s">
        <v>2754</v>
      </c>
      <c r="C1528" s="6"/>
    </row>
    <row r="1529" spans="1:3" ht="24" x14ac:dyDescent="0.25">
      <c r="A1529" s="6" t="s">
        <v>1647</v>
      </c>
      <c r="B1529" s="8" t="s">
        <v>2754</v>
      </c>
      <c r="C1529" s="6"/>
    </row>
    <row r="1530" spans="1:3" ht="24" x14ac:dyDescent="0.25">
      <c r="A1530" s="6" t="s">
        <v>1648</v>
      </c>
      <c r="B1530" s="8" t="s">
        <v>2754</v>
      </c>
      <c r="C1530" s="6"/>
    </row>
    <row r="1531" spans="1:3" ht="84" x14ac:dyDescent="0.25">
      <c r="A1531" s="6" t="s">
        <v>3938</v>
      </c>
      <c r="B1531" s="8" t="s">
        <v>3588</v>
      </c>
      <c r="C1531" s="6"/>
    </row>
    <row r="1532" spans="1:3" ht="48" x14ac:dyDescent="0.25">
      <c r="A1532" s="6" t="s">
        <v>3939</v>
      </c>
      <c r="B1532" s="8" t="s">
        <v>3589</v>
      </c>
      <c r="C1532" s="6"/>
    </row>
    <row r="1533" spans="1:3" ht="60" x14ac:dyDescent="0.25">
      <c r="A1533" s="6" t="s">
        <v>3940</v>
      </c>
      <c r="B1533" s="8" t="s">
        <v>3590</v>
      </c>
      <c r="C1533" s="6"/>
    </row>
    <row r="1534" spans="1:3" ht="48" x14ac:dyDescent="0.25">
      <c r="A1534" s="6" t="s">
        <v>3941</v>
      </c>
      <c r="B1534" s="8" t="s">
        <v>3591</v>
      </c>
      <c r="C1534" s="6"/>
    </row>
    <row r="1535" spans="1:3" ht="60" x14ac:dyDescent="0.25">
      <c r="A1535" s="6" t="s">
        <v>3942</v>
      </c>
      <c r="B1535" s="8" t="s">
        <v>3592</v>
      </c>
      <c r="C1535" s="6"/>
    </row>
    <row r="1536" spans="1:3" ht="48" x14ac:dyDescent="0.25">
      <c r="A1536" s="6" t="s">
        <v>3943</v>
      </c>
      <c r="B1536" s="8" t="s">
        <v>3593</v>
      </c>
      <c r="C1536" s="6"/>
    </row>
    <row r="1537" spans="1:3" ht="36" x14ac:dyDescent="0.25">
      <c r="A1537" s="6" t="s">
        <v>3944</v>
      </c>
      <c r="B1537" s="8" t="s">
        <v>3594</v>
      </c>
      <c r="C1537" s="6"/>
    </row>
    <row r="1538" spans="1:3" ht="72" x14ac:dyDescent="0.25">
      <c r="A1538" s="6" t="s">
        <v>3945</v>
      </c>
      <c r="B1538" s="8" t="s">
        <v>3595</v>
      </c>
      <c r="C1538" s="6"/>
    </row>
    <row r="1539" spans="1:3" ht="60" x14ac:dyDescent="0.25">
      <c r="A1539" s="6" t="s">
        <v>3946</v>
      </c>
      <c r="B1539" s="8" t="s">
        <v>3596</v>
      </c>
      <c r="C1539" s="6"/>
    </row>
    <row r="1540" spans="1:3" ht="60" x14ac:dyDescent="0.25">
      <c r="A1540" s="6" t="s">
        <v>3947</v>
      </c>
      <c r="B1540" s="8" t="s">
        <v>3597</v>
      </c>
      <c r="C1540" s="6"/>
    </row>
    <row r="1541" spans="1:3" ht="60" x14ac:dyDescent="0.25">
      <c r="A1541" s="6" t="s">
        <v>3948</v>
      </c>
      <c r="B1541" s="8" t="s">
        <v>3598</v>
      </c>
      <c r="C1541" s="6"/>
    </row>
    <row r="1542" spans="1:3" ht="60" x14ac:dyDescent="0.25">
      <c r="A1542" s="6" t="s">
        <v>3949</v>
      </c>
      <c r="B1542" s="8" t="s">
        <v>3599</v>
      </c>
      <c r="C1542" s="6"/>
    </row>
    <row r="1543" spans="1:3" ht="84" x14ac:dyDescent="0.25">
      <c r="A1543" s="6" t="s">
        <v>3950</v>
      </c>
      <c r="B1543" s="8" t="s">
        <v>3600</v>
      </c>
      <c r="C1543" s="6"/>
    </row>
    <row r="1544" spans="1:3" ht="72" x14ac:dyDescent="0.25">
      <c r="A1544" s="6" t="s">
        <v>3951</v>
      </c>
      <c r="B1544" s="8" t="s">
        <v>3601</v>
      </c>
      <c r="C1544" s="6"/>
    </row>
    <row r="1545" spans="1:3" ht="36" x14ac:dyDescent="0.25">
      <c r="A1545" s="6" t="s">
        <v>3952</v>
      </c>
      <c r="B1545" s="8" t="s">
        <v>3602</v>
      </c>
      <c r="C1545" s="6"/>
    </row>
    <row r="1546" spans="1:3" ht="36" x14ac:dyDescent="0.25">
      <c r="A1546" s="6" t="s">
        <v>3953</v>
      </c>
      <c r="B1546" s="8" t="s">
        <v>3603</v>
      </c>
      <c r="C1546" s="6"/>
    </row>
    <row r="1547" spans="1:3" ht="72" x14ac:dyDescent="0.25">
      <c r="A1547" s="6" t="s">
        <v>3954</v>
      </c>
      <c r="B1547" s="8" t="s">
        <v>3604</v>
      </c>
      <c r="C1547" s="6"/>
    </row>
    <row r="1548" spans="1:3" ht="36" x14ac:dyDescent="0.25">
      <c r="A1548" s="6" t="s">
        <v>3955</v>
      </c>
      <c r="B1548" s="8" t="s">
        <v>3605</v>
      </c>
      <c r="C1548" s="6"/>
    </row>
    <row r="1549" spans="1:3" ht="48" x14ac:dyDescent="0.25">
      <c r="A1549" s="6" t="s">
        <v>3956</v>
      </c>
      <c r="B1549" s="8" t="s">
        <v>3606</v>
      </c>
      <c r="C1549" s="6"/>
    </row>
    <row r="1550" spans="1:3" ht="96" x14ac:dyDescent="0.25">
      <c r="A1550" s="6" t="s">
        <v>3957</v>
      </c>
      <c r="B1550" s="8" t="s">
        <v>3607</v>
      </c>
      <c r="C1550" s="6"/>
    </row>
    <row r="1551" spans="1:3" ht="72" x14ac:dyDescent="0.25">
      <c r="A1551" s="6" t="s">
        <v>3958</v>
      </c>
      <c r="B1551" s="8" t="s">
        <v>3608</v>
      </c>
      <c r="C1551" s="6"/>
    </row>
    <row r="1552" spans="1:3" ht="72" x14ac:dyDescent="0.25">
      <c r="A1552" s="6" t="s">
        <v>3959</v>
      </c>
      <c r="B1552" s="8" t="s">
        <v>3609</v>
      </c>
      <c r="C1552" s="6"/>
    </row>
    <row r="1553" spans="1:3" ht="84" x14ac:dyDescent="0.25">
      <c r="A1553" s="6" t="s">
        <v>1649</v>
      </c>
      <c r="B1553" s="8" t="s">
        <v>2755</v>
      </c>
      <c r="C1553" s="6"/>
    </row>
    <row r="1554" spans="1:3" ht="60" x14ac:dyDescent="0.25">
      <c r="A1554" s="6" t="s">
        <v>1650</v>
      </c>
      <c r="B1554" s="8" t="s">
        <v>2756</v>
      </c>
      <c r="C1554" s="6"/>
    </row>
    <row r="1555" spans="1:3" ht="48" x14ac:dyDescent="0.25">
      <c r="A1555" s="6" t="s">
        <v>1651</v>
      </c>
      <c r="B1555" s="8" t="s">
        <v>2757</v>
      </c>
      <c r="C1555" s="6"/>
    </row>
    <row r="1556" spans="1:3" ht="96" x14ac:dyDescent="0.25">
      <c r="A1556" s="6" t="s">
        <v>1652</v>
      </c>
      <c r="B1556" s="8" t="s">
        <v>2758</v>
      </c>
      <c r="C1556" s="6"/>
    </row>
    <row r="1557" spans="1:3" ht="120" x14ac:dyDescent="0.25">
      <c r="A1557" s="6" t="s">
        <v>3960</v>
      </c>
      <c r="B1557" s="8" t="s">
        <v>3610</v>
      </c>
      <c r="C1557" s="6"/>
    </row>
    <row r="1558" spans="1:3" ht="72" x14ac:dyDescent="0.25">
      <c r="A1558" s="6" t="s">
        <v>3961</v>
      </c>
      <c r="B1558" s="8" t="s">
        <v>3611</v>
      </c>
      <c r="C1558" s="6"/>
    </row>
    <row r="1559" spans="1:3" ht="132" x14ac:dyDescent="0.25">
      <c r="A1559" s="6" t="s">
        <v>3962</v>
      </c>
      <c r="B1559" s="8" t="s">
        <v>3612</v>
      </c>
      <c r="C1559" s="6"/>
    </row>
    <row r="1560" spans="1:3" ht="96" x14ac:dyDescent="0.25">
      <c r="A1560" s="6" t="s">
        <v>1653</v>
      </c>
      <c r="B1560" s="8" t="s">
        <v>3305</v>
      </c>
      <c r="C1560" s="6"/>
    </row>
    <row r="1561" spans="1:3" ht="84" x14ac:dyDescent="0.25">
      <c r="A1561" s="6" t="s">
        <v>1654</v>
      </c>
      <c r="B1561" s="8" t="s">
        <v>2759</v>
      </c>
      <c r="C1561" s="6"/>
    </row>
    <row r="1562" spans="1:3" ht="108" x14ac:dyDescent="0.25">
      <c r="A1562" s="6" t="s">
        <v>3963</v>
      </c>
      <c r="B1562" s="8" t="s">
        <v>3613</v>
      </c>
      <c r="C1562" s="6"/>
    </row>
    <row r="1563" spans="1:3" ht="84" x14ac:dyDescent="0.25">
      <c r="A1563" s="6" t="s">
        <v>3964</v>
      </c>
      <c r="B1563" s="8" t="s">
        <v>3614</v>
      </c>
      <c r="C1563" s="6"/>
    </row>
    <row r="1564" spans="1:3" ht="108" x14ac:dyDescent="0.25">
      <c r="A1564" s="6" t="s">
        <v>3965</v>
      </c>
      <c r="B1564" s="8" t="s">
        <v>3615</v>
      </c>
      <c r="C1564" s="6"/>
    </row>
    <row r="1565" spans="1:3" ht="180" x14ac:dyDescent="0.25">
      <c r="A1565" s="6" t="s">
        <v>3966</v>
      </c>
      <c r="B1565" s="8" t="s">
        <v>3616</v>
      </c>
      <c r="C1565" s="6"/>
    </row>
    <row r="1566" spans="1:3" ht="96" x14ac:dyDescent="0.25">
      <c r="A1566" s="6" t="s">
        <v>1655</v>
      </c>
      <c r="B1566" s="8" t="s">
        <v>2760</v>
      </c>
      <c r="C1566" s="6"/>
    </row>
    <row r="1567" spans="1:3" ht="72" x14ac:dyDescent="0.25">
      <c r="A1567" s="6" t="s">
        <v>1656</v>
      </c>
      <c r="B1567" s="8" t="s">
        <v>2761</v>
      </c>
      <c r="C1567" s="6"/>
    </row>
    <row r="1568" spans="1:3" ht="84" x14ac:dyDescent="0.25">
      <c r="A1568" s="6" t="s">
        <v>1657</v>
      </c>
      <c r="B1568" s="8" t="s">
        <v>2762</v>
      </c>
      <c r="C1568" s="6"/>
    </row>
    <row r="1569" spans="1:3" ht="72" x14ac:dyDescent="0.25">
      <c r="A1569" s="6" t="s">
        <v>1658</v>
      </c>
      <c r="B1569" s="8" t="s">
        <v>2763</v>
      </c>
      <c r="C1569" s="6"/>
    </row>
    <row r="1570" spans="1:3" ht="60" x14ac:dyDescent="0.25">
      <c r="A1570" s="6" t="s">
        <v>1659</v>
      </c>
      <c r="B1570" s="8" t="s">
        <v>2764</v>
      </c>
      <c r="C1570" s="6"/>
    </row>
    <row r="1571" spans="1:3" ht="84" x14ac:dyDescent="0.25">
      <c r="A1571" s="6" t="s">
        <v>1660</v>
      </c>
      <c r="B1571" s="8" t="s">
        <v>2765</v>
      </c>
      <c r="C1571" s="6"/>
    </row>
    <row r="1572" spans="1:3" ht="84" x14ac:dyDescent="0.25">
      <c r="A1572" s="6" t="s">
        <v>1661</v>
      </c>
      <c r="B1572" s="8" t="s">
        <v>2766</v>
      </c>
      <c r="C1572" s="6"/>
    </row>
    <row r="1573" spans="1:3" ht="84" x14ac:dyDescent="0.25">
      <c r="A1573" s="6" t="s">
        <v>1662</v>
      </c>
      <c r="B1573" s="8" t="s">
        <v>2767</v>
      </c>
      <c r="C1573" s="6"/>
    </row>
    <row r="1574" spans="1:3" ht="84" x14ac:dyDescent="0.25">
      <c r="A1574" s="6" t="s">
        <v>1663</v>
      </c>
      <c r="B1574" s="8" t="s">
        <v>2768</v>
      </c>
      <c r="C1574" s="6"/>
    </row>
    <row r="1575" spans="1:3" ht="84" x14ac:dyDescent="0.25">
      <c r="A1575" s="6" t="s">
        <v>1664</v>
      </c>
      <c r="B1575" s="8" t="s">
        <v>2769</v>
      </c>
      <c r="C1575" s="6"/>
    </row>
    <row r="1576" spans="1:3" ht="84" x14ac:dyDescent="0.25">
      <c r="A1576" s="6" t="s">
        <v>1665</v>
      </c>
      <c r="B1576" s="8" t="s">
        <v>2770</v>
      </c>
      <c r="C1576" s="6"/>
    </row>
    <row r="1577" spans="1:3" ht="96" x14ac:dyDescent="0.25">
      <c r="A1577" s="6" t="s">
        <v>1666</v>
      </c>
      <c r="B1577" s="8" t="s">
        <v>2771</v>
      </c>
      <c r="C1577" s="6"/>
    </row>
    <row r="1578" spans="1:3" ht="84" x14ac:dyDescent="0.25">
      <c r="A1578" s="6" t="s">
        <v>1667</v>
      </c>
      <c r="B1578" s="8" t="s">
        <v>3306</v>
      </c>
      <c r="C1578" s="6"/>
    </row>
    <row r="1579" spans="1:3" ht="84" x14ac:dyDescent="0.25">
      <c r="A1579" s="6" t="s">
        <v>1668</v>
      </c>
      <c r="B1579" s="8" t="s">
        <v>3307</v>
      </c>
      <c r="C1579" s="6"/>
    </row>
    <row r="1580" spans="1:3" ht="72" x14ac:dyDescent="0.25">
      <c r="A1580" s="6" t="s">
        <v>1669</v>
      </c>
      <c r="B1580" s="8" t="s">
        <v>3308</v>
      </c>
      <c r="C1580" s="6"/>
    </row>
    <row r="1581" spans="1:3" ht="72" x14ac:dyDescent="0.25">
      <c r="A1581" s="6" t="s">
        <v>1670</v>
      </c>
      <c r="B1581" s="8" t="s">
        <v>3309</v>
      </c>
      <c r="C1581" s="6"/>
    </row>
    <row r="1582" spans="1:3" ht="72" x14ac:dyDescent="0.25">
      <c r="A1582" s="6" t="s">
        <v>1671</v>
      </c>
      <c r="B1582" s="8" t="s">
        <v>3310</v>
      </c>
      <c r="C1582" s="6"/>
    </row>
    <row r="1583" spans="1:3" ht="84" x14ac:dyDescent="0.25">
      <c r="A1583" s="6" t="s">
        <v>1672</v>
      </c>
      <c r="B1583" s="8" t="s">
        <v>3311</v>
      </c>
      <c r="C1583" s="6"/>
    </row>
    <row r="1584" spans="1:3" ht="96" x14ac:dyDescent="0.25">
      <c r="A1584" s="6" t="s">
        <v>1673</v>
      </c>
      <c r="B1584" s="8" t="s">
        <v>3312</v>
      </c>
      <c r="C1584" s="6"/>
    </row>
    <row r="1585" spans="1:3" ht="84" x14ac:dyDescent="0.25">
      <c r="A1585" s="6" t="s">
        <v>1674</v>
      </c>
      <c r="B1585" s="8" t="s">
        <v>3313</v>
      </c>
      <c r="C1585" s="6"/>
    </row>
    <row r="1586" spans="1:3" ht="72" x14ac:dyDescent="0.25">
      <c r="A1586" s="6" t="s">
        <v>1675</v>
      </c>
      <c r="B1586" s="8" t="s">
        <v>3314</v>
      </c>
      <c r="C1586" s="6"/>
    </row>
    <row r="1587" spans="1:3" ht="72" x14ac:dyDescent="0.25">
      <c r="A1587" s="6" t="s">
        <v>1676</v>
      </c>
      <c r="B1587" s="8" t="s">
        <v>3315</v>
      </c>
      <c r="C1587" s="6"/>
    </row>
    <row r="1588" spans="1:3" ht="72" x14ac:dyDescent="0.25">
      <c r="A1588" s="6" t="s">
        <v>1677</v>
      </c>
      <c r="B1588" s="8" t="s">
        <v>3316</v>
      </c>
      <c r="C1588" s="6"/>
    </row>
    <row r="1589" spans="1:3" ht="60" x14ac:dyDescent="0.25">
      <c r="A1589" s="6" t="s">
        <v>1678</v>
      </c>
      <c r="B1589" s="8" t="s">
        <v>3317</v>
      </c>
      <c r="C1589" s="6"/>
    </row>
    <row r="1590" spans="1:3" ht="96" x14ac:dyDescent="0.25">
      <c r="A1590" s="6" t="s">
        <v>1679</v>
      </c>
      <c r="B1590" s="8" t="s">
        <v>3318</v>
      </c>
      <c r="C1590" s="6"/>
    </row>
    <row r="1591" spans="1:3" ht="96" x14ac:dyDescent="0.25">
      <c r="A1591" s="6" t="s">
        <v>1680</v>
      </c>
      <c r="B1591" s="8" t="s">
        <v>3319</v>
      </c>
      <c r="C1591" s="6"/>
    </row>
    <row r="1592" spans="1:3" ht="84" x14ac:dyDescent="0.25">
      <c r="A1592" s="6" t="s">
        <v>1681</v>
      </c>
      <c r="B1592" s="8" t="s">
        <v>3320</v>
      </c>
      <c r="C1592" s="6"/>
    </row>
    <row r="1593" spans="1:3" ht="96" x14ac:dyDescent="0.25">
      <c r="A1593" s="6" t="s">
        <v>1682</v>
      </c>
      <c r="B1593" s="8" t="s">
        <v>2772</v>
      </c>
      <c r="C1593" s="6"/>
    </row>
    <row r="1594" spans="1:3" ht="132" x14ac:dyDescent="0.25">
      <c r="A1594" s="6" t="s">
        <v>3967</v>
      </c>
      <c r="B1594" s="8" t="s">
        <v>3617</v>
      </c>
      <c r="C1594" s="6"/>
    </row>
    <row r="1595" spans="1:3" ht="60" x14ac:dyDescent="0.25">
      <c r="A1595" s="6" t="s">
        <v>2773</v>
      </c>
      <c r="B1595" s="8" t="s">
        <v>2774</v>
      </c>
      <c r="C1595" s="6"/>
    </row>
    <row r="1596" spans="1:3" ht="72" x14ac:dyDescent="0.25">
      <c r="A1596" s="6" t="s">
        <v>2775</v>
      </c>
      <c r="B1596" s="8" t="s">
        <v>2776</v>
      </c>
      <c r="C1596" s="6"/>
    </row>
    <row r="1597" spans="1:3" ht="60" x14ac:dyDescent="0.25">
      <c r="A1597" s="6" t="s">
        <v>2777</v>
      </c>
      <c r="B1597" s="8" t="s">
        <v>2778</v>
      </c>
      <c r="C1597" s="6"/>
    </row>
    <row r="1598" spans="1:3" ht="60" x14ac:dyDescent="0.25">
      <c r="A1598" s="6" t="s">
        <v>2779</v>
      </c>
      <c r="B1598" s="8" t="s">
        <v>2780</v>
      </c>
      <c r="C1598" s="6"/>
    </row>
    <row r="1599" spans="1:3" ht="72" x14ac:dyDescent="0.25">
      <c r="A1599" s="6" t="s">
        <v>2781</v>
      </c>
      <c r="B1599" s="8" t="s">
        <v>2782</v>
      </c>
      <c r="C1599" s="6"/>
    </row>
    <row r="1600" spans="1:3" ht="48" x14ac:dyDescent="0.25">
      <c r="A1600" s="6" t="s">
        <v>2783</v>
      </c>
      <c r="B1600" s="8" t="s">
        <v>2784</v>
      </c>
      <c r="C1600" s="6"/>
    </row>
    <row r="1601" spans="1:3" ht="72" x14ac:dyDescent="0.25">
      <c r="A1601" s="6" t="s">
        <v>2785</v>
      </c>
      <c r="B1601" s="8" t="s">
        <v>2786</v>
      </c>
      <c r="C1601" s="6"/>
    </row>
    <row r="1602" spans="1:3" ht="168" x14ac:dyDescent="0.25">
      <c r="A1602" s="6" t="s">
        <v>3968</v>
      </c>
      <c r="B1602" s="8" t="s">
        <v>2787</v>
      </c>
      <c r="C1602" s="6"/>
    </row>
    <row r="1603" spans="1:3" ht="72" x14ac:dyDescent="0.25">
      <c r="A1603" s="6" t="s">
        <v>2788</v>
      </c>
      <c r="B1603" s="8" t="s">
        <v>3618</v>
      </c>
      <c r="C1603" s="6"/>
    </row>
    <row r="1604" spans="1:3" ht="48" x14ac:dyDescent="0.25">
      <c r="A1604" s="6" t="s">
        <v>2789</v>
      </c>
      <c r="B1604" s="8" t="s">
        <v>3619</v>
      </c>
      <c r="C1604" s="6"/>
    </row>
    <row r="1605" spans="1:3" ht="60" x14ac:dyDescent="0.25">
      <c r="A1605" s="6" t="s">
        <v>2790</v>
      </c>
      <c r="B1605" s="8" t="s">
        <v>3620</v>
      </c>
      <c r="C1605" s="6"/>
    </row>
    <row r="1606" spans="1:3" ht="84" x14ac:dyDescent="0.25">
      <c r="A1606" s="6" t="s">
        <v>2791</v>
      </c>
      <c r="B1606" s="8" t="s">
        <v>3621</v>
      </c>
      <c r="C1606" s="6"/>
    </row>
    <row r="1607" spans="1:3" ht="72" x14ac:dyDescent="0.25">
      <c r="A1607" s="6" t="s">
        <v>2792</v>
      </c>
      <c r="B1607" s="8" t="s">
        <v>3622</v>
      </c>
      <c r="C1607" s="6"/>
    </row>
    <row r="1608" spans="1:3" ht="84" x14ac:dyDescent="0.25">
      <c r="A1608" s="6" t="s">
        <v>2793</v>
      </c>
      <c r="B1608" s="8" t="s">
        <v>3623</v>
      </c>
      <c r="C1608" s="6"/>
    </row>
    <row r="1609" spans="1:3" ht="84" x14ac:dyDescent="0.25">
      <c r="A1609" s="6" t="s">
        <v>2794</v>
      </c>
      <c r="B1609" s="8" t="s">
        <v>3624</v>
      </c>
      <c r="C1609" s="6"/>
    </row>
    <row r="1610" spans="1:3" ht="36" x14ac:dyDescent="0.25">
      <c r="A1610" s="6" t="s">
        <v>2795</v>
      </c>
      <c r="B1610" s="8" t="s">
        <v>3625</v>
      </c>
      <c r="C1610" s="6"/>
    </row>
    <row r="1611" spans="1:3" ht="48" x14ac:dyDescent="0.25">
      <c r="A1611" s="6" t="s">
        <v>2796</v>
      </c>
      <c r="B1611" s="8" t="s">
        <v>3626</v>
      </c>
      <c r="C1611" s="6"/>
    </row>
    <row r="1612" spans="1:3" ht="96" x14ac:dyDescent="0.25">
      <c r="A1612" s="6" t="s">
        <v>2797</v>
      </c>
      <c r="B1612" s="8" t="s">
        <v>3627</v>
      </c>
      <c r="C1612" s="6"/>
    </row>
    <row r="1613" spans="1:3" ht="72" x14ac:dyDescent="0.25">
      <c r="A1613" s="6" t="s">
        <v>2798</v>
      </c>
      <c r="B1613" s="8" t="s">
        <v>3628</v>
      </c>
      <c r="C1613" s="6"/>
    </row>
    <row r="1614" spans="1:3" ht="60" x14ac:dyDescent="0.25">
      <c r="A1614" s="6" t="s">
        <v>2799</v>
      </c>
      <c r="B1614" s="8" t="s">
        <v>3629</v>
      </c>
      <c r="C1614" s="6"/>
    </row>
    <row r="1615" spans="1:3" ht="132" x14ac:dyDescent="0.25">
      <c r="A1615" s="6" t="s">
        <v>2800</v>
      </c>
      <c r="B1615" s="8" t="s">
        <v>3630</v>
      </c>
      <c r="C1615" s="6"/>
    </row>
    <row r="1616" spans="1:3" ht="72" x14ac:dyDescent="0.25">
      <c r="A1616" s="6" t="s">
        <v>2801</v>
      </c>
      <c r="B1616" s="8" t="s">
        <v>3631</v>
      </c>
      <c r="C1616" s="6"/>
    </row>
    <row r="1617" spans="1:3" ht="60" x14ac:dyDescent="0.25">
      <c r="A1617" s="6" t="s">
        <v>2802</v>
      </c>
      <c r="B1617" s="8" t="s">
        <v>3632</v>
      </c>
      <c r="C1617" s="6"/>
    </row>
    <row r="1618" spans="1:3" ht="60" x14ac:dyDescent="0.25">
      <c r="A1618" s="6" t="s">
        <v>2803</v>
      </c>
      <c r="B1618" s="8" t="s">
        <v>3633</v>
      </c>
      <c r="C1618" s="6"/>
    </row>
    <row r="1619" spans="1:3" ht="60" x14ac:dyDescent="0.25">
      <c r="A1619" s="6" t="s">
        <v>2804</v>
      </c>
      <c r="B1619" s="8" t="s">
        <v>3634</v>
      </c>
      <c r="C1619" s="6"/>
    </row>
    <row r="1620" spans="1:3" ht="60" x14ac:dyDescent="0.25">
      <c r="A1620" s="6" t="s">
        <v>2805</v>
      </c>
      <c r="B1620" s="8" t="s">
        <v>3635</v>
      </c>
      <c r="C1620" s="6"/>
    </row>
    <row r="1621" spans="1:3" ht="72" x14ac:dyDescent="0.25">
      <c r="A1621" s="6" t="s">
        <v>2806</v>
      </c>
      <c r="B1621" s="8" t="s">
        <v>3636</v>
      </c>
      <c r="C1621" s="6"/>
    </row>
    <row r="1622" spans="1:3" ht="48" x14ac:dyDescent="0.25">
      <c r="A1622" s="6" t="s">
        <v>2807</v>
      </c>
      <c r="B1622" s="8" t="s">
        <v>3637</v>
      </c>
      <c r="C1622" s="6"/>
    </row>
    <row r="1623" spans="1:3" ht="108" x14ac:dyDescent="0.25">
      <c r="A1623" s="6" t="s">
        <v>2808</v>
      </c>
      <c r="B1623" s="8" t="s">
        <v>3638</v>
      </c>
      <c r="C1623" s="6"/>
    </row>
    <row r="1624" spans="1:3" ht="60" x14ac:dyDescent="0.25">
      <c r="A1624" s="6" t="s">
        <v>2809</v>
      </c>
      <c r="B1624" s="8" t="s">
        <v>3639</v>
      </c>
      <c r="C1624" s="6"/>
    </row>
    <row r="1625" spans="1:3" ht="60" x14ac:dyDescent="0.25">
      <c r="A1625" s="6" t="s">
        <v>2810</v>
      </c>
      <c r="B1625" s="8" t="s">
        <v>3640</v>
      </c>
      <c r="C1625" s="6"/>
    </row>
    <row r="1626" spans="1:3" ht="96" x14ac:dyDescent="0.25">
      <c r="A1626" s="6" t="s">
        <v>2811</v>
      </c>
      <c r="B1626" s="8" t="s">
        <v>3641</v>
      </c>
      <c r="C1626" s="6"/>
    </row>
    <row r="1627" spans="1:3" ht="84" x14ac:dyDescent="0.25">
      <c r="A1627" s="6" t="s">
        <v>2812</v>
      </c>
      <c r="B1627" s="8" t="s">
        <v>3642</v>
      </c>
      <c r="C1627" s="6"/>
    </row>
    <row r="1628" spans="1:3" ht="60" x14ac:dyDescent="0.25">
      <c r="A1628" s="6" t="s">
        <v>2813</v>
      </c>
      <c r="B1628" s="8" t="s">
        <v>3643</v>
      </c>
      <c r="C1628" s="6"/>
    </row>
    <row r="1629" spans="1:3" ht="72" x14ac:dyDescent="0.25">
      <c r="A1629" s="6" t="s">
        <v>2814</v>
      </c>
      <c r="B1629" s="8" t="s">
        <v>3644</v>
      </c>
      <c r="C1629" s="6"/>
    </row>
    <row r="1630" spans="1:3" ht="48" x14ac:dyDescent="0.25">
      <c r="A1630" s="6" t="s">
        <v>2815</v>
      </c>
      <c r="B1630" s="8" t="s">
        <v>3645</v>
      </c>
      <c r="C1630" s="6"/>
    </row>
    <row r="1631" spans="1:3" ht="72" x14ac:dyDescent="0.25">
      <c r="A1631" s="6" t="s">
        <v>2816</v>
      </c>
      <c r="B1631" s="8" t="s">
        <v>3646</v>
      </c>
      <c r="C1631" s="6"/>
    </row>
    <row r="1632" spans="1:3" ht="72" x14ac:dyDescent="0.25">
      <c r="A1632" s="6" t="s">
        <v>2817</v>
      </c>
      <c r="B1632" s="8" t="s">
        <v>3647</v>
      </c>
      <c r="C1632" s="6"/>
    </row>
    <row r="1633" spans="1:3" ht="72" x14ac:dyDescent="0.25">
      <c r="A1633" s="6" t="s">
        <v>2818</v>
      </c>
      <c r="B1633" s="8" t="s">
        <v>3648</v>
      </c>
      <c r="C1633" s="6"/>
    </row>
    <row r="1634" spans="1:3" ht="60" x14ac:dyDescent="0.25">
      <c r="A1634" s="6" t="s">
        <v>2819</v>
      </c>
      <c r="B1634" s="8" t="s">
        <v>3649</v>
      </c>
      <c r="C1634" s="6"/>
    </row>
    <row r="1635" spans="1:3" ht="72" x14ac:dyDescent="0.25">
      <c r="A1635" s="6" t="s">
        <v>2820</v>
      </c>
      <c r="B1635" s="8" t="s">
        <v>3650</v>
      </c>
      <c r="C1635" s="6"/>
    </row>
    <row r="1636" spans="1:3" ht="60" x14ac:dyDescent="0.25">
      <c r="A1636" s="6" t="s">
        <v>2821</v>
      </c>
      <c r="B1636" s="8" t="s">
        <v>3651</v>
      </c>
      <c r="C1636" s="6"/>
    </row>
    <row r="1637" spans="1:3" ht="60" x14ac:dyDescent="0.25">
      <c r="A1637" s="6" t="s">
        <v>2822</v>
      </c>
      <c r="B1637" s="8" t="s">
        <v>3652</v>
      </c>
      <c r="C1637" s="6"/>
    </row>
    <row r="1638" spans="1:3" ht="72" x14ac:dyDescent="0.25">
      <c r="A1638" s="6" t="s">
        <v>2823</v>
      </c>
      <c r="B1638" s="8" t="s">
        <v>3653</v>
      </c>
      <c r="C1638" s="6"/>
    </row>
    <row r="1639" spans="1:3" ht="60" x14ac:dyDescent="0.25">
      <c r="A1639" s="6" t="s">
        <v>2824</v>
      </c>
      <c r="B1639" s="8" t="s">
        <v>3654</v>
      </c>
      <c r="C1639" s="6"/>
    </row>
    <row r="1640" spans="1:3" ht="96" x14ac:dyDescent="0.25">
      <c r="A1640" s="6" t="s">
        <v>2825</v>
      </c>
      <c r="B1640" s="8" t="s">
        <v>3655</v>
      </c>
      <c r="C1640" s="6"/>
    </row>
    <row r="1641" spans="1:3" ht="72" x14ac:dyDescent="0.25">
      <c r="A1641" s="6" t="s">
        <v>2826</v>
      </c>
      <c r="B1641" s="8" t="s">
        <v>3656</v>
      </c>
      <c r="C1641" s="6"/>
    </row>
    <row r="1642" spans="1:3" ht="72" x14ac:dyDescent="0.25">
      <c r="A1642" s="6" t="s">
        <v>2827</v>
      </c>
      <c r="B1642" s="8" t="s">
        <v>3657</v>
      </c>
      <c r="C1642" s="6"/>
    </row>
    <row r="1643" spans="1:3" ht="120" x14ac:dyDescent="0.25">
      <c r="A1643" s="6" t="s">
        <v>2828</v>
      </c>
      <c r="B1643" s="8" t="s">
        <v>3658</v>
      </c>
      <c r="C1643" s="6"/>
    </row>
    <row r="1644" spans="1:3" ht="108" x14ac:dyDescent="0.25">
      <c r="A1644" s="6" t="s">
        <v>2829</v>
      </c>
      <c r="B1644" s="8" t="s">
        <v>3659</v>
      </c>
      <c r="C1644" s="6"/>
    </row>
    <row r="1645" spans="1:3" ht="96" x14ac:dyDescent="0.25">
      <c r="A1645" s="6" t="s">
        <v>2830</v>
      </c>
      <c r="B1645" s="8" t="s">
        <v>3660</v>
      </c>
      <c r="C1645" s="6"/>
    </row>
    <row r="1646" spans="1:3" ht="108" x14ac:dyDescent="0.25">
      <c r="A1646" s="6" t="s">
        <v>2831</v>
      </c>
      <c r="B1646" s="8" t="s">
        <v>3661</v>
      </c>
      <c r="C1646" s="6"/>
    </row>
    <row r="1647" spans="1:3" ht="72" x14ac:dyDescent="0.25">
      <c r="A1647" s="6" t="s">
        <v>2832</v>
      </c>
      <c r="B1647" s="8" t="s">
        <v>3662</v>
      </c>
      <c r="C1647" s="6"/>
    </row>
    <row r="1648" spans="1:3" ht="84" x14ac:dyDescent="0.25">
      <c r="A1648" s="6" t="s">
        <v>2833</v>
      </c>
      <c r="B1648" s="8" t="s">
        <v>3663</v>
      </c>
      <c r="C1648" s="6"/>
    </row>
    <row r="1649" spans="1:3" ht="72" x14ac:dyDescent="0.25">
      <c r="A1649" s="6" t="s">
        <v>2834</v>
      </c>
      <c r="B1649" s="8" t="s">
        <v>3664</v>
      </c>
      <c r="C1649" s="6"/>
    </row>
    <row r="1650" spans="1:3" ht="72" x14ac:dyDescent="0.25">
      <c r="A1650" s="6" t="s">
        <v>2835</v>
      </c>
      <c r="B1650" s="8" t="s">
        <v>3665</v>
      </c>
      <c r="C1650" s="6"/>
    </row>
    <row r="1651" spans="1:3" ht="96" x14ac:dyDescent="0.25">
      <c r="A1651" s="6" t="s">
        <v>2836</v>
      </c>
      <c r="B1651" s="8" t="s">
        <v>3666</v>
      </c>
      <c r="C1651" s="6"/>
    </row>
    <row r="1652" spans="1:3" ht="84" x14ac:dyDescent="0.25">
      <c r="A1652" s="6" t="s">
        <v>2837</v>
      </c>
      <c r="B1652" s="8" t="s">
        <v>3667</v>
      </c>
      <c r="C1652" s="6"/>
    </row>
    <row r="1653" spans="1:3" ht="60" x14ac:dyDescent="0.25">
      <c r="A1653" s="6" t="s">
        <v>2838</v>
      </c>
      <c r="B1653" s="8" t="s">
        <v>3668</v>
      </c>
      <c r="C1653" s="6"/>
    </row>
    <row r="1654" spans="1:3" ht="108" x14ac:dyDescent="0.25">
      <c r="A1654" s="6" t="s">
        <v>2839</v>
      </c>
      <c r="B1654" s="8" t="s">
        <v>3669</v>
      </c>
      <c r="C1654" s="6"/>
    </row>
    <row r="1655" spans="1:3" ht="72" x14ac:dyDescent="0.25">
      <c r="A1655" s="6" t="s">
        <v>2840</v>
      </c>
      <c r="B1655" s="8" t="s">
        <v>3670</v>
      </c>
      <c r="C1655" s="6"/>
    </row>
    <row r="1656" spans="1:3" ht="84" x14ac:dyDescent="0.25">
      <c r="A1656" s="6" t="s">
        <v>2841</v>
      </c>
      <c r="B1656" s="8" t="s">
        <v>3671</v>
      </c>
      <c r="C1656" s="6"/>
    </row>
    <row r="1657" spans="1:3" ht="48" x14ac:dyDescent="0.25">
      <c r="A1657" s="6" t="s">
        <v>2842</v>
      </c>
      <c r="B1657" s="8" t="s">
        <v>3672</v>
      </c>
      <c r="C1657" s="6"/>
    </row>
    <row r="1658" spans="1:3" ht="72" x14ac:dyDescent="0.25">
      <c r="A1658" s="6" t="s">
        <v>2843</v>
      </c>
      <c r="B1658" s="8" t="s">
        <v>3673</v>
      </c>
      <c r="C1658" s="6"/>
    </row>
    <row r="1659" spans="1:3" ht="24" x14ac:dyDescent="0.25">
      <c r="A1659" s="6" t="s">
        <v>2844</v>
      </c>
      <c r="B1659" s="8" t="s">
        <v>3674</v>
      </c>
      <c r="C1659" s="6"/>
    </row>
    <row r="1660" spans="1:3" ht="48" x14ac:dyDescent="0.25">
      <c r="A1660" s="6" t="s">
        <v>2845</v>
      </c>
      <c r="B1660" s="8" t="s">
        <v>3675</v>
      </c>
      <c r="C1660" s="6"/>
    </row>
    <row r="1661" spans="1:3" ht="48" x14ac:dyDescent="0.25">
      <c r="A1661" s="6" t="s">
        <v>2846</v>
      </c>
      <c r="B1661" s="8" t="s">
        <v>3676</v>
      </c>
      <c r="C1661" s="6"/>
    </row>
    <row r="1662" spans="1:3" ht="60" x14ac:dyDescent="0.25">
      <c r="A1662" s="6" t="s">
        <v>2847</v>
      </c>
      <c r="B1662" s="8" t="s">
        <v>3677</v>
      </c>
      <c r="C1662" s="6"/>
    </row>
    <row r="1663" spans="1:3" ht="36" x14ac:dyDescent="0.25">
      <c r="A1663" s="6" t="s">
        <v>2848</v>
      </c>
      <c r="B1663" s="8" t="s">
        <v>3678</v>
      </c>
      <c r="C1663" s="6"/>
    </row>
    <row r="1664" spans="1:3" ht="36" x14ac:dyDescent="0.25">
      <c r="A1664" s="6" t="s">
        <v>2849</v>
      </c>
      <c r="B1664" s="8" t="s">
        <v>3679</v>
      </c>
      <c r="C1664" s="6"/>
    </row>
    <row r="1665" spans="1:3" ht="48" x14ac:dyDescent="0.25">
      <c r="A1665" s="6" t="s">
        <v>2850</v>
      </c>
      <c r="B1665" s="8" t="s">
        <v>3680</v>
      </c>
      <c r="C1665" s="6"/>
    </row>
    <row r="1666" spans="1:3" ht="60" x14ac:dyDescent="0.25">
      <c r="A1666" s="6" t="s">
        <v>2851</v>
      </c>
      <c r="B1666" s="8" t="s">
        <v>3681</v>
      </c>
      <c r="C1666" s="6"/>
    </row>
    <row r="1667" spans="1:3" ht="48" x14ac:dyDescent="0.25">
      <c r="A1667" s="6" t="s">
        <v>2852</v>
      </c>
      <c r="B1667" s="8" t="s">
        <v>3682</v>
      </c>
      <c r="C1667" s="6"/>
    </row>
    <row r="1668" spans="1:3" ht="24" x14ac:dyDescent="0.25">
      <c r="A1668" s="6" t="s">
        <v>1683</v>
      </c>
      <c r="B1668" s="8" t="s">
        <v>3683</v>
      </c>
      <c r="C1668" s="6"/>
    </row>
    <row r="1669" spans="1:3" ht="48" x14ac:dyDescent="0.25">
      <c r="A1669" s="6" t="s">
        <v>2853</v>
      </c>
      <c r="B1669" s="8" t="s">
        <v>3684</v>
      </c>
      <c r="C1669" s="6"/>
    </row>
    <row r="1670" spans="1:3" ht="36" x14ac:dyDescent="0.25">
      <c r="A1670" s="6" t="s">
        <v>2854</v>
      </c>
      <c r="B1670" s="8" t="s">
        <v>3685</v>
      </c>
      <c r="C1670" s="6"/>
    </row>
    <row r="1671" spans="1:3" ht="48" x14ac:dyDescent="0.25">
      <c r="A1671" s="6" t="s">
        <v>2855</v>
      </c>
      <c r="B1671" s="8" t="s">
        <v>3686</v>
      </c>
      <c r="C1671" s="6"/>
    </row>
    <row r="1672" spans="1:3" ht="60" x14ac:dyDescent="0.25">
      <c r="A1672" s="6" t="s">
        <v>2856</v>
      </c>
      <c r="B1672" s="8" t="s">
        <v>3687</v>
      </c>
      <c r="C1672" s="6"/>
    </row>
    <row r="1673" spans="1:3" ht="36" x14ac:dyDescent="0.25">
      <c r="A1673" s="6" t="s">
        <v>2857</v>
      </c>
      <c r="B1673" s="8" t="s">
        <v>3688</v>
      </c>
      <c r="C1673" s="6"/>
    </row>
    <row r="1674" spans="1:3" ht="96" x14ac:dyDescent="0.25">
      <c r="A1674" s="6" t="s">
        <v>2858</v>
      </c>
      <c r="B1674" s="8" t="s">
        <v>3689</v>
      </c>
      <c r="C1674" s="6"/>
    </row>
    <row r="1675" spans="1:3" ht="84" x14ac:dyDescent="0.25">
      <c r="A1675" s="6" t="s">
        <v>2859</v>
      </c>
      <c r="B1675" s="8" t="s">
        <v>3690</v>
      </c>
      <c r="C1675" s="6"/>
    </row>
    <row r="1676" spans="1:3" ht="36" x14ac:dyDescent="0.25">
      <c r="A1676" s="6" t="s">
        <v>2860</v>
      </c>
      <c r="B1676" s="8" t="s">
        <v>3691</v>
      </c>
      <c r="C1676" s="6"/>
    </row>
    <row r="1677" spans="1:3" ht="48" x14ac:dyDescent="0.25">
      <c r="A1677" s="6" t="s">
        <v>2861</v>
      </c>
      <c r="B1677" s="8" t="s">
        <v>3692</v>
      </c>
      <c r="C1677" s="6"/>
    </row>
    <row r="1678" spans="1:3" ht="48" x14ac:dyDescent="0.25">
      <c r="A1678" s="6" t="s">
        <v>2862</v>
      </c>
      <c r="B1678" s="8" t="s">
        <v>3693</v>
      </c>
      <c r="C1678" s="6"/>
    </row>
    <row r="1679" spans="1:3" ht="60" x14ac:dyDescent="0.25">
      <c r="A1679" s="6" t="s">
        <v>2863</v>
      </c>
      <c r="B1679" s="8" t="s">
        <v>3694</v>
      </c>
      <c r="C1679" s="6"/>
    </row>
    <row r="1680" spans="1:3" ht="72" x14ac:dyDescent="0.25">
      <c r="A1680" s="6" t="s">
        <v>2864</v>
      </c>
      <c r="B1680" s="8" t="s">
        <v>3695</v>
      </c>
      <c r="C1680" s="6"/>
    </row>
    <row r="1681" spans="1:3" ht="48" x14ac:dyDescent="0.25">
      <c r="A1681" s="6" t="s">
        <v>2865</v>
      </c>
      <c r="B1681" s="8" t="s">
        <v>3696</v>
      </c>
      <c r="C1681" s="6"/>
    </row>
    <row r="1682" spans="1:3" ht="96" x14ac:dyDescent="0.25">
      <c r="A1682" s="6" t="s">
        <v>2866</v>
      </c>
      <c r="B1682" s="8" t="s">
        <v>3697</v>
      </c>
      <c r="C1682" s="6"/>
    </row>
    <row r="1683" spans="1:3" ht="108" x14ac:dyDescent="0.25">
      <c r="A1683" s="6" t="s">
        <v>2867</v>
      </c>
      <c r="B1683" s="8" t="s">
        <v>3698</v>
      </c>
      <c r="C1683" s="6"/>
    </row>
    <row r="1684" spans="1:3" ht="96" x14ac:dyDescent="0.25">
      <c r="A1684" s="6" t="s">
        <v>2868</v>
      </c>
      <c r="B1684" s="8" t="s">
        <v>3699</v>
      </c>
      <c r="C1684" s="6"/>
    </row>
    <row r="1685" spans="1:3" ht="84" x14ac:dyDescent="0.25">
      <c r="A1685" s="6" t="s">
        <v>2869</v>
      </c>
      <c r="B1685" s="8" t="s">
        <v>3700</v>
      </c>
      <c r="C1685" s="6"/>
    </row>
    <row r="1686" spans="1:3" ht="72" x14ac:dyDescent="0.25">
      <c r="A1686" s="6" t="s">
        <v>2870</v>
      </c>
      <c r="B1686" s="8" t="s">
        <v>3701</v>
      </c>
      <c r="C1686" s="6"/>
    </row>
    <row r="1687" spans="1:3" ht="108" x14ac:dyDescent="0.25">
      <c r="A1687" s="6" t="s">
        <v>2871</v>
      </c>
      <c r="B1687" s="8" t="s">
        <v>3702</v>
      </c>
      <c r="C1687" s="6"/>
    </row>
    <row r="1688" spans="1:3" ht="60" x14ac:dyDescent="0.25">
      <c r="A1688" s="6" t="s">
        <v>2872</v>
      </c>
      <c r="B1688" s="8" t="s">
        <v>3703</v>
      </c>
      <c r="C1688" s="6"/>
    </row>
    <row r="1689" spans="1:3" ht="108" x14ac:dyDescent="0.25">
      <c r="A1689" s="6" t="s">
        <v>2873</v>
      </c>
      <c r="B1689" s="8" t="s">
        <v>3704</v>
      </c>
      <c r="C1689" s="6"/>
    </row>
    <row r="1690" spans="1:3" ht="72" x14ac:dyDescent="0.25">
      <c r="A1690" s="6" t="s">
        <v>2874</v>
      </c>
      <c r="B1690" s="8" t="s">
        <v>3705</v>
      </c>
      <c r="C1690" s="6"/>
    </row>
    <row r="1691" spans="1:3" ht="96" x14ac:dyDescent="0.25">
      <c r="A1691" s="6" t="s">
        <v>2875</v>
      </c>
      <c r="B1691" s="8" t="s">
        <v>3706</v>
      </c>
      <c r="C1691" s="6"/>
    </row>
    <row r="1692" spans="1:3" ht="120" x14ac:dyDescent="0.25">
      <c r="A1692" s="6" t="s">
        <v>2876</v>
      </c>
      <c r="B1692" s="8" t="s">
        <v>3707</v>
      </c>
      <c r="C1692" s="6"/>
    </row>
    <row r="1693" spans="1:3" ht="72" x14ac:dyDescent="0.25">
      <c r="A1693" s="6" t="s">
        <v>2877</v>
      </c>
      <c r="B1693" s="8" t="s">
        <v>3708</v>
      </c>
      <c r="C1693" s="6"/>
    </row>
    <row r="1694" spans="1:3" ht="120" x14ac:dyDescent="0.25">
      <c r="A1694" s="6" t="s">
        <v>2878</v>
      </c>
      <c r="B1694" s="8" t="s">
        <v>3709</v>
      </c>
      <c r="C1694" s="6"/>
    </row>
    <row r="1695" spans="1:3" ht="108" x14ac:dyDescent="0.25">
      <c r="A1695" s="6" t="s">
        <v>2879</v>
      </c>
      <c r="B1695" s="8" t="s">
        <v>3710</v>
      </c>
      <c r="C1695" s="6"/>
    </row>
    <row r="1696" spans="1:3" ht="84" x14ac:dyDescent="0.25">
      <c r="A1696" s="6" t="s">
        <v>2880</v>
      </c>
      <c r="B1696" s="8" t="s">
        <v>3711</v>
      </c>
      <c r="C1696" s="6"/>
    </row>
    <row r="1697" spans="1:3" ht="36" x14ac:dyDescent="0.25">
      <c r="A1697" s="6" t="s">
        <v>2881</v>
      </c>
      <c r="B1697" s="8" t="s">
        <v>3712</v>
      </c>
      <c r="C1697" s="6"/>
    </row>
    <row r="1698" spans="1:3" ht="72" x14ac:dyDescent="0.25">
      <c r="A1698" s="6" t="s">
        <v>2882</v>
      </c>
      <c r="B1698" s="8" t="s">
        <v>3713</v>
      </c>
      <c r="C1698" s="6"/>
    </row>
    <row r="1699" spans="1:3" ht="36" x14ac:dyDescent="0.25">
      <c r="A1699" s="6" t="s">
        <v>2883</v>
      </c>
      <c r="B1699" s="8" t="s">
        <v>3714</v>
      </c>
      <c r="C1699" s="6"/>
    </row>
    <row r="1700" spans="1:3" ht="36" x14ac:dyDescent="0.25">
      <c r="A1700" s="6" t="s">
        <v>2884</v>
      </c>
      <c r="B1700" s="8" t="s">
        <v>3715</v>
      </c>
      <c r="C1700" s="6"/>
    </row>
    <row r="1701" spans="1:3" ht="48" x14ac:dyDescent="0.25">
      <c r="A1701" s="6" t="s">
        <v>2885</v>
      </c>
      <c r="B1701" s="8" t="s">
        <v>3716</v>
      </c>
      <c r="C1701" s="6"/>
    </row>
    <row r="1702" spans="1:3" ht="60" x14ac:dyDescent="0.25">
      <c r="A1702" s="6" t="s">
        <v>2886</v>
      </c>
      <c r="B1702" s="8" t="s">
        <v>3717</v>
      </c>
      <c r="C1702" s="6"/>
    </row>
    <row r="1703" spans="1:3" ht="72" x14ac:dyDescent="0.25">
      <c r="A1703" s="6" t="s">
        <v>2887</v>
      </c>
      <c r="B1703" s="8" t="s">
        <v>2888</v>
      </c>
      <c r="C1703" s="6"/>
    </row>
    <row r="1704" spans="1:3" ht="60" x14ac:dyDescent="0.25">
      <c r="A1704" s="6" t="s">
        <v>2889</v>
      </c>
      <c r="B1704" s="8" t="s">
        <v>2890</v>
      </c>
      <c r="C1704" s="6"/>
    </row>
    <row r="1705" spans="1:3" ht="60" x14ac:dyDescent="0.25">
      <c r="A1705" s="6" t="s">
        <v>2891</v>
      </c>
      <c r="B1705" s="8" t="s">
        <v>2892</v>
      </c>
      <c r="C1705" s="6"/>
    </row>
    <row r="1706" spans="1:3" ht="60" x14ac:dyDescent="0.25">
      <c r="A1706" s="6" t="s">
        <v>2893</v>
      </c>
      <c r="B1706" s="8" t="s">
        <v>2894</v>
      </c>
      <c r="C1706" s="6"/>
    </row>
    <row r="1707" spans="1:3" ht="60" x14ac:dyDescent="0.25">
      <c r="A1707" s="6" t="s">
        <v>2895</v>
      </c>
      <c r="B1707" s="8" t="s">
        <v>1891</v>
      </c>
      <c r="C1707" s="6"/>
    </row>
    <row r="1708" spans="1:3" ht="84" x14ac:dyDescent="0.25">
      <c r="A1708" s="6" t="s">
        <v>2896</v>
      </c>
      <c r="B1708" s="8" t="s">
        <v>2897</v>
      </c>
      <c r="C1708" s="6"/>
    </row>
    <row r="1709" spans="1:3" ht="60" x14ac:dyDescent="0.25">
      <c r="A1709" s="6" t="s">
        <v>2898</v>
      </c>
      <c r="B1709" s="8" t="s">
        <v>2899</v>
      </c>
      <c r="C1709" s="6"/>
    </row>
    <row r="1710" spans="1:3" ht="60" x14ac:dyDescent="0.25">
      <c r="A1710" s="6" t="s">
        <v>2900</v>
      </c>
      <c r="B1710" s="8" t="s">
        <v>2901</v>
      </c>
      <c r="C1710" s="6"/>
    </row>
    <row r="1711" spans="1:3" ht="84" x14ac:dyDescent="0.25">
      <c r="A1711" s="6" t="s">
        <v>2902</v>
      </c>
      <c r="B1711" s="8" t="s">
        <v>2903</v>
      </c>
      <c r="C1711" s="6"/>
    </row>
    <row r="1712" spans="1:3" ht="96" x14ac:dyDescent="0.25">
      <c r="A1712" s="6" t="s">
        <v>2904</v>
      </c>
      <c r="B1712" s="8" t="s">
        <v>2905</v>
      </c>
      <c r="C1712" s="6"/>
    </row>
    <row r="1713" spans="1:3" ht="84" x14ac:dyDescent="0.25">
      <c r="A1713" s="6" t="s">
        <v>2906</v>
      </c>
      <c r="B1713" s="8" t="s">
        <v>2907</v>
      </c>
      <c r="C1713" s="6"/>
    </row>
    <row r="1714" spans="1:3" ht="72" x14ac:dyDescent="0.25">
      <c r="A1714" s="6" t="s">
        <v>2908</v>
      </c>
      <c r="B1714" s="8" t="s">
        <v>2909</v>
      </c>
      <c r="C1714" s="6"/>
    </row>
    <row r="1715" spans="1:3" ht="120" x14ac:dyDescent="0.25">
      <c r="A1715" s="6" t="s">
        <v>2910</v>
      </c>
      <c r="B1715" s="8" t="s">
        <v>3321</v>
      </c>
      <c r="C1715" s="6"/>
    </row>
    <row r="1716" spans="1:3" ht="108" x14ac:dyDescent="0.25">
      <c r="A1716" s="6" t="s">
        <v>2911</v>
      </c>
      <c r="B1716" s="8" t="s">
        <v>2912</v>
      </c>
      <c r="C1716" s="6"/>
    </row>
    <row r="1717" spans="1:3" ht="48" x14ac:dyDescent="0.25">
      <c r="A1717" s="6" t="s">
        <v>2913</v>
      </c>
      <c r="B1717" s="8" t="s">
        <v>2914</v>
      </c>
      <c r="C1717" s="6"/>
    </row>
    <row r="1718" spans="1:3" ht="84" x14ac:dyDescent="0.25">
      <c r="A1718" s="6" t="s">
        <v>2915</v>
      </c>
      <c r="B1718" s="8" t="s">
        <v>2916</v>
      </c>
      <c r="C1718" s="6"/>
    </row>
    <row r="1719" spans="1:3" ht="84" x14ac:dyDescent="0.25">
      <c r="A1719" s="6" t="s">
        <v>2917</v>
      </c>
      <c r="B1719" s="8" t="s">
        <v>2918</v>
      </c>
      <c r="C1719" s="6"/>
    </row>
    <row r="1720" spans="1:3" ht="84" x14ac:dyDescent="0.25">
      <c r="A1720" s="6" t="s">
        <v>2919</v>
      </c>
      <c r="B1720" s="8" t="s">
        <v>2920</v>
      </c>
      <c r="C1720" s="6"/>
    </row>
    <row r="1721" spans="1:3" ht="72" x14ac:dyDescent="0.25">
      <c r="A1721" s="6" t="s">
        <v>2921</v>
      </c>
      <c r="B1721" s="8" t="s">
        <v>2922</v>
      </c>
      <c r="C1721" s="6"/>
    </row>
    <row r="1722" spans="1:3" ht="60" x14ac:dyDescent="0.25">
      <c r="A1722" s="6" t="s">
        <v>2923</v>
      </c>
      <c r="B1722" s="8" t="s">
        <v>2924</v>
      </c>
      <c r="C1722" s="6"/>
    </row>
    <row r="1723" spans="1:3" ht="96" x14ac:dyDescent="0.25">
      <c r="A1723" s="6" t="s">
        <v>2925</v>
      </c>
      <c r="B1723" s="8" t="s">
        <v>2926</v>
      </c>
      <c r="C1723" s="6"/>
    </row>
    <row r="1724" spans="1:3" ht="72" x14ac:dyDescent="0.25">
      <c r="A1724" s="6" t="s">
        <v>2927</v>
      </c>
      <c r="B1724" s="8" t="s">
        <v>2928</v>
      </c>
      <c r="C1724" s="6"/>
    </row>
    <row r="1725" spans="1:3" ht="120" x14ac:dyDescent="0.25">
      <c r="A1725" s="6" t="s">
        <v>2929</v>
      </c>
      <c r="B1725" s="8" t="s">
        <v>2930</v>
      </c>
      <c r="C1725" s="6"/>
    </row>
    <row r="1726" spans="1:3" ht="72" x14ac:dyDescent="0.25">
      <c r="A1726" s="6" t="s">
        <v>2931</v>
      </c>
      <c r="B1726" s="8" t="s">
        <v>2932</v>
      </c>
      <c r="C1726" s="6"/>
    </row>
    <row r="1727" spans="1:3" ht="108" x14ac:dyDescent="0.25">
      <c r="A1727" s="6" t="s">
        <v>2933</v>
      </c>
      <c r="B1727" s="8" t="s">
        <v>2934</v>
      </c>
      <c r="C1727" s="6"/>
    </row>
    <row r="1728" spans="1:3" ht="132" x14ac:dyDescent="0.25">
      <c r="A1728" s="6" t="s">
        <v>2935</v>
      </c>
      <c r="B1728" s="8" t="s">
        <v>2936</v>
      </c>
      <c r="C1728" s="6"/>
    </row>
    <row r="1729" spans="1:3" ht="108" x14ac:dyDescent="0.25">
      <c r="A1729" s="6" t="s">
        <v>2937</v>
      </c>
      <c r="B1729" s="8" t="s">
        <v>2938</v>
      </c>
      <c r="C1729" s="6"/>
    </row>
    <row r="1730" spans="1:3" ht="72" x14ac:dyDescent="0.25">
      <c r="A1730" s="6" t="s">
        <v>2939</v>
      </c>
      <c r="B1730" s="8" t="s">
        <v>2940</v>
      </c>
      <c r="C1730" s="6"/>
    </row>
    <row r="1731" spans="1:3" ht="84" x14ac:dyDescent="0.25">
      <c r="A1731" s="6" t="s">
        <v>2941</v>
      </c>
      <c r="B1731" s="8" t="s">
        <v>2942</v>
      </c>
      <c r="C1731" s="6"/>
    </row>
    <row r="1732" spans="1:3" ht="84" x14ac:dyDescent="0.25">
      <c r="A1732" s="6" t="s">
        <v>2943</v>
      </c>
      <c r="B1732" s="8" t="s">
        <v>2944</v>
      </c>
      <c r="C1732" s="6"/>
    </row>
    <row r="1733" spans="1:3" ht="72" x14ac:dyDescent="0.25">
      <c r="A1733" s="6" t="s">
        <v>2945</v>
      </c>
      <c r="B1733" s="8" t="s">
        <v>2946</v>
      </c>
      <c r="C1733" s="6"/>
    </row>
    <row r="1734" spans="1:3" ht="84" x14ac:dyDescent="0.25">
      <c r="A1734" s="6" t="s">
        <v>2947</v>
      </c>
      <c r="B1734" s="8" t="s">
        <v>2948</v>
      </c>
      <c r="C1734" s="6"/>
    </row>
    <row r="1735" spans="1:3" ht="96" x14ac:dyDescent="0.25">
      <c r="A1735" s="6" t="s">
        <v>2949</v>
      </c>
      <c r="B1735" s="8" t="s">
        <v>2950</v>
      </c>
      <c r="C1735" s="6"/>
    </row>
    <row r="1736" spans="1:3" ht="84" x14ac:dyDescent="0.25">
      <c r="A1736" s="6" t="s">
        <v>2951</v>
      </c>
      <c r="B1736" s="8" t="s">
        <v>2952</v>
      </c>
      <c r="C1736" s="6"/>
    </row>
    <row r="1737" spans="1:3" ht="84" x14ac:dyDescent="0.25">
      <c r="A1737" s="6" t="s">
        <v>2953</v>
      </c>
      <c r="B1737" s="8" t="s">
        <v>2954</v>
      </c>
      <c r="C1737" s="6"/>
    </row>
    <row r="1738" spans="1:3" ht="60" x14ac:dyDescent="0.25">
      <c r="A1738" s="6" t="s">
        <v>2955</v>
      </c>
      <c r="B1738" s="8" t="s">
        <v>2956</v>
      </c>
      <c r="C1738" s="6"/>
    </row>
    <row r="1739" spans="1:3" ht="60" x14ac:dyDescent="0.25">
      <c r="A1739" s="6" t="s">
        <v>2957</v>
      </c>
      <c r="B1739" s="8" t="s">
        <v>2958</v>
      </c>
      <c r="C1739" s="6"/>
    </row>
    <row r="1740" spans="1:3" ht="96" x14ac:dyDescent="0.25">
      <c r="A1740" s="6" t="s">
        <v>2959</v>
      </c>
      <c r="B1740" s="8" t="s">
        <v>2960</v>
      </c>
      <c r="C1740" s="6"/>
    </row>
    <row r="1741" spans="1:3" ht="120" x14ac:dyDescent="0.25">
      <c r="A1741" s="6" t="s">
        <v>2961</v>
      </c>
      <c r="B1741" s="8" t="s">
        <v>2962</v>
      </c>
      <c r="C1741" s="6"/>
    </row>
    <row r="1742" spans="1:3" ht="96" x14ac:dyDescent="0.25">
      <c r="A1742" s="6" t="s">
        <v>2963</v>
      </c>
      <c r="B1742" s="8" t="s">
        <v>2964</v>
      </c>
      <c r="C1742" s="6"/>
    </row>
    <row r="1743" spans="1:3" ht="60" x14ac:dyDescent="0.25">
      <c r="A1743" s="6" t="s">
        <v>2965</v>
      </c>
      <c r="B1743" s="8" t="s">
        <v>2966</v>
      </c>
      <c r="C1743" s="6"/>
    </row>
    <row r="1744" spans="1:3" ht="144" x14ac:dyDescent="0.25">
      <c r="A1744" s="6" t="s">
        <v>2967</v>
      </c>
      <c r="B1744" s="8" t="s">
        <v>2968</v>
      </c>
      <c r="C1744" s="6"/>
    </row>
    <row r="1745" spans="1:3" ht="132" x14ac:dyDescent="0.25">
      <c r="A1745" s="6" t="s">
        <v>2969</v>
      </c>
      <c r="B1745" s="8" t="s">
        <v>2970</v>
      </c>
      <c r="C1745" s="6"/>
    </row>
    <row r="1746" spans="1:3" ht="108" x14ac:dyDescent="0.25">
      <c r="A1746" s="6" t="s">
        <v>2971</v>
      </c>
      <c r="B1746" s="8" t="s">
        <v>2972</v>
      </c>
      <c r="C1746" s="6"/>
    </row>
    <row r="1747" spans="1:3" ht="120" x14ac:dyDescent="0.25">
      <c r="A1747" s="6" t="s">
        <v>2973</v>
      </c>
      <c r="B1747" s="8" t="s">
        <v>2974</v>
      </c>
      <c r="C1747" s="6"/>
    </row>
    <row r="1748" spans="1:3" ht="132" x14ac:dyDescent="0.25">
      <c r="A1748" s="6" t="s">
        <v>2975</v>
      </c>
      <c r="B1748" s="8" t="s">
        <v>2976</v>
      </c>
      <c r="C1748" s="6"/>
    </row>
    <row r="1749" spans="1:3" ht="84" x14ac:dyDescent="0.25">
      <c r="A1749" s="6" t="s">
        <v>2977</v>
      </c>
      <c r="B1749" s="8" t="s">
        <v>2978</v>
      </c>
      <c r="C1749" s="6"/>
    </row>
    <row r="1750" spans="1:3" ht="72" x14ac:dyDescent="0.25">
      <c r="A1750" s="6" t="s">
        <v>2979</v>
      </c>
      <c r="B1750" s="8" t="s">
        <v>2980</v>
      </c>
      <c r="C1750" s="6"/>
    </row>
    <row r="1751" spans="1:3" ht="48" x14ac:dyDescent="0.25">
      <c r="A1751" s="6" t="s">
        <v>2981</v>
      </c>
      <c r="B1751" s="8" t="s">
        <v>2982</v>
      </c>
      <c r="C1751" s="6"/>
    </row>
    <row r="1752" spans="1:3" ht="60" x14ac:dyDescent="0.25">
      <c r="A1752" s="6" t="s">
        <v>2983</v>
      </c>
      <c r="B1752" s="8" t="s">
        <v>2984</v>
      </c>
      <c r="C1752" s="6"/>
    </row>
    <row r="1753" spans="1:3" ht="72" x14ac:dyDescent="0.25">
      <c r="A1753" s="6" t="s">
        <v>2985</v>
      </c>
      <c r="B1753" s="8" t="s">
        <v>2986</v>
      </c>
      <c r="C1753" s="6"/>
    </row>
    <row r="1754" spans="1:3" ht="72" x14ac:dyDescent="0.25">
      <c r="A1754" s="6" t="s">
        <v>2987</v>
      </c>
      <c r="B1754" s="8" t="s">
        <v>2988</v>
      </c>
      <c r="C1754" s="6"/>
    </row>
    <row r="1755" spans="1:3" ht="72" x14ac:dyDescent="0.25">
      <c r="A1755" s="6" t="s">
        <v>2989</v>
      </c>
      <c r="B1755" s="8" t="s">
        <v>2990</v>
      </c>
      <c r="C1755" s="6"/>
    </row>
    <row r="1756" spans="1:3" ht="36" x14ac:dyDescent="0.25">
      <c r="A1756" s="6" t="s">
        <v>2991</v>
      </c>
      <c r="B1756" s="8" t="s">
        <v>1890</v>
      </c>
      <c r="C1756" s="6"/>
    </row>
    <row r="1757" spans="1:3" ht="120" x14ac:dyDescent="0.25">
      <c r="A1757" s="6" t="s">
        <v>2992</v>
      </c>
      <c r="B1757" s="8" t="s">
        <v>2993</v>
      </c>
      <c r="C1757" s="6"/>
    </row>
    <row r="1758" spans="1:3" ht="84" x14ac:dyDescent="0.25">
      <c r="A1758" s="6" t="s">
        <v>2994</v>
      </c>
      <c r="B1758" s="8" t="s">
        <v>2995</v>
      </c>
      <c r="C1758" s="6"/>
    </row>
    <row r="1759" spans="1:3" ht="60" x14ac:dyDescent="0.25">
      <c r="A1759" s="6" t="s">
        <v>2996</v>
      </c>
      <c r="B1759" s="8" t="s">
        <v>2997</v>
      </c>
      <c r="C1759" s="6"/>
    </row>
    <row r="1760" spans="1:3" ht="108" x14ac:dyDescent="0.25">
      <c r="A1760" s="6" t="s">
        <v>2998</v>
      </c>
      <c r="B1760" s="8" t="s">
        <v>2999</v>
      </c>
      <c r="C1760" s="6"/>
    </row>
    <row r="1761" spans="1:3" ht="96" x14ac:dyDescent="0.25">
      <c r="A1761" s="6" t="s">
        <v>3000</v>
      </c>
      <c r="B1761" s="8" t="s">
        <v>3001</v>
      </c>
      <c r="C1761" s="6"/>
    </row>
    <row r="1762" spans="1:3" ht="120" x14ac:dyDescent="0.25">
      <c r="A1762" s="6" t="s">
        <v>3002</v>
      </c>
      <c r="B1762" s="8" t="s">
        <v>3003</v>
      </c>
      <c r="C1762" s="6"/>
    </row>
    <row r="1763" spans="1:3" ht="96" x14ac:dyDescent="0.25">
      <c r="A1763" s="6" t="s">
        <v>3004</v>
      </c>
      <c r="B1763" s="8" t="s">
        <v>3005</v>
      </c>
      <c r="C1763" s="6"/>
    </row>
    <row r="1764" spans="1:3" ht="108" x14ac:dyDescent="0.25">
      <c r="A1764" s="6" t="s">
        <v>3006</v>
      </c>
      <c r="B1764" s="8" t="s">
        <v>3007</v>
      </c>
      <c r="C1764" s="6"/>
    </row>
    <row r="1765" spans="1:3" ht="48" x14ac:dyDescent="0.25">
      <c r="A1765" s="6" t="s">
        <v>3008</v>
      </c>
      <c r="B1765" s="8" t="s">
        <v>3009</v>
      </c>
      <c r="C1765" s="6"/>
    </row>
    <row r="1766" spans="1:3" ht="96" x14ac:dyDescent="0.25">
      <c r="A1766" s="6" t="s">
        <v>3010</v>
      </c>
      <c r="B1766" s="8" t="s">
        <v>3011</v>
      </c>
      <c r="C1766" s="6"/>
    </row>
    <row r="1767" spans="1:3" ht="84" x14ac:dyDescent="0.25">
      <c r="A1767" s="6" t="s">
        <v>3012</v>
      </c>
      <c r="B1767" s="8" t="s">
        <v>3013</v>
      </c>
      <c r="C1767" s="6"/>
    </row>
    <row r="1768" spans="1:3" ht="60" x14ac:dyDescent="0.25">
      <c r="A1768" s="6" t="s">
        <v>3014</v>
      </c>
      <c r="B1768" s="8" t="s">
        <v>3015</v>
      </c>
      <c r="C1768" s="6"/>
    </row>
    <row r="1769" spans="1:3" ht="72" x14ac:dyDescent="0.25">
      <c r="A1769" s="6" t="s">
        <v>3016</v>
      </c>
      <c r="B1769" s="8" t="s">
        <v>3017</v>
      </c>
      <c r="C1769" s="6"/>
    </row>
    <row r="1770" spans="1:3" ht="108" x14ac:dyDescent="0.25">
      <c r="A1770" s="6" t="s">
        <v>3018</v>
      </c>
      <c r="B1770" s="8" t="s">
        <v>3019</v>
      </c>
      <c r="C1770" s="6"/>
    </row>
    <row r="1771" spans="1:3" ht="60" x14ac:dyDescent="0.25">
      <c r="A1771" s="6" t="s">
        <v>3020</v>
      </c>
      <c r="B1771" s="8" t="s">
        <v>3021</v>
      </c>
      <c r="C1771" s="6"/>
    </row>
    <row r="1772" spans="1:3" ht="36" x14ac:dyDescent="0.25">
      <c r="A1772" s="6" t="s">
        <v>3022</v>
      </c>
      <c r="B1772" s="8" t="s">
        <v>3023</v>
      </c>
      <c r="C1772" s="6"/>
    </row>
    <row r="1773" spans="1:3" ht="48" x14ac:dyDescent="0.25">
      <c r="A1773" s="6" t="s">
        <v>3024</v>
      </c>
      <c r="B1773" s="8" t="s">
        <v>3025</v>
      </c>
      <c r="C1773" s="6"/>
    </row>
    <row r="1774" spans="1:3" ht="36" x14ac:dyDescent="0.25">
      <c r="A1774" s="6" t="s">
        <v>3026</v>
      </c>
      <c r="B1774" s="8" t="s">
        <v>3027</v>
      </c>
      <c r="C1774" s="6"/>
    </row>
    <row r="1775" spans="1:3" ht="72" x14ac:dyDescent="0.25">
      <c r="A1775" s="6" t="s">
        <v>3028</v>
      </c>
      <c r="B1775" s="8" t="s">
        <v>3029</v>
      </c>
      <c r="C1775" s="6"/>
    </row>
    <row r="1776" spans="1:3" ht="120" x14ac:dyDescent="0.25">
      <c r="A1776" s="6" t="s">
        <v>3030</v>
      </c>
      <c r="B1776" s="8" t="s">
        <v>3031</v>
      </c>
      <c r="C1776" s="6"/>
    </row>
    <row r="1777" spans="1:3" ht="108" x14ac:dyDescent="0.25">
      <c r="A1777" s="6" t="s">
        <v>3032</v>
      </c>
      <c r="B1777" s="8" t="s">
        <v>3033</v>
      </c>
      <c r="C1777" s="6"/>
    </row>
    <row r="1778" spans="1:3" ht="72" x14ac:dyDescent="0.25">
      <c r="A1778" s="6" t="s">
        <v>3034</v>
      </c>
      <c r="B1778" s="8" t="s">
        <v>3035</v>
      </c>
      <c r="C1778" s="6"/>
    </row>
    <row r="1779" spans="1:3" ht="120" x14ac:dyDescent="0.25">
      <c r="A1779" s="6" t="s">
        <v>3969</v>
      </c>
      <c r="B1779" s="8" t="s">
        <v>3718</v>
      </c>
      <c r="C1779" s="6"/>
    </row>
    <row r="1780" spans="1:3" ht="180" x14ac:dyDescent="0.25">
      <c r="A1780" s="6" t="s">
        <v>3970</v>
      </c>
      <c r="B1780" s="8" t="s">
        <v>3719</v>
      </c>
      <c r="C1780" s="6"/>
    </row>
    <row r="1781" spans="1:3" ht="132" x14ac:dyDescent="0.25">
      <c r="A1781" s="6" t="s">
        <v>3971</v>
      </c>
      <c r="B1781" s="8" t="s">
        <v>3720</v>
      </c>
      <c r="C1781" s="6"/>
    </row>
    <row r="1782" spans="1:3" ht="36" x14ac:dyDescent="0.25">
      <c r="A1782" s="6" t="s">
        <v>3972</v>
      </c>
      <c r="B1782" s="8" t="s">
        <v>1960</v>
      </c>
      <c r="C1782" s="6"/>
    </row>
    <row r="1783" spans="1:3" ht="120" x14ac:dyDescent="0.25">
      <c r="A1783" s="6" t="s">
        <v>3973</v>
      </c>
      <c r="B1783" s="8" t="s">
        <v>3721</v>
      </c>
      <c r="C1783" s="6"/>
    </row>
    <row r="1784" spans="1:3" ht="144" x14ac:dyDescent="0.25">
      <c r="A1784" s="6" t="s">
        <v>3974</v>
      </c>
      <c r="B1784" s="8" t="s">
        <v>3722</v>
      </c>
      <c r="C1784" s="6"/>
    </row>
    <row r="1785" spans="1:3" ht="108" x14ac:dyDescent="0.25">
      <c r="A1785" s="6" t="s">
        <v>3975</v>
      </c>
      <c r="B1785" s="8" t="s">
        <v>3723</v>
      </c>
      <c r="C1785" s="6"/>
    </row>
    <row r="1786" spans="1:3" ht="84" x14ac:dyDescent="0.25">
      <c r="A1786" s="6" t="s">
        <v>3976</v>
      </c>
      <c r="B1786" s="8" t="s">
        <v>3724</v>
      </c>
      <c r="C1786" s="6"/>
    </row>
    <row r="1787" spans="1:3" ht="36" x14ac:dyDescent="0.25">
      <c r="A1787" s="6" t="s">
        <v>3977</v>
      </c>
      <c r="B1787" s="8" t="s">
        <v>1960</v>
      </c>
      <c r="C1787" s="6"/>
    </row>
    <row r="1788" spans="1:3" ht="192" x14ac:dyDescent="0.25">
      <c r="A1788" s="6" t="s">
        <v>3978</v>
      </c>
      <c r="B1788" s="8" t="s">
        <v>3725</v>
      </c>
      <c r="C1788" s="6"/>
    </row>
    <row r="1789" spans="1:3" ht="156" x14ac:dyDescent="0.25">
      <c r="A1789" s="6" t="s">
        <v>3979</v>
      </c>
      <c r="B1789" s="8" t="s">
        <v>3726</v>
      </c>
      <c r="C1789" s="6"/>
    </row>
    <row r="1790" spans="1:3" ht="120" x14ac:dyDescent="0.25">
      <c r="A1790" s="6" t="s">
        <v>3980</v>
      </c>
      <c r="B1790" s="8" t="s">
        <v>3727</v>
      </c>
      <c r="C1790" s="6"/>
    </row>
    <row r="1791" spans="1:3" ht="36" x14ac:dyDescent="0.25">
      <c r="A1791" s="6" t="s">
        <v>3981</v>
      </c>
      <c r="B1791" s="8" t="s">
        <v>1960</v>
      </c>
      <c r="C1791" s="6"/>
    </row>
    <row r="1792" spans="1:3" ht="120" x14ac:dyDescent="0.25">
      <c r="A1792" s="6" t="s">
        <v>3982</v>
      </c>
      <c r="B1792" s="8" t="s">
        <v>3728</v>
      </c>
      <c r="C1792" s="6"/>
    </row>
    <row r="1793" spans="1:3" ht="84" x14ac:dyDescent="0.25">
      <c r="A1793" s="6" t="s">
        <v>3983</v>
      </c>
      <c r="B1793" s="8" t="s">
        <v>3729</v>
      </c>
      <c r="C1793" s="6"/>
    </row>
    <row r="1794" spans="1:3" ht="72" x14ac:dyDescent="0.25">
      <c r="A1794" s="6" t="s">
        <v>3984</v>
      </c>
      <c r="B1794" s="8" t="s">
        <v>3730</v>
      </c>
      <c r="C1794" s="6"/>
    </row>
    <row r="1795" spans="1:3" ht="108" x14ac:dyDescent="0.25">
      <c r="A1795" s="6" t="s">
        <v>2132</v>
      </c>
      <c r="B1795" s="8" t="s">
        <v>3036</v>
      </c>
      <c r="C1795" s="6"/>
    </row>
    <row r="1796" spans="1:3" ht="108" x14ac:dyDescent="0.25">
      <c r="A1796" s="6" t="s">
        <v>2133</v>
      </c>
      <c r="B1796" s="8" t="s">
        <v>3037</v>
      </c>
      <c r="C1796" s="6"/>
    </row>
    <row r="1797" spans="1:3" ht="144" x14ac:dyDescent="0.25">
      <c r="A1797" s="6" t="s">
        <v>2134</v>
      </c>
      <c r="B1797" s="8" t="s">
        <v>3038</v>
      </c>
      <c r="C1797" s="6"/>
    </row>
    <row r="1798" spans="1:3" ht="72" x14ac:dyDescent="0.25">
      <c r="A1798" s="6" t="s">
        <v>2135</v>
      </c>
      <c r="B1798" s="8" t="s">
        <v>3039</v>
      </c>
      <c r="C1798" s="6"/>
    </row>
    <row r="1799" spans="1:3" ht="84" x14ac:dyDescent="0.25">
      <c r="A1799" s="6" t="s">
        <v>2136</v>
      </c>
      <c r="B1799" s="8" t="s">
        <v>3040</v>
      </c>
      <c r="C1799" s="6"/>
    </row>
    <row r="1800" spans="1:3" ht="96" x14ac:dyDescent="0.25">
      <c r="A1800" s="6" t="s">
        <v>2137</v>
      </c>
      <c r="B1800" s="8" t="s">
        <v>3041</v>
      </c>
      <c r="C1800" s="6"/>
    </row>
    <row r="1801" spans="1:3" ht="96" x14ac:dyDescent="0.25">
      <c r="A1801" s="6" t="s">
        <v>2138</v>
      </c>
      <c r="B1801" s="8" t="s">
        <v>3042</v>
      </c>
      <c r="C1801" s="6"/>
    </row>
    <row r="1802" spans="1:3" ht="132" x14ac:dyDescent="0.25">
      <c r="A1802" s="6" t="s">
        <v>2139</v>
      </c>
      <c r="B1802" s="8" t="s">
        <v>3043</v>
      </c>
      <c r="C1802" s="6"/>
    </row>
    <row r="1803" spans="1:3" ht="132" x14ac:dyDescent="0.25">
      <c r="A1803" s="6" t="s">
        <v>2140</v>
      </c>
      <c r="B1803" s="8" t="s">
        <v>3044</v>
      </c>
      <c r="C1803" s="6"/>
    </row>
    <row r="1804" spans="1:3" ht="144" x14ac:dyDescent="0.25">
      <c r="A1804" s="6" t="s">
        <v>2141</v>
      </c>
      <c r="B1804" s="8" t="s">
        <v>3045</v>
      </c>
      <c r="C1804" s="6"/>
    </row>
    <row r="1805" spans="1:3" ht="60" x14ac:dyDescent="0.25">
      <c r="A1805" s="6" t="s">
        <v>2142</v>
      </c>
      <c r="B1805" s="8" t="s">
        <v>3046</v>
      </c>
      <c r="C1805" s="6"/>
    </row>
    <row r="1806" spans="1:3" ht="72" x14ac:dyDescent="0.25">
      <c r="A1806" s="6" t="s">
        <v>2143</v>
      </c>
      <c r="B1806" s="8" t="s">
        <v>3047</v>
      </c>
      <c r="C1806" s="6"/>
    </row>
    <row r="1807" spans="1:3" ht="72" x14ac:dyDescent="0.25">
      <c r="A1807" s="6" t="s">
        <v>2144</v>
      </c>
      <c r="B1807" s="8" t="s">
        <v>3048</v>
      </c>
      <c r="C1807" s="6"/>
    </row>
    <row r="1808" spans="1:3" ht="84" x14ac:dyDescent="0.25">
      <c r="A1808" s="6" t="s">
        <v>2145</v>
      </c>
      <c r="B1808" s="8" t="s">
        <v>3049</v>
      </c>
      <c r="C1808" s="6"/>
    </row>
    <row r="1809" spans="1:3" ht="48" x14ac:dyDescent="0.25">
      <c r="A1809" s="6" t="s">
        <v>2146</v>
      </c>
      <c r="B1809" s="8" t="s">
        <v>3050</v>
      </c>
      <c r="C1809" s="6"/>
    </row>
    <row r="1810" spans="1:3" ht="36" x14ac:dyDescent="0.25">
      <c r="A1810" s="6" t="s">
        <v>3051</v>
      </c>
      <c r="B1810" s="8" t="s">
        <v>3052</v>
      </c>
      <c r="C1810" s="6"/>
    </row>
    <row r="1811" spans="1:3" ht="48" x14ac:dyDescent="0.25">
      <c r="A1811" s="6" t="s">
        <v>2147</v>
      </c>
      <c r="B1811" s="8" t="s">
        <v>3053</v>
      </c>
      <c r="C1811" s="6"/>
    </row>
    <row r="1812" spans="1:3" ht="60" x14ac:dyDescent="0.25">
      <c r="A1812" s="6" t="s">
        <v>3985</v>
      </c>
      <c r="B1812" s="8" t="s">
        <v>3054</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1" sqref="B11"/>
    </sheetView>
  </sheetViews>
  <sheetFormatPr defaultRowHeight="15" x14ac:dyDescent="0.25"/>
  <cols>
    <col min="2" max="2" width="3.625" style="52" bestFit="1" customWidth="1"/>
    <col min="3" max="3" width="12.125" bestFit="1" customWidth="1"/>
  </cols>
  <sheetData>
    <row r="2" spans="2:3" x14ac:dyDescent="0.25">
      <c r="B2" s="51" t="s">
        <v>4078</v>
      </c>
      <c r="C2" s="46" t="s">
        <v>1948</v>
      </c>
    </row>
    <row r="3" spans="2:3" x14ac:dyDescent="0.25">
      <c r="B3" s="47" t="s">
        <v>4079</v>
      </c>
      <c r="C3" s="46" t="s">
        <v>4059</v>
      </c>
    </row>
    <row r="4" spans="2:3" x14ac:dyDescent="0.25">
      <c r="B4" s="51" t="s">
        <v>4080</v>
      </c>
      <c r="C4" s="46" t="s">
        <v>4060</v>
      </c>
    </row>
    <row r="5" spans="2:3" x14ac:dyDescent="0.25">
      <c r="B5" s="51" t="s">
        <v>4081</v>
      </c>
      <c r="C5" s="46" t="s">
        <v>4061</v>
      </c>
    </row>
    <row r="6" spans="2:3" x14ac:dyDescent="0.25">
      <c r="B6" s="51" t="s">
        <v>4082</v>
      </c>
      <c r="C6" s="46" t="s">
        <v>4062</v>
      </c>
    </row>
    <row r="7" spans="2:3" x14ac:dyDescent="0.25">
      <c r="B7" s="51" t="s">
        <v>4083</v>
      </c>
      <c r="C7" s="46" t="s">
        <v>4063</v>
      </c>
    </row>
    <row r="8" spans="2:3" x14ac:dyDescent="0.25">
      <c r="B8" s="51" t="s">
        <v>4084</v>
      </c>
      <c r="C8" s="46" t="s">
        <v>4064</v>
      </c>
    </row>
    <row r="9" spans="2:3" x14ac:dyDescent="0.25">
      <c r="B9" s="51" t="s">
        <v>4085</v>
      </c>
      <c r="C9" s="46" t="s">
        <v>4065</v>
      </c>
    </row>
    <row r="10" spans="2:3" x14ac:dyDescent="0.25">
      <c r="B10" s="51" t="s">
        <v>4086</v>
      </c>
      <c r="C10" s="46" t="s">
        <v>4066</v>
      </c>
    </row>
    <row r="11" spans="2:3" x14ac:dyDescent="0.25">
      <c r="B11" s="51" t="s">
        <v>4087</v>
      </c>
      <c r="C11" s="46" t="s">
        <v>4067</v>
      </c>
    </row>
    <row r="12" spans="2:3" x14ac:dyDescent="0.25">
      <c r="B12" s="51" t="s">
        <v>4088</v>
      </c>
      <c r="C12" s="46" t="s">
        <v>4068</v>
      </c>
    </row>
    <row r="13" spans="2:3" x14ac:dyDescent="0.25">
      <c r="B13" s="47" t="s">
        <v>4089</v>
      </c>
      <c r="C13" s="46" t="s">
        <v>4069</v>
      </c>
    </row>
    <row r="14" spans="2:3" x14ac:dyDescent="0.25">
      <c r="B14" s="47" t="s">
        <v>4090</v>
      </c>
      <c r="C14" s="46" t="s">
        <v>4070</v>
      </c>
    </row>
    <row r="15" spans="2:3" x14ac:dyDescent="0.25">
      <c r="B15" s="47" t="s">
        <v>4091</v>
      </c>
      <c r="C15" s="46" t="s">
        <v>4071</v>
      </c>
    </row>
    <row r="16" spans="2:3" x14ac:dyDescent="0.25">
      <c r="B16" s="47" t="s">
        <v>4092</v>
      </c>
      <c r="C16" s="46" t="s">
        <v>4072</v>
      </c>
    </row>
    <row r="17" spans="2:3" x14ac:dyDescent="0.25">
      <c r="B17" s="47" t="s">
        <v>4093</v>
      </c>
      <c r="C17" s="46" t="s">
        <v>4073</v>
      </c>
    </row>
    <row r="18" spans="2:3" x14ac:dyDescent="0.25">
      <c r="B18" s="47" t="s">
        <v>4094</v>
      </c>
      <c r="C18" s="46" t="s">
        <v>4074</v>
      </c>
    </row>
    <row r="19" spans="2:3" x14ac:dyDescent="0.25">
      <c r="B19" s="47" t="s">
        <v>4095</v>
      </c>
      <c r="C19" s="46" t="s">
        <v>4075</v>
      </c>
    </row>
    <row r="20" spans="2:3" x14ac:dyDescent="0.25">
      <c r="B20" s="47" t="s">
        <v>4096</v>
      </c>
      <c r="C20" s="46" t="s">
        <v>4076</v>
      </c>
    </row>
    <row r="21" spans="2:3" x14ac:dyDescent="0.25">
      <c r="B21" s="47" t="s">
        <v>4097</v>
      </c>
      <c r="C21" s="46" t="s">
        <v>3</v>
      </c>
    </row>
    <row r="22" spans="2:3" x14ac:dyDescent="0.25">
      <c r="B22" s="47" t="s">
        <v>4098</v>
      </c>
      <c r="C22" s="46" t="s">
        <v>4077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75" bestFit="1" customWidth="1"/>
    <col min="4" max="4" width="12.125" bestFit="1" customWidth="1"/>
  </cols>
  <sheetData>
    <row r="1" spans="1:4" x14ac:dyDescent="0.25">
      <c r="A1" t="s">
        <v>60</v>
      </c>
      <c r="C1" s="11" t="s">
        <v>1938</v>
      </c>
      <c r="D1" t="s">
        <v>1948</v>
      </c>
    </row>
    <row r="2" spans="1:4" x14ac:dyDescent="0.25">
      <c r="A2" t="s">
        <v>59</v>
      </c>
      <c r="C2" t="s">
        <v>1939</v>
      </c>
      <c r="D2" t="s">
        <v>1949</v>
      </c>
    </row>
    <row r="3" spans="1:4" x14ac:dyDescent="0.25">
      <c r="C3" s="11" t="s">
        <v>1940</v>
      </c>
      <c r="D3" t="s">
        <v>1950</v>
      </c>
    </row>
    <row r="4" spans="1:4" x14ac:dyDescent="0.25">
      <c r="C4" s="11" t="s">
        <v>1941</v>
      </c>
      <c r="D4" t="s">
        <v>1951</v>
      </c>
    </row>
    <row r="5" spans="1:4" x14ac:dyDescent="0.25">
      <c r="C5" s="11" t="s">
        <v>1942</v>
      </c>
      <c r="D5" t="s">
        <v>1952</v>
      </c>
    </row>
    <row r="6" spans="1:4" x14ac:dyDescent="0.25">
      <c r="C6" s="11" t="s">
        <v>1943</v>
      </c>
      <c r="D6" t="s">
        <v>1953</v>
      </c>
    </row>
    <row r="7" spans="1:4" x14ac:dyDescent="0.25">
      <c r="C7" s="11" t="s">
        <v>1944</v>
      </c>
      <c r="D7" t="s">
        <v>1954</v>
      </c>
    </row>
    <row r="8" spans="1:4" x14ac:dyDescent="0.25">
      <c r="C8" s="11" t="s">
        <v>1945</v>
      </c>
      <c r="D8" t="s">
        <v>1955</v>
      </c>
    </row>
    <row r="9" spans="1:4" x14ac:dyDescent="0.25">
      <c r="C9" s="11" t="s">
        <v>1946</v>
      </c>
      <c r="D9" t="s">
        <v>1956</v>
      </c>
    </row>
    <row r="10" spans="1:4" x14ac:dyDescent="0.25">
      <c r="C10" s="11" t="s">
        <v>1947</v>
      </c>
      <c r="D10" t="s">
        <v>1957</v>
      </c>
    </row>
    <row r="11" spans="1:4" x14ac:dyDescent="0.25">
      <c r="C11" s="11" t="s">
        <v>23</v>
      </c>
      <c r="D11" t="s">
        <v>1958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5" customWidth="1"/>
    <col min="4" max="4" width="14.875" customWidth="1"/>
    <col min="6" max="6" width="9.625" customWidth="1"/>
    <col min="8" max="8" width="9.375" customWidth="1"/>
    <col min="10" max="10" width="11.875" customWidth="1"/>
    <col min="12" max="12" width="18.375" customWidth="1"/>
    <col min="14" max="14" width="12.375" customWidth="1"/>
    <col min="16" max="16" width="10.625" customWidth="1"/>
    <col min="18" max="18" width="14.375" customWidth="1"/>
    <col min="19" max="19" width="10.875" customWidth="1"/>
    <col min="20" max="20" width="15.375" customWidth="1"/>
    <col min="22" max="22" width="10.125" customWidth="1"/>
    <col min="23" max="23" width="15.375" customWidth="1"/>
  </cols>
  <sheetData>
    <row r="1" spans="1:23" x14ac:dyDescent="0.25">
      <c r="A1" t="s">
        <v>0</v>
      </c>
      <c r="B1" t="s">
        <v>1</v>
      </c>
      <c r="C1" t="s">
        <v>63</v>
      </c>
      <c r="D1" t="s">
        <v>64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115</v>
      </c>
      <c r="B8" t="s">
        <v>142</v>
      </c>
      <c r="C8" t="s">
        <v>96</v>
      </c>
      <c r="D8">
        <v>9</v>
      </c>
      <c r="E8" t="s">
        <v>106</v>
      </c>
      <c r="G8" t="s">
        <v>34</v>
      </c>
      <c r="J8" t="s">
        <v>93</v>
      </c>
      <c r="K8" t="s">
        <v>26</v>
      </c>
      <c r="L8" t="s">
        <v>26</v>
      </c>
      <c r="M8" t="s">
        <v>26</v>
      </c>
      <c r="N8" t="s">
        <v>26</v>
      </c>
      <c r="O8" t="s">
        <v>26</v>
      </c>
      <c r="P8" t="s">
        <v>26</v>
      </c>
      <c r="Q8" t="s">
        <v>26</v>
      </c>
      <c r="S8">
        <v>3</v>
      </c>
      <c r="T8" t="s">
        <v>26</v>
      </c>
      <c r="U8" t="s">
        <v>108</v>
      </c>
      <c r="V8" t="s">
        <v>110</v>
      </c>
      <c r="W8" t="s">
        <v>1894</v>
      </c>
    </row>
    <row r="9" spans="1:23" x14ac:dyDescent="0.25">
      <c r="A9" t="s">
        <v>115</v>
      </c>
      <c r="B9" t="s">
        <v>141</v>
      </c>
      <c r="C9" t="s">
        <v>96</v>
      </c>
      <c r="D9">
        <v>8</v>
      </c>
      <c r="E9" t="s">
        <v>104</v>
      </c>
      <c r="G9" t="s">
        <v>34</v>
      </c>
      <c r="K9" t="s">
        <v>26</v>
      </c>
      <c r="L9" t="s">
        <v>26</v>
      </c>
      <c r="M9" t="s">
        <v>26</v>
      </c>
      <c r="N9" t="s">
        <v>26</v>
      </c>
      <c r="O9" t="s">
        <v>26</v>
      </c>
      <c r="P9" t="s">
        <v>26</v>
      </c>
      <c r="Q9" t="s">
        <v>26</v>
      </c>
      <c r="S9">
        <v>3</v>
      </c>
      <c r="T9" t="s">
        <v>26</v>
      </c>
      <c r="U9" t="s">
        <v>146</v>
      </c>
      <c r="V9" t="s">
        <v>147</v>
      </c>
      <c r="W9" t="s">
        <v>1894</v>
      </c>
    </row>
    <row r="10" spans="1:23" x14ac:dyDescent="0.25">
      <c r="A10" t="s">
        <v>115</v>
      </c>
      <c r="B10" t="s">
        <v>140</v>
      </c>
      <c r="C10" t="s">
        <v>96</v>
      </c>
      <c r="D10">
        <v>7</v>
      </c>
      <c r="E10" t="s">
        <v>101</v>
      </c>
      <c r="G10" t="s">
        <v>37</v>
      </c>
      <c r="I10" t="s">
        <v>47</v>
      </c>
      <c r="K10" t="s">
        <v>26</v>
      </c>
      <c r="L10" t="s">
        <v>26</v>
      </c>
      <c r="M10">
        <v>4</v>
      </c>
      <c r="N10" t="s">
        <v>26</v>
      </c>
      <c r="O10" t="s">
        <v>26</v>
      </c>
      <c r="P10" t="s">
        <v>26</v>
      </c>
      <c r="Q10" t="s">
        <v>26</v>
      </c>
      <c r="R10">
        <v>6</v>
      </c>
      <c r="S10">
        <v>4</v>
      </c>
      <c r="T10" t="s">
        <v>26</v>
      </c>
      <c r="U10" t="s">
        <v>102</v>
      </c>
      <c r="V10" t="s">
        <v>103</v>
      </c>
      <c r="W10" t="s">
        <v>1894</v>
      </c>
    </row>
    <row r="11" spans="1:23" x14ac:dyDescent="0.25">
      <c r="A11" t="s">
        <v>115</v>
      </c>
      <c r="B11" t="s">
        <v>139</v>
      </c>
      <c r="C11" t="s">
        <v>96</v>
      </c>
      <c r="D11">
        <v>6</v>
      </c>
      <c r="E11" t="s">
        <v>99</v>
      </c>
      <c r="G11" t="s">
        <v>35</v>
      </c>
      <c r="I11" t="s">
        <v>45</v>
      </c>
      <c r="K11" t="s">
        <v>26</v>
      </c>
      <c r="L11">
        <v>34</v>
      </c>
      <c r="M11" t="s">
        <v>38</v>
      </c>
      <c r="N11" t="s">
        <v>26</v>
      </c>
      <c r="O11" t="s">
        <v>38</v>
      </c>
      <c r="P11">
        <v>3</v>
      </c>
      <c r="Q11">
        <v>5</v>
      </c>
      <c r="S11">
        <v>3</v>
      </c>
      <c r="T11" t="s">
        <v>26</v>
      </c>
      <c r="U11" t="s">
        <v>100</v>
      </c>
      <c r="V11" t="s">
        <v>148</v>
      </c>
      <c r="W11" t="s">
        <v>1894</v>
      </c>
    </row>
    <row r="12" spans="1:23" x14ac:dyDescent="0.25">
      <c r="A12" t="s">
        <v>115</v>
      </c>
      <c r="B12" t="s">
        <v>138</v>
      </c>
      <c r="C12" t="s">
        <v>96</v>
      </c>
      <c r="D12">
        <v>5</v>
      </c>
      <c r="E12" t="s">
        <v>97</v>
      </c>
      <c r="G12" t="s">
        <v>35</v>
      </c>
      <c r="I12" t="s">
        <v>41</v>
      </c>
      <c r="J12" t="s">
        <v>40</v>
      </c>
      <c r="K12" t="s">
        <v>26</v>
      </c>
      <c r="L12">
        <v>10</v>
      </c>
      <c r="M12">
        <v>1</v>
      </c>
      <c r="N12" t="s">
        <v>26</v>
      </c>
      <c r="O12">
        <v>3</v>
      </c>
      <c r="P12">
        <v>1</v>
      </c>
      <c r="Q12">
        <v>6</v>
      </c>
      <c r="S12">
        <v>3</v>
      </c>
      <c r="T12" t="s">
        <v>26</v>
      </c>
      <c r="U12" t="s">
        <v>98</v>
      </c>
      <c r="W12" t="s">
        <v>1894</v>
      </c>
    </row>
    <row r="13" spans="1:23" x14ac:dyDescent="0.25">
      <c r="A13" t="s">
        <v>115</v>
      </c>
      <c r="B13" t="s">
        <v>137</v>
      </c>
      <c r="C13" t="s">
        <v>96</v>
      </c>
      <c r="D13">
        <v>4</v>
      </c>
      <c r="E13" t="s">
        <v>53</v>
      </c>
      <c r="G13" t="s">
        <v>39</v>
      </c>
      <c r="K13" t="s">
        <v>26</v>
      </c>
      <c r="L13" t="s">
        <v>26</v>
      </c>
      <c r="M13" t="s">
        <v>26</v>
      </c>
      <c r="N13" t="s">
        <v>26</v>
      </c>
      <c r="O13" t="s">
        <v>26</v>
      </c>
      <c r="P13" t="s">
        <v>26</v>
      </c>
      <c r="Q13" t="s">
        <v>26</v>
      </c>
      <c r="R13">
        <v>1</v>
      </c>
      <c r="S13">
        <v>1</v>
      </c>
      <c r="T13" t="s">
        <v>26</v>
      </c>
      <c r="U13" t="s">
        <v>54</v>
      </c>
      <c r="W13" t="s">
        <v>1894</v>
      </c>
    </row>
    <row r="14" spans="1:23" x14ac:dyDescent="0.25">
      <c r="A14" t="s">
        <v>115</v>
      </c>
      <c r="B14" t="s">
        <v>136</v>
      </c>
      <c r="C14" t="s">
        <v>96</v>
      </c>
      <c r="D14">
        <v>3</v>
      </c>
      <c r="E14" t="s">
        <v>53</v>
      </c>
      <c r="G14" t="s">
        <v>39</v>
      </c>
      <c r="K14" t="s">
        <v>26</v>
      </c>
      <c r="L14" t="s">
        <v>26</v>
      </c>
      <c r="M14" t="s">
        <v>26</v>
      </c>
      <c r="N14" t="s">
        <v>26</v>
      </c>
      <c r="O14" t="s">
        <v>26</v>
      </c>
      <c r="P14" t="s">
        <v>26</v>
      </c>
      <c r="Q14" t="s">
        <v>26</v>
      </c>
      <c r="R14" t="s">
        <v>44</v>
      </c>
      <c r="S14">
        <v>1</v>
      </c>
      <c r="T14" t="s">
        <v>26</v>
      </c>
      <c r="U14" t="s">
        <v>54</v>
      </c>
      <c r="W14" t="s">
        <v>1894</v>
      </c>
    </row>
    <row r="15" spans="1:23" x14ac:dyDescent="0.25">
      <c r="A15" t="s">
        <v>115</v>
      </c>
      <c r="B15" t="s">
        <v>135</v>
      </c>
      <c r="C15" t="s">
        <v>96</v>
      </c>
      <c r="D15">
        <v>2</v>
      </c>
      <c r="E15" t="s">
        <v>53</v>
      </c>
      <c r="G15" t="s">
        <v>39</v>
      </c>
      <c r="K15" t="s">
        <v>26</v>
      </c>
      <c r="L15" t="s">
        <v>26</v>
      </c>
      <c r="M15" t="s">
        <v>26</v>
      </c>
      <c r="N15" t="s">
        <v>26</v>
      </c>
      <c r="O15" t="s">
        <v>26</v>
      </c>
      <c r="P15" t="s">
        <v>26</v>
      </c>
      <c r="Q15" t="s">
        <v>26</v>
      </c>
      <c r="R15">
        <v>5</v>
      </c>
      <c r="S15">
        <v>1</v>
      </c>
      <c r="T15" t="s">
        <v>26</v>
      </c>
      <c r="U15" t="s">
        <v>54</v>
      </c>
      <c r="W15" t="s">
        <v>1894</v>
      </c>
    </row>
    <row r="16" spans="1:23" ht="409.5" x14ac:dyDescent="0.25">
      <c r="A16" t="s">
        <v>115</v>
      </c>
      <c r="B16" t="s">
        <v>134</v>
      </c>
      <c r="C16" t="s">
        <v>96</v>
      </c>
      <c r="D16">
        <v>1</v>
      </c>
      <c r="E16" t="s">
        <v>49</v>
      </c>
      <c r="G16" t="s">
        <v>43</v>
      </c>
      <c r="K16" t="s">
        <v>26</v>
      </c>
      <c r="L16" t="s">
        <v>26</v>
      </c>
      <c r="M16" t="s">
        <v>26</v>
      </c>
      <c r="N16" t="s">
        <v>26</v>
      </c>
      <c r="O16" t="s">
        <v>26</v>
      </c>
      <c r="P16" t="s">
        <v>26</v>
      </c>
      <c r="Q16" t="s">
        <v>26</v>
      </c>
      <c r="S16">
        <v>1</v>
      </c>
      <c r="T16" t="s">
        <v>26</v>
      </c>
      <c r="U16" s="31" t="s">
        <v>114</v>
      </c>
      <c r="W16" t="s">
        <v>1894</v>
      </c>
    </row>
    <row r="17" spans="1:23" x14ac:dyDescent="0.25">
      <c r="A17" t="s">
        <v>115</v>
      </c>
      <c r="B17" t="s">
        <v>133</v>
      </c>
      <c r="C17" t="s">
        <v>77</v>
      </c>
      <c r="D17">
        <v>10</v>
      </c>
      <c r="E17" t="s">
        <v>94</v>
      </c>
      <c r="G17" t="s">
        <v>34</v>
      </c>
      <c r="K17" t="s">
        <v>26</v>
      </c>
      <c r="L17" t="s">
        <v>26</v>
      </c>
      <c r="M17" t="s">
        <v>26</v>
      </c>
      <c r="N17" t="s">
        <v>26</v>
      </c>
      <c r="O17" t="s">
        <v>26</v>
      </c>
      <c r="P17" t="s">
        <v>26</v>
      </c>
      <c r="Q17" t="s">
        <v>26</v>
      </c>
      <c r="S17">
        <v>2</v>
      </c>
      <c r="T17" t="s">
        <v>26</v>
      </c>
      <c r="U17" t="s">
        <v>95</v>
      </c>
      <c r="W17" t="s">
        <v>1896</v>
      </c>
    </row>
    <row r="18" spans="1:23" x14ac:dyDescent="0.25">
      <c r="A18" t="s">
        <v>115</v>
      </c>
      <c r="B18" t="s">
        <v>132</v>
      </c>
      <c r="C18" t="s">
        <v>77</v>
      </c>
      <c r="D18">
        <v>9</v>
      </c>
      <c r="E18" t="s">
        <v>91</v>
      </c>
      <c r="G18" t="s">
        <v>34</v>
      </c>
      <c r="J18" t="s">
        <v>93</v>
      </c>
      <c r="K18" t="s">
        <v>26</v>
      </c>
      <c r="L18" t="s">
        <v>26</v>
      </c>
      <c r="M18" t="s">
        <v>26</v>
      </c>
      <c r="N18" t="s">
        <v>26</v>
      </c>
      <c r="O18" t="s">
        <v>26</v>
      </c>
      <c r="P18" t="s">
        <v>26</v>
      </c>
      <c r="Q18" t="s">
        <v>26</v>
      </c>
      <c r="S18">
        <v>3</v>
      </c>
      <c r="T18" t="s">
        <v>26</v>
      </c>
      <c r="U18" t="s">
        <v>92</v>
      </c>
      <c r="V18" t="s">
        <v>87</v>
      </c>
      <c r="W18" t="s">
        <v>1896</v>
      </c>
    </row>
    <row r="19" spans="1:23" ht="315" x14ac:dyDescent="0.25">
      <c r="A19" t="s">
        <v>115</v>
      </c>
      <c r="B19" t="s">
        <v>131</v>
      </c>
      <c r="C19" t="s">
        <v>77</v>
      </c>
      <c r="D19">
        <v>8</v>
      </c>
      <c r="E19" t="s">
        <v>90</v>
      </c>
      <c r="G19" t="s">
        <v>37</v>
      </c>
      <c r="I19" t="s">
        <v>46</v>
      </c>
      <c r="K19" t="s">
        <v>26</v>
      </c>
      <c r="L19" t="s">
        <v>26</v>
      </c>
      <c r="M19">
        <v>4</v>
      </c>
      <c r="N19" t="s">
        <v>26</v>
      </c>
      <c r="O19" t="s">
        <v>26</v>
      </c>
      <c r="P19" t="s">
        <v>26</v>
      </c>
      <c r="Q19" t="s">
        <v>26</v>
      </c>
      <c r="R19">
        <v>4</v>
      </c>
      <c r="S19">
        <v>2</v>
      </c>
      <c r="T19" t="s">
        <v>26</v>
      </c>
      <c r="U19" s="31" t="s">
        <v>1893</v>
      </c>
      <c r="W19" t="s">
        <v>1896</v>
      </c>
    </row>
    <row r="20" spans="1:23" x14ac:dyDescent="0.25">
      <c r="A20" t="s">
        <v>115</v>
      </c>
      <c r="B20" t="s">
        <v>130</v>
      </c>
      <c r="C20" t="s">
        <v>77</v>
      </c>
      <c r="D20">
        <v>7</v>
      </c>
      <c r="E20" t="s">
        <v>88</v>
      </c>
      <c r="G20" t="s">
        <v>37</v>
      </c>
      <c r="I20" t="s">
        <v>46</v>
      </c>
      <c r="K20" t="s">
        <v>26</v>
      </c>
      <c r="L20" t="s">
        <v>26</v>
      </c>
      <c r="M20">
        <v>2</v>
      </c>
      <c r="N20" t="s">
        <v>26</v>
      </c>
      <c r="O20" t="s">
        <v>26</v>
      </c>
      <c r="P20" t="s">
        <v>26</v>
      </c>
      <c r="Q20" t="s">
        <v>26</v>
      </c>
      <c r="R20">
        <v>6</v>
      </c>
      <c r="S20">
        <v>3</v>
      </c>
      <c r="T20" t="s">
        <v>26</v>
      </c>
      <c r="U20" t="s">
        <v>89</v>
      </c>
      <c r="V20" t="s">
        <v>149</v>
      </c>
      <c r="W20" t="s">
        <v>1896</v>
      </c>
    </row>
    <row r="21" spans="1:23" x14ac:dyDescent="0.25">
      <c r="A21" t="s">
        <v>115</v>
      </c>
      <c r="B21" t="s">
        <v>129</v>
      </c>
      <c r="C21" t="s">
        <v>77</v>
      </c>
      <c r="D21">
        <v>6</v>
      </c>
      <c r="E21" t="s">
        <v>85</v>
      </c>
      <c r="G21" t="s">
        <v>35</v>
      </c>
      <c r="I21" t="s">
        <v>41</v>
      </c>
      <c r="K21" t="s">
        <v>26</v>
      </c>
      <c r="L21">
        <v>36</v>
      </c>
      <c r="M21">
        <v>3</v>
      </c>
      <c r="N21" t="s">
        <v>26</v>
      </c>
      <c r="O21">
        <v>2</v>
      </c>
      <c r="P21">
        <v>1</v>
      </c>
      <c r="Q21">
        <v>4</v>
      </c>
      <c r="S21">
        <v>2</v>
      </c>
      <c r="T21" t="s">
        <v>26</v>
      </c>
      <c r="U21" t="s">
        <v>86</v>
      </c>
      <c r="V21" t="s">
        <v>87</v>
      </c>
      <c r="W21" t="s">
        <v>1896</v>
      </c>
    </row>
    <row r="22" spans="1:23" x14ac:dyDescent="0.25">
      <c r="A22" t="s">
        <v>115</v>
      </c>
      <c r="B22" t="s">
        <v>128</v>
      </c>
      <c r="C22" t="s">
        <v>77</v>
      </c>
      <c r="D22">
        <v>5</v>
      </c>
      <c r="E22" t="s">
        <v>83</v>
      </c>
      <c r="G22" t="s">
        <v>35</v>
      </c>
      <c r="I22" t="s">
        <v>41</v>
      </c>
      <c r="K22" t="s">
        <v>26</v>
      </c>
      <c r="L22">
        <v>15</v>
      </c>
      <c r="M22">
        <v>2</v>
      </c>
      <c r="N22" t="s">
        <v>26</v>
      </c>
      <c r="O22">
        <v>4</v>
      </c>
      <c r="P22">
        <v>2</v>
      </c>
      <c r="Q22">
        <v>3</v>
      </c>
      <c r="S22">
        <v>3</v>
      </c>
      <c r="T22" t="s">
        <v>26</v>
      </c>
      <c r="U22" t="s">
        <v>145</v>
      </c>
      <c r="V22" t="s">
        <v>84</v>
      </c>
      <c r="W22" t="s">
        <v>1896</v>
      </c>
    </row>
    <row r="23" spans="1:23" ht="409.5" x14ac:dyDescent="0.25">
      <c r="A23" t="s">
        <v>115</v>
      </c>
      <c r="B23" t="s">
        <v>127</v>
      </c>
      <c r="C23" t="s">
        <v>77</v>
      </c>
      <c r="D23">
        <v>4</v>
      </c>
      <c r="E23" t="s">
        <v>81</v>
      </c>
      <c r="G23" t="s">
        <v>35</v>
      </c>
      <c r="I23" t="s">
        <v>48</v>
      </c>
      <c r="K23" t="s">
        <v>26</v>
      </c>
      <c r="L23">
        <v>44</v>
      </c>
      <c r="M23">
        <v>1</v>
      </c>
      <c r="N23" t="s">
        <v>26</v>
      </c>
      <c r="O23">
        <v>4</v>
      </c>
      <c r="P23">
        <v>4</v>
      </c>
      <c r="Q23">
        <v>6</v>
      </c>
      <c r="S23">
        <v>2</v>
      </c>
      <c r="T23" t="s">
        <v>26</v>
      </c>
      <c r="U23" s="31" t="s">
        <v>82</v>
      </c>
      <c r="W23" t="s">
        <v>1896</v>
      </c>
    </row>
    <row r="24" spans="1:23" ht="360" x14ac:dyDescent="0.25">
      <c r="A24" t="s">
        <v>115</v>
      </c>
      <c r="B24" t="s">
        <v>126</v>
      </c>
      <c r="C24" t="s">
        <v>77</v>
      </c>
      <c r="D24">
        <v>3</v>
      </c>
      <c r="E24" t="s">
        <v>79</v>
      </c>
      <c r="F24" t="s">
        <v>23</v>
      </c>
      <c r="G24" t="s">
        <v>37</v>
      </c>
      <c r="I24" t="s">
        <v>46</v>
      </c>
      <c r="K24" t="s">
        <v>26</v>
      </c>
      <c r="L24" t="s">
        <v>26</v>
      </c>
      <c r="M24">
        <v>5</v>
      </c>
      <c r="N24" t="s">
        <v>26</v>
      </c>
      <c r="O24" t="s">
        <v>26</v>
      </c>
      <c r="P24" t="s">
        <v>26</v>
      </c>
      <c r="Q24" t="s">
        <v>26</v>
      </c>
      <c r="R24">
        <v>8</v>
      </c>
      <c r="S24">
        <v>1</v>
      </c>
      <c r="T24">
        <v>5</v>
      </c>
      <c r="U24" s="31" t="s">
        <v>80</v>
      </c>
      <c r="W24" t="s">
        <v>1896</v>
      </c>
    </row>
    <row r="25" spans="1:23" ht="390" x14ac:dyDescent="0.25">
      <c r="A25" t="s">
        <v>115</v>
      </c>
      <c r="B25" t="s">
        <v>125</v>
      </c>
      <c r="C25" t="s">
        <v>77</v>
      </c>
      <c r="D25">
        <v>2</v>
      </c>
      <c r="E25" t="s">
        <v>78</v>
      </c>
      <c r="F25" t="s">
        <v>23</v>
      </c>
      <c r="G25" t="s">
        <v>35</v>
      </c>
      <c r="I25" t="s">
        <v>48</v>
      </c>
      <c r="K25" t="s">
        <v>26</v>
      </c>
      <c r="L25">
        <v>20</v>
      </c>
      <c r="M25">
        <v>3</v>
      </c>
      <c r="N25" t="s">
        <v>26</v>
      </c>
      <c r="O25">
        <v>3</v>
      </c>
      <c r="P25">
        <v>3</v>
      </c>
      <c r="Q25">
        <v>12</v>
      </c>
      <c r="S25">
        <v>1</v>
      </c>
      <c r="T25">
        <v>5</v>
      </c>
      <c r="U25" s="31" t="s">
        <v>144</v>
      </c>
      <c r="W25" t="s">
        <v>1896</v>
      </c>
    </row>
    <row r="26" spans="1:23" ht="409.5" x14ac:dyDescent="0.25">
      <c r="A26" t="s">
        <v>115</v>
      </c>
      <c r="B26" t="s">
        <v>124</v>
      </c>
      <c r="C26" t="s">
        <v>77</v>
      </c>
      <c r="D26">
        <v>1</v>
      </c>
      <c r="E26" t="s">
        <v>51</v>
      </c>
      <c r="G26" t="s">
        <v>43</v>
      </c>
      <c r="K26" t="s">
        <v>26</v>
      </c>
      <c r="L26" t="s">
        <v>26</v>
      </c>
      <c r="M26" t="s">
        <v>26</v>
      </c>
      <c r="N26" t="s">
        <v>26</v>
      </c>
      <c r="O26" t="s">
        <v>26</v>
      </c>
      <c r="P26" t="s">
        <v>26</v>
      </c>
      <c r="Q26" t="s">
        <v>26</v>
      </c>
      <c r="S26">
        <v>1</v>
      </c>
      <c r="T26" t="s">
        <v>26</v>
      </c>
      <c r="U26" s="31" t="s">
        <v>113</v>
      </c>
      <c r="W26" t="s">
        <v>1896</v>
      </c>
    </row>
    <row r="27" spans="1:23" x14ac:dyDescent="0.25">
      <c r="A27" t="s">
        <v>115</v>
      </c>
      <c r="B27" t="s">
        <v>123</v>
      </c>
      <c r="C27" t="s">
        <v>66</v>
      </c>
      <c r="D27">
        <v>8</v>
      </c>
      <c r="E27" t="s">
        <v>75</v>
      </c>
      <c r="G27" t="s">
        <v>34</v>
      </c>
      <c r="J27" t="s">
        <v>40</v>
      </c>
      <c r="K27" t="s">
        <v>26</v>
      </c>
      <c r="L27" t="s">
        <v>26</v>
      </c>
      <c r="M27" t="s">
        <v>26</v>
      </c>
      <c r="N27" t="s">
        <v>26</v>
      </c>
      <c r="O27" t="s">
        <v>26</v>
      </c>
      <c r="P27" t="s">
        <v>26</v>
      </c>
      <c r="Q27" t="s">
        <v>26</v>
      </c>
      <c r="S27">
        <v>3</v>
      </c>
      <c r="T27" t="s">
        <v>26</v>
      </c>
      <c r="U27" t="s">
        <v>76</v>
      </c>
      <c r="V27" t="s">
        <v>150</v>
      </c>
      <c r="W27" t="s">
        <v>1895</v>
      </c>
    </row>
    <row r="28" spans="1:23" ht="210" x14ac:dyDescent="0.25">
      <c r="A28" t="s">
        <v>115</v>
      </c>
      <c r="B28" t="s">
        <v>122</v>
      </c>
      <c r="C28" t="s">
        <v>66</v>
      </c>
      <c r="D28">
        <v>7</v>
      </c>
      <c r="E28" t="s">
        <v>73</v>
      </c>
      <c r="G28" t="s">
        <v>37</v>
      </c>
      <c r="I28" t="s">
        <v>52</v>
      </c>
      <c r="J28" t="s">
        <v>42</v>
      </c>
      <c r="K28" t="s">
        <v>26</v>
      </c>
      <c r="L28" t="s">
        <v>26</v>
      </c>
      <c r="M28">
        <v>3</v>
      </c>
      <c r="N28" t="s">
        <v>26</v>
      </c>
      <c r="O28" t="s">
        <v>26</v>
      </c>
      <c r="P28" t="s">
        <v>26</v>
      </c>
      <c r="Q28" t="s">
        <v>26</v>
      </c>
      <c r="R28">
        <v>1</v>
      </c>
      <c r="S28">
        <v>3</v>
      </c>
      <c r="T28" t="s">
        <v>26</v>
      </c>
      <c r="U28" s="31" t="s">
        <v>74</v>
      </c>
      <c r="W28" t="s">
        <v>1895</v>
      </c>
    </row>
    <row r="29" spans="1:23" ht="210" x14ac:dyDescent="0.25">
      <c r="A29" t="s">
        <v>115</v>
      </c>
      <c r="B29" t="s">
        <v>121</v>
      </c>
      <c r="C29" t="s">
        <v>66</v>
      </c>
      <c r="D29">
        <v>6</v>
      </c>
      <c r="E29" t="s">
        <v>71</v>
      </c>
      <c r="G29" t="s">
        <v>37</v>
      </c>
      <c r="I29" t="s">
        <v>47</v>
      </c>
      <c r="K29" t="s">
        <v>26</v>
      </c>
      <c r="L29" t="s">
        <v>26</v>
      </c>
      <c r="M29" t="s">
        <v>38</v>
      </c>
      <c r="N29" t="s">
        <v>26</v>
      </c>
      <c r="O29" t="s">
        <v>26</v>
      </c>
      <c r="P29" t="s">
        <v>26</v>
      </c>
      <c r="Q29" t="s">
        <v>26</v>
      </c>
      <c r="R29" t="s">
        <v>38</v>
      </c>
      <c r="S29">
        <v>3</v>
      </c>
      <c r="T29" t="s">
        <v>26</v>
      </c>
      <c r="U29" s="31" t="s">
        <v>72</v>
      </c>
      <c r="V29" t="s">
        <v>152</v>
      </c>
      <c r="W29" t="s">
        <v>1895</v>
      </c>
    </row>
    <row r="30" spans="1:23" x14ac:dyDescent="0.25">
      <c r="A30" t="s">
        <v>115</v>
      </c>
      <c r="B30" t="s">
        <v>120</v>
      </c>
      <c r="C30" t="s">
        <v>66</v>
      </c>
      <c r="D30">
        <v>5</v>
      </c>
      <c r="E30" t="s">
        <v>68</v>
      </c>
      <c r="G30" t="s">
        <v>35</v>
      </c>
      <c r="I30" t="s">
        <v>36</v>
      </c>
      <c r="J30" t="s">
        <v>40</v>
      </c>
      <c r="K30" t="s">
        <v>26</v>
      </c>
      <c r="L30">
        <v>0</v>
      </c>
      <c r="M30">
        <v>1</v>
      </c>
      <c r="N30" t="s">
        <v>26</v>
      </c>
      <c r="O30">
        <v>7</v>
      </c>
      <c r="P30">
        <v>7</v>
      </c>
      <c r="Q30">
        <v>8</v>
      </c>
      <c r="S30">
        <v>2</v>
      </c>
      <c r="T30" t="s">
        <v>26</v>
      </c>
      <c r="U30" t="s">
        <v>69</v>
      </c>
      <c r="V30" t="s">
        <v>70</v>
      </c>
      <c r="W30" t="s">
        <v>1895</v>
      </c>
    </row>
    <row r="31" spans="1:23" ht="210" x14ac:dyDescent="0.25">
      <c r="A31" t="s">
        <v>115</v>
      </c>
      <c r="B31" t="s">
        <v>119</v>
      </c>
      <c r="C31" t="s">
        <v>66</v>
      </c>
      <c r="D31">
        <v>4</v>
      </c>
      <c r="E31" t="s">
        <v>67</v>
      </c>
      <c r="G31" t="s">
        <v>35</v>
      </c>
      <c r="I31" t="s">
        <v>41</v>
      </c>
      <c r="K31" t="s">
        <v>26</v>
      </c>
      <c r="L31">
        <v>50</v>
      </c>
      <c r="M31">
        <v>3</v>
      </c>
      <c r="N31" t="s">
        <v>26</v>
      </c>
      <c r="O31">
        <v>2</v>
      </c>
      <c r="P31">
        <v>2</v>
      </c>
      <c r="Q31">
        <v>4</v>
      </c>
      <c r="S31">
        <v>3</v>
      </c>
      <c r="T31" t="s">
        <v>26</v>
      </c>
      <c r="U31" s="31" t="s">
        <v>143</v>
      </c>
      <c r="V31" t="s">
        <v>151</v>
      </c>
      <c r="W31" t="s">
        <v>1895</v>
      </c>
    </row>
    <row r="32" spans="1:23" x14ac:dyDescent="0.25">
      <c r="A32" t="s">
        <v>115</v>
      </c>
      <c r="B32" t="s">
        <v>118</v>
      </c>
      <c r="C32" t="s">
        <v>66</v>
      </c>
      <c r="D32">
        <v>3</v>
      </c>
      <c r="E32" t="s">
        <v>105</v>
      </c>
      <c r="G32" t="s">
        <v>35</v>
      </c>
      <c r="I32" t="s">
        <v>41</v>
      </c>
      <c r="K32" t="s">
        <v>26</v>
      </c>
      <c r="L32">
        <v>20</v>
      </c>
      <c r="M32">
        <v>1</v>
      </c>
      <c r="N32" t="s">
        <v>26</v>
      </c>
      <c r="O32">
        <v>4</v>
      </c>
      <c r="P32">
        <v>3</v>
      </c>
      <c r="Q32">
        <v>5</v>
      </c>
      <c r="S32">
        <v>4</v>
      </c>
      <c r="T32" t="s">
        <v>26</v>
      </c>
      <c r="U32" t="s">
        <v>107</v>
      </c>
      <c r="V32" t="s">
        <v>109</v>
      </c>
      <c r="W32" t="s">
        <v>1895</v>
      </c>
    </row>
    <row r="33" spans="1:23" x14ac:dyDescent="0.25">
      <c r="A33" t="s">
        <v>115</v>
      </c>
      <c r="B33" t="s">
        <v>117</v>
      </c>
      <c r="C33" t="s">
        <v>66</v>
      </c>
      <c r="D33">
        <v>2</v>
      </c>
      <c r="E33" t="s">
        <v>1892</v>
      </c>
      <c r="G33" t="s">
        <v>39</v>
      </c>
      <c r="K33" t="s">
        <v>26</v>
      </c>
      <c r="L33" t="s">
        <v>26</v>
      </c>
      <c r="M33" t="s">
        <v>26</v>
      </c>
      <c r="N33" t="s">
        <v>26</v>
      </c>
      <c r="O33" t="s">
        <v>26</v>
      </c>
      <c r="P33" t="s">
        <v>26</v>
      </c>
      <c r="Q33" t="s">
        <v>26</v>
      </c>
      <c r="R33" t="s">
        <v>38</v>
      </c>
      <c r="S33">
        <v>1</v>
      </c>
      <c r="T33" t="s">
        <v>26</v>
      </c>
      <c r="U33" t="s">
        <v>112</v>
      </c>
      <c r="W33" t="s">
        <v>1895</v>
      </c>
    </row>
    <row r="34" spans="1:23" ht="409.5" x14ac:dyDescent="0.25">
      <c r="A34" t="s">
        <v>115</v>
      </c>
      <c r="B34" t="s">
        <v>116</v>
      </c>
      <c r="C34" t="s">
        <v>66</v>
      </c>
      <c r="D34">
        <v>1</v>
      </c>
      <c r="E34" t="s">
        <v>50</v>
      </c>
      <c r="G34" t="s">
        <v>43</v>
      </c>
      <c r="K34" t="s">
        <v>26</v>
      </c>
      <c r="L34" t="s">
        <v>26</v>
      </c>
      <c r="M34" t="s">
        <v>26</v>
      </c>
      <c r="N34" t="s">
        <v>26</v>
      </c>
      <c r="O34" t="s">
        <v>26</v>
      </c>
      <c r="P34" t="s">
        <v>26</v>
      </c>
      <c r="Q34" t="s">
        <v>26</v>
      </c>
      <c r="S34">
        <v>1</v>
      </c>
      <c r="T34" t="s">
        <v>26</v>
      </c>
      <c r="U34" s="31" t="s">
        <v>111</v>
      </c>
      <c r="W34" t="s">
        <v>1895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2016-10-09T08:53:35Z</dcterms:modified>
</cp:coreProperties>
</file>