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45" windowWidth="20445" windowHeight="817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workbook>
</file>

<file path=xl/calcChain.xml><?xml version="1.0" encoding="utf-8"?>
<calcChain xmlns="http://schemas.openxmlformats.org/spreadsheetml/2006/main">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<sst xmlns="http://schemas.openxmlformats.org/spreadsheetml/2006/main" count="10365" uniqueCount="6239">
  <si>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</si>
  <si>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</si>
  <si>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</si>
  <si>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</si>
  <si>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</si>
  <si>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</si>
  <si>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</si>
  <si>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</si>
  <si>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</si>
  <si>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</si>
  <si>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</si>
  <si>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</si>
  <si>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</si>
  <si>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</si>
  <si>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</si>
  <si>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</si>
  <si>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</si>
  <si>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</si>
  <si>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</si>
  <si>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</si>
  <si>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</si>
  <si>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</si>
  <si>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</si>
  <si>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</si>
  <si>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</si>
  <si>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</si>
  <si>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</si>
  <si>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</si>
  <si>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</si>
  <si>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</si>
  <si>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</si>
  <si>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</si>
  <si>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</si>
  <si>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</si>
  <si>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</si>
  <si>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</si>
  <si>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</si>
  <si>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</si>
  <si>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</si>
  <si>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</si>
  <si>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</si>
  <si>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</si>
  <si>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</si>
  <si>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</si>
  <si>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</si>
  <si>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</si>
  <si>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</si>
  <si>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</si>
  <si>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</si>
  <si>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</si>
  <si>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</si>
  <si>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</si>
  <si>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</si>
  <si>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</si>
  <si>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</si>
  <si>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</si>
  <si>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</si>
  <si>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</si>
  <si>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</si>
  <si>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</si>
  <si>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</si>
  <si>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</si>
  <si>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</si>
  <si>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</si>
  <si>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</si>
  <si>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</si>
  <si>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</si>
  <si>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</si>
  <si>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</si>
  <si>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</si>
  <si>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</si>
  <si>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</si>
  <si>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</si>
  <si>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</si>
  <si>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</si>
  <si>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</si>
  <si>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</si>
  <si>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</si>
  <si>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</si>
  <si>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</si>
  <si>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</si>
  <si>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</si>
  <si>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</si>
  <si>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</si>
  <si>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</si>
  <si>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</si>
  <si>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</si>
  <si>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</si>
  <si>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</si>
  <si>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</si>
  <si>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</si>
  <si>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</si>
  <si>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</si>
  <si>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</si>
  <si>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</si>
  <si>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</si>
  <si>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</si>
  <si>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</si>
  <si>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</si>
  <si>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</si>
  <si>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</si>
  <si>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</si>
  <si>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</si>
  <si>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</si>
  <si>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</si>
  <si>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</si>
  <si>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</si>
  <si>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</si>
  <si>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</si>
  <si>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</si>
  <si>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</si>
  <si>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</si>
  <si>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</si>
  <si>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</si>
  <si>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</si>
  <si>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</si>
  <si>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</si>
  <si>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</si>
  <si>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</si>
  <si>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</si>
  <si>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</si>
  <si>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</si>
  <si>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</si>
  <si>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</si>
  <si>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</si>
  <si>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</si>
  <si>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</si>
  <si>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</si>
  <si>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</si>
  <si>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</si>
  <si>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</si>
  <si>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</si>
  <si>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</si>
  <si>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</si>
  <si>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</si>
  <si>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</si>
  <si>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</si>
  <si>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</si>
  <si>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</si>
  <si>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</si>
  <si>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</si>
  <si>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</si>
  <si>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</si>
  <si>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</si>
  <si>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</si>
  <si>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</si>
  <si>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</si>
  <si>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</si>
  <si>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</si>
  <si>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</si>
  <si>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</si>
  <si>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</si>
  <si>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</si>
  <si>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</si>
  <si>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</si>
  <si>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</si>
  <si>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</si>
  <si>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</si>
  <si>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</si>
  <si>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</si>
  <si>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</si>
  <si>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</si>
  <si>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</si>
  <si>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</si>
  <si>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</si>
  <si>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</si>
  <si>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</si>
  <si>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</si>
  <si>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</si>
  <si>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</si>
  <si>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</si>
  <si>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</si>
  <si>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</si>
  <si>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</si>
  <si>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</si>
  <si>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</si>
  <si>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</si>
  <si>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</si>
  <si>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</si>
  <si>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</si>
  <si>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</si>
  <si>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</si>
  <si>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</si>
  <si>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</si>
  <si>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</si>
  <si>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</si>
  <si>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</si>
  <si>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</si>
  <si>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</si>
  <si>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</si>
  <si>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</si>
  <si>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</si>
  <si>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</si>
  <si>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</si>
  <si>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</si>
  <si>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</si>
  <si>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</si>
  <si>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</si>
  <si>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</si>
  <si>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</si>
  <si>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</si>
  <si>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</si>
  <si>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</si>
  <si>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</si>
  <si>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</si>
  <si>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</si>
  <si>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</si>
  <si>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</si>
  <si>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</si>
  <si>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</si>
  <si>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</si>
  <si>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</si>
  <si>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</si>
  <si>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</si>
  <si>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</si>
  <si>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</si>
  <si>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</si>
  <si>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</si>
  <si>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</si>
  <si>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</si>
  <si>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</si>
  <si>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</si>
  <si>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</si>
  <si>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</si>
  <si>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</si>
  <si>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</si>
  <si>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</si>
  <si>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</si>
  <si>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</si>
  <si>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</si>
  <si>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</si>
  <si>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</si>
  <si>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</si>
  <si>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</si>
  <si>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</si>
  <si>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</si>
  <si>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</si>
  <si>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</si>
  <si>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</si>
  <si>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</si>
  <si>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</si>
  <si>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</si>
  <si>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</si>
  <si>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</si>
  <si>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</si>
  <si>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</si>
  <si>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</si>
  <si>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</si>
  <si>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</si>
  <si>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</si>
  <si>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</si>
  <si>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</si>
  <si>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</si>
  <si>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</si>
  <si>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</si>
  <si>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</si>
  <si>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</si>
  <si>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</si>
  <si>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</si>
  <si>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</si>
  <si>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</si>
  <si>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</si>
  <si>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</si>
  <si>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</si>
  <si>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</si>
  <si>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</si>
  <si>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</si>
  <si>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</si>
  <si>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</si>
  <si>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</si>
  <si>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</si>
  <si>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</si>
  <si>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</si>
  <si>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</si>
  <si>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</si>
  <si>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</si>
  <si>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</si>
  <si>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</si>
  <si>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</si>
  <si>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</si>
  <si>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</si>
  <si>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</si>
  <si>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</si>
  <si>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</si>
  <si>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</si>
  <si>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</si>
  <si>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</si>
  <si>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</si>
  <si>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</si>
  <si>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</si>
  <si>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</si>
  <si>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</si>
  <si>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</si>
  <si>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</si>
  <si>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</si>
  <si>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</si>
  <si>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</si>
  <si>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</si>
  <si>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</si>
  <si>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</si>
  <si>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</si>
  <si>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</si>
  <si>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</si>
  <si>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</si>
  <si>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</si>
  <si>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</si>
  <si>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</si>
  <si>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</si>
  <si>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</si>
  <si>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</si>
  <si>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</si>
  <si>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</si>
  <si>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</si>
  <si>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</si>
  <si>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</si>
  <si>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</si>
  <si>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</si>
  <si>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</si>
  <si>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</si>
  <si>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</si>
  <si>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</si>
  <si>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</si>
  <si>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</si>
  <si>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</si>
  <si>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</si>
  <si>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</si>
  <si>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</si>
  <si>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</si>
  <si>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</si>
  <si>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</si>
  <si>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</si>
  <si>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</si>
  <si>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</si>
  <si>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</si>
  <si>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</si>
  <si>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</si>
  <si>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</si>
  <si>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</si>
  <si>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</si>
  <si>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</si>
  <si>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</si>
  <si>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</si>
  <si>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</si>
  <si>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</si>
  <si>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</si>
  <si>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</si>
  <si>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</si>
  <si>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</si>
  <si>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</si>
  <si>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</si>
  <si>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</si>
  <si>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</si>
  <si>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</si>
  <si>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</si>
  <si>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</si>
  <si>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</si>
  <si>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</si>
  <si>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</si>
  <si>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</si>
  <si>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</si>
  <si>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</si>
  <si>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</si>
  <si>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</si>
  <si>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</si>
  <si>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</si>
  <si>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</si>
  <si>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</si>
  <si>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</si>
  <si>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</si>
  <si>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</si>
  <si>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</si>
  <si>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</si>
  <si>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</si>
  <si>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</si>
  <si>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</si>
  <si>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</si>
  <si>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</si>
  <si>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</si>
  <si>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</si>
  <si>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</si>
  <si>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</si>
  <si>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</si>
  <si>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</si>
  <si>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</si>
  <si>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</si>
  <si>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</si>
  <si>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</si>
  <si>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</si>
  <si>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</si>
  <si>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</si>
  <si>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</si>
  <si>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</si>
  <si>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</si>
  <si>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</si>
  <si>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</si>
  <si>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</si>
  <si>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</si>
  <si>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</si>
  <si>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</si>
  <si>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</si>
  <si>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</si>
  <si>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</si>
  <si>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</si>
  <si>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</si>
  <si>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</si>
  <si>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</si>
  <si>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</si>
  <si>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</si>
  <si>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</si>
  <si>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</si>
  <si>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</si>
  <si>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</si>
  <si>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</si>
  <si>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</si>
  <si>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</si>
  <si>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</si>
  <si>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</si>
  <si>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</si>
  <si>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</si>
  <si>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</si>
  <si>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</si>
  <si>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</si>
  <si>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</si>
  <si>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</si>
  <si>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</si>
  <si>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</si>
  <si>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</si>
  <si>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</si>
  <si>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</si>
  <si>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</si>
  <si>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</si>
  <si>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</si>
  <si>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</si>
  <si>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</si>
  <si>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</si>
  <si>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</si>
  <si>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</si>
  <si>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</si>
  <si>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</si>
  <si>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</si>
  <si>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</si>
  <si>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</si>
  <si>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</si>
  <si>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</si>
  <si>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</si>
  <si>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</si>
  <si>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</si>
  <si>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</si>
  <si>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</si>
  <si>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</si>
  <si>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</si>
  <si>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</si>
  <si>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</si>
  <si>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</si>
  <si>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</si>
  <si>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</si>
  <si>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</si>
  <si>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</si>
  <si>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</si>
  <si>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</si>
  <si>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</si>
  <si>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</si>
  <si>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</si>
  <si>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</si>
  <si>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</si>
  <si>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</si>
  <si>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</si>
  <si>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</si>
  <si>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</si>
  <si>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</si>
  <si>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</si>
  <si>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</si>
  <si>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</si>
  <si>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</si>
  <si>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</si>
  <si>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</si>
  <si>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</si>
  <si>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</si>
  <si>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</si>
  <si>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</si>
  <si>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</si>
  <si>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</si>
  <si>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</si>
  <si>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</si>
  <si>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</si>
  <si>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</si>
  <si>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</si>
  <si>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</si>
  <si>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</si>
  <si>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</si>
  <si>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</si>
  <si>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</si>
  <si>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</si>
  <si>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</si>
  <si>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</si>
  <si>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</si>
  <si>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</si>
  <si>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</si>
  <si>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</si>
  <si>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</si>
  <si>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</si>
  <si>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</si>
  <si>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</si>
  <si>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</si>
  <si>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</si>
  <si>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</si>
  <si>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</si>
  <si>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</si>
  <si>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</si>
  <si>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</si>
  <si>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</si>
  <si>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</si>
  <si>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</si>
  <si>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</si>
  <si>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</si>
  <si>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</si>
  <si>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</si>
  <si>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</si>
  <si>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</si>
  <si>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</si>
  <si>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</si>
  <si>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</si>
  <si>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</si>
  <si>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</si>
  <si>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</si>
  <si>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</si>
  <si>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</si>
  <si>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</si>
  <si>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</si>
  <si>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</si>
  <si>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</si>
  <si>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</si>
  <si>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</si>
  <si>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</si>
  <si>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</si>
  <si>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</si>
  <si>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</si>
  <si>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</si>
  <si>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</si>
  <si>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</si>
  <si>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</si>
  <si>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</si>
  <si>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</si>
  <si>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</si>
  <si>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</si>
  <si>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</si>
  <si>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</si>
  <si>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</si>
  <si>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</si>
  <si>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</si>
  <si>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</si>
  <si>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</si>
  <si>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</si>
  <si>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</si>
  <si>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</si>
  <si>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</si>
  <si>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</si>
  <si>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</si>
  <si>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</si>
  <si>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</si>
  <si>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</si>
  <si>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</si>
  <si>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</si>
  <si>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</si>
  <si>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</si>
  <si>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</si>
  <si>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</si>
  <si>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</si>
  <si>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</si>
  <si>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</si>
  <si>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</si>
  <si>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</si>
  <si>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</si>
  <si>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</si>
  <si>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</si>
  <si>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</si>
  <si>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</si>
  <si>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</si>
  <si>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</si>
  <si>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</si>
  <si>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</si>
  <si>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</si>
  <si>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</si>
  <si>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</si>
  <si>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</si>
  <si>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</si>
  <si>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</si>
  <si>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</si>
  <si>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</si>
  <si>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</si>
  <si>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</si>
  <si>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</si>
  <si>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</si>
  <si>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</si>
  <si>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</si>
  <si>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</si>
  <si>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</si>
  <si>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</si>
  <si>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</si>
  <si>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</si>
  <si>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</si>
  <si>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</si>
  <si>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</si>
  <si>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</si>
  <si>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</si>
  <si>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</si>
  <si>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</si>
  <si>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</si>
  <si>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</si>
  <si>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</si>
  <si>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</si>
  <si>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</si>
  <si>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</si>
  <si>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</si>
  <si>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</si>
  <si>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</si>
  <si>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</si>
  <si>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</si>
  <si>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</si>
  <si>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</si>
  <si>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</si>
  <si>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</si>
  <si>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</si>
  <si>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</si>
  <si>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</si>
  <si>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</si>
  <si>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</si>
  <si>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</si>
  <si>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</si>
  <si>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</si>
  <si>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</si>
  <si>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</si>
  <si>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</si>
  <si>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</si>
  <si>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</si>
  <si>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</si>
  <si>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</si>
  <si>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</si>
  <si>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</si>
  <si>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</si>
  <si>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</si>
  <si>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</si>
  <si>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</si>
  <si>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</si>
  <si>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</si>
  <si>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</si>
  <si>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</si>
  <si>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</si>
  <si>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</si>
  <si>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</si>
  <si>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</si>
  <si>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</si>
  <si>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</si>
  <si>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</si>
  <si>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</si>
  <si>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</si>
  <si>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</si>
  <si>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</si>
  <si>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</si>
  <si>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</si>
  <si>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</si>
  <si>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</si>
  <si>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</si>
  <si>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</si>
  <si>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</si>
  <si>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</si>
  <si>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</si>
  <si>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</si>
  <si>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</si>
  <si>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</si>
  <si>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</si>
  <si>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</si>
  <si>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</si>
  <si>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</si>
  <si>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</si>
  <si>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</si>
  <si>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</si>
  <si>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</si>
  <si>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</si>
  <si>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</si>
  <si>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</si>
  <si>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</si>
  <si>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</si>
  <si>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</si>
  <si>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</si>
  <si>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</si>
  <si>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</si>
  <si>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</si>
  <si>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</si>
  <si>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</si>
  <si>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</si>
  <si>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</si>
  <si>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</si>
  <si>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</si>
  <si>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</si>
  <si>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</si>
  <si>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</si>
  <si>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</si>
  <si>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</si>
  <si>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</si>
  <si>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</si>
  <si>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</si>
  <si>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</si>
  <si>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</si>
  <si>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</si>
  <si>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</si>
  <si>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</si>
  <si>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</si>
  <si>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</si>
  <si>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</si>
  <si>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</si>
  <si>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</si>
  <si>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</si>
  <si>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</si>
  <si>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</si>
  <si>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</si>
  <si>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</si>
  <si>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</si>
  <si>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</si>
  <si>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</si>
  <si>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</si>
  <si>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</si>
  <si>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</si>
  <si>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</si>
  <si>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</si>
  <si>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</si>
  <si>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</si>
  <si>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</si>
  <si>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</si>
  <si>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</si>
  <si>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</si>
  <si>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</si>
  <si>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</si>
  <si>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</si>
  <si>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</si>
  <si>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</si>
  <si>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</si>
  <si>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</si>
  <si>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</si>
  <si>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</si>
  <si>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</si>
  <si>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</si>
  <si>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</si>
  <si>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</si>
  <si>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</si>
  <si>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</si>
  <si>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</si>
  <si>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</si>
  <si>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</si>
  <si>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</si>
  <si>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</si>
  <si>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</si>
  <si>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</si>
  <si>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</si>
  <si>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</si>
  <si>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</si>
  <si>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</si>
  <si>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</si>
  <si>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</si>
  <si>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</si>
  <si>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</si>
  <si>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</si>
  <si>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</si>
  <si>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</si>
  <si>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</si>
  <si>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</si>
  <si>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</si>
  <si>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</si>
  <si>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</si>
  <si>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</si>
  <si>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</si>
  <si>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</si>
  <si>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</si>
  <si>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</si>
  <si>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</si>
  <si>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</si>
  <si>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</si>
  <si>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</si>
  <si>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</si>
  <si>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</si>
  <si>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</si>
  <si>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</si>
  <si>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</si>
  <si>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</si>
  <si>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</si>
  <si>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</si>
  <si>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</si>
  <si>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</si>
  <si>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</si>
  <si>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</si>
  <si>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</si>
  <si>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</si>
  <si>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</si>
  <si>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</si>
  <si>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</si>
  <si>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</si>
  <si>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</si>
  <si>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</si>
  <si>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</si>
  <si>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</si>
  <si>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</si>
  <si>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</si>
  <si>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</si>
  <si>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</si>
  <si>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</si>
  <si>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</si>
  <si>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</si>
  <si>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</si>
  <si>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</si>
  <si>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</si>
  <si>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</si>
  <si>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</si>
  <si>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</si>
  <si>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</si>
  <si>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</si>
  <si>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</si>
  <si>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</si>
  <si>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</si>
  <si>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</si>
  <si>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</si>
  <si>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</si>
  <si>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</si>
  <si>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</si>
  <si>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</si>
  <si>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</si>
  <si>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</si>
  <si>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</si>
  <si>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</si>
  <si>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</si>
  <si>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</si>
  <si>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</si>
  <si>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</si>
  <si>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</si>
  <si>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</si>
  <si>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</si>
  <si>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</si>
  <si>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</si>
  <si>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</si>
  <si>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</si>
  <si>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</si>
  <si>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</si>
  <si>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</si>
  <si>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</si>
  <si>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</si>
  <si>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</si>
  <si>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</si>
  <si>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</si>
  <si>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</si>
  <si>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</si>
  <si>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</si>
  <si>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</si>
  <si>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</si>
  <si>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</si>
  <si>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</si>
  <si>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</si>
  <si>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</si>
  <si>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</si>
  <si>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</si>
  <si>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</si>
  <si>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</si>
  <si>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</si>
  <si>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</si>
  <si>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</si>
  <si>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</si>
  <si>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</si>
  <si>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</si>
  <si>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</si>
  <si>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</si>
  <si>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</si>
  <si>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</si>
  <si>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</si>
  <si>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</si>
  <si>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</si>
  <si>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</si>
  <si>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</si>
  <si>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</si>
  <si>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</si>
  <si>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</si>
  <si>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</si>
  <si>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</si>
  <si>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</si>
  <si>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</si>
  <si>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</si>
  <si>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</si>
  <si>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</si>
  <si>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</si>
  <si>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</si>
  <si>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</si>
  <si>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</si>
  <si>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</si>
  <si>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</si>
  <si>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</si>
  <si>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</si>
  <si>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</si>
  <si>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</si>
  <si>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</si>
  <si>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</si>
  <si>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</si>
  <si>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</si>
  <si>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</si>
  <si>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</si>
  <si>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</si>
  <si>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</si>
  <si>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</si>
  <si>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</si>
  <si>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</si>
  <si>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</si>
  <si>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</si>
  <si>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</si>
  <si>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</si>
  <si>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</si>
  <si>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</si>
  <si>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</si>
  <si>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</si>
  <si>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</si>
  <si>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</si>
  <si>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</si>
  <si>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</si>
  <si>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</si>
  <si>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</si>
  <si>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</si>
  <si>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</si>
  <si>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</si>
  <si>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</si>
  <si>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</si>
  <si>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</si>
  <si>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</si>
  <si>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</si>
  <si>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</si>
  <si>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</si>
  <si>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</si>
  <si>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</si>
  <si>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</si>
  <si>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</si>
  <si>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</si>
  <si>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</si>
  <si>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</si>
  <si>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</si>
  <si>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</si>
  <si>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</si>
  <si>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</si>
  <si>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</si>
  <si>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</si>
  <si>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</si>
  <si>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</si>
  <si>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</si>
  <si>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</si>
  <si>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</si>
  <si>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</si>
  <si>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</si>
  <si>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</si>
  <si>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</si>
  <si>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</si>
  <si>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</si>
  <si>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</si>
  <si>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</si>
  <si>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</si>
  <si>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</si>
  <si>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</si>
  <si>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</si>
  <si>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</si>
  <si>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</si>
  <si>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</si>
  <si>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</si>
  <si>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</si>
  <si>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</si>
  <si>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</si>
  <si>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</si>
  <si>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</si>
  <si>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</si>
  <si>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</si>
  <si>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</si>
  <si>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</si>
  <si>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</si>
  <si>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</si>
  <si>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</si>
  <si>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</si>
  <si>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</si>
  <si>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</si>
  <si>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</si>
  <si>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</si>
  <si>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</si>
  <si>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</si>
  <si>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</si>
  <si>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</si>
  <si>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</si>
  <si>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</si>
  <si>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</si>
  <si>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</si>
  <si>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</si>
  <si>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</si>
  <si>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</si>
  <si>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</si>
  <si>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</si>
  <si>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</si>
  <si>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</si>
  <si>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</si>
  <si>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</si>
  <si>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</si>
  <si>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</si>
  <si>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</si>
  <si>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</si>
  <si>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</si>
  <si>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</si>
  <si>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</si>
  <si>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</si>
  <si>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</si>
  <si>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</si>
  <si>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</si>
  <si>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</si>
  <si>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</si>
  <si>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</si>
  <si>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</si>
  <si>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</si>
  <si>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</si>
  <si>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</si>
  <si>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</si>
  <si>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</si>
  <si>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</si>
  <si>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</si>
  <si>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</si>
  <si>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</si>
  <si>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</si>
  <si>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</si>
  <si>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</si>
  <si>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</si>
  <si>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</si>
  <si>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</si>
  <si>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</si>
  <si>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</si>
  <si>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</si>
  <si>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</si>
  <si>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</si>
  <si>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</si>
  <si>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</si>
  <si>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</si>
  <si>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</si>
  <si>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</si>
  <si>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</si>
  <si>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</si>
  <si>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</si>
  <si>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</si>
  <si>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</si>
  <si>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</si>
  <si>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</si>
  <si>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</si>
  <si>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</si>
  <si>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</si>
  <si>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</si>
  <si>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</si>
  <si>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</si>
  <si>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</si>
  <si>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</si>
  <si>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</si>
  <si>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</si>
  <si>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</si>
  <si>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</si>
  <si>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</si>
  <si>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</si>
  <si>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</si>
  <si>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</si>
  <si>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</si>
  <si>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</si>
  <si>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</si>
  <si>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</si>
  <si>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</si>
  <si>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</si>
  <si>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</si>
  <si>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</si>
  <si>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</si>
  <si>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</si>
  <si>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</si>
  <si>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</si>
  <si>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</si>
  <si>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</si>
  <si>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</si>
  <si>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</si>
  <si>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</si>
  <si>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</si>
  <si>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</si>
  <si>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</si>
  <si>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</si>
  <si>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</si>
  <si>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</si>
  <si>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</si>
  <si>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</si>
  <si>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</si>
  <si>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</si>
  <si>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</si>
  <si>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</si>
  <si>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</si>
  <si>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</si>
  <si>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</si>
  <si>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</si>
  <si>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</si>
  <si>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</si>
  <si>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</si>
  <si>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</si>
  <si>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</si>
  <si>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</si>
  <si>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</si>
  <si>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</si>
  <si>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</si>
  <si>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</si>
  <si>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</si>
  <si>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</si>
  <si>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</si>
  <si>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</si>
  <si>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</si>
  <si>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</si>
  <si>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</si>
  <si>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</si>
  <si>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</si>
  <si>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</si>
  <si>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</si>
  <si>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</si>
  <si>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</si>
  <si>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</si>
  <si>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</si>
  <si>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</si>
  <si>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</si>
  <si>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</si>
  <si>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</si>
  <si>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</si>
  <si>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</si>
  <si>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</si>
  <si>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</si>
  <si>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</si>
  <si>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</si>
  <si>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</si>
  <si>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</si>
  <si>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</si>
  <si>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</si>
  <si>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</si>
  <si>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</si>
  <si>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</si>
  <si>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</si>
  <si>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</si>
  <si>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</si>
  <si>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</si>
  <si>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</si>
  <si>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</si>
  <si>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</si>
  <si>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</si>
  <si>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</si>
  <si>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</si>
  <si>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</si>
  <si>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</si>
  <si>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</si>
  <si>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</si>
  <si>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</si>
  <si>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</si>
  <si>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</si>
  <si>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</si>
  <si>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</si>
  <si>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</si>
  <si>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</si>
  <si>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</si>
  <si>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</si>
  <si>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</si>
  <si>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</si>
  <si>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</si>
  <si>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</si>
  <si>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</si>
  <si>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</si>
  <si>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</si>
  <si>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</si>
  <si>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</si>
  <si>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</si>
  <si>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</si>
  <si>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</si>
  <si>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</si>
  <si>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</si>
  <si>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</si>
  <si>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</si>
  <si>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</si>
  <si>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</si>
  <si>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</si>
  <si>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</si>
  <si>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</si>
  <si>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</si>
  <si>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</si>
  <si>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</si>
  <si>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</si>
  <si>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</si>
  <si>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</si>
  <si>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</si>
  <si>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</si>
  <si>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</si>
  <si>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</si>
  <si>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</si>
  <si>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</si>
  <si>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</si>
  <si>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</si>
  <si>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</si>
  <si>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</si>
  <si>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</si>
  <si>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</si>
  <si>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</si>
  <si>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</si>
  <si>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</si>
  <si>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</si>
  <si>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</si>
  <si>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</si>
  <si>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</si>
  <si>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</si>
  <si>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</si>
  <si>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</si>
  <si>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</si>
  <si>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</si>
  <si>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</si>
  <si>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</si>
  <si>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</si>
  <si>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</si>
  <si>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</si>
  <si>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</si>
  <si>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</si>
  <si>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</si>
  <si>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</si>
  <si>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</si>
  <si>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</si>
  <si>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</si>
  <si>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</si>
  <si>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</si>
  <si>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</si>
  <si>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</si>
  <si>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</si>
  <si>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</si>
  <si>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</si>
  <si>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</si>
  <si>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</si>
  <si>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</si>
  <si>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</si>
  <si>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</si>
  <si>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</si>
  <si>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</si>
  <si>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</si>
  <si>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</si>
  <si>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</si>
  <si>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</si>
  <si>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</si>
  <si>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</si>
  <si>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</si>
  <si>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</si>
  <si>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</si>
  <si>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</si>
  <si>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</si>
  <si>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</si>
  <si>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</si>
  <si>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</si>
  <si>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</si>
  <si>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</si>
  <si>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</si>
  <si>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</si>
  <si>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</si>
  <si>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</si>
  <si>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</si>
  <si>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</si>
  <si>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</si>
  <si>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</si>
  <si>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</si>
  <si>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</si>
  <si>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</si>
  <si>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</si>
  <si>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</si>
  <si>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</si>
  <si>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</si>
  <si>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</si>
  <si>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</si>
  <si>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</si>
  <si>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</si>
  <si>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</si>
  <si>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</si>
  <si>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</si>
  <si>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</si>
  <si>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</si>
  <si>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</si>
  <si>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</si>
  <si>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</si>
  <si>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</si>
  <si>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</si>
  <si>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</si>
  <si>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</si>
  <si>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</si>
  <si>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</si>
  <si>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</si>
  <si>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</si>
  <si>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</si>
  <si>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</si>
  <si>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</si>
  <si>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</si>
  <si>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</si>
  <si>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</si>
  <si>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</si>
  <si>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</si>
  <si>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</si>
  <si>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</si>
  <si>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</si>
  <si>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</si>
  <si>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</si>
  <si>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</si>
  <si>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</si>
  <si>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</si>
  <si>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</si>
  <si>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</si>
  <si>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</si>
  <si>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</si>
  <si>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</si>
  <si>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</si>
  <si>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</si>
  <si>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</si>
  <si>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</si>
  <si>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</si>
  <si>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</si>
  <si>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</si>
  <si>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</si>
  <si>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</si>
  <si>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</si>
  <si>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</si>
  <si>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</si>
  <si>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</si>
  <si>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</si>
  <si>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</si>
  <si>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</si>
  <si>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</si>
  <si>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</si>
  <si>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</si>
  <si>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</si>
  <si>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</si>
  <si>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</si>
  <si>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</si>
  <si>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</si>
  <si>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</si>
  <si>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</si>
  <si>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</si>
  <si>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</si>
  <si>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</si>
  <si>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</si>
  <si>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</si>
  <si>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</si>
  <si>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</si>
  <si>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</si>
  <si>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</si>
  <si>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</si>
  <si>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</si>
  <si>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</si>
  <si>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</si>
  <si>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</si>
  <si>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</si>
  <si>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</si>
  <si>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</si>
  <si>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</si>
  <si>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</si>
  <si>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</si>
  <si>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</si>
  <si>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</si>
  <si>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</si>
  <si>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</si>
  <si>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</si>
  <si>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</si>
  <si>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</si>
  <si>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</si>
  <si>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</si>
  <si>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</si>
  <si>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</si>
  <si>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</si>
  <si>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</si>
  <si>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</si>
  <si>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</si>
  <si>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</si>
  <si>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</si>
  <si>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</si>
  <si>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</si>
  <si>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</si>
  <si>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</si>
  <si>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</si>
  <si>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</si>
  <si>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</si>
  <si>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</si>
  <si>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</si>
  <si>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</si>
  <si>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</si>
  <si>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</si>
  <si>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</si>
  <si>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</si>
  <si>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</si>
  <si>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</si>
  <si>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</si>
  <si>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</si>
  <si>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</si>
  <si>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</si>
  <si>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</si>
  <si>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</si>
  <si>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</si>
  <si>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</si>
  <si>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</si>
  <si>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</si>
  <si>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</si>
  <si>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</si>
  <si>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</si>
  <si>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</si>
  <si>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</si>
  <si>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</si>
  <si>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</si>
  <si>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</si>
  <si>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</si>
  <si>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</si>
  <si>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</si>
  <si>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</si>
  <si>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</si>
  <si>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</si>
  <si>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</si>
  <si>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</si>
  <si>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</si>
  <si>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</si>
  <si>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</si>
  <si>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</si>
  <si>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</si>
  <si>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</si>
  <si>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</si>
  <si>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</si>
  <si>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</si>
  <si>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</si>
  <si>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</si>
  <si>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</si>
  <si>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</si>
  <si>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</si>
  <si>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</si>
  <si>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</si>
  <si>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</si>
  <si>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</si>
  <si>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</si>
  <si>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</si>
  <si>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</si>
  <si>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</si>
  <si>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</si>
  <si>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</si>
  <si>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</si>
  <si>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</si>
  <si>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</si>
  <si>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</si>
  <si>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</si>
  <si>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</si>
  <si>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</si>
  <si>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</si>
  <si>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</si>
  <si>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</si>
  <si>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</si>
  <si>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</si>
  <si>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</si>
  <si>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</si>
  <si>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</si>
  <si>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</si>
  <si>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</si>
  <si>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</si>
  <si>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</si>
  <si>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</si>
  <si>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</si>
  <si>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</si>
  <si>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</si>
  <si>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</si>
  <si>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</si>
  <si>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</si>
  <si>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</si>
  <si>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</si>
  <si>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</si>
  <si>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</si>
  <si>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</si>
  <si>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</si>
  <si>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</si>
  <si>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</si>
  <si>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</si>
  <si>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</si>
  <si>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</si>
  <si>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</si>
  <si>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</si>
  <si>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</si>
  <si>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</si>
  <si>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</si>
  <si>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</si>
  <si>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</si>
  <si>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</si>
  <si>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</si>
  <si>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</si>
  <si>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</si>
  <si>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</si>
  <si>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</si>
  <si>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</si>
  <si>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</si>
  <si>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</si>
  <si>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</si>
  <si>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</si>
  <si>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</si>
  <si>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</si>
  <si>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</si>
  <si>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</si>
  <si>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</si>
  <si>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</si>
  <si>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</si>
  <si>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</si>
  <si>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</si>
  <si>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</si>
  <si>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</si>
  <si>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</si>
  <si>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</si>
  <si>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</si>
  <si>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</si>
  <si>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</si>
  <si>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</si>
  <si>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</si>
  <si>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</si>
  <si>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</si>
  <si>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</si>
  <si>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</si>
  <si>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</si>
  <si>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</si>
  <si>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</si>
  <si>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</si>
  <si>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</si>
  <si>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</si>
  <si>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</si>
  <si>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</si>
  <si>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</si>
  <si>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</si>
  <si>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</si>
  <si>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</si>
  <si>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</si>
  <si>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</si>
  <si>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</si>
  <si>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</si>
  <si>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</si>
  <si>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</si>
  <si>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</si>
  <si>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</si>
  <si>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</si>
  <si>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</si>
  <si>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</si>
  <si>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</si>
  <si>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</si>
  <si>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</si>
  <si>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</si>
  <si>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</si>
  <si>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</si>
  <si>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</si>
  <si>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</si>
  <si>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</si>
  <si>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</si>
  <si>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</si>
  <si>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</si>
  <si>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</si>
  <si>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</si>
  <si>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</si>
  <si>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</si>
  <si>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</si>
  <si>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</si>
  <si>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</si>
  <si>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</si>
  <si>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</si>
  <si>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</si>
  <si>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</si>
  <si>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</si>
  <si>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</si>
  <si>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</si>
  <si>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</si>
  <si>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</si>
  <si>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</si>
  <si>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</si>
  <si>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</si>
  <si>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</si>
  <si>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</si>
  <si>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</si>
  <si>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</si>
  <si>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</si>
  <si>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</si>
  <si>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</si>
  <si>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</si>
  <si>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</si>
  <si>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</si>
  <si>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</si>
  <si>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</si>
  <si>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</si>
  <si>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</si>
  <si>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</si>
  <si>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</si>
  <si>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</si>
  <si>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</si>
  <si>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</si>
  <si>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</si>
  <si>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</si>
  <si>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</si>
  <si>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</si>
  <si>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</si>
  <si>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</si>
  <si>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</si>
  <si>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</si>
  <si>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</si>
  <si>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</si>
  <si>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</si>
  <si>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</si>
  <si>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</si>
  <si>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</si>
  <si>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</si>
  <si>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</si>
  <si>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</si>
  <si>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</si>
  <si>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</si>
  <si>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</si>
  <si>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</si>
  <si>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</si>
  <si>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</si>
  <si>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</si>
  <si>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</si>
  <si>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</si>
  <si>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</si>
  <si>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</si>
  <si>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</si>
  <si>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</si>
  <si>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</si>
  <si>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</si>
  <si>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</si>
  <si>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</si>
  <si>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</si>
  <si>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</si>
  <si>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</si>
  <si>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</si>
  <si>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</si>
  <si>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</si>
  <si>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</si>
  <si>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</si>
  <si>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</si>
  <si>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</si>
  <si>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</si>
  <si>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</si>
  <si>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</si>
  <si>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</si>
  <si>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</si>
  <si>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</si>
  <si>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</si>
  <si>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</si>
  <si>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</si>
  <si>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</si>
  <si>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</si>
  <si>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</si>
  <si>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</si>
  <si>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</si>
  <si>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</si>
  <si>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</si>
  <si>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</si>
  <si>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</si>
  <si>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</si>
  <si>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</si>
  <si>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</si>
  <si>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</si>
  <si>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</si>
  <si>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</si>
  <si>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</si>
  <si>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</si>
  <si>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</si>
  <si>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</si>
  <si>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</si>
  <si>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</si>
  <si>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</si>
  <si>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</si>
  <si>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</si>
  <si>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</si>
  <si>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</si>
  <si>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</si>
  <si>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</si>
  <si>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</si>
  <si>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</si>
  <si>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</si>
  <si>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</si>
  <si>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</si>
  <si>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</si>
  <si>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</si>
  <si>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</si>
  <si>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</si>
  <si>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</si>
  <si>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</si>
  <si>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</si>
  <si>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</si>
  <si>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</si>
  <si>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</si>
  <si>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</si>
  <si>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</si>
  <si>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</si>
  <si>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</si>
  <si>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</si>
  <si>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</si>
  <si>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</si>
  <si>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</si>
  <si>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</si>
  <si>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</si>
  <si>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</si>
  <si>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</si>
  <si>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</si>
  <si>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</si>
  <si>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</si>
  <si>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</si>
  <si>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</si>
  <si>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</si>
  <si>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</si>
  <si>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</si>
  <si>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</si>
  <si>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</si>
  <si>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</si>
  <si>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</si>
  <si>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</si>
  <si>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</si>
  <si>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</si>
  <si>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</si>
  <si>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</si>
  <si>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</si>
  <si>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</si>
  <si>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</si>
  <si>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</si>
  <si>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</si>
  <si>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</si>
  <si>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</si>
  <si>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</si>
  <si>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</si>
  <si>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</si>
  <si>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</si>
  <si>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</si>
  <si>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</si>
  <si>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</si>
  <si>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</si>
  <si>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</si>
  <si>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</si>
  <si>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</si>
  <si>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</si>
  <si>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</si>
  <si>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</si>
  <si>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</si>
  <si>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</si>
  <si>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</si>
  <si>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</si>
  <si>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</si>
  <si>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</si>
  <si>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</si>
  <si>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</si>
  <si>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</si>
  <si>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</si>
  <si>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</si>
  <si>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</si>
  <si>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</si>
  <si>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</si>
  <si>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</si>
  <si>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</si>
  <si>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</si>
  <si>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</si>
  <si>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</si>
  <si>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</si>
  <si>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</si>
  <si>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</si>
  <si>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</si>
  <si>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</si>
  <si>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</si>
  <si>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</si>
  <si>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</si>
  <si>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</si>
  <si>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</si>
  <si>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</si>
  <si>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</si>
  <si>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</si>
  <si>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</si>
  <si>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</si>
  <si>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</si>
  <si>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</si>
  <si>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</si>
  <si>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</si>
  <si>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</si>
  <si>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</si>
  <si>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</si>
  <si>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</si>
  <si>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</si>
  <si>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</si>
  <si>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</si>
  <si>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</si>
  <si>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</si>
  <si>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</si>
  <si>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</si>
  <si>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</si>
  <si>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</si>
  <si>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</si>
  <si>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</si>
  <si>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</si>
  <si>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</si>
  <si>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</si>
  <si>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</si>
  <si>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</si>
  <si>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</si>
  <si>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</si>
  <si>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</si>
  <si>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</si>
  <si>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</si>
  <si>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</si>
  <si>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</si>
  <si>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</si>
  <si>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</si>
  <si>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</si>
  <si>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</si>
  <si>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</si>
  <si>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</si>
  <si>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</si>
  <si>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</si>
  <si>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</si>
  <si>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</si>
  <si>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</si>
  <si>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</si>
  <si>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</si>
  <si>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</si>
  <si>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</si>
  <si>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</si>
  <si>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</si>
  <si>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</si>
  <si>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</si>
  <si>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</si>
  <si>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</si>
  <si>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</si>
  <si>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</si>
  <si>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</si>
  <si>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</si>
  <si>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</si>
  <si>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</si>
  <si>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</si>
  <si>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</si>
  <si>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</si>
  <si>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</si>
  <si>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</si>
  <si>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</si>
  <si>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</si>
  <si>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</si>
  <si>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</si>
  <si>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</si>
  <si>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</si>
  <si>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</si>
  <si>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</si>
  <si>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</si>
  <si>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</si>
  <si>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</si>
  <si>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</si>
  <si>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</si>
  <si>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</si>
  <si>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</si>
  <si>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</si>
  <si>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</si>
  <si>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</si>
  <si>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</si>
  <si>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</si>
  <si>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</si>
  <si>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</si>
  <si>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</si>
  <si>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</si>
  <si>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</si>
  <si>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</si>
  <si>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</si>
  <si>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</si>
  <si>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</si>
  <si>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</si>
  <si>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</si>
  <si>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</si>
  <si>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</si>
  <si>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</si>
  <si>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</si>
  <si>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</si>
  <si>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</si>
  <si>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</si>
  <si>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</si>
  <si>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</si>
  <si>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</si>
  <si>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</si>
  <si>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</si>
  <si>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</si>
  <si>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</si>
  <si>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</si>
  <si>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</si>
  <si>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</si>
  <si>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</si>
  <si>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</si>
  <si>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</si>
  <si>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</si>
  <si>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</si>
  <si>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</si>
  <si>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</si>
  <si>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</si>
  <si>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</si>
  <si>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</si>
  <si>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</si>
  <si>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</si>
  <si>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</si>
  <si>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</si>
  <si>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</si>
  <si>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</si>
  <si>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</si>
  <si>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</si>
  <si>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</si>
  <si>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</si>
  <si>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</si>
  <si>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</si>
  <si>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</si>
  <si>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</si>
  <si>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</si>
  <si>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</si>
  <si>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</si>
  <si>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</si>
  <si>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</si>
  <si>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</si>
  <si>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</si>
  <si>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</si>
  <si>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</si>
  <si>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</si>
  <si>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</si>
  <si>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</si>
  <si>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</si>
  <si>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</si>
  <si>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</si>
  <si>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</si>
  <si>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</si>
  <si>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</si>
  <si>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</si>
  <si>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</si>
  <si>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</si>
  <si>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</si>
  <si>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</si>
  <si>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</si>
  <si>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</si>
  <si>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</si>
  <si>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</si>
  <si>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</si>
  <si>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</si>
  <si>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</si>
  <si>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</si>
  <si>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</si>
  <si>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</si>
  <si>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</si>
  <si>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</si>
  <si>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</si>
  <si>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</si>
  <si>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</si>
  <si>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</si>
  <si>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</si>
  <si>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</si>
  <si>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</si>
  <si>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</si>
  <si>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</si>
  <si>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</si>
  <si>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</si>
  <si>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</si>
  <si>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</si>
  <si>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</si>
  <si>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</si>
  <si>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</si>
  <si>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</si>
  <si>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</si>
  <si>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</si>
  <si>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</si>
  <si>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</si>
  <si>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</si>
  <si>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</si>
  <si>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</si>
  <si>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</si>
  <si>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</si>
  <si>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</si>
  <si>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</si>
  <si>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</si>
  <si>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</si>
  <si>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</si>
  <si>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</si>
  <si>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</si>
  <si>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</si>
  <si>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</si>
  <si>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</si>
  <si>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</si>
  <si>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</si>
  <si>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</si>
  <si>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</si>
  <si>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</si>
  <si>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</si>
  <si>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</si>
  <si>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</si>
  <si>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</si>
  <si>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</si>
  <si>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</si>
  <si>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</si>
  <si>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</si>
  <si>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</si>
  <si>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</si>
  <si>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</si>
  <si>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</si>
  <si>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</si>
  <si>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</si>
  <si>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</si>
  <si>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</si>
  <si>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</si>
  <si>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</si>
  <si>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</si>
  <si>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</si>
  <si>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</si>
  <si>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</si>
  <si>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</si>
  <si>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</si>
  <si>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</si>
  <si>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</si>
  <si>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</si>
  <si>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</si>
  <si>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</si>
  <si>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</si>
  <si>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</si>
  <si>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</si>
  <si>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</si>
  <si>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</si>
  <si>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</si>
  <si>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</si>
  <si>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</si>
  <si>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</si>
  <si>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</si>
  <si>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</si>
  <si>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</si>
  <si>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</si>
  <si>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</si>
  <si>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</si>
  <si>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</si>
  <si>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</si>
  <si>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</si>
  <si>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</si>
  <si>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</si>
  <si>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</si>
  <si>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</si>
  <si>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</si>
  <si>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</si>
  <si>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</si>
  <si>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</si>
  <si>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</si>
  <si>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</si>
  <si>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</si>
  <si>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</si>
  <si>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</si>
  <si>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</si>
  <si>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</si>
  <si>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</si>
  <si>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</si>
  <si>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</si>
  <si>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</si>
  <si>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</si>
  <si>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</si>
  <si>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</si>
  <si>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</si>
  <si>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</si>
  <si>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</si>
  <si>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</si>
  <si>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</si>
  <si>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</si>
  <si>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</si>
  <si>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</si>
  <si>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</si>
  <si>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</si>
  <si>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</si>
  <si>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</si>
  <si>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</si>
  <si>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</si>
  <si>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</si>
  <si>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</si>
  <si>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</si>
  <si>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</si>
  <si>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</si>
  <si>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</si>
  <si>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</si>
  <si>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</si>
  <si>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</si>
  <si>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</si>
  <si>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</si>
  <si>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</si>
  <si>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</si>
  <si>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</si>
  <si>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</si>
  <si>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</si>
  <si>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</si>
  <si>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</si>
  <si>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</si>
  <si>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</si>
  <si>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</si>
  <si>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</si>
  <si>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</si>
  <si>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</si>
  <si>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</si>
  <si>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</si>
  <si>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</si>
  <si>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</si>
  <si>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</si>
  <si>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</si>
  <si>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</si>
  <si>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</si>
  <si>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</si>
  <si>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</si>
  <si>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</si>
  <si>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</si>
  <si>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</si>
  <si>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</si>
  <si>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</si>
  <si>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</si>
  <si>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</si>
  <si>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</si>
  <si>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</si>
  <si>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</si>
  <si>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</si>
  <si>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</si>
  <si>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</si>
  <si>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</si>
  <si>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</si>
  <si>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</si>
  <si>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</si>
  <si>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</si>
  <si>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</si>
  <si>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</si>
  <si>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</si>
  <si>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</si>
  <si>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</si>
  <si>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</si>
  <si>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</si>
  <si>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</si>
  <si>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</si>
  <si>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</si>
  <si>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</si>
  <si>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</si>
  <si>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</si>
  <si>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</si>
  <si>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</si>
  <si>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</si>
  <si>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</si>
  <si>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</si>
  <si>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</si>
  <si>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</si>
  <si>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</si>
  <si>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</si>
  <si>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</si>
  <si>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</si>
  <si>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</si>
  <si>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</si>
  <si>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</si>
  <si>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</si>
  <si>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</si>
  <si>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</si>
  <si>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</si>
  <si>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</si>
  <si>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</si>
  <si>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</si>
  <si>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</si>
  <si>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</si>
  <si>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</si>
  <si>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</si>
  <si>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</si>
  <si>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</si>
  <si>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</si>
  <si>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</si>
  <si>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</si>
  <si>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</si>
  <si>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</si>
  <si>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</si>
  <si>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</si>
  <si>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</si>
  <si>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</si>
  <si>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</si>
  <si>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</si>
  <si>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</si>
  <si>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</si>
  <si>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</si>
  <si>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</si>
  <si>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</si>
  <si>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</si>
  <si>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</si>
  <si>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</si>
  <si>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</si>
  <si>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</si>
  <si>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</si>
  <si>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</si>
  <si>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</si>
  <si>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</si>
  <si>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</si>
  <si>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</si>
  <si>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</si>
  <si>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</si>
  <si>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</si>
  <si>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</si>
  <si>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</si>
  <si>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</si>
  <si>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</si>
  <si>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</si>
  <si>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</si>
  <si>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</si>
  <si>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</si>
  <si>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</si>
  <si>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</si>
  <si>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</si>
  <si>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</si>
  <si>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</si>
  <si>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</si>
  <si>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</si>
  <si>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</si>
  <si>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</si>
  <si>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</si>
  <si>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</si>
  <si>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</si>
  <si>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</si>
  <si>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</si>
  <si>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</si>
  <si>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</si>
  <si>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</si>
  <si>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</si>
  <si>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</si>
  <si>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</si>
  <si>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</si>
  <si>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</si>
  <si>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</si>
  <si>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</si>
  <si>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</si>
  <si>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</si>
  <si>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</si>
  <si>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</si>
  <si>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</si>
  <si>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</si>
  <si>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</si>
  <si>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</si>
  <si>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</si>
  <si>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</si>
  <si>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</si>
  <si>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</si>
  <si>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</si>
  <si>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</si>
  <si>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</si>
  <si>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</si>
  <si>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</si>
  <si>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</si>
  <si>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</si>
  <si>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</si>
  <si>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</si>
  <si>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</si>
  <si>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</si>
  <si>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</si>
  <si>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</si>
  <si>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</si>
  <si>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</si>
  <si>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</si>
  <si>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</si>
  <si>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</si>
  <si>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</si>
  <si>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</si>
  <si>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</si>
  <si>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</si>
  <si>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</si>
  <si>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</si>
  <si>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</si>
  <si>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</si>
  <si>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</si>
  <si>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</si>
  <si>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</si>
  <si>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</si>
  <si>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</si>
  <si>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</si>
  <si>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</si>
  <si>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</si>
  <si>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</si>
  <si>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</si>
  <si>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</si>
  <si>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</si>
  <si>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</si>
  <si>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</si>
  <si>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</si>
  <si>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</si>
  <si>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</si>
  <si>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</si>
  <si>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</si>
  <si>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</si>
  <si>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</si>
  <si>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</si>
  <si>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</si>
  <si>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</si>
  <si>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</si>
  <si>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</si>
  <si>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</si>
  <si>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</si>
  <si>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</si>
  <si>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</si>
  <si>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</si>
  <si>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</si>
  <si>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</si>
  <si>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</si>
  <si>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</si>
  <si>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</si>
  <si>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</si>
  <si>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</si>
  <si>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</si>
  <si>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</si>
  <si>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</si>
  <si>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</si>
  <si>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</si>
  <si>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</si>
  <si>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</si>
  <si>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</si>
  <si>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</si>
  <si>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</si>
  <si>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</si>
  <si>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</si>
  <si>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</si>
  <si>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</si>
  <si>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</si>
  <si>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</si>
  <si>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</si>
  <si>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</si>
  <si>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</si>
  <si>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</si>
  <si>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</si>
  <si>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</si>
  <si>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</si>
  <si>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</si>
  <si>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</si>
  <si>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</si>
  <si>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</si>
  <si>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</si>
  <si>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</si>
  <si>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</si>
  <si>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</si>
  <si>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</si>
  <si>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</si>
  <si>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</si>
  <si>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</si>
  <si>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</si>
  <si>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</si>
  <si>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</si>
  <si>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</si>
  <si>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</si>
  <si>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</si>
  <si>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</si>
  <si>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</si>
  <si>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</si>
  <si>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</si>
  <si>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</si>
  <si>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</si>
  <si>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</si>
  <si>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</si>
  <si>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</si>
  <si>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</si>
  <si>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</si>
  <si>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</si>
  <si>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</si>
  <si>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</si>
  <si>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</si>
  <si>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</si>
  <si>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</si>
  <si>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</si>
  <si>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</si>
  <si>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</si>
  <si>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</si>
  <si>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</si>
  <si>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</si>
  <si>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</si>
  <si>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</si>
  <si>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</si>
  <si>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</si>
  <si>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</si>
  <si>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</si>
  <si>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</si>
  <si>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</si>
  <si>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</si>
  <si>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</si>
  <si>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</si>
  <si>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</si>
  <si>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</si>
  <si>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</si>
  <si>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</si>
  <si>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</si>
  <si>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</si>
  <si>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</si>
  <si>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</si>
  <si>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</si>
  <si>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</si>
  <si>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</si>
  <si>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</si>
  <si>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</si>
  <si>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</si>
  <si>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</si>
  <si>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</si>
  <si>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</si>
  <si>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</si>
  <si>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</si>
  <si>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</si>
  <si>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</si>
  <si>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</si>
  <si>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</si>
  <si>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</si>
  <si>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</si>
  <si>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</si>
  <si>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</si>
  <si>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</si>
  <si>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</si>
  <si>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</si>
  <si>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</si>
  <si>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</si>
  <si>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</si>
  <si>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</si>
  <si>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</si>
  <si>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</si>
  <si>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</si>
  <si>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</si>
  <si>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</si>
  <si>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</si>
  <si>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</si>
  <si>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</si>
  <si>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</si>
  <si>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</si>
  <si>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</si>
  <si>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</si>
  <si>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</si>
  <si>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</si>
  <si>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</si>
  <si>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</si>
  <si>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</si>
  <si>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</si>
  <si>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</si>
  <si>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</si>
  <si>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</si>
  <si>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</si>
  <si>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</si>
  <si>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</si>
  <si>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</si>
  <si>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</si>
  <si>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</si>
  <si>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</si>
  <si>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</si>
  <si>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</si>
  <si>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</si>
  <si>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</si>
  <si>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</si>
  <si>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</si>
  <si>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</si>
  <si>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</si>
  <si>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</si>
  <si>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</si>
  <si>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</si>
  <si>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</si>
  <si>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</si>
  <si>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</si>
  <si>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</si>
  <si>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</si>
  <si>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</si>
  <si>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</si>
  <si>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</si>
  <si>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</si>
  <si>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</si>
  <si>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</si>
  <si>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</si>
  <si>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</si>
  <si>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</si>
  <si>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</si>
  <si>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</si>
  <si>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</si>
  <si>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</si>
  <si>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</si>
  <si>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</si>
  <si>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</si>
  <si>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</si>
  <si>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</si>
  <si>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</si>
  <si>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</si>
  <si>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</si>
  <si>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</si>
  <si>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</si>
  <si>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</si>
  <si>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</si>
  <si>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</si>
  <si>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</si>
  <si>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</si>
  <si>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</si>
  <si>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</si>
  <si>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</si>
  <si>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</si>
  <si>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</si>
  <si>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</si>
  <si>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</si>
  <si>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</si>
  <si>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</si>
  <si>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</si>
  <si>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</si>
  <si>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</si>
  <si>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</si>
  <si>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</si>
  <si>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</si>
  <si>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</si>
  <si>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</si>
  <si>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</si>
  <si>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</si>
  <si>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</si>
  <si>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</si>
  <si>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</si>
  <si>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</si>
  <si>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</si>
  <si>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</si>
  <si>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</si>
  <si>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</si>
  <si>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</si>
  <si>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</si>
  <si>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</si>
  <si>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</si>
  <si>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</si>
  <si>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</si>
  <si>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</si>
  <si>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</si>
  <si>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</si>
  <si>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</si>
  <si>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</si>
  <si>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</si>
  <si>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</si>
  <si>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</si>
  <si>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</si>
  <si>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</si>
  <si>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</si>
  <si>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</si>
  <si>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</si>
  <si>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</si>
  <si>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</si>
  <si>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</si>
  <si>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</si>
  <si>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</si>
  <si>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</si>
  <si>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</si>
  <si>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</si>
  <si>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</si>
  <si>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</si>
  <si>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</si>
  <si>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</si>
  <si>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</si>
  <si>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</si>
  <si>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</si>
  <si>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</si>
  <si>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</si>
  <si>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</si>
  <si>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</si>
  <si>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</si>
  <si>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</si>
  <si>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</si>
  <si>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</si>
  <si>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</si>
  <si>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</si>
  <si>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</si>
  <si>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</si>
  <si>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</si>
  <si>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</si>
  <si>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</si>
  <si>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</si>
  <si>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</si>
  <si>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</si>
  <si>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</si>
  <si>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</si>
  <si>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</si>
  <si>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</si>
  <si>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</si>
  <si>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</si>
  <si>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</si>
  <si>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</si>
  <si>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</si>
  <si>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</si>
  <si>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</si>
  <si>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</si>
  <si>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</si>
  <si>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</si>
  <si>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</si>
  <si>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</si>
  <si>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</si>
  <si>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</si>
  <si>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</si>
  <si>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</si>
  <si>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</si>
  <si>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</si>
  <si>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</si>
  <si>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</si>
  <si>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</si>
  <si>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</si>
  <si>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</si>
  <si>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</si>
  <si>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</si>
  <si>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</si>
  <si>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</si>
  <si>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</si>
  <si>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</si>
  <si>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</si>
  <si>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</si>
  <si>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</si>
  <si>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</si>
  <si>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</si>
  <si>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</si>
  <si>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</si>
  <si>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</si>
  <si>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</si>
  <si>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</si>
  <si>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</si>
  <si>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</si>
  <si>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</si>
  <si>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</si>
  <si>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</si>
  <si>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</si>
  <si>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</si>
  <si>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</si>
  <si>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</si>
  <si>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</si>
  <si>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</si>
  <si>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</si>
  <si>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</si>
  <si>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</si>
  <si>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</si>
  <si>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</si>
  <si>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</si>
  <si>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</si>
  <si>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</si>
  <si>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</si>
  <si>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</si>
  <si>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</si>
  <si>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</si>
  <si>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</si>
  <si>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</si>
  <si>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</si>
  <si>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</si>
  <si>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</si>
  <si>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</si>
  <si>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</si>
  <si>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</si>
  <si>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</si>
  <si>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</si>
  <si>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</si>
  <si>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</si>
  <si>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</si>
  <si>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</si>
  <si>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</si>
  <si>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</si>
  <si>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</si>
  <si>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</si>
  <si>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</si>
  <si>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</si>
  <si>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</si>
  <si>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</si>
  <si>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</si>
  <si>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</si>
  <si>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</si>
  <si>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</si>
  <si>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</si>
  <si>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</si>
  <si>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</si>
  <si>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</si>
  <si>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</si>
  <si>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</si>
  <si>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</si>
  <si>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</si>
  <si>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</si>
  <si>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</si>
  <si>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</si>
  <si>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</si>
  <si>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</si>
  <si>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</si>
  <si>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</si>
  <si>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</si>
  <si>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</si>
  <si>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</si>
  <si>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</si>
  <si>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</si>
  <si>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</si>
  <si>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</si>
  <si>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</si>
  <si>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</si>
  <si>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</si>
  <si>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</si>
  <si>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</si>
  <si>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</si>
  <si>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</si>
  <si>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</si>
  <si>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</si>
  <si>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</si>
  <si>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</si>
  <si>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</si>
  <si>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</si>
  <si>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</si>
  <si>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</si>
  <si>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</si>
  <si>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</si>
  <si>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</si>
  <si>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</si>
  <si>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</si>
  <si>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</si>
  <si>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</si>
  <si>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</si>
  <si>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</si>
  <si>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</si>
  <si>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</si>
  <si>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</si>
  <si>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</si>
  <si>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</si>
  <si>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</si>
  <si>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</si>
  <si>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</si>
  <si>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</si>
  <si>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</si>
  <si>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</si>
  <si>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</si>
  <si>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</si>
  <si>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</si>
  <si>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</si>
  <si>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</si>
  <si>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</si>
  <si>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</si>
  <si>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</si>
  <si>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</si>
  <si>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</si>
  <si>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</si>
  <si>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</si>
  <si>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</si>
  <si>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</si>
  <si>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</si>
  <si>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</si>
  <si>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</si>
  <si>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</si>
  <si>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</si>
  <si>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</si>
  <si>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</si>
  <si>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</si>
  <si>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</si>
  <si>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</si>
  <si>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</si>
  <si>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</si>
  <si>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</si>
  <si>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</si>
  <si>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</si>
  <si>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</si>
  <si>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</si>
  <si>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</si>
  <si>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</si>
  <si>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</si>
  <si>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</si>
  <si>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</si>
  <si>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</si>
  <si>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</si>
  <si>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</si>
  <si>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</si>
  <si>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</si>
  <si>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</si>
  <si>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</si>
  <si>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</si>
  <si>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</si>
  <si>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</si>
  <si>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</si>
  <si>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</si>
  <si>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</si>
  <si>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</si>
  <si>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</si>
  <si>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</si>
  <si>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</si>
  <si>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</si>
  <si>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</si>
  <si>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</si>
  <si>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</si>
  <si>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</si>
  <si>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</si>
  <si>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</si>
  <si>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</si>
  <si>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</si>
  <si>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</si>
  <si>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</si>
  <si>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</si>
  <si>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</si>
  <si>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</si>
  <si>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</si>
  <si>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</si>
  <si>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</si>
  <si>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</si>
  <si>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</si>
  <si>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</si>
  <si>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</si>
  <si>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</si>
  <si>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</si>
  <si>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</si>
  <si>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</si>
  <si>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</si>
  <si>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</si>
  <si>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</si>
  <si>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</si>
  <si>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</si>
  <si>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</si>
  <si>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</si>
  <si>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</si>
  <si>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</si>
  <si>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</si>
  <si>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</si>
  <si>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</si>
  <si>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</si>
  <si>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</si>
  <si>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</si>
  <si>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</si>
  <si>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</si>
  <si>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</si>
  <si>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</si>
  <si>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</si>
  <si>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</si>
  <si>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</si>
  <si>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</si>
  <si>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</si>
  <si>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</si>
  <si>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</si>
  <si>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</si>
  <si>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</si>
  <si>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</si>
  <si>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</si>
  <si>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</si>
  <si>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</si>
  <si>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</si>
  <si>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</si>
  <si>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</si>
  <si>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</si>
  <si>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</si>
  <si>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</si>
  <si>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</si>
  <si>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</si>
  <si>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</si>
  <si>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</si>
  <si>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</si>
  <si>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</si>
  <si>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</si>
  <si>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</si>
  <si>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</si>
  <si>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</si>
  <si>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</si>
  <si>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</si>
  <si>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</si>
  <si>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</si>
  <si>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</si>
  <si>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</si>
  <si>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</si>
  <si>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</si>
  <si>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</si>
  <si>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</si>
  <si>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</si>
  <si>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</si>
  <si>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</si>
  <si>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</si>
  <si>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</si>
  <si>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</si>
  <si>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</si>
  <si>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</si>
  <si>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</si>
  <si>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</si>
  <si>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</si>
  <si>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</si>
  <si>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</si>
  <si>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</si>
  <si>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</si>
  <si>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</si>
  <si>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</si>
  <si>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</si>
  <si>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</si>
  <si>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</si>
  <si>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</si>
  <si>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</si>
  <si>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</si>
  <si>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</si>
  <si>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</si>
  <si>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</si>
  <si>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</si>
  <si>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</si>
  <si>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</si>
  <si>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</si>
  <si>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</si>
  <si>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</si>
  <si>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</si>
  <si>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</si>
  <si>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</si>
  <si>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</si>
  <si>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</si>
  <si>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</si>
  <si>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</si>
  <si>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</si>
  <si>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</si>
  <si>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</si>
  <si>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</si>
  <si>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</si>
  <si>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</si>
  <si>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</si>
  <si>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</si>
  <si>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</si>
  <si>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</si>
  <si>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</si>
  <si>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</si>
  <si>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</si>
  <si>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</si>
  <si>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</si>
  <si>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</si>
  <si>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</si>
  <si>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</si>
  <si>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</si>
  <si>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</si>
  <si>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</si>
  <si>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</si>
  <si>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</si>
  <si>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</si>
  <si>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</si>
  <si>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</si>
  <si>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</si>
  <si>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</si>
  <si>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</si>
  <si>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</si>
  <si>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</si>
  <si>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</si>
  <si>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</si>
  <si>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</si>
  <si>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</si>
  <si>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</si>
  <si>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</si>
  <si>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</si>
  <si>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</si>
  <si>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</si>
  <si>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</si>
  <si>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</si>
  <si>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</si>
  <si>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</si>
  <si>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</si>
  <si>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</si>
  <si>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</si>
  <si>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</si>
  <si>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</si>
  <si>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</si>
  <si>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</si>
  <si>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</si>
  <si>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</si>
  <si>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</si>
  <si>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</si>
  <si>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</si>
  <si>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</si>
  <si>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</si>
  <si>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</si>
  <si>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</si>
  <si>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</si>
  <si>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</si>
  <si>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</si>
  <si>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</si>
  <si>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</si>
  <si>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</si>
  <si>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</si>
  <si>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</si>
  <si>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</si>
  <si>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</si>
  <si>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</si>
  <si>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</si>
  <si>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</si>
  <si>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</si>
  <si>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</si>
  <si>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</si>
  <si>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</si>
  <si>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</si>
  <si>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</si>
  <si>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</si>
  <si>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</si>
  <si>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</si>
  <si>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</si>
  <si>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</si>
  <si>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</si>
  <si>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</si>
  <si>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</si>
  <si>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</si>
  <si>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</si>
  <si>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</si>
  <si>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</si>
  <si>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</si>
  <si>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</si>
  <si>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</si>
  <si>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</si>
  <si>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</si>
  <si>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</si>
  <si>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</si>
  <si>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</si>
  <si>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</si>
  <si>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</si>
  <si>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</si>
  <si>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</si>
  <si>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</si>
  <si>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</si>
  <si>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</si>
  <si>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</si>
  <si>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</si>
  <si>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</si>
  <si>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</si>
  <si>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</si>
  <si>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</si>
  <si>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</si>
  <si>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</si>
  <si>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</si>
  <si>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</si>
  <si>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</si>
  <si>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</si>
  <si>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</si>
  <si>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</si>
  <si>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</si>
  <si>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</si>
  <si>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</si>
  <si>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</si>
  <si>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</si>
  <si>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</si>
  <si>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</si>
  <si>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</si>
  <si>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</si>
  <si>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</si>
  <si>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</si>
  <si>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</si>
  <si>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</si>
  <si>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</si>
  <si>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</si>
  <si>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</si>
  <si>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</si>
  <si>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</si>
  <si>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</si>
  <si>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</si>
  <si>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</si>
  <si>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</si>
  <si>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</si>
  <si>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</si>
  <si>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</si>
  <si>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</si>
  <si>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</si>
  <si>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</si>
  <si>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</si>
  <si>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</si>
  <si>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</si>
  <si>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</si>
  <si>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</si>
  <si>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</si>
  <si>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</si>
  <si>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</si>
  <si>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</si>
  <si>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</si>
  <si>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</si>
  <si>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</si>
  <si>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</si>
  <si>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</si>
  <si>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</si>
  <si>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</si>
  <si>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</si>
  <si>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</si>
  <si>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</si>
  <si>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</si>
  <si>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</si>
  <si>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</si>
  <si>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</si>
  <si>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</si>
  <si>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</si>
  <si>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</si>
  <si>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</si>
  <si>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</si>
  <si>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</si>
  <si>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</si>
  <si>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</si>
  <si>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</si>
  <si>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</si>
  <si>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</si>
  <si>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</si>
  <si>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</si>
  <si>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</si>
  <si>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</si>
  <si>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</si>
  <si>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</si>
  <si>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</si>
  <si>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</si>
  <si>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</si>
  <si>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</si>
  <si>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</si>
  <si>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</si>
  <si>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</si>
  <si>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</si>
  <si>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</si>
  <si>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</si>
  <si>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</si>
  <si>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</si>
  <si>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</si>
  <si>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</si>
  <si>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</si>
  <si>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</si>
  <si>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</si>
  <si>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</si>
  <si>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</si>
  <si>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</si>
  <si>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</si>
  <si>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</si>
  <si>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</si>
  <si>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</si>
  <si>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</si>
  <si>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</si>
  <si>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</si>
  <si>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</si>
  <si>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</si>
  <si>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</si>
  <si>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</si>
  <si>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</si>
  <si>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</si>
  <si>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</si>
  <si>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</si>
  <si>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</si>
  <si>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</si>
  <si>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</si>
  <si>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</si>
  <si>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</si>
  <si>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</si>
  <si>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</si>
  <si>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</si>
  <si>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</si>
  <si>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</si>
  <si>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</si>
  <si>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</si>
  <si>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</si>
  <si>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</si>
  <si>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</si>
  <si>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</si>
  <si>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</si>
  <si>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</si>
  <si>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</si>
  <si>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</si>
  <si>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</si>
  <si>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</si>
  <si>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</si>
  <si>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</si>
  <si>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</si>
  <si>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</si>
  <si>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</si>
  <si>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</si>
  <si>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</si>
  <si>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</si>
  <si>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</si>
  <si>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</si>
  <si>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</si>
  <si>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</si>
  <si>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</si>
  <si>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</si>
  <si>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</si>
  <si>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</si>
  <si>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</si>
  <si>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</si>
  <si>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</si>
  <si>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</si>
  <si>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</si>
  <si>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</si>
  <si>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</si>
  <si>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</si>
  <si>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</si>
  <si>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</si>
  <si>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</si>
  <si>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</si>
  <si>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</si>
  <si>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</si>
  <si>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</si>
  <si>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</si>
  <si>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</si>
  <si>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</si>
  <si>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</si>
  <si>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</si>
  <si>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</si>
  <si>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</si>
  <si>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</si>
  <si>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</si>
  <si>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</si>
  <si>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</si>
  <si>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</si>
  <si>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</si>
  <si>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</si>
  <si>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</si>
  <si>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</si>
  <si>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</si>
  <si>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</si>
  <si>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</si>
  <si>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</si>
  <si>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</si>
  <si>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</si>
  <si>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</si>
  <si>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</si>
  <si>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</si>
  <si>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</si>
  <si>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</si>
  <si>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</si>
  <si>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</si>
  <si>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</si>
  <si>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</si>
  <si>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</si>
  <si>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</si>
  <si>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</si>
  <si>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</si>
  <si>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</si>
  <si>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</si>
  <si>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</si>
  <si>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</si>
  <si>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</si>
  <si>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</si>
  <si>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</si>
  <si>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</si>
  <si>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</si>
  <si>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</si>
  <si>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</si>
  <si>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</si>
  <si>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</si>
  <si>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</si>
  <si>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</si>
  <si>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</si>
  <si>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</si>
  <si>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</si>
  <si>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</si>
  <si>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</si>
  <si>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</si>
  <si>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</si>
  <si>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</si>
  <si>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</si>
  <si>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</si>
  <si>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</si>
  <si>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</si>
  <si>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</si>
  <si>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</si>
  <si>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</si>
  <si>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</si>
  <si>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</si>
  <si>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</si>
  <si>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</si>
  <si>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</si>
  <si>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</si>
  <si>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</si>
  <si>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</si>
  <si>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</si>
  <si>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</si>
  <si>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</si>
  <si>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</si>
  <si>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</si>
  <si>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</si>
  <si>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</si>
  <si>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</si>
  <si>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</si>
  <si>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</si>
  <si>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</si>
  <si>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</si>
  <si>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</si>
  <si>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</si>
  <si>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</si>
  <si>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</si>
  <si>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</si>
  <si>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</si>
  <si>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</si>
  <si>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</si>
  <si>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</si>
  <si>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</si>
  <si>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</si>
  <si>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</si>
  <si>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</si>
  <si>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</si>
  <si>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</si>
  <si>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</si>
  <si>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</si>
  <si>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</si>
  <si>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</si>
  <si>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</si>
  <si>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</si>
  <si>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</si>
  <si>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</si>
  <si>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</si>
  <si>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</si>
  <si>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</si>
  <si>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</si>
  <si>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</si>
  <si>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</si>
  <si>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</si>
  <si>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</si>
  <si>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</si>
  <si>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</si>
  <si>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</si>
  <si>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</si>
  <si>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</si>
  <si>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</si>
  <si>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</si>
  <si>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</si>
  <si>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</si>
  <si>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</si>
  <si>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</si>
  <si>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</si>
  <si>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</si>
  <si>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</si>
  <si>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</si>
  <si>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</si>
  <si>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</si>
  <si>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</si>
  <si>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</si>
  <si>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</si>
  <si>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</si>
  <si>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</si>
  <si>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</si>
  <si>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</si>
  <si>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</si>
  <si>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</si>
  <si>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</si>
  <si>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</si>
  <si>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</si>
  <si>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</si>
  <si>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</si>
  <si>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</si>
  <si>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</si>
  <si>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</si>
  <si>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</si>
  <si>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</si>
  <si>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</si>
  <si>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</si>
  <si>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</si>
  <si>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</si>
  <si>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</si>
  <si>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</si>
  <si>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</si>
  <si>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</si>
  <si>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</si>
  <si>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</si>
  <si>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</si>
  <si>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</si>
  <si>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</si>
  <si>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</si>
  <si>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</si>
  <si>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</si>
  <si>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</si>
  <si>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</si>
  <si>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</si>
  <si>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</si>
  <si>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</si>
  <si>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</si>
  <si>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</si>
  <si>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</si>
  <si>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</si>
  <si>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</si>
  <si>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</si>
  <si>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</si>
  <si>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</si>
  <si>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</si>
  <si>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</si>
  <si>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</si>
  <si>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</si>
  <si>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</si>
  <si>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</si>
  <si>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</si>
  <si>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</si>
  <si>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</si>
  <si>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</si>
  <si>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</si>
  <si>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</si>
  <si>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</si>
  <si>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</si>
  <si>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</si>
  <si>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</si>
  <si>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</si>
  <si>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</si>
  <si>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</si>
  <si>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</si>
  <si>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</si>
  <si>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</si>
  <si>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</si>
  <si>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</si>
  <si>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</si>
  <si>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</si>
  <si>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</si>
  <si>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</si>
  <si>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</si>
  <si>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</si>
  <si>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</si>
  <si>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</si>
  <si>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</si>
  <si>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</si>
  <si>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</si>
  <si>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</si>
  <si>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</si>
  <si>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</si>
  <si>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</si>
  <si>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</si>
  <si>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</si>
  <si>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</si>
  <si>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</si>
  <si>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</si>
  <si>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</si>
  <si>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</si>
  <si>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</si>
  <si>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</si>
  <si>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</si>
  <si>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</si>
  <si>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</si>
  <si>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</si>
  <si>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</si>
  <si>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</si>
  <si>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</si>
  <si>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</si>
  <si>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</si>
  <si>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</si>
  <si>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</si>
  <si>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</si>
  <si>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</si>
  <si>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</si>
  <si>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</si>
  <si>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</si>
  <si>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</si>
  <si>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</si>
  <si>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</si>
  <si>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</si>
  <si>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</si>
  <si>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</si>
  <si>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</si>
  <si>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</si>
  <si>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</si>
  <si>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</si>
  <si>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</si>
  <si>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</si>
  <si>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</si>
  <si>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</si>
  <si>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</si>
  <si>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</si>
  <si>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</si>
  <si>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</si>
  <si>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</si>
  <si>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</si>
  <si>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</si>
  <si>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</si>
  <si>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</si>
  <si>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</si>
  <si>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</si>
  <si>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</si>
  <si>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</si>
  <si>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</si>
  <si>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</si>
  <si>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</si>
  <si>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</si>
  <si>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</si>
  <si>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</si>
  <si>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</si>
  <si>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</si>
  <si>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</si>
  <si>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</si>
  <si>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</si>
  <si>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</si>
  <si>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</si>
  <si>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</si>
  <si>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</si>
  <si>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</si>
  <si>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</si>
  <si>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</si>
  <si>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</si>
  <si>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</si>
  <si>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</si>
  <si>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</si>
  <si>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</si>
  <si>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</si>
  <si>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</si>
  <si>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</si>
  <si>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</si>
  <si>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</si>
  <si>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</si>
  <si>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</si>
  <si>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</si>
  <si>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</si>
  <si>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</si>
  <si>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</si>
  <si>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</si>
  <si>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</si>
  <si>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</si>
  <si>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</si>
  <si>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</si>
  <si>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</si>
  <si>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</si>
  <si>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</si>
  <si>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</si>
  <si>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</si>
  <si>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</si>
  <si>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</si>
  <si>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</si>
  <si>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</si>
  <si>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</si>
  <si>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</si>
  <si>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</si>
  <si>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</si>
  <si>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</si>
  <si>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</si>
  <si>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</si>
  <si>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</si>
  <si>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</si>
  <si>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</si>
  <si>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</si>
  <si>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</si>
  <si>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</si>
  <si>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</si>
  <si>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</si>
  <si>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</si>
  <si>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</si>
  <si>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</si>
  <si>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</si>
  <si>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</si>
  <si>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</si>
  <si>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</si>
  <si>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</si>
  <si>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</si>
  <si>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</si>
  <si>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</si>
  <si>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</si>
  <si>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</si>
  <si>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</si>
  <si>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</si>
  <si>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</si>
  <si>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</si>
  <si>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</si>
  <si>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</si>
  <si>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</si>
  <si>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</si>
  <si>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</si>
  <si>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</si>
  <si>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</si>
  <si>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</si>
  <si>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</si>
  <si>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</si>
  <si>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</si>
  <si>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</si>
  <si>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</si>
  <si>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</si>
  <si>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</si>
  <si>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</si>
  <si>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</si>
  <si>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</si>
  <si>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</si>
  <si>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</si>
  <si>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</si>
  <si>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</si>
  <si>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</si>
  <si>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</si>
  <si>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</si>
  <si>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</si>
  <si>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</si>
  <si>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</si>
  <si>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</si>
  <si>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</si>
  <si>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</si>
  <si>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</si>
  <si>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</si>
  <si>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</si>
  <si>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</si>
  <si>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</si>
  <si>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</si>
  <si>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</si>
  <si>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</si>
  <si>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</si>
  <si>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</si>
  <si>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</si>
  <si>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</si>
  <si>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</si>
  <si>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</si>
  <si>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</si>
  <si>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</si>
  <si>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</si>
  <si>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</si>
  <si>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</si>
  <si>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</si>
  <si>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</si>
  <si>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</si>
  <si>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</si>
  <si>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</si>
  <si>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</si>
  <si>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</si>
  <si>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</si>
  <si>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</si>
  <si>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</si>
  <si>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</si>
  <si>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</si>
  <si>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</si>
  <si>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</si>
  <si>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</si>
  <si>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</si>
  <si>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</si>
  <si>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</si>
  <si>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</si>
  <si>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</si>
  <si>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</si>
  <si>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</si>
  <si>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</si>
  <si>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</si>
  <si>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</si>
  <si>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</si>
  <si>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</si>
  <si>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</si>
  <si>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</si>
  <si>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</si>
  <si>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</si>
  <si>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</si>
  <si>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</si>
  <si>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</si>
  <si>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</si>
  <si>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</si>
  <si>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</si>
  <si>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</si>
  <si>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</si>
  <si>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</si>
  <si>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</si>
  <si>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</si>
  <si>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</si>
  <si>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</si>
  <si>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</si>
  <si>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</si>
  <si>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</si>
  <si>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</si>
  <si>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</si>
  <si>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</si>
  <si>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</si>
  <si>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</si>
  <si>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</si>
  <si>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</si>
  <si>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</si>
  <si>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</si>
  <si>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</si>
  <si>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</si>
  <si>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</si>
  <si>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</si>
  <si>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</si>
  <si>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</si>
  <si>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</si>
  <si>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</si>
  <si>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</si>
  <si>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</si>
  <si>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</si>
  <si>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</si>
  <si>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</si>
  <si>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</si>
  <si>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</si>
  <si>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</si>
  <si>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</si>
  <si>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</si>
  <si>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</si>
  <si>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</si>
  <si>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</si>
  <si>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</si>
  <si>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</si>
  <si>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</si>
  <si>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</si>
  <si>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</si>
  <si>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</si>
  <si>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</si>
  <si>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</si>
  <si>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</si>
  <si>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</si>
  <si>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</si>
  <si>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</si>
  <si>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</si>
  <si>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</si>
  <si>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</si>
  <si>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</si>
  <si>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</si>
  <si>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</si>
  <si>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</si>
  <si>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</si>
  <si>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</si>
  <si>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</si>
  <si>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</si>
  <si>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</si>
  <si>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</si>
  <si>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</si>
  <si>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</si>
  <si>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</si>
  <si>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</si>
  <si>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</si>
  <si>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</si>
  <si>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</si>
  <si>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</si>
  <si>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</si>
  <si>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</si>
  <si>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</si>
  <si>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</si>
  <si>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</si>
  <si>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</si>
  <si>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</si>
  <si>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</si>
  <si>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</si>
  <si>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</si>
  <si>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</si>
  <si>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</si>
  <si>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</si>
  <si>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</si>
  <si>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</si>
  <si>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</si>
  <si>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</si>
  <si>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</si>
  <si>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</si>
  <si>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</si>
  <si>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</si>
  <si>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</si>
  <si>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</si>
  <si>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</si>
  <si>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</si>
  <si>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</si>
  <si>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</si>
  <si>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</si>
  <si>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</si>
  <si>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</si>
  <si>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</si>
  <si>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</si>
  <si>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</si>
  <si>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</si>
  <si>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</si>
  <si>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</si>
  <si>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</si>
  <si>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</si>
  <si>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</si>
  <si>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</si>
  <si>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</si>
  <si>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</si>
  <si>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</si>
  <si>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</si>
  <si>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</si>
  <si>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</si>
  <si>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</si>
  <si>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</si>
  <si>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</si>
  <si>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</si>
  <si>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</si>
  <si>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</si>
  <si>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</si>
  <si>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</si>
  <si>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</si>
  <si>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</si>
  <si>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</si>
  <si>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</si>
  <si>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</si>
  <si>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</si>
  <si>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</si>
  <si>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</si>
  <si>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</si>
  <si>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</si>
  <si>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</si>
  <si>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</si>
  <si>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</si>
  <si>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</si>
  <si>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</si>
  <si>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</si>
  <si>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</si>
  <si>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</si>
  <si>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</si>
  <si>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</si>
  <si>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</si>
  <si>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</si>
  <si>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</si>
  <si>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</si>
  <si>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</si>
  <si>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</si>
  <si>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</si>
  <si>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</si>
  <si>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</si>
  <si>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</si>
  <si>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</si>
  <si>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</si>
  <si>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</si>
  <si>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</si>
  <si>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</si>
  <si>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</si>
  <si>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</si>
  <si>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</si>
  <si>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</si>
  <si>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</si>
  <si>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</si>
  <si>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</si>
  <si>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</si>
  <si>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</si>
  <si>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</si>
  <si>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</si>
  <si>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</si>
  <si>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</si>
  <si>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</si>
  <si>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</si>
  <si>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</si>
  <si>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</si>
  <si>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</si>
  <si>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</si>
  <si>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</si>
  <si>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</si>
  <si>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</si>
  <si>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</si>
  <si>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</si>
  <si>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</si>
  <si>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</si>
  <si>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</si>
  <si>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</si>
  <si>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</si>
  <si>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</si>
  <si>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</si>
  <si>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</si>
  <si>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</si>
  <si>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</si>
  <si>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</si>
  <si>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</si>
  <si>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</si>
  <si>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</si>
  <si>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</si>
  <si>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</si>
  <si>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</si>
  <si>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</si>
  <si>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</si>
  <si>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</si>
  <si>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</si>
  <si>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</si>
  <si>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</si>
  <si>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</si>
  <si>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</si>
  <si>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</si>
  <si>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</si>
  <si>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</si>
  <si>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</si>
  <si>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</si>
  <si>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</si>
  <si>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</si>
  <si>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</si>
  <si>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</si>
  <si>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</si>
  <si>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</si>
  <si>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</si>
  <si>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</si>
  <si>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</si>
  <si>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</si>
  <si>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</si>
  <si>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</si>
  <si>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</si>
  <si>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</si>
  <si>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</si>
  <si>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</si>
  <si>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</si>
  <si>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</si>
  <si>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</si>
  <si>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</si>
  <si>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</si>
  <si>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</si>
  <si>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</si>
  <si>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</si>
  <si>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</si>
  <si>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</si>
  <si>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</si>
  <si>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</si>
  <si>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</si>
  <si>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</si>
  <si>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</si>
  <si>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</si>
  <si>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</si>
  <si>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</si>
  <si>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</si>
  <si>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</si>
  <si>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</si>
  <si>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</si>
  <si>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</si>
  <si>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</si>
  <si>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</si>
  <si>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</si>
  <si>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</si>
  <si>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</si>
  <si>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</si>
  <si>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</si>
  <si>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</si>
  <si>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</si>
  <si>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</si>
  <si>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</si>
  <si>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</si>
  <si>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</si>
  <si>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</si>
  <si>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</si>
  <si>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</si>
  <si>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</si>
  <si>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</si>
  <si>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</si>
  <si>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</si>
  <si>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</si>
  <si>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</si>
  <si>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</si>
  <si>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</si>
  <si>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</si>
  <si>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</si>
  <si>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</si>
  <si>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</si>
  <si>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</si>
  <si>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</si>
  <si>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</si>
  <si>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</si>
  <si>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</si>
  <si>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</si>
  <si>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</si>
  <si>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</si>
  <si>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</si>
  <si>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</si>
  <si>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</si>
  <si>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</si>
  <si>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</si>
  <si>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</si>
  <si>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</si>
  <si>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</si>
  <si>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</si>
  <si>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</si>
  <si>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</si>
  <si>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</si>
  <si>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</si>
  <si>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</si>
  <si>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</si>
  <si>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</si>
  <si>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</si>
  <si>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</si>
  <si>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</si>
  <si>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</si>
  <si>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</si>
  <si>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</si>
  <si>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</si>
  <si>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</si>
  <si>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</si>
  <si>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</si>
  <si>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</si>
  <si>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</si>
  <si>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</si>
  <si>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</si>
  <si>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</si>
  <si>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</si>
  <si>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</si>
  <si>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</si>
  <si>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</si>
  <si>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</si>
  <si>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</si>
  <si>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</si>
  <si>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</si>
  <si>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</si>
  <si>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</si>
  <si>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</si>
  <si>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</si>
  <si>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</si>
  <si>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</si>
  <si>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</si>
  <si>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</si>
  <si>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</si>
  <si>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</si>
  <si>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</si>
  <si>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</si>
  <si>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</si>
  <si>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</si>
  <si>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</si>
  <si>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</si>
  <si>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</si>
  <si>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</si>
  <si>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</si>
  <si>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</si>
  <si>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</si>
  <si>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</si>
  <si>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</si>
  <si>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</si>
  <si>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</si>
  <si>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</si>
  <si>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</si>
  <si>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</si>
  <si>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</si>
  <si>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</si>
  <si>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</si>
  <si>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</si>
  <si>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</si>
  <si>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</si>
  <si>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</si>
  <si>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</si>
  <si>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</si>
  <si>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</si>
  <si>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</si>
  <si>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</si>
  <si>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</si>
  <si>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</si>
  <si>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</si>
  <si>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</si>
  <si>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</si>
  <si>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</si>
  <si>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</si>
  <si>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</si>
  <si>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</si>
  <si>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</si>
  <si>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</si>
  <si>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</si>
  <si>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</si>
  <si>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</si>
  <si>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</si>
  <si>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</si>
  <si>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</si>
  <si>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</si>
  <si>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</si>
  <si>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</si>
  <si>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</si>
  <si>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</si>
  <si>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</si>
  <si>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</si>
  <si>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</si>
  <si>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</si>
  <si>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</si>
  <si>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</si>
  <si>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</si>
  <si>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</si>
  <si>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</si>
  <si>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</si>
  <si>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</si>
  <si>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</si>
  <si>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</si>
  <si>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</si>
  <si>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</si>
  <si>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</si>
  <si>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</si>
  <si>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</si>
  <si>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</si>
  <si>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</si>
  <si>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</si>
  <si>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</si>
  <si>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</si>
  <si>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</si>
  <si>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</si>
  <si>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</si>
  <si>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</si>
  <si>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</si>
  <si>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</si>
  <si>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</si>
  <si>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</si>
  <si>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</si>
  <si>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</si>
  <si>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</si>
  <si>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</si>
  <si>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</si>
  <si>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</si>
  <si>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</si>
  <si>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</si>
  <si>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</si>
  <si>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</si>
  <si>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</si>
  <si>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</si>
  <si>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</si>
  <si>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</si>
  <si>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</si>
  <si>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</si>
  <si>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</si>
  <si>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</si>
  <si>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</si>
  <si>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</si>
  <si>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</si>
  <si>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</si>
  <si>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</si>
  <si>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</si>
  <si>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</si>
  <si>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</si>
  <si>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</si>
  <si>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</si>
  <si>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</si>
  <si>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</si>
  <si>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</si>
  <si>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</si>
  <si>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</si>
  <si>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</si>
  <si>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</si>
  <si>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</si>
  <si>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</si>
  <si>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</si>
  <si>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</si>
  <si>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</si>
  <si>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</si>
  <si>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</si>
  <si>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</si>
  <si>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</si>
  <si>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</si>
  <si>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</si>
  <si>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</si>
  <si>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</si>
  <si>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</si>
  <si>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</si>
  <si>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</si>
  <si>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</si>
  <si>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</si>
  <si>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</si>
  <si>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</si>
  <si>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</si>
  <si>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</si>
  <si>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</si>
  <si>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</si>
  <si>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</si>
  <si>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</si>
  <si>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</si>
  <si>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</si>
  <si>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</si>
  <si>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</si>
  <si>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</si>
  <si>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</si>
  <si>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</si>
  <si>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</si>
  <si>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</si>
  <si>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</si>
  <si>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</si>
  <si>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</si>
  <si>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</si>
  <si>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</si>
  <si>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</si>
  <si>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</si>
  <si>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</si>
  <si>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</si>
  <si>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</si>
  <si>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</si>
  <si>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</si>
  <si>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</si>
  <si>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</si>
  <si>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</si>
  <si>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</si>
  <si>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</si>
  <si>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</si>
  <si>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</si>
  <si>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</si>
  <si>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</si>
  <si>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</si>
  <si>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</si>
  <si>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</si>
  <si>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</si>
  <si>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</si>
  <si>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</si>
  <si>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</si>
  <si>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</si>
  <si>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</si>
  <si>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</si>
  <si>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</si>
  <si>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</si>
  <si>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</si>
  <si>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</si>
  <si>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</si>
  <si>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</si>
  <si>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</si>
  <si>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</si>
  <si>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</si>
  <si>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</si>
  <si>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</si>
  <si>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</si>
  <si>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</si>
  <si>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</si>
  <si>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</si>
  <si>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</si>
  <si>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</si>
  <si>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</si>
  <si>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</si>
  <si>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</si>
  <si>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</si>
  <si>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</si>
  <si>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</si>
  <si>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</si>
  <si>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</si>
  <si>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</si>
  <si>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</si>
  <si>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</si>
  <si>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</si>
  <si>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</si>
  <si>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</si>
  <si>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</si>
  <si>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</si>
  <si>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</si>
  <si>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</si>
  <si>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</si>
  <si>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</si>
  <si>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</si>
  <si>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</si>
  <si>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</si>
  <si>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</si>
  <si>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</si>
  <si>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</si>
  <si>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</si>
  <si>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</si>
  <si>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</si>
  <si>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</si>
  <si>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</si>
  <si>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</si>
  <si>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</si>
  <si>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</si>
  <si>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</si>
  <si>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</si>
  <si>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</si>
  <si>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</si>
  <si>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</si>
  <si>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</si>
  <si>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</si>
  <si>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</si>
  <si>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</si>
  <si>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</si>
  <si>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</si>
  <si>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</si>
  <si>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</si>
  <si>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</si>
  <si>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</si>
  <si>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</si>
  <si>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</si>
  <si>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</si>
  <si>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</si>
  <si>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</si>
  <si>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</si>
  <si>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</si>
  <si>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</si>
  <si>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</si>
  <si>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</si>
  <si>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</si>
  <si>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</si>
  <si>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</si>
  <si>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</si>
  <si>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</si>
  <si>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</si>
  <si>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</si>
  <si>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</si>
  <si>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</si>
  <si>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</si>
  <si>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</si>
  <si>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</si>
  <si>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</si>
  <si>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</si>
  <si>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</si>
  <si>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</si>
  <si>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</si>
  <si>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</si>
  <si>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</si>
  <si>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</si>
  <si>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</si>
  <si>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</si>
  <si>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</si>
  <si>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</si>
  <si>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</si>
  <si>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</si>
  <si>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</si>
  <si>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</si>
  <si>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</si>
  <si>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</si>
  <si>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</si>
  <si>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</si>
  <si>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</si>
  <si>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</si>
  <si>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</si>
  <si>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</si>
  <si>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</si>
  <si>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</si>
  <si>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</si>
  <si>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</si>
  <si>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</si>
  <si>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</si>
  <si>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</si>
  <si>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</si>
  <si>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</si>
  <si>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</si>
  <si>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</si>
  <si>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</si>
  <si>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</si>
  <si>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</si>
  <si>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</si>
  <si>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</si>
  <si>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</si>
  <si>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</si>
  <si>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</si>
  <si>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</si>
  <si>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</si>
  <si>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</si>
  <si>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</si>
  <si>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</si>
  <si>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</si>
  <si>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</si>
  <si>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</si>
  <si>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</si>
  <si>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</si>
  <si>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</si>
  <si>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</si>
  <si>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</si>
  <si>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</si>
  <si>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</si>
  <si>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</si>
  <si>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</si>
  <si>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</si>
  <si>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</si>
  <si>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</si>
  <si>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</si>
  <si>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</si>
  <si>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</si>
  <si>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</si>
  <si>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</si>
  <si>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</si>
  <si>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</si>
  <si>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</si>
  <si>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</si>
  <si>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</si>
  <si>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</si>
  <si>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</si>
  <si>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</si>
  <si>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</si>
  <si>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</si>
  <si>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</si>
  <si>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</si>
  <si>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</si>
  <si>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</si>
  <si>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</si>
  <si>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</si>
  <si>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</si>
  <si>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</si>
  <si>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</si>
  <si>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</si>
  <si>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</si>
  <si>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</si>
  <si>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</si>
  <si>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</si>
  <si>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</si>
  <si>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</si>
  <si>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</si>
  <si>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</si>
  <si>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</si>
  <si>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</si>
  <si>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</si>
  <si>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</si>
  <si>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</si>
  <si>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</si>
  <si>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</si>
  <si>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</si>
  <si>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</si>
  <si>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</si>
  <si>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</si>
  <si>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</si>
  <si>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</si>
  <si>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</si>
  <si>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</si>
  <si>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</si>
  <si>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</si>
  <si>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</si>
  <si>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</si>
  <si>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</si>
  <si>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</si>
  <si>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</si>
  <si>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</si>
  <si>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</si>
  <si>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</si>
  <si>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</si>
  <si>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</si>
  <si>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</si>
  <si>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</si>
  <si>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</si>
  <si>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</si>
  <si>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</si>
  <si>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</si>
  <si>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</si>
  <si>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</si>
  <si>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</si>
  <si>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</si>
  <si>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</si>
  <si>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</si>
  <si>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</si>
  <si>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</si>
  <si>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</si>
  <si>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</si>
  <si>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</si>
  <si>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</si>
  <si>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</si>
  <si>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</si>
  <si>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</si>
  <si>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</si>
  <si>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</si>
  <si>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</si>
  <si>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</si>
  <si>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</si>
  <si>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</si>
  <si>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</si>
  <si>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</si>
  <si>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</si>
  <si>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</si>
  <si>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</si>
  <si>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</si>
  <si>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</si>
  <si>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</si>
  <si>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</si>
  <si>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</si>
  <si>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</si>
  <si>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</si>
  <si>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</si>
  <si>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</si>
  <si>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</si>
  <si>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</si>
  <si>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</si>
  <si>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</si>
  <si>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</si>
  <si>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</si>
  <si>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</si>
  <si>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</si>
  <si>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</si>
  <si>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</si>
  <si>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</si>
  <si>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</si>
  <si>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</si>
  <si>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</si>
  <si>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</si>
  <si>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</si>
  <si>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</si>
  <si>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</si>
  <si>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</si>
  <si>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</si>
  <si>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</si>
  <si>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</si>
  <si>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</si>
  <si>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</si>
  <si>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</si>
  <si>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</si>
  <si>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</si>
  <si>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</si>
  <si>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</si>
  <si>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</si>
  <si>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</si>
  <si>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</si>
  <si>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</si>
  <si>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</si>
  <si>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</si>
  <si>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</si>
  <si>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</si>
  <si>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</si>
  <si>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</si>
  <si>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</si>
  <si>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</si>
  <si>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</si>
  <si>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</si>
  <si>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</si>
  <si>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</si>
  <si>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</si>
  <si>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</si>
  <si>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</si>
  <si>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</si>
  <si>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</si>
  <si>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</si>
  <si>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</si>
  <si>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</si>
  <si>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</si>
  <si>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</si>
  <si>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</si>
  <si>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</si>
  <si>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</si>
  <si>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</si>
  <si>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</si>
  <si>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</si>
  <si>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</si>
  <si>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</si>
  <si>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</si>
  <si>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</si>
  <si>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</si>
  <si>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</si>
  <si>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</si>
  <si>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</si>
  <si>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</si>
  <si>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</si>
  <si>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</si>
  <si>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</si>
  <si>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</si>
  <si>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</si>
  <si>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</si>
  <si>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</si>
  <si>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</si>
  <si>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</si>
  <si>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</si>
  <si>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</si>
  <si>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</si>
  <si>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</si>
  <si>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</si>
  <si>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</si>
  <si>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</si>
  <si>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</si>
  <si>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</si>
  <si>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</si>
  <si>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</si>
  <si>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</si>
  <si>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</si>
  <si>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</si>
  <si>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</si>
  <si>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</si>
  <si>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</si>
  <si>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</si>
  <si>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</si>
  <si>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</si>
  <si>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</si>
  <si>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</si>
  <si>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</si>
  <si>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</si>
  <si>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</si>
  <si>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</si>
  <si>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</si>
  <si>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</si>
  <si>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</si>
  <si>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</si>
  <si>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</si>
  <si>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</si>
  <si>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</si>
  <si>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</si>
  <si>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</si>
  <si>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</si>
  <si>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</si>
  <si>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</si>
  <si>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</si>
  <si>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</si>
  <si>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</si>
  <si>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</si>
  <si>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</si>
  <si>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</si>
  <si>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</si>
  <si>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</si>
  <si>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</si>
  <si>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</si>
  <si>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</si>
  <si>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</si>
  <si>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</si>
  <si>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</si>
  <si>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</si>
  <si>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</si>
  <si>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</si>
  <si>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</si>
  <si>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</si>
  <si>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</si>
  <si>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</si>
  <si>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</si>
  <si>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</si>
  <si>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</si>
  <si>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</si>
  <si>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</si>
  <si>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</si>
  <si>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</si>
  <si>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</si>
  <si>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</si>
  <si>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</si>
  <si>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</si>
  <si>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</si>
  <si>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</si>
  <si>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</si>
  <si>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</si>
  <si>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</si>
  <si>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</si>
  <si>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</si>
  <si>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</si>
  <si>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</si>
  <si>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</si>
  <si>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</si>
  <si>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</si>
  <si>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</si>
  <si>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</si>
  <si>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</si>
  <si>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</si>
  <si>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</si>
  <si>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</si>
  <si>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</si>
  <si>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</si>
  <si>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</si>
  <si>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</si>
  <si>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</si>
  <si>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</si>
  <si>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</si>
  <si>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</si>
  <si>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</si>
  <si>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</si>
  <si>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</si>
  <si>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</si>
  <si>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</si>
  <si>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</si>
  <si>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</si>
  <si>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</si>
  <si>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</si>
  <si>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</si>
  <si>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</si>
  <si>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</si>
  <si>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</si>
  <si>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</si>
  <si>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</si>
  <si>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</si>
  <si>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</si>
  <si>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</si>
  <si>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</si>
  <si>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</si>
  <si>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</si>
  <si>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</si>
  <si>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</si>
  <si>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</si>
  <si>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</si>
  <si>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</si>
  <si>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</si>
  <si>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</si>
  <si>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</si>
  <si>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</si>
  <si>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</si>
  <si>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</si>
  <si>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</si>
  <si>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</si>
  <si>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</si>
  <si>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</si>
  <si>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</si>
  <si>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</si>
  <si>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</si>
  <si>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</si>
  <si>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</si>
  <si>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</si>
  <si>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</si>
  <si>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</si>
  <si>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</si>
  <si>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</si>
  <si>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</si>
  <si>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</si>
  <si>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</si>
  <si>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</si>
  <si>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</si>
  <si>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</si>
  <si>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</si>
  <si>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</si>
  <si>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</si>
  <si>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</si>
  <si>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</si>
  <si>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</si>
  <si>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</si>
  <si>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</si>
  <si>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</si>
  <si>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</si>
  <si>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</si>
  <si>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</si>
  <si>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</si>
  <si>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</si>
  <si>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</si>
  <si>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</si>
  <si>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</si>
  <si>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</si>
  <si>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</si>
  <si>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</si>
  <si>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</si>
  <si>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</si>
  <si>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</si>
  <si>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</si>
  <si>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</si>
  <si>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</si>
  <si>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</si>
  <si>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</si>
  <si>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</si>
  <si>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</si>
  <si>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</si>
  <si>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</si>
  <si>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</si>
  <si>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</si>
  <si>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</si>
  <si>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</si>
  <si>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</si>
  <si>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</si>
  <si>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</si>
  <si>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</si>
  <si>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</si>
  <si>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</si>
  <si>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</si>
  <si>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</si>
  <si>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</si>
  <si>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</si>
  <si>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</si>
  <si>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</si>
  <si>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</si>
  <si>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</si>
  <si>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</si>
  <si>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</si>
  <si>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</si>
  <si>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</si>
  <si>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</si>
  <si>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</si>
  <si>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</si>
  <si>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</si>
  <si>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</si>
  <si>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</si>
  <si>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</si>
  <si>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</si>
  <si>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</si>
  <si>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</si>
  <si>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</si>
  <si>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</si>
  <si>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</si>
  <si>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</si>
  <si>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</si>
  <si>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</si>
  <si>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</si>
  <si>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</si>
  <si>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</si>
  <si>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</si>
  <si>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</si>
  <si>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</si>
  <si>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</si>
  <si>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</si>
  <si>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</si>
  <si>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</si>
  <si>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</si>
  <si>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</si>
  <si>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</si>
  <si>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</si>
  <si>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</si>
  <si>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</si>
  <si>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</si>
  <si>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</si>
  <si>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</si>
  <si>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</si>
  <si>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</si>
  <si>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</si>
  <si>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</si>
  <si>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</si>
  <si>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</si>
  <si>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</si>
  <si>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</si>
  <si>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</si>
  <si>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</si>
  <si>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</si>
  <si>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</si>
  <si>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</si>
  <si>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</si>
  <si>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</si>
  <si>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</si>
  <si>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</si>
  <si>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</si>
  <si>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</si>
  <si>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</si>
  <si>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</si>
  <si>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</si>
  <si>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</si>
  <si>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</si>
  <si>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</si>
  <si>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</si>
  <si>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</si>
  <si>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</si>
  <si>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</si>
  <si>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</si>
  <si>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</si>
  <si>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</si>
  <si>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</si>
  <si>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</si>
  <si>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</si>
  <si>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</si>
  <si>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</si>
  <si>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</si>
  <si>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</si>
  <si>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</si>
  <si>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</si>
  <si>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</si>
  <si>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</si>
  <si>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</si>
  <si>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</si>
  <si>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</si>
  <si>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</si>
  <si>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</si>
  <si>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</si>
  <si>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</si>
  <si>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</si>
  <si>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</si>
  <si>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</si>
  <si>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</si>
  <si>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</si>
  <si>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</si>
  <si>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</si>
  <si>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</si>
  <si>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</si>
  <si>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</si>
  <si>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</si>
  <si>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</si>
  <si>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</si>
  <si>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</si>
  <si>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</si>
  <si>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</si>
  <si>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</si>
  <si>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</si>
  <si>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</si>
  <si>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</si>
  <si>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</si>
  <si>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</si>
  <si>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</si>
  <si>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</si>
  <si>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</si>
  <si>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</si>
  <si>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</si>
  <si>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</si>
  <si>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</si>
  <si>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</si>
  <si>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</si>
  <si>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</si>
  <si>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</si>
  <si>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</si>
  <si>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</si>
  <si>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</si>
  <si>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</si>
  <si>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</si>
  <si>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</si>
  <si>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</si>
  <si>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</si>
  <si>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</si>
  <si>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</si>
  <si>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</si>
  <si>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</si>
  <si>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</si>
  <si>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</si>
  <si>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</si>
  <si>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</si>
  <si>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</si>
  <si>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</si>
  <si>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</si>
  <si>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</si>
  <si>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</si>
  <si>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</si>
  <si>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</si>
  <si>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</si>
  <si>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</si>
  <si>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</si>
  <si>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</si>
  <si>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</si>
  <si>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</si>
  <si>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</si>
  <si>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</si>
  <si>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</si>
  <si>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</si>
  <si>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</si>
  <si>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</si>
  <si>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</si>
  <si>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</si>
  <si>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</si>
  <si>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</si>
  <si>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</si>
  <si>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</si>
  <si>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</si>
  <si>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</si>
  <si>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</si>
  <si>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</si>
  <si>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</si>
  <si>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</si>
  <si>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</si>
  <si>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</si>
  <si>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</si>
  <si>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</si>
  <si>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</si>
  <si>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</si>
  <si>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</si>
  <si>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</si>
  <si>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</si>
  <si>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</si>
  <si>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</si>
  <si>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</si>
  <si>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</si>
  <si>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</si>
  <si>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</si>
  <si>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</si>
  <si>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</si>
  <si>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</si>
  <si>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</si>
  <si>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</si>
  <si>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</si>
  <si>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</si>
  <si>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</si>
  <si>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</si>
  <si>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</si>
  <si>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</si>
  <si>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</si>
  <si>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</si>
  <si>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</si>
  <si>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</si>
  <si>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</si>
  <si>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</si>
  <si>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</si>
  <si>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</si>
  <si>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</si>
  <si>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</si>
  <si>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</si>
  <si>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</si>
  <si>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</si>
  <si>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</si>
  <si>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</si>
  <si>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</si>
  <si>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</si>
  <si>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</si>
  <si>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</si>
  <si>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</si>
  <si>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</si>
  <si>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</si>
  <si>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</si>
  <si>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</si>
  <si>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</si>
  <si>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</si>
  <si>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</si>
  <si>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</si>
  <si>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</si>
  <si>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</si>
  <si>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</si>
  <si>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</si>
  <si>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</si>
  <si>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</si>
  <si>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</si>
  <si>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</si>
  <si>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</si>
  <si>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</si>
  <si>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</si>
  <si>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</si>
  <si>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</si>
  <si>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</si>
  <si>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</si>
  <si>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</si>
  <si>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</si>
  <si>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</si>
  <si>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</si>
  <si>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</si>
  <si>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</si>
  <si>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</si>
  <si>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</si>
  <si>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</si>
  <si>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</si>
  <si>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</si>
  <si>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</si>
  <si>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</si>
  <si>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</si>
  <si>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</si>
  <si>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</si>
  <si>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</si>
  <si>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</si>
  <si>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</si>
  <si>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</si>
  <si>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</si>
  <si>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</si>
  <si>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</si>
  <si>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</si>
  <si>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</si>
  <si>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</si>
  <si>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</si>
  <si>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</si>
  <si>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</si>
  <si>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</si>
  <si>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</si>
  <si>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</si>
  <si>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</si>
  <si>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</si>
  <si>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</si>
  <si>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</si>
  <si>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</si>
  <si>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</si>
  <si>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</si>
  <si>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</si>
  <si>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</si>
  <si>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</si>
  <si>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</si>
  <si>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</si>
  <si>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</si>
  <si>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</si>
  <si>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</si>
  <si>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</si>
  <si>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</si>
  <si>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</si>
  <si>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</si>
  <si>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</si>
  <si>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</si>
  <si>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</si>
  <si>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</si>
  <si>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</si>
  <si>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</si>
  <si>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</si>
  <si>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</si>
  <si>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</si>
  <si>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</si>
  <si>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</si>
  <si>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</si>
  <si>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</si>
  <si>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</si>
  <si>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</si>
  <si>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</si>
  <si>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</si>
  <si>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</si>
  <si>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</si>
  <si>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</si>
  <si>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</si>
  <si>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</si>
  <si>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</si>
  <si>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</si>
  <si>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</si>
  <si>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</si>
  <si>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</si>
  <si>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</si>
  <si>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</si>
  <si>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</si>
  <si>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</si>
  <si>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</si>
  <si>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</si>
  <si>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</si>
  <si>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</si>
  <si>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</si>
  <si>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</si>
  <si>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</si>
  <si>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</si>
  <si>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</si>
  <si>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</si>
  <si>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</si>
  <si>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</si>
  <si>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</si>
  <si>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</si>
  <si>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</si>
  <si>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</si>
  <si>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</si>
  <si>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</si>
  <si>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</si>
  <si>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</si>
  <si>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</si>
  <si>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</si>
  <si>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</si>
  <si>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</si>
  <si>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</si>
  <si>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</si>
  <si>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</si>
  <si>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</si>
  <si>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</si>
  <si>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</si>
  <si>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</si>
  <si>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</si>
  <si>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</si>
  <si>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</si>
  <si>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</si>
  <si>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</si>
  <si>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</si>
  <si>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</si>
  <si>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</si>
  <si>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</si>
  <si>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</si>
  <si>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</si>
  <si>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</si>
  <si>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</si>
  <si>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</si>
  <si>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</si>
  <si>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</si>
  <si>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</si>
  <si>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</si>
  <si>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</si>
  <si>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</si>
  <si>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</si>
  <si>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</si>
  <si>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</si>
  <si>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</si>
  <si>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</si>
  <si>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</si>
  <si>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</si>
  <si>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</si>
  <si>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</si>
  <si>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</si>
  <si>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</si>
  <si>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</si>
  <si>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</si>
  <si>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</si>
  <si>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</si>
  <si>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</si>
  <si>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</si>
  <si>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</si>
  <si>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</si>
  <si>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</si>
  <si>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</si>
  <si>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</si>
  <si>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</si>
  <si>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</si>
  <si>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</si>
  <si>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</si>
  <si>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</si>
  <si>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</si>
  <si>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</si>
  <si>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</si>
  <si>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</si>
  <si>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</si>
  <si>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</si>
  <si>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</si>
  <si>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</si>
  <si>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</si>
  <si>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</si>
  <si>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</si>
  <si>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</si>
  <si>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</si>
  <si>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</si>
  <si>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</si>
  <si>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</si>
  <si>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</si>
  <si>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</si>
  <si>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</si>
  <si>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</si>
  <si>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</si>
  <si>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</si>
  <si>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</si>
  <si>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</si>
  <si>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</si>
  <si>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</si>
  <si>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</si>
  <si>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</si>
  <si>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</si>
  <si>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</si>
  <si>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</si>
  <si>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</si>
  <si>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</si>
  <si>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</si>
  <si>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</si>
  <si>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</si>
  <si>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</si>
  <si>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</si>
  <si>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</si>
  <si>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</si>
  <si>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</si>
  <si>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</si>
  <si>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</si>
  <si>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</si>
  <si>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</si>
  <si>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</si>
  <si>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</si>
  <si>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</si>
  <si>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</si>
  <si>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</si>
  <si>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</si>
  <si>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</si>
  <si>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</si>
  <si>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</si>
  <si>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</si>
  <si>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</si>
  <si>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</si>
  <si>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</si>
  <si>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</si>
  <si>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</si>
  <si>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</si>
  <si>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</si>
  <si>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</si>
  <si>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</si>
  <si>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</si>
  <si>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</si>
  <si>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</si>
  <si>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</si>
  <si>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</si>
  <si>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</si>
  <si>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</si>
  <si>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</si>
  <si>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</si>
  <si>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</si>
  <si>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</si>
  <si>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</si>
  <si>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</si>
  <si>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</si>
  <si>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</si>
  <si>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</si>
  <si>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</si>
  <si>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</si>
  <si>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</si>
  <si>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</si>
  <si>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</si>
  <si>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</si>
  <si>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</si>
  <si>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</si>
  <si>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</si>
  <si>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</si>
  <si>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</si>
  <si>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</si>
  <si>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</si>
  <si>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</si>
  <si>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</si>
  <si>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</si>
  <si>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</si>
  <si>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</si>
  <si>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</si>
  <si>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</si>
  <si>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</si>
  <si>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</si>
  <si>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</si>
  <si>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</si>
  <si>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</si>
  <si>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</si>
  <si>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</si>
  <si>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</si>
  <si>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</si>
  <si>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</si>
  <si>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</si>
  <si>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</si>
  <si>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</si>
  <si>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</si>
  <si>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</si>
  <si>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</si>
  <si>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</si>
  <si>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</si>
  <si>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</si>
  <si>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</si>
  <si>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</si>
  <si>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</si>
  <si>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</si>
  <si>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</si>
  <si>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</si>
  <si>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</si>
  <si>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</si>
  <si>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</si>
  <si>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</si>
  <si>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</si>
  <si>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</si>
  <si>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</si>
  <si>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</si>
  <si>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</si>
  <si>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</si>
  <si>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</si>
  <si>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</si>
  <si>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</si>
  <si>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</si>
  <si>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</si>
  <si>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</si>
  <si>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</si>
  <si>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</si>
  <si>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</si>
  <si>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</si>
  <si>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</si>
  <si>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</si>
  <si>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</si>
  <si>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</si>
  <si>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</si>
  <si>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</si>
  <si>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</si>
  <si>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</si>
  <si>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</si>
  <si>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</si>
  <si>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</si>
  <si>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</si>
  <si>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</si>
  <si>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</si>
  <si>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</si>
  <si>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</si>
  <si>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</si>
  <si>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</si>
  <si>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</si>
  <si>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</si>
  <si>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</si>
  <si>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</si>
  <si>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</si>
  <si>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</si>
  <si>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</si>
  <si>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</si>
  <si>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</si>
  <si>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</si>
  <si>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</si>
  <si>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</si>
  <si>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</si>
  <si>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</si>
  <si>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</si>
  <si>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</si>
  <si>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</si>
  <si>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</si>
  <si>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</si>
  <si>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</si>
  <si>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</si>
  <si>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</si>
  <si>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</si>
  <si>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</si>
  <si>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</si>
  <si>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</si>
  <si>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</si>
  <si>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</si>
  <si>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</si>
  <si>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</si>
  <si>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</si>
  <si>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</si>
  <si>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</si>
  <si>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</si>
  <si>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</si>
  <si>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</si>
  <si>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</si>
  <si>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</si>
  <si>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</si>
  <si>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</si>
  <si>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</si>
  <si>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</si>
  <si>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</si>
  <si>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</si>
  <si>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</si>
  <si>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</si>
  <si>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</si>
  <si>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</si>
  <si>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</si>
  <si>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</si>
  <si>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</si>
  <si>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</si>
  <si>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</si>
  <si>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</si>
  <si>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</si>
  <si>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</si>
  <si>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</si>
  <si>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</si>
  <si>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</si>
  <si>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</si>
  <si>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</si>
  <si>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</si>
  <si>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</si>
  <si>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</si>
  <si>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</si>
  <si>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</si>
  <si>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</si>
  <si>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</si>
  <si>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</si>
  <si>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</si>
  <si>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</si>
  <si>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</si>
  <si>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</si>
  <si>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</si>
  <si>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</si>
  <si>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</si>
  <si>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</si>
  <si>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</si>
  <si>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</si>
  <si>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</si>
  <si>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</si>
  <si>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</si>
  <si>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</si>
  <si>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</si>
  <si>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</si>
  <si>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</si>
  <si>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</si>
  <si>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</si>
  <si>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</si>
  <si>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</si>
  <si>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</si>
  <si>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</si>
  <si>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</si>
  <si>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</si>
  <si>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</si>
  <si>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</si>
  <si>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</si>
  <si>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</si>
  <si>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</si>
  <si>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</si>
  <si>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</si>
  <si>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</si>
  <si>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</si>
  <si>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</si>
  <si>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</si>
  <si>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</si>
  <si>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</si>
  <si>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</si>
  <si>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</si>
  <si>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</si>
  <si>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</si>
  <si>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</si>
  <si>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</si>
  <si>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</si>
  <si>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</si>
  <si>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</si>
  <si>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</si>
  <si>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</si>
  <si>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</si>
  <si>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</si>
  <si>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</si>
  <si>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</si>
  <si>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</si>
  <si>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</si>
  <si>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</si>
  <si>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</si>
  <si>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</si>
  <si>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</si>
  <si>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</si>
  <si>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</si>
  <si>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</si>
  <si>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</si>
  <si>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</si>
  <si>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</si>
  <si>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</si>
  <si>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</si>
  <si>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</si>
  <si>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</si>
  <si>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</si>
  <si>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</si>
  <si>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</si>
  <si>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</si>
  <si>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</si>
  <si>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</si>
  <si>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</si>
  <si>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</si>
  <si>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</si>
  <si>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</si>
  <si>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</si>
  <si>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</si>
  <si>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</si>
  <si>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</si>
  <si>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</si>
  <si>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</si>
  <si>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</si>
  <si>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</si>
  <si>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</si>
  <si>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</si>
  <si>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</si>
  <si>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</si>
  <si>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</si>
  <si>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</si>
  <si>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</si>
  <si>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</si>
  <si>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</si>
  <si>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</si>
  <si>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</si>
  <si>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</si>
  <si>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</si>
  <si>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</si>
  <si>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</si>
  <si>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</si>
  <si>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</si>
  <si>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</si>
  <si>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</si>
  <si>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</si>
  <si>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</si>
  <si>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</si>
  <si>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</si>
  <si>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</si>
  <si>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</si>
  <si>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</si>
  <si>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</si>
  <si>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</si>
  <si>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</si>
  <si>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</si>
  <si>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</si>
  <si>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</si>
  <si>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</si>
  <si>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</si>
  <si>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</si>
  <si>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</si>
  <si>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</si>
  <si>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</si>
  <si>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</si>
  <si>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</si>
  <si>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</si>
  <si>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</si>
  <si>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</si>
  <si>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</si>
  <si>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</si>
  <si>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</si>
  <si>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</si>
  <si>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</si>
  <si>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</si>
  <si>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</si>
  <si>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</si>
  <si>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</si>
  <si>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</si>
  <si>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</si>
  <si>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</si>
  <si>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</si>
  <si>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</si>
  <si>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</si>
  <si>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</si>
  <si>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</si>
  <si>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</si>
  <si>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</si>
  <si>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</si>
  <si>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</si>
  <si>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</si>
  <si>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</si>
  <si>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</si>
  <si>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</si>
  <si>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</si>
  <si>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</si>
  <si>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</si>
  <si>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</si>
  <si>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</si>
  <si>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</si>
  <si>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</si>
  <si>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</si>
  <si>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</si>
  <si>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</si>
  <si>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</si>
  <si>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</si>
  <si>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</si>
  <si>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</si>
  <si>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</si>
  <si>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</si>
  <si>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</si>
  <si>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</si>
  <si>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</si>
  <si>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</si>
  <si>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</si>
  <si>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</si>
  <si>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</si>
  <si>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</si>
  <si>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</si>
  <si>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</si>
  <si>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</si>
  <si>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</si>
  <si>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</si>
  <si>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</si>
  <si>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</si>
  <si>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</si>
  <si>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</si>
  <si>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</si>
  <si>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</si>
  <si>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</si>
  <si>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</si>
  <si>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</si>
  <si>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</si>
  <si>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</si>
  <si>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</si>
  <si>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</si>
  <si>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</si>
  <si>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</si>
  <si>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</si>
  <si>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</si>
  <si>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</si>
  <si>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</si>
  <si>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</si>
  <si>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</si>
  <si>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</si>
  <si>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</si>
  <si>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</si>
  <si>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</si>
  <si>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</si>
  <si>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</si>
  <si>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</si>
  <si>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</si>
  <si>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</si>
  <si>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</si>
  <si>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</si>
  <si>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</si>
  <si>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</si>
  <si>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</si>
  <si>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</si>
  <si>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</si>
  <si>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</si>
  <si>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</si>
  <si>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</si>
  <si>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</si>
  <si>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</si>
  <si>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</si>
  <si>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</si>
  <si>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</si>
  <si>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</si>
  <si>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</si>
  <si>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</si>
  <si>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</si>
  <si>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</si>
  <si>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</si>
  <si>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</si>
  <si>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</si>
  <si>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</si>
  <si>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</si>
  <si>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</si>
  <si>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</si>
  <si>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</si>
  <si>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</si>
  <si>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</si>
  <si>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</si>
  <si>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</si>
  <si>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</si>
  <si>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</si>
  <si>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</si>
  <si>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</si>
  <si>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</si>
  <si>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</si>
  <si>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</si>
  <si>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</si>
  <si>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</si>
  <si>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</si>
  <si>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</si>
  <si>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</si>
  <si>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</si>
  <si>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</si>
  <si>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</si>
  <si>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</si>
  <si>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</si>
  <si>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</si>
  <si>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</si>
  <si>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</si>
  <si>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</si>
  <si>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</si>
  <si>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</si>
  <si>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</si>
  <si>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</si>
  <si>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</si>
  <si>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</si>
  <si>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</si>
  <si>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</si>
  <si>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</si>
  <si>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</si>
  <si>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</si>
  <si>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</si>
  <si>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</si>
  <si>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</si>
  <si>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</si>
  <si>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</si>
  <si>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</si>
  <si>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</si>
  <si>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</si>
  <si>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</si>
  <si>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</si>
  <si>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</si>
  <si>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</si>
  <si>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</si>
  <si>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</si>
  <si>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</si>
  <si>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</si>
  <si>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</si>
  <si>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</si>
  <si>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</si>
  <si>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</si>
  <si>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</si>
  <si>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</si>
  <si>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</si>
  <si>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</si>
  <si>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</si>
  <si>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</si>
  <si>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</si>
  <si>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</si>
  <si>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</si>
  <si>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</si>
  <si>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</si>
  <si>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</si>
  <si>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</si>
  <si>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</si>
  <si>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</si>
  <si>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</si>
  <si>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</si>
  <si>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</si>
  <si>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</si>
  <si>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</si>
  <si>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</si>
  <si>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</si>
  <si>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</si>
  <si>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</si>
  <si>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</si>
  <si>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</si>
  <si>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</si>
  <si>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</si>
  <si>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</si>
  <si>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</si>
  <si>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</si>
  <si>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</si>
  <si>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</si>
  <si>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</si>
  <si>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</si>
  <si>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</si>
  <si>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</si>
  <si>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</si>
  <si>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</si>
  <si>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</si>
  <si>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</si>
  <si>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</si>
  <si>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</si>
  <si>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</si>
  <si>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</si>
  <si>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</si>
  <si>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</si>
  <si>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</si>
  <si>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</si>
  <si>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</si>
  <si>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</si>
  <si>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</si>
  <si>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</si>
  <si>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</si>
  <si>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</si>
  <si>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</si>
  <si>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</si>
  <si>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</si>
  <si>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</si>
  <si>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</si>
  <si>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</si>
  <si>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</si>
  <si>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</si>
  <si>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</si>
  <si>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</si>
  <si>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</si>
  <si>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</si>
  <si>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</si>
  <si>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</si>
  <si>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</si>
  <si>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</si>
  <si>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</si>
  <si>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</si>
  <si>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</si>
  <si>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</si>
  <si>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</si>
  <si>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</si>
  <si>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</si>
  <si>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</si>
  <si>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</si>
  <si>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</si>
  <si>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</si>
  <si>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</si>
  <si>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</si>
  <si>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</si>
  <si>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</si>
  <si>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</si>
  <si>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</si>
  <si>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</si>
  <si>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</si>
  <si>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</si>
  <si>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</si>
  <si>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</si>
  <si>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</si>
  <si>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</si>
  <si>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</si>
  <si>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</si>
  <si>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</si>
  <si>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</si>
  <si>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</si>
  <si>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</si>
  <si>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</si>
  <si>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</si>
  <si>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</si>
  <si>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</si>
  <si>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</si>
  <si>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</si>
  <si>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</si>
  <si>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</si>
  <si>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</si>
  <si>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</si>
  <si>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</si>
  <si>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</si>
  <si>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</si>
  <si>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</si>
  <si>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</si>
  <si>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</si>
  <si>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</si>
  <si>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</si>
  <si>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</si>
  <si>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</si>
  <si>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</si>
  <si>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</si>
  <si>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</si>
  <si>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</si>
  <si>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</si>
  <si>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</si>
  <si>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</si>
  <si>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</si>
  <si>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</si>
  <si>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</si>
  <si>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</si>
  <si>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</si>
  <si>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</si>
  <si>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</si>
  <si>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</si>
  <si>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</si>
  <si>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</si>
  <si>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</si>
  <si>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</si>
  <si>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</si>
  <si>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</si>
  <si>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</si>
  <si>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</si>
  <si>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</si>
  <si>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</si>
  <si>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</si>
  <si>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</si>
  <si>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</si>
  <si>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</si>
  <si>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</si>
  <si>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</si>
  <si>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</si>
  <si>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</si>
  <si>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</si>
  <si>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</si>
  <si>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</si>
  <si>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</si>
  <si>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</si>
  <si>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</si>
  <si>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</si>
  <si>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</si>
  <si>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</si>
  <si>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</si>
  <si>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</si>
  <si>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</si>
  <si>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</si>
  <si>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</si>
  <si>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</si>
  <si>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</si>
  <si>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</si>
  <si>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</si>
  <si>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</si>
  <si>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</si>
  <si>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</si>
  <si>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</si>
  <si>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</si>
  <si>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</si>
  <si>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</si>
  <si>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</si>
  <si>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</si>
  <si>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</si>
  <si>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</si>
  <si>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</si>
  <si>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</si>
  <si>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</si>
  <si>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</si>
  <si>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</si>
  <si>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</si>
  <si>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</si>
  <si>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</si>
  <si>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</si>
  <si>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</si>
  <si>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</si>
  <si>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</si>
  <si>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</si>
  <si>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</si>
  <si>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</si>
  <si>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</si>
  <si>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</si>
  <si>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</si>
  <si>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</si>
  <si>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</si>
  <si>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</si>
  <si>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</si>
  <si>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</si>
  <si>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</si>
  <si>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</si>
  <si>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</si>
  <si>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</si>
  <si>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</si>
  <si>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</si>
  <si>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</si>
  <si>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</si>
  <si>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</si>
  <si>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</si>
  <si>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</si>
  <si>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</si>
  <si>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</si>
  <si>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</si>
  <si>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</si>
  <si>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</si>
  <si>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</si>
  <si>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</si>
  <si>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</si>
  <si>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</si>
  <si>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</si>
  <si>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</si>
  <si>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</si>
  <si>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</si>
  <si>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</si>
  <si>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</si>
  <si>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</si>
  <si>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</si>
  <si>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</si>
  <si>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</si>
  <si>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</si>
  <si>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</si>
  <si>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</si>
  <si>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</si>
  <si>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</si>
  <si>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</si>
  <si>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</si>
  <si>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</si>
  <si>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</si>
  <si>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</si>
  <si>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</si>
  <si>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</si>
  <si>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</si>
  <si>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</si>
  <si>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</si>
  <si>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</si>
  <si>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</si>
  <si>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</si>
  <si>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</si>
  <si>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</si>
  <si>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</si>
  <si>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</si>
  <si>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</si>
  <si>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</si>
  <si>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</si>
  <si>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</si>
  <si>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</si>
  <si>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</si>
  <si>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</si>
  <si>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</si>
  <si>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</si>
  <si>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</si>
  <si>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</si>
  <si>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</si>
  <si>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</si>
  <si>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</si>
  <si>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</si>
  <si>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</si>
  <si>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</si>
  <si>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</si>
  <si>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</si>
  <si>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</si>
  <si>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</si>
  <si>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</si>
  <si>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</si>
  <si>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</si>
  <si>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</si>
  <si>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</si>
  <si>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</si>
  <si>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</si>
  <si>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</si>
  <si>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</si>
  <si>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</si>
  <si>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</si>
  <si>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</si>
  <si>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</si>
  <si>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</si>
  <si>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</si>
  <si>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</si>
  <si>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</si>
  <si>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</si>
  <si>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</si>
  <si>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</si>
  <si>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</si>
  <si>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</si>
  <si>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</si>
  <si>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</si>
  <si>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</si>
  <si>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</si>
  <si>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</si>
  <si>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</si>
  <si>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</si>
  <si>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</si>
  <si>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</si>
  <si>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</si>
  <si>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</si>
  <si>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</si>
  <si>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</si>
  <si>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</si>
  <si>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</si>
  <si>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</si>
  <si>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</si>
  <si>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</si>
  <si>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</si>
  <si>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</si>
  <si>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</si>
  <si>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</si>
  <si>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</si>
  <si>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</si>
  <si>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</si>
  <si>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</si>
  <si>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</si>
  <si>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</si>
  <si>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</si>
  <si>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</si>
  <si>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</si>
  <si>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</si>
  <si>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</si>
  <si>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</si>
  <si>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</si>
  <si>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</si>
  <si>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</si>
  <si>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</si>
  <si>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</si>
  <si>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</si>
  <si>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</si>
  <si>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</si>
  <si>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</si>
  <si>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</si>
  <si>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</si>
  <si>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</si>
  <si>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</si>
  <si>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</si>
  <si>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</si>
  <si>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</si>
  <si>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</si>
  <si>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</si>
  <si>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</si>
  <si>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</si>
  <si>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</si>
  <si>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</si>
  <si>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</si>
  <si>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</si>
  <si>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</si>
  <si>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</si>
  <si>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</si>
  <si>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</si>
  <si>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</si>
  <si>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</si>
  <si>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</si>
  <si>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</si>
  <si>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</si>
  <si>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</si>
  <si>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</si>
  <si>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</si>
  <si>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</si>
  <si>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</si>
  <si>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</si>
  <si>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</si>
  <si>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</si>
  <si>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</si>
  <si>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</si>
  <si>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</si>
  <si>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</si>
  <si>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</si>
  <si>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</si>
  <si>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</si>
  <si>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</si>
  <si>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</si>
  <si>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</si>
  <si>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</si>
  <si>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</si>
  <si>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</si>
  <si>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</si>
  <si>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</si>
  <si>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</si>
  <si>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</si>
  <si>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</si>
  <si>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</si>
  <si>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</si>
  <si>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</si>
  <si>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</si>
  <si>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</si>
  <si>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</si>
  <si>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</si>
  <si>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</si>
  <si>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</si>
  <si>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</si>
  <si>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</si>
  <si>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</si>
  <si>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</si>
  <si>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</si>
  <si>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</si>
  <si>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</si>
  <si>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</si>
  <si>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</si>
  <si>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</si>
  <si>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</si>
  <si>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</si>
  <si>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</si>
  <si>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</si>
  <si>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</si>
  <si>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</si>
  <si>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</si>
  <si>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</si>
  <si>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</si>
  <si>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</si>
  <si>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</si>
  <si>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</si>
  <si>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</si>
  <si>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</si>
  <si>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</si>
  <si>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</si>
  <si>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</si>
  <si>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</si>
  <si>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</si>
  <si>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</si>
  <si>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</si>
  <si>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</si>
  <si>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</si>
  <si>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</si>
  <si>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</si>
  <si>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</si>
  <si>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</si>
  <si>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</si>
  <si>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</si>
  <si>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</si>
  <si>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</si>
  <si>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</si>
  <si>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</si>
  <si>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</si>
  <si>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</si>
  <si>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</si>
  <si>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</si>
  <si>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</si>
  <si>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</si>
  <si>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</si>
  <si>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</si>
  <si>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</si>
  <si>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</si>
  <si>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</si>
  <si>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</si>
  <si>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</si>
  <si>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</si>
  <si>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</si>
  <si>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</si>
  <si>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</si>
  <si>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</si>
  <si>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</si>
  <si>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</si>
  <si>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</si>
  <si>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</si>
  <si>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</si>
  <si>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</si>
  <si>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</si>
  <si>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</si>
  <si>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</si>
  <si>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</si>
  <si>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</si>
  <si>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</si>
  <si>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</si>
  <si>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</si>
  <si>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</si>
  <si>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</si>
  <si>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</si>
  <si>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</si>
  <si>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</si>
  <si>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</si>
  <si>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</si>
  <si>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</si>
  <si>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</si>
  <si>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</si>
  <si>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</si>
  <si>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</si>
  <si>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</si>
  <si>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</si>
  <si>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</si>
  <si>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</si>
  <si>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</si>
  <si>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</si>
  <si>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</si>
  <si>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</si>
  <si>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</si>
  <si>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</si>
  <si>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</si>
  <si>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</si>
  <si>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</si>
  <si>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</si>
  <si>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</si>
  <si>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</si>
  <si>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</si>
  <si>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</si>
  <si>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</si>
  <si>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</si>
  <si>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</si>
  <si>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</si>
  <si>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</si>
  <si>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</si>
  <si>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</si>
  <si>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</si>
  <si>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</si>
  <si>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</si>
  <si>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</si>
  <si>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</si>
  <si>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</si>
  <si>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</si>
  <si>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</si>
  <si>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</si>
  <si>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</si>
  <si>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</si>
  <si>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</si>
  <si>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</si>
  <si>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</si>
  <si>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</si>
  <si>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</si>
  <si>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</si>
  <si>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</si>
  <si>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</si>
  <si>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</si>
  <si>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</si>
  <si>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</si>
  <si>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</si>
  <si>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</si>
  <si>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</si>
  <si>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</si>
  <si>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</si>
  <si>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</si>
  <si>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</si>
  <si>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</si>
  <si>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</si>
  <si>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</si>
  <si>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</si>
  <si>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</si>
  <si>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</si>
  <si>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</si>
  <si>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</si>
  <si>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</si>
  <si>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</si>
  <si>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</si>
  <si>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</si>
  <si>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</si>
  <si>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</si>
  <si>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</si>
  <si>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</si>
  <si>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</si>
  <si>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</si>
  <si>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</si>
  <si>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</si>
  <si>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</si>
  <si>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</si>
  <si>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</si>
  <si>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</si>
  <si>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</si>
  <si>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</si>
  <si>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</si>
  <si>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</si>
  <si>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</si>
  <si>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</si>
  <si>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</si>
  <si>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</si>
  <si>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</si>
  <si>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</si>
  <si>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</si>
  <si>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</si>
  <si>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</si>
  <si>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</si>
  <si>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</si>
  <si>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</si>
  <si>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</si>
  <si>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</si>
  <si>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</si>
  <si>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</si>
  <si>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</si>
  <si>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</si>
  <si>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</si>
  <si>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</si>
  <si>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</si>
  <si>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</si>
  <si>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</si>
  <si>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</si>
  <si>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</si>
  <si>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</si>
  <si>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</si>
  <si>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</si>
  <si>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</si>
  <si>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</si>
  <si>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</si>
  <si>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</si>
  <si>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</si>
  <si>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</si>
  <si>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</si>
  <si>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</si>
  <si>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</si>
  <si>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</si>
  <si>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</si>
  <si>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 xml:space="preserve">Agenda </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</si>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</sst>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35">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8" borderId="2" xfId="0" applyFont="1" applyFill="1" applyBorder="1" applyAlignment="1">
      <alignment horizontal="left" vertical="top" wrapText="1"/>
    </xf>
    <xf numFmtId="11" fontId="24" fillId="0" borderId="0" xfId="0" applyNumberFormat="1" applyFont="1" applyAlignment="1">
      <alignment horizontal="left" vertical="top" wrapText="1"/>
    </xf>
    <xf numFmtId="0" fontId="24" fillId="0" borderId="0" xfId="0" applyNumberFormat="1" applyFont="1" applyFill="1" applyAlignment="1">
      <alignment horizontal="left" vertical="top" wrapText="1"/>
    </xf>
    <xf numFmtId="0" fontId="24" fillId="0" borderId="7" xfId="0" applyFont="1" applyBorder="1" applyAlignment="1">
      <alignment horizontal="left" vertical="top" wrapText="1"/>
    </xf>
    <xf numFmtId="0" fontId="24"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4" fillId="17" borderId="0" xfId="0" applyFont="1" applyFill="1" applyAlignment="1">
      <alignment horizontal="left" vertical="top" wrapText="1"/>
    </xf>
    <xf numFmtId="0" fontId="24" fillId="2"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3" fillId="3" borderId="0" xfId="0" applyFont="1" applyFill="1" applyAlignment="1">
      <alignment horizontal="left" textRotation="180" wrapText="1"/>
    </xf>
    <xf numFmtId="0" fontId="23" fillId="3" borderId="0" xfId="0" applyNumberFormat="1" applyFont="1" applyFill="1" applyAlignment="1">
      <alignment horizontal="left" textRotation="180" wrapText="1"/>
    </xf>
    <xf numFmtId="0" fontId="23" fillId="3" borderId="0" xfId="0" applyFont="1" applyFill="1" applyAlignment="1">
      <alignment horizontal="left" wrapText="1"/>
    </xf>
    <xf numFmtId="0" fontId="23" fillId="3" borderId="0" xfId="0" applyNumberFormat="1" applyFont="1" applyFill="1" applyAlignment="1">
      <alignment horizontal="left" wrapText="1"/>
    </xf>
    <xf numFmtId="0" fontId="23" fillId="11" borderId="0" xfId="0" applyFont="1" applyFill="1" applyAlignment="1">
      <alignment horizontal="left" wrapText="1"/>
    </xf>
    <xf numFmtId="0" fontId="23" fillId="11" borderId="0" xfId="0" applyFont="1" applyFill="1" applyAlignment="1">
      <alignment horizontal="left" textRotation="180" wrapText="1"/>
    </xf>
    <xf numFmtId="0" fontId="23" fillId="11" borderId="0" xfId="0" applyNumberFormat="1" applyFont="1" applyFill="1" applyAlignment="1">
      <alignment horizontal="left" wrapText="1"/>
    </xf>
    <xf numFmtId="0" fontId="26" fillId="15" borderId="0" xfId="0" applyFont="1" applyFill="1" applyAlignment="1">
      <alignment horizontal="left" wrapText="1"/>
    </xf>
    <xf numFmtId="0" fontId="27" fillId="0" borderId="0" xfId="0" applyFont="1" applyAlignment="1">
      <alignment horizontal="left" vertical="top"/>
    </xf>
    <xf numFmtId="0" fontId="24" fillId="2" borderId="0" xfId="0" applyNumberFormat="1" applyFont="1" applyFill="1" applyAlignment="1">
      <alignment horizontal="left" vertical="top"/>
    </xf>
    <xf numFmtId="0" fontId="24" fillId="2" borderId="0" xfId="0" applyFont="1" applyFill="1" applyAlignment="1">
      <alignment horizontal="left" vertical="top"/>
    </xf>
    <xf numFmtId="0" fontId="24" fillId="0" borderId="0" xfId="0" applyNumberFormat="1" applyFont="1" applyAlignment="1">
      <alignment horizontal="left" vertical="top"/>
    </xf>
    <xf numFmtId="0" fontId="23" fillId="3" borderId="0" xfId="0" applyNumberFormat="1" applyFont="1" applyFill="1" applyAlignment="1">
      <alignment horizontal="center" textRotation="180" wrapText="1"/>
    </xf>
    <xf numFmtId="0" fontId="23" fillId="3" borderId="2" xfId="0" applyNumberFormat="1" applyFont="1" applyFill="1" applyBorder="1" applyAlignment="1">
      <alignment horizontal="center" textRotation="180" wrapText="1"/>
    </xf>
    <xf numFmtId="0" fontId="23" fillId="3" borderId="2" xfId="0" applyFont="1" applyFill="1" applyBorder="1" applyAlignment="1">
      <alignment horizontal="center" textRotation="180" wrapText="1"/>
    </xf>
    <xf numFmtId="0" fontId="23" fillId="11" borderId="0" xfId="0" applyNumberFormat="1" applyFont="1" applyFill="1" applyAlignment="1">
      <alignment horizontal="center" textRotation="180" wrapText="1"/>
    </xf>
    <xf numFmtId="0" fontId="23" fillId="11" borderId="2" xfId="0" applyNumberFormat="1" applyFont="1" applyFill="1" applyBorder="1" applyAlignment="1">
      <alignment horizontal="center" textRotation="180" wrapText="1"/>
    </xf>
    <xf numFmtId="0" fontId="23" fillId="11" borderId="2" xfId="0" applyFont="1" applyFill="1" applyBorder="1" applyAlignment="1">
      <alignment horizontal="center" textRotation="180" wrapText="1"/>
    </xf>
    <xf numFmtId="0" fontId="24" fillId="0" borderId="0" xfId="0" applyNumberFormat="1" applyFont="1" applyAlignment="1">
      <alignment horizontal="center" vertical="top" wrapText="1"/>
    </xf>
    <xf numFmtId="0" fontId="24" fillId="9" borderId="2" xfId="0" applyNumberFormat="1" applyFont="1" applyFill="1" applyBorder="1" applyAlignment="1">
      <alignment horizontal="center" vertical="top" wrapText="1"/>
    </xf>
    <xf numFmtId="0" fontId="24" fillId="4" borderId="2" xfId="0" applyNumberFormat="1" applyFont="1" applyFill="1" applyBorder="1" applyAlignment="1">
      <alignment horizontal="center" vertical="top" wrapText="1"/>
    </xf>
    <xf numFmtId="0" fontId="24" fillId="10" borderId="2" xfId="0" applyNumberFormat="1" applyFont="1" applyFill="1" applyBorder="1" applyAlignment="1">
      <alignment horizontal="center" vertical="top" wrapText="1"/>
    </xf>
    <xf numFmtId="0" fontId="24" fillId="8" borderId="2" xfId="0" applyFont="1" applyFill="1" applyBorder="1" applyAlignment="1">
      <alignment horizontal="center" vertical="top" wrapText="1"/>
    </xf>
    <xf numFmtId="0" fontId="24" fillId="8" borderId="2" xfId="0" applyFont="1" applyFill="1" applyBorder="1" applyAlignment="1">
      <alignment horizontal="center" vertical="top"/>
    </xf>
    <xf numFmtId="0" fontId="24" fillId="7" borderId="2" xfId="0" applyFont="1" applyFill="1" applyBorder="1" applyAlignment="1">
      <alignment horizontal="center" vertical="top" wrapText="1"/>
    </xf>
    <xf numFmtId="0" fontId="25" fillId="13" borderId="2" xfId="0" applyNumberFormat="1" applyFont="1" applyFill="1" applyBorder="1" applyAlignment="1">
      <alignment horizontal="center" vertical="top" wrapText="1"/>
    </xf>
    <xf numFmtId="0" fontId="25" fillId="14" borderId="2" xfId="0" applyNumberFormat="1" applyFont="1" applyFill="1" applyBorder="1" applyAlignment="1">
      <alignment horizontal="center" vertical="top" wrapText="1"/>
    </xf>
    <xf numFmtId="0" fontId="24" fillId="6" borderId="2" xfId="0" applyNumberFormat="1" applyFont="1" applyFill="1" applyBorder="1" applyAlignment="1">
      <alignment horizontal="center" vertical="top" wrapText="1"/>
    </xf>
    <xf numFmtId="0" fontId="24" fillId="5" borderId="2" xfId="0" applyNumberFormat="1" applyFont="1" applyFill="1" applyBorder="1" applyAlignment="1">
      <alignment horizontal="center" vertical="top" wrapText="1"/>
    </xf>
    <xf numFmtId="0" fontId="24" fillId="0" borderId="0" xfId="0" applyFont="1" applyAlignment="1">
      <alignment horizontal="center" vertical="top" wrapText="1"/>
    </xf>
    <xf numFmtId="0" fontId="24" fillId="0" borderId="0" xfId="0" quotePrefix="1" applyFont="1" applyAlignment="1">
      <alignment horizontal="center" vertical="top" wrapText="1"/>
    </xf>
    <xf numFmtId="0" fontId="24" fillId="9" borderId="2" xfId="0" applyFont="1" applyFill="1" applyBorder="1" applyAlignment="1">
      <alignment horizontal="center" vertical="top" wrapText="1"/>
    </xf>
    <xf numFmtId="0" fontId="24" fillId="4" borderId="2" xfId="0" applyFont="1" applyFill="1" applyBorder="1" applyAlignment="1">
      <alignment horizontal="center" vertical="top" wrapText="1"/>
    </xf>
    <xf numFmtId="0" fontId="24" fillId="10" borderId="2" xfId="0"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4" fillId="6" borderId="2" xfId="0" applyFont="1" applyFill="1" applyBorder="1" applyAlignment="1">
      <alignment horizontal="center" vertical="top" wrapText="1"/>
    </xf>
    <xf numFmtId="0" fontId="24" fillId="5" borderId="2" xfId="0" applyFont="1" applyFill="1" applyBorder="1" applyAlignment="1">
      <alignment horizontal="center" vertical="top" wrapText="1"/>
    </xf>
    <xf numFmtId="0" fontId="24" fillId="8" borderId="2" xfId="0" quotePrefix="1" applyFont="1" applyFill="1" applyBorder="1" applyAlignment="1">
      <alignment horizontal="center" vertical="top" wrapText="1"/>
    </xf>
    <xf numFmtId="0" fontId="25" fillId="13" borderId="2" xfId="0" applyFont="1" applyFill="1" applyBorder="1" applyAlignment="1">
      <alignment horizontal="center" vertical="top" wrapText="1"/>
    </xf>
    <xf numFmtId="0" fontId="25" fillId="14" borderId="2" xfId="0" applyFont="1" applyFill="1" applyBorder="1" applyAlignment="1">
      <alignment horizontal="center" vertical="top" wrapText="1"/>
    </xf>
    <xf numFmtId="0" fontId="24" fillId="0" borderId="7" xfId="0" applyFont="1" applyBorder="1" applyAlignment="1">
      <alignment horizontal="center" vertical="top" wrapText="1"/>
    </xf>
    <xf numFmtId="0" fontId="24" fillId="9" borderId="9" xfId="0" applyFont="1" applyFill="1" applyBorder="1" applyAlignment="1">
      <alignment horizontal="center" vertical="top" wrapText="1"/>
    </xf>
    <xf numFmtId="0" fontId="24" fillId="4" borderId="9" xfId="0" applyFont="1" applyFill="1" applyBorder="1" applyAlignment="1">
      <alignment horizontal="center" vertical="top" wrapText="1"/>
    </xf>
    <xf numFmtId="0" fontId="24" fillId="10" borderId="9" xfId="0" applyFont="1" applyFill="1" applyBorder="1" applyAlignment="1">
      <alignment horizontal="center" vertical="top" wrapText="1"/>
    </xf>
    <xf numFmtId="0" fontId="24" fillId="8" borderId="9" xfId="0" applyFont="1" applyFill="1" applyBorder="1" applyAlignment="1">
      <alignment horizontal="center" vertical="top" wrapText="1"/>
    </xf>
    <xf numFmtId="0" fontId="24" fillId="7" borderId="9" xfId="0" applyFont="1" applyFill="1" applyBorder="1" applyAlignment="1">
      <alignment horizontal="center" vertical="top" wrapText="1"/>
    </xf>
    <xf numFmtId="0" fontId="25" fillId="13" borderId="9" xfId="0" applyFont="1" applyFill="1" applyBorder="1" applyAlignment="1">
      <alignment horizontal="center" vertical="top" wrapText="1"/>
    </xf>
    <xf numFmtId="0" fontId="25" fillId="14" borderId="9" xfId="0" applyFont="1" applyFill="1" applyBorder="1" applyAlignment="1">
      <alignment horizontal="center" vertical="top" wrapText="1"/>
    </xf>
    <xf numFmtId="0" fontId="24" fillId="6" borderId="9" xfId="0" applyFont="1" applyFill="1" applyBorder="1" applyAlignment="1">
      <alignment horizontal="center" vertical="top" wrapText="1"/>
    </xf>
    <xf numFmtId="0" fontId="24" fillId="5" borderId="9" xfId="0" applyFont="1" applyFill="1" applyBorder="1" applyAlignment="1">
      <alignment horizontal="center" vertical="top" wrapText="1"/>
    </xf>
    <xf numFmtId="0" fontId="24" fillId="9" borderId="8" xfId="0" applyFont="1" applyFill="1" applyBorder="1" applyAlignment="1">
      <alignment horizontal="center" vertical="top" wrapText="1"/>
    </xf>
    <xf numFmtId="0" fontId="24" fillId="4" borderId="8" xfId="0" applyFont="1" applyFill="1" applyBorder="1" applyAlignment="1">
      <alignment horizontal="center" vertical="top" wrapText="1"/>
    </xf>
    <xf numFmtId="0" fontId="24" fillId="10" borderId="8" xfId="0" applyFont="1" applyFill="1" applyBorder="1" applyAlignment="1">
      <alignment horizontal="center" vertical="top" wrapText="1"/>
    </xf>
    <xf numFmtId="0" fontId="24" fillId="8" borderId="8" xfId="0" applyFont="1" applyFill="1" applyBorder="1" applyAlignment="1">
      <alignment horizontal="center" vertical="top" wrapText="1"/>
    </xf>
    <xf numFmtId="0" fontId="24" fillId="7" borderId="8" xfId="0" applyFont="1" applyFill="1" applyBorder="1" applyAlignment="1">
      <alignment horizontal="center" vertical="top" wrapText="1"/>
    </xf>
    <xf numFmtId="0" fontId="25" fillId="13" borderId="8" xfId="0" applyFont="1" applyFill="1" applyBorder="1" applyAlignment="1">
      <alignment horizontal="center" vertical="top" wrapText="1"/>
    </xf>
    <xf numFmtId="0" fontId="25" fillId="14" borderId="8" xfId="0" applyFont="1" applyFill="1" applyBorder="1" applyAlignment="1">
      <alignment horizontal="center" vertical="top" wrapText="1"/>
    </xf>
    <xf numFmtId="0" fontId="24" fillId="6" borderId="8" xfId="0" applyFont="1" applyFill="1" applyBorder="1" applyAlignment="1">
      <alignment horizontal="center" vertical="top" wrapText="1"/>
    </xf>
    <xf numFmtId="0" fontId="24" fillId="5" borderId="8" xfId="0" applyFont="1" applyFill="1" applyBorder="1" applyAlignment="1">
      <alignment horizontal="center" vertical="top" wrapText="1"/>
    </xf>
    <xf numFmtId="0" fontId="28" fillId="0" borderId="0" xfId="0" applyNumberFormat="1" applyFont="1" applyAlignment="1">
      <alignment horizontal="center" vertical="top"/>
    </xf>
    <xf numFmtId="0" fontId="24" fillId="9" borderId="2" xfId="0" applyNumberFormat="1" applyFont="1" applyFill="1" applyBorder="1" applyAlignment="1">
      <alignment horizontal="center" vertical="top"/>
    </xf>
    <xf numFmtId="0" fontId="24" fillId="4" borderId="2" xfId="0" applyNumberFormat="1" applyFont="1" applyFill="1" applyBorder="1" applyAlignment="1">
      <alignment horizontal="center" vertical="top"/>
    </xf>
    <xf numFmtId="0" fontId="24" fillId="10" borderId="2" xfId="0" applyNumberFormat="1" applyFont="1" applyFill="1" applyBorder="1" applyAlignment="1">
      <alignment horizontal="center" vertical="top"/>
    </xf>
    <xf numFmtId="0" fontId="25" fillId="13" borderId="2" xfId="0" applyNumberFormat="1" applyFont="1" applyFill="1" applyBorder="1" applyAlignment="1">
      <alignment horizontal="center" vertical="top"/>
    </xf>
    <xf numFmtId="0" fontId="25" fillId="14" borderId="2" xfId="0" applyNumberFormat="1" applyFont="1" applyFill="1" applyBorder="1" applyAlignment="1">
      <alignment horizontal="center" vertical="top"/>
    </xf>
    <xf numFmtId="0" fontId="24" fillId="6" borderId="2" xfId="0" applyNumberFormat="1" applyFont="1" applyFill="1" applyBorder="1" applyAlignment="1">
      <alignment horizontal="center" vertical="top"/>
    </xf>
    <xf numFmtId="0" fontId="24" fillId="5" borderId="2" xfId="0" applyNumberFormat="1" applyFont="1" applyFill="1" applyBorder="1" applyAlignment="1">
      <alignment horizontal="center" vertical="top"/>
    </xf>
    <xf numFmtId="0" fontId="24" fillId="0" borderId="0" xfId="0" applyNumberFormat="1" applyFont="1" applyAlignment="1">
      <alignment horizontal="center" vertical="top"/>
    </xf>
    <xf numFmtId="0" fontId="24" fillId="18" borderId="2" xfId="0" applyFont="1" applyFill="1" applyBorder="1" applyAlignment="1">
      <alignment horizontal="center" vertical="top"/>
    </xf>
    <xf numFmtId="11" fontId="24" fillId="2" borderId="0" xfId="0" applyNumberFormat="1" applyFont="1" applyFill="1" applyAlignment="1">
      <alignment horizontal="left" vertical="top"/>
    </xf>
    <xf numFmtId="11" fontId="24" fillId="0" borderId="0" xfId="0" applyNumberFormat="1" applyFont="1" applyAlignment="1">
      <alignment horizontal="left" vertical="top"/>
    </xf>
    <xf numFmtId="0" fontId="24" fillId="2" borderId="0" xfId="0" applyNumberFormat="1" applyFont="1" applyFill="1" applyAlignment="1">
      <alignment horizontal="left" vertical="top" wrapText="1"/>
    </xf>
    <xf numFmtId="0" fontId="24" fillId="0" borderId="0" xfId="0" applyFont="1" applyAlignment="1">
      <alignment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30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36" sqref="B36"/>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31" t="s">
        <v>3303</v>
      </c>
      <c r="H1" s="132"/>
      <c r="I1" s="132"/>
      <c r="J1" s="133"/>
      <c r="K1" s="27"/>
      <c r="L1" s="35"/>
      <c r="M1" s="23"/>
      <c r="N1" s="134" t="s">
        <v>4</v>
      </c>
      <c r="O1" s="134"/>
      <c r="P1" s="134"/>
      <c r="Q1" s="134"/>
      <c r="R1" s="134"/>
      <c r="S1" s="134"/>
      <c r="T1" s="134"/>
      <c r="U1" s="21"/>
      <c r="V1" s="134" t="s">
        <v>4079</v>
      </c>
      <c r="W1" s="134"/>
      <c r="X1" s="134"/>
      <c r="Y1" s="134"/>
      <c r="Z1" s="134"/>
      <c r="AA1" s="134"/>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f>
        <v>22</v>
      </c>
      <c r="I10" s="24">
        <f>SUMIFS('Card Data'!$E:$E,'Card Data'!$A:$A,$A10,'Card Data'!$K:$K,"",'Card Data'!$J:$J,"&lt;&gt;Campaign")+SUMIFS('Card Data'!$E:$E,'Card Data'!$A:$A,$A10,'Card Data'!$K:$K,"Burden")-J10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f>
        <v>23</v>
      </c>
      <c r="I11" s="24">
        <f>SUMIFS('Card Data'!$E:$E,'Card Data'!$A:$A,$A11,'Card Data'!$K:$K,"",'Card Data'!$J:$J,"&lt;&gt;Campaign")+SUMIFS('Card Data'!$E:$E,'Card Data'!$A:$A,$A11,'Card Data'!$K:$K,"Burden")-J11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f>
        <v>28</v>
      </c>
      <c r="I12" s="24">
        <f>SUMIFS('Card Data'!$E:$E,'Card Data'!$A:$A,$A12,'Card Data'!$K:$K,"",'Card Data'!$J:$J,"&lt;&gt;Campaign")+SUMIFS('Card Data'!$E:$E,'Card Data'!$A:$A,$A12,'Card Data'!$K:$K,"Burden")-J12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G13" s="24">
        <f>SUMIF('Card Data'!$A:$A,$A13,'Card Data'!$E:$E)</f>
        <v>0</v>
      </c>
      <c r="H13" s="24">
        <f>SUMIFS('Card Data'!$E:$E,'Card Data'!$A:$A,$A13,'Card Data'!$K:$K,"&lt;&gt;",'Card Data'!$J:$J,"&lt;&gt;Investigator")</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sheetData>
  <mergeCells count="3">
    <mergeCell ref="G1:J1"/>
    <mergeCell ref="N1:T1"/>
    <mergeCell ref="V1:AA1"/>
  </mergeCells>
  <conditionalFormatting sqref="V2">
    <cfRule type="cellIs" dxfId="305" priority="29" operator="equal">
      <formula>"Fellowship"</formula>
    </cfRule>
    <cfRule type="cellIs" dxfId="304" priority="30" operator="equal">
      <formula>"Neutral"</formula>
    </cfRule>
    <cfRule type="cellIs" dxfId="303" priority="31" operator="equal">
      <formula>"Baggins"</formula>
    </cfRule>
    <cfRule type="cellIs" dxfId="302" priority="32" operator="equal">
      <formula>"Lore"</formula>
    </cfRule>
    <cfRule type="cellIs" dxfId="301" priority="33" operator="equal">
      <formula>"Spirit"</formula>
    </cfRule>
    <cfRule type="cellIs" dxfId="300" priority="34" operator="equal">
      <formula>"Tactics"</formula>
    </cfRule>
    <cfRule type="cellIs" dxfId="299" priority="35" operator="equal">
      <formula>"Leadership"</formula>
    </cfRule>
  </conditionalFormatting>
  <conditionalFormatting sqref="W2">
    <cfRule type="cellIs" dxfId="298" priority="22" operator="equal">
      <formula>"Fellowship"</formula>
    </cfRule>
    <cfRule type="cellIs" dxfId="297" priority="23" operator="equal">
      <formula>"Neutral"</formula>
    </cfRule>
    <cfRule type="cellIs" dxfId="296" priority="24" operator="equal">
      <formula>"Baggins"</formula>
    </cfRule>
    <cfRule type="cellIs" dxfId="295" priority="25" operator="equal">
      <formula>"Lore"</formula>
    </cfRule>
    <cfRule type="cellIs" dxfId="294" priority="26" operator="equal">
      <formula>"Spirit"</formula>
    </cfRule>
    <cfRule type="cellIs" dxfId="293" priority="27" operator="equal">
      <formula>"Tactics"</formula>
    </cfRule>
    <cfRule type="cellIs" dxfId="292" priority="28" operator="equal">
      <formula>"Leadership"</formula>
    </cfRule>
  </conditionalFormatting>
  <conditionalFormatting sqref="X2">
    <cfRule type="cellIs" dxfId="291" priority="15" operator="equal">
      <formula>"Fellowship"</formula>
    </cfRule>
    <cfRule type="cellIs" dxfId="290" priority="16" operator="equal">
      <formula>"Neutral"</formula>
    </cfRule>
    <cfRule type="cellIs" dxfId="289" priority="17" operator="equal">
      <formula>"Baggins"</formula>
    </cfRule>
    <cfRule type="cellIs" dxfId="288" priority="18" operator="equal">
      <formula>"Lore"</formula>
    </cfRule>
    <cfRule type="cellIs" dxfId="287" priority="19" operator="equal">
      <formula>"Spirit"</formula>
    </cfRule>
    <cfRule type="cellIs" dxfId="286" priority="20" operator="equal">
      <formula>"Tactics"</formula>
    </cfRule>
    <cfRule type="cellIs" dxfId="285" priority="21" operator="equal">
      <formula>"Leadership"</formula>
    </cfRule>
  </conditionalFormatting>
  <conditionalFormatting sqref="Y2:Z2">
    <cfRule type="cellIs" dxfId="284" priority="8" operator="equal">
      <formula>"Fellowship"</formula>
    </cfRule>
    <cfRule type="cellIs" dxfId="283" priority="9" operator="equal">
      <formula>"Neutral"</formula>
    </cfRule>
    <cfRule type="cellIs" dxfId="282" priority="10" operator="equal">
      <formula>"Baggins"</formula>
    </cfRule>
    <cfRule type="cellIs" dxfId="281" priority="11" operator="equal">
      <formula>"Lore"</formula>
    </cfRule>
    <cfRule type="cellIs" dxfId="280" priority="12" operator="equal">
      <formula>"Spirit"</formula>
    </cfRule>
    <cfRule type="cellIs" dxfId="279" priority="13" operator="equal">
      <formula>"Tactics"</formula>
    </cfRule>
    <cfRule type="cellIs" dxfId="278" priority="14" operator="equal">
      <formula>"Leadership"</formula>
    </cfRule>
  </conditionalFormatting>
  <conditionalFormatting sqref="AA2">
    <cfRule type="cellIs" dxfId="277" priority="1" operator="equal">
      <formula>"Fellowship"</formula>
    </cfRule>
    <cfRule type="cellIs" dxfId="276" priority="2" operator="equal">
      <formula>"Neutral"</formula>
    </cfRule>
    <cfRule type="cellIs" dxfId="275" priority="3" operator="equal">
      <formula>"Baggins"</formula>
    </cfRule>
    <cfRule type="cellIs" dxfId="274" priority="4" operator="equal">
      <formula>"Lore"</formula>
    </cfRule>
    <cfRule type="cellIs" dxfId="273" priority="5" operator="equal">
      <formula>"Spirit"</formula>
    </cfRule>
    <cfRule type="cellIs" dxfId="272" priority="6" operator="equal">
      <formula>"Tactics"</formula>
    </cfRule>
    <cfRule type="cellIs" dxfId="27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P1023"/>
  <sheetViews>
    <sheetView zoomScale="70" zoomScaleNormal="70" workbookViewId="0">
      <pane xSplit="7" ySplit="1" topLeftCell="AB499" activePane="bottomRight" state="frozen"/>
      <selection activeCell="E1" sqref="E1"/>
      <selection pane="topRight" activeCell="F1" sqref="F1"/>
      <selection pane="bottomLeft" activeCell="E2" sqref="E2"/>
      <selection pane="bottomRight" activeCell="AF508" sqref="AF508"/>
    </sheetView>
  </sheetViews>
  <sheetFormatPr defaultColWidth="9.140625" defaultRowHeight="12" outlineLevelCol="1"/>
  <cols>
    <col min="1" max="1" width="34" style="36" customWidth="1" outlineLevel="1"/>
    <col min="2" max="2" width="33.4257812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5.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36.7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48">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36">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48">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72">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60">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72">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36">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72">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36">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72">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24">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48">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60">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24">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36">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24">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36">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36">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36">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24">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24">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36">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36">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24">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24">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48">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36">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84">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24">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48">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24">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24">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24">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36">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36">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24">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48">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24">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48">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24">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36">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24">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36">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24">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24">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24">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75">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24">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24">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24">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75">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24">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75">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36">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36">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75">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60">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75">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48">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48">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24">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36">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24">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24">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48">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75">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36">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48">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24">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60">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75">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36">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36">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24">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24">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24">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75">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36">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24">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48">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48">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36">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24">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24">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4226</v>
      </c>
      <c r="AE86" s="36"/>
      <c r="AF86" s="36" t="s">
        <v>4272</v>
      </c>
      <c r="AO86" s="37"/>
      <c r="AP86" s="86"/>
      <c r="AQ86" s="88"/>
      <c r="AR86" s="89"/>
      <c r="AS86" s="90"/>
      <c r="AV86" s="88"/>
      <c r="AW86" s="96"/>
      <c r="AX86" s="97"/>
      <c r="AY86" s="93"/>
      <c r="BB86" s="94"/>
      <c r="BE86" s="37"/>
      <c r="BF86" s="36"/>
    </row>
    <row r="87" spans="1:58" ht="36">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36">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24">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24">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24">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24">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75">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75">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75">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24">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36">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48">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48">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24">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24">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36">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72">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36">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48">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72">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48">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48">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36">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24">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24">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24">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60">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36">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60">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24">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24">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48">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36">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48">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24">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72">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36">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24">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24">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24">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24">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24">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24">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24">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24">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36">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24">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24">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36">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24">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24">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24">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24">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24">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96">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48">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48">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60">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60">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60">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48">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36">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24">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24">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24">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24">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24">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36">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60">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36">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24">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24">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24">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24">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72">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48">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24">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24">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48">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24">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36">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48">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24">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36">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60">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36">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36">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36">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36">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24">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24">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36">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48">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84">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96">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08">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68">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08">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92">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60">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36">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30">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72">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24">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60">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30">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60">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30">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84">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24">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24">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36">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72">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48">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24">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48">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36">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84">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96">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36">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96">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60">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72">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60">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36">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60">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36">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48">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84">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72">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72">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84">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96">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84">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84">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84">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48">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72">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72">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72">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48">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48">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36">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36">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48">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36">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60">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36">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36">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48">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60">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60">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48">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60">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48">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48">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60">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48">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60">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84">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36">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60">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60">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72">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36">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48">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48">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60">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36">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72">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72">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84">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84">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72">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72">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48">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60">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36">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60">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36">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72">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48">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24">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72">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48">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36">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24">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24">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36">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36">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36">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36">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24">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72">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36">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36">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36">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72">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24">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36">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72">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48">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24">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24">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24">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36">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48">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48">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24">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72">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72">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60">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60">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24">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96">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24">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24">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36">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24">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36">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24">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48">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60">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24">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48">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36">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60">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36">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72">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36">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60">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48">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96">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36">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84">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80">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84">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84">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24">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36">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48">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84">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24">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24">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24">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24">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72">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48">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36">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36">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36">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24">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72">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60">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36">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48">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72">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60">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36">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24">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48">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60">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48">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36">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72">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24">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24">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60">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36">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72">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60">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60">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48">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36">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60">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24">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24">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36">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48">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6233</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36">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48">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48">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48">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72">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36">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36">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84">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72">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72">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36">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20">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48">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72">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48">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48">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48">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36">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24">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24">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24">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36">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24">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24">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24">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24">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24">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48">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60">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24">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60">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60">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36">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48">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24">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48">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24">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24">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24">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36">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36">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36">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60">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60">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75">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72">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75">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24">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72">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60">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60">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72">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72">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24">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20">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24">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60">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60">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60">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60">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60">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60">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48">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48">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36">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48">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36">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75">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60">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36">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36">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36">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36">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24">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36">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6234</v>
      </c>
      <c r="AP468" s="86"/>
      <c r="AQ468" s="88"/>
      <c r="AR468" s="89"/>
      <c r="AS468" s="90"/>
      <c r="AV468" s="88"/>
      <c r="AW468" s="96"/>
      <c r="AX468" s="97"/>
      <c r="AY468" s="93"/>
      <c r="BB468" s="94"/>
    </row>
    <row r="469" spans="1:60">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48">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6235</v>
      </c>
      <c r="AP470" s="86"/>
      <c r="AQ470" s="88"/>
      <c r="AR470" s="89"/>
      <c r="AS470" s="90"/>
      <c r="AV470" s="88"/>
      <c r="AW470" s="96"/>
      <c r="AX470" s="97"/>
      <c r="AY470" s="93"/>
      <c r="BB470" s="94"/>
    </row>
    <row r="471" spans="1:60" ht="24">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24">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6236</v>
      </c>
      <c r="AP472" s="86"/>
      <c r="AQ472" s="88"/>
      <c r="AR472" s="89"/>
      <c r="AS472" s="90"/>
      <c r="AV472" s="88"/>
      <c r="AW472" s="96"/>
      <c r="AX472" s="97"/>
      <c r="AY472" s="93"/>
      <c r="BB472" s="94"/>
    </row>
    <row r="473" spans="1:60" ht="36">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36">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6237</v>
      </c>
      <c r="AP474" s="86"/>
      <c r="AQ474" s="88"/>
      <c r="AR474" s="89"/>
      <c r="AS474" s="90"/>
      <c r="AV474" s="88"/>
      <c r="AW474" s="96"/>
      <c r="AX474" s="97"/>
      <c r="AY474" s="93"/>
      <c r="BB474" s="94"/>
    </row>
    <row r="475" spans="1:60" ht="36">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24">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6238</v>
      </c>
      <c r="AP476" s="86"/>
      <c r="AQ476" s="88"/>
      <c r="AR476" s="89"/>
      <c r="AS476" s="90"/>
      <c r="AV476" s="88"/>
      <c r="AW476" s="96"/>
      <c r="AX476" s="97"/>
      <c r="AY476" s="93"/>
      <c r="BB476" s="94"/>
    </row>
    <row r="477" spans="1:60">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60">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36">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36">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48">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24">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24">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48">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48">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36">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48">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48">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60">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60">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48">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48">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60">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48">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36">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60">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36">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24">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24">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24">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60">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84">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48">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36">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24">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36">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36">
      <c r="A508" s="54" t="s">
        <v>5970</v>
      </c>
      <c r="B508" s="54" t="s">
        <v>5973</v>
      </c>
      <c r="C508" s="54" t="s">
        <v>6215</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48">
      <c r="A509" s="36" t="s">
        <v>5970</v>
      </c>
      <c r="B509" s="36" t="s">
        <v>5975</v>
      </c>
      <c r="C509" s="36" t="s">
        <v>6215</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c r="A510" s="36" t="s">
        <v>5970</v>
      </c>
      <c r="B510" s="36" t="s">
        <v>5977</v>
      </c>
      <c r="C510" s="36" t="s">
        <v>6215</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60">
      <c r="A511" s="36" t="s">
        <v>5970</v>
      </c>
      <c r="B511" s="36" t="s">
        <v>5979</v>
      </c>
      <c r="C511" s="36" t="s">
        <v>6215</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48">
      <c r="A512" s="36" t="s">
        <v>5970</v>
      </c>
      <c r="B512" s="36" t="s">
        <v>5981</v>
      </c>
      <c r="C512" s="36" t="s">
        <v>6215</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48">
      <c r="A513" s="36" t="s">
        <v>5970</v>
      </c>
      <c r="B513" s="36" t="s">
        <v>5983</v>
      </c>
      <c r="C513" s="36" t="s">
        <v>6215</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36">
      <c r="A514" s="36" t="s">
        <v>5970</v>
      </c>
      <c r="B514" s="36" t="s">
        <v>5985</v>
      </c>
      <c r="C514" s="36" t="s">
        <v>6215</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60">
      <c r="A515" s="36" t="s">
        <v>5970</v>
      </c>
      <c r="B515" s="36" t="s">
        <v>5986</v>
      </c>
      <c r="C515" s="36" t="s">
        <v>6215</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72">
      <c r="A516" s="36" t="s">
        <v>5970</v>
      </c>
      <c r="B516" s="36" t="s">
        <v>5988</v>
      </c>
      <c r="C516" s="36" t="s">
        <v>6215</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60">
      <c r="A517" s="36" t="s">
        <v>5970</v>
      </c>
      <c r="B517" s="36" t="s">
        <v>5989</v>
      </c>
      <c r="C517" s="36" t="s">
        <v>6215</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48">
      <c r="A518" s="36" t="s">
        <v>5970</v>
      </c>
      <c r="B518" s="36" t="s">
        <v>5991</v>
      </c>
      <c r="C518" s="36" t="s">
        <v>6215</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96">
      <c r="A519" s="36" t="s">
        <v>5970</v>
      </c>
      <c r="B519" s="36" t="s">
        <v>5992</v>
      </c>
      <c r="C519" s="36" t="s">
        <v>6215</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36">
      <c r="A520" s="36" t="s">
        <v>5970</v>
      </c>
      <c r="B520" s="36" t="s">
        <v>5993</v>
      </c>
      <c r="C520" s="36" t="s">
        <v>6215</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92">
      <c r="A521" s="36" t="s">
        <v>5970</v>
      </c>
      <c r="B521" s="36" t="s">
        <v>5995</v>
      </c>
      <c r="C521" s="36" t="s">
        <v>6215</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36">
      <c r="A522" s="36" t="s">
        <v>5970</v>
      </c>
      <c r="B522" s="36" t="s">
        <v>5997</v>
      </c>
      <c r="C522" s="36" t="s">
        <v>6215</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228">
      <c r="A523" s="36" t="s">
        <v>5970</v>
      </c>
      <c r="B523" s="36" t="s">
        <v>5999</v>
      </c>
      <c r="C523" s="36" t="s">
        <v>6215</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36">
      <c r="A524" s="36" t="s">
        <v>5970</v>
      </c>
      <c r="B524" s="36" t="s">
        <v>6001</v>
      </c>
      <c r="C524" s="36" t="s">
        <v>6215</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60">
      <c r="A525" s="36" t="s">
        <v>5970</v>
      </c>
      <c r="B525" s="36" t="s">
        <v>6003</v>
      </c>
      <c r="C525" s="36" t="s">
        <v>6215</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36">
      <c r="A526" s="36" t="s">
        <v>5970</v>
      </c>
      <c r="B526" s="36" t="s">
        <v>6005</v>
      </c>
      <c r="C526" s="36" t="s">
        <v>6215</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60">
      <c r="A527" s="36" t="s">
        <v>5970</v>
      </c>
      <c r="B527" s="36" t="s">
        <v>6006</v>
      </c>
      <c r="C527" s="36" t="s">
        <v>6215</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48">
      <c r="A528" s="36" t="s">
        <v>5970</v>
      </c>
      <c r="B528" s="36" t="s">
        <v>6008</v>
      </c>
      <c r="C528" s="36" t="s">
        <v>6215</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48">
      <c r="A529" s="36" t="s">
        <v>5970</v>
      </c>
      <c r="B529" s="36" t="s">
        <v>6009</v>
      </c>
      <c r="C529" s="36" t="s">
        <v>6215</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48">
      <c r="A530" s="36" t="s">
        <v>5970</v>
      </c>
      <c r="B530" s="36" t="s">
        <v>6011</v>
      </c>
      <c r="C530" s="36" t="s">
        <v>6215</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48">
      <c r="A531" s="36" t="s">
        <v>5970</v>
      </c>
      <c r="B531" s="36" t="s">
        <v>6012</v>
      </c>
      <c r="C531" s="36" t="s">
        <v>6215</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24">
      <c r="A532" s="36" t="s">
        <v>5970</v>
      </c>
      <c r="B532" s="36" t="s">
        <v>6014</v>
      </c>
      <c r="C532" s="36" t="s">
        <v>6215</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60">
      <c r="A533" s="36" t="s">
        <v>5970</v>
      </c>
      <c r="B533" s="36" t="s">
        <v>6015</v>
      </c>
      <c r="C533" s="36" t="s">
        <v>6215</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36">
      <c r="A534" s="36" t="s">
        <v>5970</v>
      </c>
      <c r="B534" s="36" t="s">
        <v>6017</v>
      </c>
      <c r="C534" s="36" t="s">
        <v>6215</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48">
      <c r="A535" s="36" t="s">
        <v>5970</v>
      </c>
      <c r="B535" s="36" t="s">
        <v>6018</v>
      </c>
      <c r="C535" s="36" t="s">
        <v>6215</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48">
      <c r="A536" s="36" t="s">
        <v>5970</v>
      </c>
      <c r="B536" s="36" t="s">
        <v>6020</v>
      </c>
      <c r="C536" s="36" t="s">
        <v>6215</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36">
      <c r="A537" s="36" t="s">
        <v>5970</v>
      </c>
      <c r="B537" s="36" t="s">
        <v>6021</v>
      </c>
      <c r="C537" s="36" t="s">
        <v>6215</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48">
      <c r="A538" s="36" t="s">
        <v>5970</v>
      </c>
      <c r="B538" s="36" t="s">
        <v>6023</v>
      </c>
      <c r="C538" s="36" t="s">
        <v>6215</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48">
      <c r="A539" s="36" t="s">
        <v>5970</v>
      </c>
      <c r="B539" s="36" t="s">
        <v>6025</v>
      </c>
      <c r="C539" s="36" t="s">
        <v>6215</v>
      </c>
      <c r="D539" s="37">
        <v>256</v>
      </c>
      <c r="E539" s="36">
        <v>4</v>
      </c>
      <c r="F539" s="36" t="s">
        <v>5971</v>
      </c>
      <c r="G539" s="36" t="s">
        <v>6026</v>
      </c>
      <c r="J539" s="36" t="s">
        <v>28</v>
      </c>
      <c r="AF539" s="36" t="s">
        <v>6081</v>
      </c>
      <c r="AP539" s="86"/>
      <c r="AQ539" s="88"/>
      <c r="AR539" s="89"/>
      <c r="AS539" s="90"/>
      <c r="AV539" s="88"/>
      <c r="AW539" s="96"/>
      <c r="AX539" s="97"/>
      <c r="AY539" s="93"/>
      <c r="BB539" s="94"/>
    </row>
    <row r="540" spans="1:59" ht="60">
      <c r="A540" s="36" t="s">
        <v>5970</v>
      </c>
      <c r="B540" s="36" t="s">
        <v>6027</v>
      </c>
      <c r="C540" s="36" t="s">
        <v>6215</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36">
      <c r="A541" s="36" t="s">
        <v>5970</v>
      </c>
      <c r="B541" s="36" t="s">
        <v>6029</v>
      </c>
      <c r="C541" s="36" t="s">
        <v>6215</v>
      </c>
      <c r="D541" s="37">
        <v>258</v>
      </c>
      <c r="E541" s="36">
        <v>2</v>
      </c>
      <c r="F541" s="36" t="s">
        <v>5971</v>
      </c>
      <c r="G541" s="36" t="s">
        <v>6030</v>
      </c>
      <c r="J541" s="36" t="s">
        <v>28</v>
      </c>
      <c r="AF541" s="36" t="s">
        <v>6083</v>
      </c>
      <c r="AP541" s="86"/>
      <c r="AQ541" s="88"/>
      <c r="AR541" s="89"/>
      <c r="AS541" s="90"/>
      <c r="AV541" s="88"/>
      <c r="AW541" s="96"/>
      <c r="AX541" s="97"/>
      <c r="AY541" s="93"/>
      <c r="BB541" s="94"/>
    </row>
    <row r="542" spans="1:59" ht="48">
      <c r="A542" s="36" t="s">
        <v>5970</v>
      </c>
      <c r="B542" s="36" t="s">
        <v>6031</v>
      </c>
      <c r="C542" s="36" t="s">
        <v>6215</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24">
      <c r="A543" s="54" t="s">
        <v>6085</v>
      </c>
      <c r="B543" s="54" t="s">
        <v>6088</v>
      </c>
      <c r="C543" s="54" t="s">
        <v>6216</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36">
      <c r="A544" s="36" t="s">
        <v>6085</v>
      </c>
      <c r="B544" s="36" t="s">
        <v>6090</v>
      </c>
      <c r="C544" s="36" t="s">
        <v>6216</v>
      </c>
      <c r="D544" s="37">
        <v>261</v>
      </c>
      <c r="E544" s="36">
        <v>2</v>
      </c>
      <c r="G544" s="36" t="s">
        <v>6091</v>
      </c>
      <c r="J544" s="36" t="s">
        <v>27</v>
      </c>
      <c r="K544" s="36" t="s">
        <v>4052</v>
      </c>
      <c r="L544" s="36">
        <v>4</v>
      </c>
      <c r="N544" s="75">
        <v>0</v>
      </c>
      <c r="O544" s="76">
        <v>2</v>
      </c>
      <c r="R544" s="79">
        <v>1</v>
      </c>
      <c r="AB544" s="36" t="s">
        <v>6164</v>
      </c>
      <c r="AD544" s="36" t="s">
        <v>5659</v>
      </c>
      <c r="AF544" s="130" t="s">
        <v>6217</v>
      </c>
      <c r="AP544" s="86"/>
      <c r="AQ544" s="88"/>
      <c r="AR544" s="89"/>
      <c r="AS544" s="90"/>
      <c r="AV544" s="88"/>
      <c r="AW544" s="96"/>
      <c r="AX544" s="97"/>
      <c r="AY544" s="93"/>
      <c r="BB544" s="94"/>
    </row>
    <row r="545" spans="1:59" ht="72">
      <c r="A545" s="36" t="s">
        <v>6085</v>
      </c>
      <c r="B545" s="36" t="s">
        <v>6092</v>
      </c>
      <c r="C545" s="36" t="s">
        <v>6216</v>
      </c>
      <c r="D545" s="37">
        <v>262</v>
      </c>
      <c r="E545" s="36">
        <v>2</v>
      </c>
      <c r="G545" s="36" t="s">
        <v>5250</v>
      </c>
      <c r="H545" s="36" t="s">
        <v>6165</v>
      </c>
      <c r="J545" s="36" t="s">
        <v>4111</v>
      </c>
      <c r="K545" s="36" t="s">
        <v>4053</v>
      </c>
      <c r="L545" s="36">
        <v>4</v>
      </c>
      <c r="N545" s="75">
        <v>1</v>
      </c>
      <c r="O545" s="76">
        <v>2</v>
      </c>
      <c r="AB545" s="36" t="s">
        <v>4948</v>
      </c>
      <c r="AD545" s="36" t="s">
        <v>5252</v>
      </c>
      <c r="AF545" s="36" t="s">
        <v>6218</v>
      </c>
      <c r="AP545" s="86"/>
      <c r="AQ545" s="88"/>
      <c r="AR545" s="89"/>
      <c r="AS545" s="90"/>
      <c r="AV545" s="88"/>
      <c r="AW545" s="96"/>
      <c r="AX545" s="97"/>
      <c r="AY545" s="93"/>
      <c r="BB545" s="94"/>
    </row>
    <row r="546" spans="1:59" ht="72">
      <c r="A546" s="36" t="s">
        <v>6085</v>
      </c>
      <c r="B546" s="36" t="s">
        <v>6093</v>
      </c>
      <c r="C546" s="36" t="s">
        <v>6216</v>
      </c>
      <c r="D546" s="37">
        <v>263</v>
      </c>
      <c r="E546" s="36">
        <v>2</v>
      </c>
      <c r="G546" s="36" t="s">
        <v>5250</v>
      </c>
      <c r="H546" s="36" t="s">
        <v>6166</v>
      </c>
      <c r="J546" s="36" t="s">
        <v>4111</v>
      </c>
      <c r="K546" s="36" t="s">
        <v>4053</v>
      </c>
      <c r="L546" s="36">
        <v>4</v>
      </c>
      <c r="N546" s="75">
        <v>1</v>
      </c>
      <c r="Q546" s="78">
        <v>2</v>
      </c>
      <c r="AB546" s="36" t="s">
        <v>4942</v>
      </c>
      <c r="AD546" s="36" t="s">
        <v>5252</v>
      </c>
      <c r="AF546" s="36" t="s">
        <v>6219</v>
      </c>
      <c r="AP546" s="86"/>
      <c r="AQ546" s="88"/>
      <c r="AR546" s="89"/>
      <c r="AS546" s="90"/>
      <c r="AV546" s="88"/>
      <c r="AW546" s="96"/>
      <c r="AX546" s="97"/>
      <c r="AY546" s="93"/>
      <c r="BB546" s="94"/>
    </row>
    <row r="547" spans="1:59" ht="60">
      <c r="A547" s="36" t="s">
        <v>6085</v>
      </c>
      <c r="B547" s="36" t="s">
        <v>6094</v>
      </c>
      <c r="C547" s="36" t="s">
        <v>6216</v>
      </c>
      <c r="D547" s="37">
        <v>264</v>
      </c>
      <c r="E547" s="36">
        <v>2</v>
      </c>
      <c r="G547" s="36" t="s">
        <v>5250</v>
      </c>
      <c r="H547" s="36" t="s">
        <v>6167</v>
      </c>
      <c r="J547" s="36" t="s">
        <v>4111</v>
      </c>
      <c r="K547" s="36" t="s">
        <v>4053</v>
      </c>
      <c r="L547" s="36">
        <v>4</v>
      </c>
      <c r="N547" s="75">
        <v>1</v>
      </c>
      <c r="R547" s="79">
        <v>2</v>
      </c>
      <c r="AB547" s="36" t="s">
        <v>4949</v>
      </c>
      <c r="AD547" s="36" t="s">
        <v>5252</v>
      </c>
      <c r="AF547" s="36" t="s">
        <v>6220</v>
      </c>
      <c r="AP547" s="86"/>
      <c r="AQ547" s="88"/>
      <c r="AR547" s="89"/>
      <c r="AS547" s="90"/>
      <c r="AV547" s="88"/>
      <c r="AW547" s="96"/>
      <c r="AX547" s="97"/>
      <c r="AY547" s="93"/>
      <c r="BB547" s="94"/>
    </row>
    <row r="548" spans="1:59" ht="24">
      <c r="A548" s="36" t="s">
        <v>6085</v>
      </c>
      <c r="B548" s="36" t="s">
        <v>6095</v>
      </c>
      <c r="C548" s="36" t="s">
        <v>6216</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24">
      <c r="A549" s="36" t="s">
        <v>6085</v>
      </c>
      <c r="B549" s="36" t="s">
        <v>6097</v>
      </c>
      <c r="C549" s="36" t="s">
        <v>6216</v>
      </c>
      <c r="D549" s="37">
        <v>266</v>
      </c>
      <c r="E549" s="36">
        <v>2</v>
      </c>
      <c r="G549" s="36" t="s">
        <v>6098</v>
      </c>
      <c r="J549" s="36" t="s">
        <v>27</v>
      </c>
      <c r="K549" s="36" t="s">
        <v>4055</v>
      </c>
      <c r="L549" s="36">
        <v>3</v>
      </c>
      <c r="N549" s="75">
        <v>0</v>
      </c>
      <c r="AD549" s="36" t="s">
        <v>5266</v>
      </c>
      <c r="AF549" s="36" t="s">
        <v>6221</v>
      </c>
      <c r="AP549" s="86"/>
      <c r="AQ549" s="88"/>
      <c r="AR549" s="89"/>
      <c r="AS549" s="90"/>
      <c r="AV549" s="88"/>
      <c r="AW549" s="96"/>
      <c r="AX549" s="97"/>
      <c r="AY549" s="93"/>
      <c r="BB549" s="94"/>
    </row>
    <row r="550" spans="1:59">
      <c r="A550" s="36" t="s">
        <v>6085</v>
      </c>
      <c r="B550" s="36" t="s">
        <v>6099</v>
      </c>
      <c r="C550" s="36" t="s">
        <v>6216</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24">
      <c r="A551" s="36" t="s">
        <v>6085</v>
      </c>
      <c r="B551" s="36" t="s">
        <v>6101</v>
      </c>
      <c r="C551" s="36" t="s">
        <v>6216</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36">
      <c r="A552" s="36" t="s">
        <v>6085</v>
      </c>
      <c r="B552" s="36" t="s">
        <v>6102</v>
      </c>
      <c r="C552" s="36" t="s">
        <v>6216</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36">
      <c r="A553" s="36" t="s">
        <v>6085</v>
      </c>
      <c r="B553" s="36" t="s">
        <v>6104</v>
      </c>
      <c r="C553" s="36" t="s">
        <v>6216</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48">
      <c r="A554" s="36" t="s">
        <v>6085</v>
      </c>
      <c r="B554" s="36" t="s">
        <v>6106</v>
      </c>
      <c r="C554" s="36" t="s">
        <v>6216</v>
      </c>
      <c r="D554" s="37">
        <v>271</v>
      </c>
      <c r="E554" s="36">
        <v>2</v>
      </c>
      <c r="G554" s="36" t="s">
        <v>6107</v>
      </c>
      <c r="J554" s="36" t="s">
        <v>4166</v>
      </c>
      <c r="K554" s="36" t="s">
        <v>4056</v>
      </c>
      <c r="L554" s="36">
        <v>2</v>
      </c>
      <c r="S554" s="126">
        <v>1</v>
      </c>
      <c r="AB554" s="36" t="s">
        <v>4062</v>
      </c>
      <c r="AD554" s="36" t="s">
        <v>6178</v>
      </c>
      <c r="AF554" s="36" t="s">
        <v>6222</v>
      </c>
      <c r="AP554" s="86"/>
      <c r="AQ554" s="88"/>
      <c r="AR554" s="89"/>
      <c r="AS554" s="90"/>
      <c r="AV554" s="88"/>
      <c r="AW554" s="96"/>
      <c r="AX554" s="97"/>
      <c r="AY554" s="93"/>
      <c r="BB554" s="94"/>
    </row>
    <row r="555" spans="1:59" ht="24">
      <c r="A555" s="36" t="s">
        <v>6085</v>
      </c>
      <c r="B555" s="36" t="s">
        <v>6108</v>
      </c>
      <c r="C555" s="36" t="s">
        <v>6216</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24">
      <c r="A556" s="36" t="s">
        <v>6085</v>
      </c>
      <c r="B556" s="36" t="s">
        <v>6110</v>
      </c>
      <c r="C556" s="36" t="s">
        <v>6216</v>
      </c>
      <c r="D556" s="37">
        <v>273</v>
      </c>
      <c r="E556" s="36">
        <v>2</v>
      </c>
      <c r="G556" s="36" t="s">
        <v>6111</v>
      </c>
      <c r="J556" s="36" t="s">
        <v>27</v>
      </c>
      <c r="K556" s="36" t="s">
        <v>26</v>
      </c>
      <c r="L556" s="36">
        <v>3</v>
      </c>
      <c r="N556" s="75">
        <v>3</v>
      </c>
      <c r="O556" s="76">
        <v>2</v>
      </c>
      <c r="AB556" s="36" t="s">
        <v>4948</v>
      </c>
      <c r="AD556" s="36" t="s">
        <v>5659</v>
      </c>
      <c r="AF556" s="36" t="s">
        <v>6223</v>
      </c>
      <c r="AP556" s="86"/>
      <c r="AQ556" s="88"/>
      <c r="AR556" s="89"/>
      <c r="AS556" s="90"/>
      <c r="AV556" s="88"/>
      <c r="AW556" s="96"/>
      <c r="AX556" s="97"/>
      <c r="AY556" s="93"/>
      <c r="BB556" s="94"/>
    </row>
    <row r="557" spans="1:59" ht="72">
      <c r="A557" s="36" t="s">
        <v>6085</v>
      </c>
      <c r="B557" s="36" t="s">
        <v>6112</v>
      </c>
      <c r="C557" s="36" t="s">
        <v>6216</v>
      </c>
      <c r="D557" s="37">
        <v>274</v>
      </c>
      <c r="E557" s="36">
        <v>1</v>
      </c>
      <c r="F557" s="36" t="s">
        <v>6086</v>
      </c>
      <c r="G557" s="36" t="s">
        <v>6086</v>
      </c>
      <c r="H557" s="46" t="s">
        <v>4563</v>
      </c>
      <c r="J557" s="36" t="s">
        <v>4472</v>
      </c>
      <c r="AF557" s="36" t="s">
        <v>6232</v>
      </c>
      <c r="AI557" s="36" t="s">
        <v>6086</v>
      </c>
      <c r="AJ557" s="36" t="s">
        <v>4564</v>
      </c>
      <c r="AL557" s="36" t="s">
        <v>4472</v>
      </c>
      <c r="AP557" s="86"/>
      <c r="AQ557" s="88"/>
      <c r="AR557" s="89"/>
      <c r="AS557" s="90"/>
      <c r="AV557" s="88"/>
      <c r="AW557" s="96"/>
      <c r="AX557" s="97"/>
      <c r="AY557" s="93"/>
      <c r="BB557" s="94"/>
      <c r="BG557" s="36" t="s">
        <v>6231</v>
      </c>
    </row>
    <row r="558" spans="1:59">
      <c r="A558" s="36" t="s">
        <v>6085</v>
      </c>
      <c r="B558" s="36" t="s">
        <v>6113</v>
      </c>
      <c r="C558" s="36" t="s">
        <v>6216</v>
      </c>
      <c r="D558" s="37">
        <v>275</v>
      </c>
      <c r="E558" s="36">
        <v>1</v>
      </c>
      <c r="F558" s="36" t="s">
        <v>6086</v>
      </c>
      <c r="G558" s="36" t="s">
        <v>6114</v>
      </c>
      <c r="J558" s="36" t="s">
        <v>4473</v>
      </c>
      <c r="Z558" s="81">
        <v>12</v>
      </c>
      <c r="AI558" s="36" t="s">
        <v>6181</v>
      </c>
      <c r="AL558" s="36" t="s">
        <v>6182</v>
      </c>
      <c r="AP558" s="86"/>
      <c r="AQ558" s="88"/>
      <c r="AR558" s="89"/>
      <c r="AS558" s="90"/>
      <c r="AV558" s="88"/>
      <c r="AW558" s="96"/>
      <c r="AX558" s="97"/>
      <c r="AY558" s="93"/>
      <c r="BB558" s="94"/>
      <c r="BG558" s="36" t="s">
        <v>6183</v>
      </c>
    </row>
    <row r="559" spans="1:59">
      <c r="A559" s="36" t="s">
        <v>6085</v>
      </c>
      <c r="B559" s="36" t="s">
        <v>6115</v>
      </c>
      <c r="C559" s="36" t="s">
        <v>6216</v>
      </c>
      <c r="D559" s="37">
        <v>276</v>
      </c>
      <c r="E559" s="36">
        <v>1</v>
      </c>
      <c r="F559" s="36" t="s">
        <v>6086</v>
      </c>
      <c r="G559" s="36" t="s">
        <v>6116</v>
      </c>
      <c r="J559" s="36" t="s">
        <v>4473</v>
      </c>
      <c r="Z559" s="81">
        <v>10</v>
      </c>
      <c r="AI559" s="36" t="s">
        <v>6184</v>
      </c>
      <c r="AL559" s="36" t="s">
        <v>6182</v>
      </c>
      <c r="AP559" s="86"/>
      <c r="AQ559" s="88"/>
      <c r="AR559" s="89"/>
      <c r="AS559" s="90"/>
      <c r="AV559" s="88"/>
      <c r="AW559" s="96"/>
      <c r="AX559" s="97"/>
      <c r="AY559" s="93"/>
      <c r="BB559" s="94"/>
      <c r="BG559" s="36" t="s">
        <v>6066</v>
      </c>
    </row>
    <row r="560" spans="1:59" ht="36">
      <c r="A560" s="36" t="s">
        <v>6085</v>
      </c>
      <c r="B560" s="36" t="s">
        <v>6117</v>
      </c>
      <c r="C560" s="36" t="s">
        <v>6216</v>
      </c>
      <c r="D560" s="37">
        <v>277</v>
      </c>
      <c r="E560" s="36">
        <v>1</v>
      </c>
      <c r="F560" s="36" t="s">
        <v>6086</v>
      </c>
      <c r="G560" s="36" t="s">
        <v>6118</v>
      </c>
      <c r="J560" s="36" t="s">
        <v>4475</v>
      </c>
      <c r="Y560" s="79" t="s">
        <v>5551</v>
      </c>
      <c r="AF560" s="36" t="s">
        <v>6185</v>
      </c>
      <c r="AI560" s="36" t="s">
        <v>6186</v>
      </c>
      <c r="AL560" s="36" t="s">
        <v>4475</v>
      </c>
      <c r="AP560" s="86"/>
      <c r="AQ560" s="88"/>
      <c r="AR560" s="89"/>
      <c r="AS560" s="90"/>
      <c r="AV560" s="88"/>
      <c r="AW560" s="96"/>
      <c r="AX560" s="97"/>
      <c r="AY560" s="93"/>
      <c r="BB560" s="94"/>
      <c r="BG560" s="36" t="s">
        <v>6224</v>
      </c>
    </row>
    <row r="561" spans="1:59" ht="36">
      <c r="A561" s="36" t="s">
        <v>6085</v>
      </c>
      <c r="B561" s="36" t="s">
        <v>6119</v>
      </c>
      <c r="C561" s="36" t="s">
        <v>6216</v>
      </c>
      <c r="D561" s="37">
        <v>278</v>
      </c>
      <c r="E561" s="36">
        <v>1</v>
      </c>
      <c r="F561" s="36" t="s">
        <v>6086</v>
      </c>
      <c r="G561" s="36" t="s">
        <v>6120</v>
      </c>
      <c r="J561" s="36" t="s">
        <v>4475</v>
      </c>
      <c r="Y561" s="79" t="s">
        <v>38</v>
      </c>
      <c r="AF561" s="36" t="s">
        <v>6225</v>
      </c>
      <c r="AI561" s="36" t="s">
        <v>6187</v>
      </c>
      <c r="AL561" s="36" t="s">
        <v>4475</v>
      </c>
      <c r="AP561" s="86"/>
      <c r="AQ561" s="88"/>
      <c r="AR561" s="89"/>
      <c r="AS561" s="90"/>
      <c r="AV561" s="88"/>
      <c r="AW561" s="96"/>
      <c r="AX561" s="97"/>
      <c r="AY561" s="93"/>
      <c r="BB561" s="94"/>
      <c r="BG561" s="36" t="s">
        <v>6188</v>
      </c>
    </row>
    <row r="562" spans="1:59" ht="36">
      <c r="A562" s="36" t="s">
        <v>6085</v>
      </c>
      <c r="B562" s="36" t="s">
        <v>6121</v>
      </c>
      <c r="C562" s="36" t="s">
        <v>6216</v>
      </c>
      <c r="D562" s="37">
        <v>279</v>
      </c>
      <c r="E562" s="36">
        <v>1</v>
      </c>
      <c r="F562" s="36" t="s">
        <v>6086</v>
      </c>
      <c r="G562" s="36" t="s">
        <v>6122</v>
      </c>
      <c r="J562" s="36" t="s">
        <v>4475</v>
      </c>
      <c r="Y562" s="79" t="s">
        <v>38</v>
      </c>
      <c r="AF562" s="36" t="s">
        <v>6225</v>
      </c>
      <c r="AI562" s="36" t="s">
        <v>6189</v>
      </c>
      <c r="AL562" s="36" t="s">
        <v>4475</v>
      </c>
      <c r="AP562" s="86"/>
      <c r="AQ562" s="88"/>
      <c r="AR562" s="89"/>
      <c r="AS562" s="90"/>
      <c r="AV562" s="88"/>
      <c r="AW562" s="96"/>
      <c r="AX562" s="97"/>
      <c r="AY562" s="93"/>
      <c r="BB562" s="94"/>
      <c r="BG562" s="36" t="s">
        <v>6190</v>
      </c>
    </row>
    <row r="563" spans="1:59" ht="36">
      <c r="A563" s="36" t="s">
        <v>6085</v>
      </c>
      <c r="B563" s="36" t="s">
        <v>6123</v>
      </c>
      <c r="C563" s="36" t="s">
        <v>6216</v>
      </c>
      <c r="D563" s="37">
        <v>280</v>
      </c>
      <c r="E563" s="36">
        <v>1</v>
      </c>
      <c r="F563" s="36" t="s">
        <v>6086</v>
      </c>
      <c r="G563" s="36" t="s">
        <v>6124</v>
      </c>
      <c r="J563" s="36" t="s">
        <v>4475</v>
      </c>
      <c r="Y563" s="79" t="s">
        <v>38</v>
      </c>
      <c r="AF563" s="36" t="s">
        <v>6225</v>
      </c>
      <c r="AI563" s="36" t="s">
        <v>6191</v>
      </c>
      <c r="AL563" s="36" t="s">
        <v>4475</v>
      </c>
      <c r="AP563" s="86"/>
      <c r="AQ563" s="88"/>
      <c r="AR563" s="89"/>
      <c r="AS563" s="90"/>
      <c r="AV563" s="88"/>
      <c r="AW563" s="96"/>
      <c r="AX563" s="97"/>
      <c r="AY563" s="93"/>
      <c r="BB563" s="94"/>
      <c r="BG563" s="36" t="s">
        <v>6192</v>
      </c>
    </row>
    <row r="564" spans="1:59" ht="24">
      <c r="A564" s="36" t="s">
        <v>6085</v>
      </c>
      <c r="B564" s="36" t="s">
        <v>6125</v>
      </c>
      <c r="C564" s="36" t="s">
        <v>6216</v>
      </c>
      <c r="D564" s="37">
        <v>281</v>
      </c>
      <c r="E564" s="36">
        <v>1</v>
      </c>
      <c r="F564" s="36" t="s">
        <v>6086</v>
      </c>
      <c r="G564" s="36" t="s">
        <v>6126</v>
      </c>
      <c r="J564" s="36" t="s">
        <v>4475</v>
      </c>
      <c r="Y564" s="79" t="s">
        <v>5551</v>
      </c>
      <c r="AF564" s="36" t="s">
        <v>6193</v>
      </c>
      <c r="AI564" s="36" t="s">
        <v>6194</v>
      </c>
      <c r="AL564" s="36" t="s">
        <v>4475</v>
      </c>
      <c r="AP564" s="86"/>
      <c r="AQ564" s="88"/>
      <c r="AR564" s="89"/>
      <c r="AS564" s="90"/>
      <c r="AV564" s="88"/>
      <c r="AW564" s="96"/>
      <c r="AX564" s="97"/>
      <c r="AY564" s="93"/>
      <c r="BB564" s="94"/>
      <c r="BG564" s="36" t="s">
        <v>5740</v>
      </c>
    </row>
    <row r="565" spans="1:59" ht="60">
      <c r="A565" s="36" t="s">
        <v>6085</v>
      </c>
      <c r="B565" s="36" t="s">
        <v>6127</v>
      </c>
      <c r="C565" s="36" t="s">
        <v>6216</v>
      </c>
      <c r="D565" s="37">
        <v>282</v>
      </c>
      <c r="E565" s="36">
        <v>1</v>
      </c>
      <c r="F565" s="36" t="s">
        <v>6086</v>
      </c>
      <c r="G565" s="36" t="s">
        <v>6128</v>
      </c>
      <c r="J565" s="36" t="s">
        <v>31</v>
      </c>
      <c r="AD565" s="36" t="s">
        <v>6195</v>
      </c>
      <c r="AI565" s="36" t="s">
        <v>6128</v>
      </c>
      <c r="AL565" s="36" t="s">
        <v>31</v>
      </c>
      <c r="AP565" s="86"/>
      <c r="AQ565" s="88"/>
      <c r="AR565" s="89"/>
      <c r="AS565" s="90"/>
      <c r="AV565" s="88"/>
      <c r="AW565" s="96"/>
      <c r="AX565" s="97"/>
      <c r="AY565" s="93">
        <v>3</v>
      </c>
      <c r="AZ565" s="79">
        <v>0</v>
      </c>
      <c r="BB565" s="94"/>
      <c r="BE565" s="36" t="s">
        <v>6195</v>
      </c>
      <c r="BG565" s="36" t="s">
        <v>6226</v>
      </c>
    </row>
    <row r="566" spans="1:59" ht="48">
      <c r="A566" s="36" t="s">
        <v>6085</v>
      </c>
      <c r="B566" s="36" t="s">
        <v>6129</v>
      </c>
      <c r="C566" s="36" t="s">
        <v>6216</v>
      </c>
      <c r="D566" s="37">
        <v>283</v>
      </c>
      <c r="E566" s="36">
        <v>1</v>
      </c>
      <c r="F566" s="36" t="s">
        <v>6086</v>
      </c>
      <c r="G566" s="36" t="s">
        <v>6130</v>
      </c>
      <c r="J566" s="36" t="s">
        <v>31</v>
      </c>
      <c r="AD566" s="36" t="s">
        <v>6195</v>
      </c>
      <c r="AF566" s="36" t="s">
        <v>6196</v>
      </c>
      <c r="AI566" s="36" t="s">
        <v>6130</v>
      </c>
      <c r="AL566" s="36" t="s">
        <v>31</v>
      </c>
      <c r="AP566" s="86"/>
      <c r="AQ566" s="88"/>
      <c r="AR566" s="89"/>
      <c r="AS566" s="90"/>
      <c r="AV566" s="88"/>
      <c r="AW566" s="96"/>
      <c r="AX566" s="97"/>
      <c r="AY566" s="93">
        <v>3</v>
      </c>
      <c r="AZ566" s="79">
        <v>0</v>
      </c>
      <c r="BB566" s="94"/>
      <c r="BE566" s="36" t="s">
        <v>6195</v>
      </c>
      <c r="BG566" s="36" t="s">
        <v>6227</v>
      </c>
    </row>
    <row r="567" spans="1:59" ht="24">
      <c r="A567" s="36" t="s">
        <v>6085</v>
      </c>
      <c r="B567" s="36" t="s">
        <v>6131</v>
      </c>
      <c r="C567" s="36" t="s">
        <v>6216</v>
      </c>
      <c r="D567" s="37">
        <v>284</v>
      </c>
      <c r="E567" s="36">
        <v>1</v>
      </c>
      <c r="F567" s="36" t="s">
        <v>6086</v>
      </c>
      <c r="G567" s="36" t="s">
        <v>6132</v>
      </c>
      <c r="J567" s="36" t="s">
        <v>31</v>
      </c>
      <c r="AD567" s="36" t="s">
        <v>6195</v>
      </c>
      <c r="AF567" s="36" t="s">
        <v>6197</v>
      </c>
      <c r="AI567" s="36" t="s">
        <v>6132</v>
      </c>
      <c r="AL567" s="36" t="s">
        <v>31</v>
      </c>
      <c r="AP567" s="86"/>
      <c r="AQ567" s="88"/>
      <c r="AR567" s="89"/>
      <c r="AS567" s="90"/>
      <c r="AV567" s="88"/>
      <c r="AW567" s="96"/>
      <c r="AX567" s="97"/>
      <c r="AY567" s="93">
        <v>4</v>
      </c>
      <c r="AZ567" s="79" t="s">
        <v>5551</v>
      </c>
      <c r="BB567" s="94">
        <v>2</v>
      </c>
      <c r="BE567" s="36" t="s">
        <v>6195</v>
      </c>
      <c r="BG567" s="36" t="s">
        <v>6198</v>
      </c>
    </row>
    <row r="568" spans="1:59" ht="24">
      <c r="A568" s="36" t="s">
        <v>6085</v>
      </c>
      <c r="B568" s="36" t="s">
        <v>6133</v>
      </c>
      <c r="C568" s="36" t="s">
        <v>6216</v>
      </c>
      <c r="D568" s="37">
        <v>285</v>
      </c>
      <c r="E568" s="36">
        <v>1</v>
      </c>
      <c r="F568" s="36" t="s">
        <v>6086</v>
      </c>
      <c r="G568" s="36" t="s">
        <v>6161</v>
      </c>
      <c r="J568" s="36" t="s">
        <v>31</v>
      </c>
      <c r="AD568" s="36" t="s">
        <v>6199</v>
      </c>
      <c r="AI568" s="36" t="s">
        <v>6134</v>
      </c>
      <c r="AL568" s="36" t="s">
        <v>31</v>
      </c>
      <c r="AP568" s="86"/>
      <c r="AQ568" s="88"/>
      <c r="AR568" s="89"/>
      <c r="AS568" s="90"/>
      <c r="AV568" s="88"/>
      <c r="AW568" s="96"/>
      <c r="AX568" s="97"/>
      <c r="AY568" s="93">
        <v>2</v>
      </c>
      <c r="AZ568" s="79" t="s">
        <v>4925</v>
      </c>
      <c r="BB568" s="94"/>
      <c r="BE568" s="36" t="s">
        <v>6199</v>
      </c>
      <c r="BG568" s="36" t="s">
        <v>6200</v>
      </c>
    </row>
    <row r="569" spans="1:59" ht="24">
      <c r="A569" s="36" t="s">
        <v>6085</v>
      </c>
      <c r="B569" s="36" t="s">
        <v>6135</v>
      </c>
      <c r="C569" s="36" t="s">
        <v>6216</v>
      </c>
      <c r="D569" s="37">
        <v>286</v>
      </c>
      <c r="E569" s="36">
        <v>1</v>
      </c>
      <c r="F569" s="36" t="s">
        <v>6086</v>
      </c>
      <c r="G569" s="36" t="s">
        <v>6161</v>
      </c>
      <c r="J569" s="36" t="s">
        <v>31</v>
      </c>
      <c r="AD569" s="36" t="s">
        <v>6199</v>
      </c>
      <c r="AI569" s="36" t="s">
        <v>6136</v>
      </c>
      <c r="AL569" s="36" t="s">
        <v>31</v>
      </c>
      <c r="AP569" s="86"/>
      <c r="AQ569" s="88"/>
      <c r="AR569" s="89"/>
      <c r="AS569" s="90"/>
      <c r="AV569" s="88"/>
      <c r="AW569" s="96"/>
      <c r="AX569" s="97"/>
      <c r="AY569" s="93">
        <v>4</v>
      </c>
      <c r="AZ569" s="79" t="s">
        <v>4925</v>
      </c>
      <c r="BB569" s="94"/>
      <c r="BE569" s="36" t="s">
        <v>6199</v>
      </c>
      <c r="BG569" s="36" t="s">
        <v>6201</v>
      </c>
    </row>
    <row r="570" spans="1:59" ht="48">
      <c r="A570" s="36" t="s">
        <v>6085</v>
      </c>
      <c r="B570" s="36" t="s">
        <v>6137</v>
      </c>
      <c r="C570" s="36" t="s">
        <v>6216</v>
      </c>
      <c r="D570" s="37">
        <v>287</v>
      </c>
      <c r="E570" s="36">
        <v>1</v>
      </c>
      <c r="F570" s="36" t="s">
        <v>6086</v>
      </c>
      <c r="G570" s="36" t="s">
        <v>6161</v>
      </c>
      <c r="J570" s="36" t="s">
        <v>31</v>
      </c>
      <c r="AD570" s="36" t="s">
        <v>6199</v>
      </c>
      <c r="AI570" s="36" t="s">
        <v>6138</v>
      </c>
      <c r="AL570" s="36" t="s">
        <v>31</v>
      </c>
      <c r="AP570" s="86"/>
      <c r="AQ570" s="88"/>
      <c r="AR570" s="89"/>
      <c r="AS570" s="90"/>
      <c r="AV570" s="88"/>
      <c r="AW570" s="96"/>
      <c r="AX570" s="97"/>
      <c r="AY570" s="93">
        <v>3</v>
      </c>
      <c r="AZ570" s="79">
        <v>0</v>
      </c>
      <c r="BB570" s="94"/>
      <c r="BE570" s="36" t="s">
        <v>6199</v>
      </c>
      <c r="BG570" s="36" t="s">
        <v>6228</v>
      </c>
    </row>
    <row r="571" spans="1:59" ht="24">
      <c r="A571" s="36" t="s">
        <v>6085</v>
      </c>
      <c r="B571" s="36" t="s">
        <v>6139</v>
      </c>
      <c r="C571" s="36" t="s">
        <v>6216</v>
      </c>
      <c r="D571" s="37">
        <v>288</v>
      </c>
      <c r="E571" s="36">
        <v>1</v>
      </c>
      <c r="F571" s="36" t="s">
        <v>6086</v>
      </c>
      <c r="G571" s="36" t="s">
        <v>6161</v>
      </c>
      <c r="J571" s="36" t="s">
        <v>31</v>
      </c>
      <c r="AD571" s="36" t="s">
        <v>6199</v>
      </c>
      <c r="AI571" s="36" t="s">
        <v>6140</v>
      </c>
      <c r="AL571" s="36" t="s">
        <v>31</v>
      </c>
      <c r="AP571" s="86"/>
      <c r="AQ571" s="88"/>
      <c r="AR571" s="89"/>
      <c r="AS571" s="90"/>
      <c r="AV571" s="88"/>
      <c r="AW571" s="96"/>
      <c r="AX571" s="97"/>
      <c r="AY571" s="93">
        <v>3</v>
      </c>
      <c r="AZ571" s="79" t="s">
        <v>4925</v>
      </c>
      <c r="BB571" s="94"/>
      <c r="BE571" s="36" t="s">
        <v>6199</v>
      </c>
      <c r="BG571" s="36" t="s">
        <v>6202</v>
      </c>
    </row>
    <row r="572" spans="1:59" ht="48">
      <c r="A572" s="36" t="s">
        <v>6085</v>
      </c>
      <c r="B572" s="36" t="s">
        <v>6141</v>
      </c>
      <c r="C572" s="36" t="s">
        <v>6216</v>
      </c>
      <c r="D572" s="37">
        <v>289</v>
      </c>
      <c r="E572" s="36">
        <v>1</v>
      </c>
      <c r="F572" s="36" t="s">
        <v>6086</v>
      </c>
      <c r="G572" s="36" t="s">
        <v>6162</v>
      </c>
      <c r="J572" s="36" t="s">
        <v>31</v>
      </c>
      <c r="AD572" s="36" t="s">
        <v>6203</v>
      </c>
      <c r="AI572" s="36" t="s">
        <v>6142</v>
      </c>
      <c r="AL572" s="36" t="s">
        <v>31</v>
      </c>
      <c r="AP572" s="86"/>
      <c r="AQ572" s="88"/>
      <c r="AR572" s="89"/>
      <c r="AS572" s="90"/>
      <c r="AV572" s="88"/>
      <c r="AW572" s="96"/>
      <c r="AX572" s="97"/>
      <c r="AY572" s="93">
        <v>3</v>
      </c>
      <c r="AZ572" s="79" t="s">
        <v>4925</v>
      </c>
      <c r="BB572" s="94"/>
      <c r="BE572" s="36" t="s">
        <v>6203</v>
      </c>
      <c r="BG572" s="36" t="s">
        <v>6204</v>
      </c>
    </row>
    <row r="573" spans="1:59" ht="36">
      <c r="A573" s="36" t="s">
        <v>6085</v>
      </c>
      <c r="B573" s="36" t="s">
        <v>6143</v>
      </c>
      <c r="C573" s="36" t="s">
        <v>6216</v>
      </c>
      <c r="D573" s="37">
        <v>290</v>
      </c>
      <c r="E573" s="36">
        <v>1</v>
      </c>
      <c r="F573" s="36" t="s">
        <v>6086</v>
      </c>
      <c r="G573" s="36" t="s">
        <v>6162</v>
      </c>
      <c r="J573" s="36" t="s">
        <v>31</v>
      </c>
      <c r="AD573" s="36" t="s">
        <v>6203</v>
      </c>
      <c r="AI573" s="36" t="s">
        <v>6144</v>
      </c>
      <c r="AL573" s="36" t="s">
        <v>31</v>
      </c>
      <c r="AP573" s="86"/>
      <c r="AQ573" s="88"/>
      <c r="AR573" s="89"/>
      <c r="AS573" s="90"/>
      <c r="AV573" s="88"/>
      <c r="AW573" s="96"/>
      <c r="AX573" s="97"/>
      <c r="AY573" s="93">
        <v>3</v>
      </c>
      <c r="AZ573" s="79" t="s">
        <v>4925</v>
      </c>
      <c r="BB573" s="94"/>
      <c r="BE573" s="36" t="s">
        <v>6203</v>
      </c>
      <c r="BG573" s="36" t="s">
        <v>6205</v>
      </c>
    </row>
    <row r="574" spans="1:59" ht="36">
      <c r="A574" s="36" t="s">
        <v>6085</v>
      </c>
      <c r="B574" s="36" t="s">
        <v>6145</v>
      </c>
      <c r="C574" s="36" t="s">
        <v>6216</v>
      </c>
      <c r="D574" s="37">
        <v>291</v>
      </c>
      <c r="E574" s="36">
        <v>1</v>
      </c>
      <c r="F574" s="36" t="s">
        <v>6086</v>
      </c>
      <c r="G574" s="36" t="s">
        <v>6162</v>
      </c>
      <c r="J574" s="36" t="s">
        <v>31</v>
      </c>
      <c r="AD574" s="36" t="s">
        <v>6203</v>
      </c>
      <c r="AI574" s="36" t="s">
        <v>6146</v>
      </c>
      <c r="AL574" s="36" t="s">
        <v>31</v>
      </c>
      <c r="AP574" s="86"/>
      <c r="AQ574" s="88"/>
      <c r="AR574" s="89"/>
      <c r="AS574" s="90"/>
      <c r="AV574" s="88"/>
      <c r="AW574" s="96"/>
      <c r="AX574" s="97"/>
      <c r="AY574" s="93">
        <v>2</v>
      </c>
      <c r="AZ574" s="79" t="s">
        <v>4925</v>
      </c>
      <c r="BB574" s="94"/>
      <c r="BE574" s="36" t="s">
        <v>6203</v>
      </c>
      <c r="BG574" s="36" t="s">
        <v>6206</v>
      </c>
    </row>
    <row r="575" spans="1:59" ht="36">
      <c r="A575" s="36" t="s">
        <v>6085</v>
      </c>
      <c r="B575" s="36" t="s">
        <v>6147</v>
      </c>
      <c r="C575" s="36" t="s">
        <v>6216</v>
      </c>
      <c r="D575" s="37">
        <v>292</v>
      </c>
      <c r="E575" s="36">
        <v>1</v>
      </c>
      <c r="F575" s="36" t="s">
        <v>6086</v>
      </c>
      <c r="G575" s="36" t="s">
        <v>6162</v>
      </c>
      <c r="J575" s="36" t="s">
        <v>31</v>
      </c>
      <c r="AD575" s="36" t="s">
        <v>6203</v>
      </c>
      <c r="AI575" s="36" t="s">
        <v>6148</v>
      </c>
      <c r="AL575" s="36" t="s">
        <v>31</v>
      </c>
      <c r="AP575" s="86"/>
      <c r="AQ575" s="88"/>
      <c r="AR575" s="89"/>
      <c r="AS575" s="90"/>
      <c r="AV575" s="88"/>
      <c r="AW575" s="96"/>
      <c r="AX575" s="97"/>
      <c r="AY575" s="93">
        <v>2</v>
      </c>
      <c r="AZ575" s="79" t="s">
        <v>4925</v>
      </c>
      <c r="BB575" s="94"/>
      <c r="BE575" s="36" t="s">
        <v>6203</v>
      </c>
      <c r="BG575" s="36" t="s">
        <v>6207</v>
      </c>
    </row>
    <row r="576" spans="1:59" ht="24">
      <c r="A576" s="36" t="s">
        <v>6085</v>
      </c>
      <c r="B576" s="36" t="s">
        <v>6149</v>
      </c>
      <c r="C576" s="36" t="s">
        <v>6216</v>
      </c>
      <c r="D576" s="37">
        <v>293</v>
      </c>
      <c r="E576" s="36">
        <v>1</v>
      </c>
      <c r="F576" s="36" t="s">
        <v>6086</v>
      </c>
      <c r="G576" s="36" t="s">
        <v>6150</v>
      </c>
      <c r="H576" s="36" t="s">
        <v>6208</v>
      </c>
      <c r="I576" s="36" t="s">
        <v>4077</v>
      </c>
      <c r="J576" s="36" t="s">
        <v>29</v>
      </c>
      <c r="Q576" s="78">
        <v>5</v>
      </c>
      <c r="R576" s="79">
        <v>5</v>
      </c>
      <c r="T576" s="81" t="s">
        <v>4966</v>
      </c>
      <c r="V576" s="82">
        <v>1</v>
      </c>
      <c r="W576" s="83">
        <v>1</v>
      </c>
      <c r="AA576" s="85">
        <v>1</v>
      </c>
      <c r="AD576" s="36" t="s">
        <v>5019</v>
      </c>
      <c r="AF576" s="36" t="s">
        <v>6209</v>
      </c>
      <c r="AP576" s="86"/>
      <c r="AQ576" s="88"/>
      <c r="AR576" s="89"/>
      <c r="AS576" s="90"/>
      <c r="AV576" s="88"/>
      <c r="AW576" s="96"/>
      <c r="AX576" s="97"/>
      <c r="AY576" s="93"/>
      <c r="BB576" s="94"/>
    </row>
    <row r="577" spans="1:54" ht="60">
      <c r="A577" s="36" t="s">
        <v>6085</v>
      </c>
      <c r="B577" s="36" t="s">
        <v>6151</v>
      </c>
      <c r="C577" s="36" t="s">
        <v>6216</v>
      </c>
      <c r="D577" s="37">
        <v>294</v>
      </c>
      <c r="E577" s="36">
        <v>2</v>
      </c>
      <c r="F577" s="36" t="s">
        <v>6086</v>
      </c>
      <c r="G577" s="36" t="s">
        <v>6152</v>
      </c>
      <c r="J577" s="36" t="s">
        <v>29</v>
      </c>
      <c r="Q577" s="78">
        <v>3</v>
      </c>
      <c r="R577" s="79">
        <v>3</v>
      </c>
      <c r="T577" s="81">
        <v>3</v>
      </c>
      <c r="V577" s="82">
        <v>1</v>
      </c>
      <c r="W577" s="83">
        <v>1</v>
      </c>
      <c r="AD577" s="36" t="s">
        <v>5484</v>
      </c>
      <c r="AF577" s="36" t="s">
        <v>6229</v>
      </c>
      <c r="AP577" s="86"/>
      <c r="AQ577" s="88"/>
      <c r="AR577" s="89"/>
      <c r="AS577" s="90"/>
      <c r="AV577" s="88"/>
      <c r="AW577" s="96"/>
      <c r="AX577" s="97"/>
      <c r="AY577" s="93"/>
      <c r="BB577" s="94"/>
    </row>
    <row r="578" spans="1:54" ht="36">
      <c r="A578" s="36" t="s">
        <v>6085</v>
      </c>
      <c r="B578" s="36" t="s">
        <v>6153</v>
      </c>
      <c r="C578" s="36" t="s">
        <v>6216</v>
      </c>
      <c r="D578" s="37">
        <v>295</v>
      </c>
      <c r="E578" s="36">
        <v>1</v>
      </c>
      <c r="F578" s="36" t="s">
        <v>6086</v>
      </c>
      <c r="G578" s="36" t="s">
        <v>6154</v>
      </c>
      <c r="J578" s="36" t="s">
        <v>29</v>
      </c>
      <c r="Q578" s="78">
        <v>3</v>
      </c>
      <c r="R578" s="79">
        <v>4</v>
      </c>
      <c r="T578" s="81">
        <v>6</v>
      </c>
      <c r="V578" s="82">
        <v>2</v>
      </c>
      <c r="W578" s="83">
        <v>2</v>
      </c>
      <c r="AA578" s="85">
        <v>1</v>
      </c>
      <c r="AD578" s="36" t="s">
        <v>6210</v>
      </c>
      <c r="AF578" s="36" t="s">
        <v>6230</v>
      </c>
      <c r="AP578" s="86"/>
      <c r="AQ578" s="88"/>
      <c r="AR578" s="89"/>
      <c r="AS578" s="90"/>
      <c r="AV578" s="88"/>
      <c r="AW578" s="96"/>
      <c r="AX578" s="97"/>
      <c r="AY578" s="93"/>
      <c r="BB578" s="94"/>
    </row>
    <row r="579" spans="1:54" ht="36">
      <c r="A579" s="36" t="s">
        <v>6085</v>
      </c>
      <c r="B579" s="36" t="s">
        <v>6155</v>
      </c>
      <c r="C579" s="36" t="s">
        <v>6216</v>
      </c>
      <c r="D579" s="37">
        <v>296</v>
      </c>
      <c r="E579" s="36">
        <v>3</v>
      </c>
      <c r="F579" s="36" t="s">
        <v>6086</v>
      </c>
      <c r="G579" s="36" t="s">
        <v>6156</v>
      </c>
      <c r="J579" s="36" t="s">
        <v>28</v>
      </c>
      <c r="AD579" s="36" t="s">
        <v>4340</v>
      </c>
      <c r="AF579" s="36" t="s">
        <v>6211</v>
      </c>
      <c r="AP579" s="86"/>
      <c r="AQ579" s="88"/>
      <c r="AR579" s="89"/>
      <c r="AS579" s="90"/>
      <c r="AV579" s="88"/>
      <c r="AW579" s="96"/>
      <c r="AX579" s="97"/>
      <c r="AY579" s="93"/>
      <c r="BB579" s="94"/>
    </row>
    <row r="580" spans="1:54" ht="72">
      <c r="A580" s="36" t="s">
        <v>6085</v>
      </c>
      <c r="B580" s="36" t="s">
        <v>6157</v>
      </c>
      <c r="C580" s="36" t="s">
        <v>6216</v>
      </c>
      <c r="D580" s="37">
        <v>297</v>
      </c>
      <c r="E580" s="36">
        <v>3</v>
      </c>
      <c r="F580" s="36" t="s">
        <v>6086</v>
      </c>
      <c r="G580" s="36" t="s">
        <v>6158</v>
      </c>
      <c r="J580" s="36" t="s">
        <v>28</v>
      </c>
      <c r="AD580" s="36" t="s">
        <v>6212</v>
      </c>
      <c r="AF580" s="36" t="s">
        <v>6213</v>
      </c>
      <c r="AP580" s="86"/>
      <c r="AQ580" s="88"/>
      <c r="AR580" s="89"/>
      <c r="AS580" s="90"/>
      <c r="AV580" s="88"/>
      <c r="AW580" s="96"/>
      <c r="AX580" s="97"/>
      <c r="AY580" s="93"/>
      <c r="BB580" s="94"/>
    </row>
    <row r="581" spans="1:54" ht="24">
      <c r="A581" s="36" t="s">
        <v>6085</v>
      </c>
      <c r="B581" s="36" t="s">
        <v>6159</v>
      </c>
      <c r="C581" s="36" t="s">
        <v>6216</v>
      </c>
      <c r="D581" s="37">
        <v>298</v>
      </c>
      <c r="E581" s="36">
        <v>3</v>
      </c>
      <c r="F581" s="36" t="s">
        <v>6086</v>
      </c>
      <c r="G581" s="36" t="s">
        <v>6160</v>
      </c>
      <c r="J581" s="36" t="s">
        <v>28</v>
      </c>
      <c r="AD581" s="36" t="s">
        <v>6212</v>
      </c>
      <c r="AF581" s="36" t="s">
        <v>6214</v>
      </c>
      <c r="AP581" s="86"/>
      <c r="AQ581" s="88"/>
      <c r="AR581" s="89"/>
      <c r="AS581" s="90"/>
      <c r="AV581" s="88"/>
      <c r="AW581" s="96"/>
      <c r="AX581" s="97"/>
      <c r="AY581" s="93"/>
      <c r="BB581" s="94"/>
    </row>
    <row r="582" spans="1:54">
      <c r="AP582" s="86"/>
      <c r="AQ582" s="88"/>
      <c r="AR582" s="89"/>
      <c r="AS582" s="90"/>
      <c r="AV582" s="88"/>
      <c r="AW582" s="96"/>
      <c r="AX582" s="97"/>
      <c r="AY582" s="93"/>
      <c r="BB582" s="94"/>
    </row>
    <row r="583" spans="1:54">
      <c r="AP583" s="86"/>
      <c r="AQ583" s="88"/>
      <c r="AR583" s="89"/>
      <c r="AS583" s="90"/>
      <c r="AV583" s="88"/>
      <c r="AW583" s="96"/>
      <c r="AX583" s="97"/>
      <c r="AY583" s="93"/>
      <c r="BB583" s="94"/>
    </row>
    <row r="584" spans="1:54">
      <c r="AP584" s="86"/>
      <c r="AQ584" s="88"/>
      <c r="AR584" s="89"/>
      <c r="AS584" s="90"/>
      <c r="AV584" s="88"/>
      <c r="AW584" s="96"/>
      <c r="AX584" s="97"/>
      <c r="AY584" s="93"/>
      <c r="BB584" s="94"/>
    </row>
    <row r="585" spans="1:54">
      <c r="AP585" s="86"/>
      <c r="AQ585" s="88"/>
      <c r="AR585" s="89"/>
      <c r="AS585" s="90"/>
      <c r="AV585" s="88"/>
      <c r="AW585" s="96"/>
      <c r="AX585" s="97"/>
      <c r="AY585" s="93"/>
      <c r="BB585" s="94"/>
    </row>
    <row r="586" spans="1:54">
      <c r="AP586" s="86"/>
      <c r="AQ586" s="88"/>
      <c r="AR586" s="89"/>
      <c r="AS586" s="90"/>
      <c r="AV586" s="88"/>
      <c r="AW586" s="96"/>
      <c r="AX586" s="97"/>
      <c r="AY586" s="93"/>
      <c r="BB586" s="94"/>
    </row>
    <row r="587" spans="1:54">
      <c r="AP587" s="86"/>
      <c r="AQ587" s="88"/>
      <c r="AR587" s="89"/>
      <c r="AS587" s="90"/>
      <c r="AV587" s="88"/>
      <c r="AW587" s="96"/>
      <c r="AX587" s="97"/>
      <c r="AY587" s="93"/>
      <c r="BB587" s="94"/>
    </row>
    <row r="588" spans="1:54">
      <c r="AP588" s="86"/>
      <c r="AQ588" s="88"/>
      <c r="AR588" s="89"/>
      <c r="AS588" s="90"/>
      <c r="AV588" s="88"/>
      <c r="AW588" s="96"/>
      <c r="AX588" s="97"/>
      <c r="AY588" s="93"/>
      <c r="BB588" s="94"/>
    </row>
    <row r="589" spans="1:54">
      <c r="AP589" s="86"/>
      <c r="AQ589" s="88"/>
      <c r="AR589" s="89"/>
      <c r="AS589" s="90"/>
      <c r="AV589" s="88"/>
      <c r="AW589" s="96"/>
      <c r="AX589" s="97"/>
      <c r="AY589" s="93"/>
      <c r="BB589" s="94"/>
    </row>
    <row r="590" spans="1:54">
      <c r="AP590" s="86"/>
      <c r="AQ590" s="88"/>
      <c r="AR590" s="89"/>
      <c r="AS590" s="90"/>
      <c r="AV590" s="88"/>
      <c r="AW590" s="96"/>
      <c r="AX590" s="97"/>
      <c r="AY590" s="93"/>
      <c r="BB590" s="94"/>
    </row>
    <row r="591" spans="1:54">
      <c r="AP591" s="86"/>
      <c r="AQ591" s="88"/>
      <c r="AR591" s="89"/>
      <c r="AS591" s="90"/>
      <c r="AV591" s="88"/>
      <c r="AW591" s="96"/>
      <c r="AX591" s="97"/>
      <c r="AY591" s="93"/>
      <c r="BB591" s="94"/>
    </row>
    <row r="592" spans="1:54">
      <c r="AP592" s="86"/>
      <c r="AQ592" s="88"/>
      <c r="AR592" s="89"/>
      <c r="AS592" s="90"/>
      <c r="AV592" s="88"/>
      <c r="AW592" s="96"/>
      <c r="AX592" s="97"/>
      <c r="AY592" s="93"/>
      <c r="BB592" s="94"/>
    </row>
    <row r="593" spans="42:54">
      <c r="AP593" s="86"/>
      <c r="AQ593" s="88"/>
      <c r="AR593" s="89"/>
      <c r="AS593" s="90"/>
      <c r="AV593" s="88"/>
      <c r="AW593" s="96"/>
      <c r="AX593" s="97"/>
      <c r="AY593" s="93"/>
      <c r="BB593" s="94"/>
    </row>
    <row r="594" spans="42:54">
      <c r="AP594" s="86"/>
      <c r="AQ594" s="88"/>
      <c r="AR594" s="89"/>
      <c r="AS594" s="90"/>
      <c r="AV594" s="88"/>
      <c r="AW594" s="96"/>
      <c r="AX594" s="97"/>
      <c r="AY594" s="93"/>
      <c r="BB594" s="94"/>
    </row>
    <row r="595" spans="42:54">
      <c r="AP595" s="86"/>
      <c r="AQ595" s="88"/>
      <c r="AR595" s="89"/>
      <c r="AS595" s="90"/>
      <c r="AV595" s="88"/>
      <c r="AW595" s="96"/>
      <c r="AX595" s="97"/>
      <c r="AY595" s="93"/>
      <c r="BB595" s="94"/>
    </row>
    <row r="596" spans="42:54">
      <c r="AP596" s="86"/>
      <c r="AQ596" s="88"/>
      <c r="AR596" s="89"/>
      <c r="AS596" s="90"/>
      <c r="AV596" s="88"/>
      <c r="AW596" s="96"/>
      <c r="AX596" s="97"/>
      <c r="AY596" s="93"/>
      <c r="BB596" s="94"/>
    </row>
    <row r="597" spans="42:54">
      <c r="AP597" s="86"/>
      <c r="AQ597" s="88"/>
      <c r="AR597" s="89"/>
      <c r="AS597" s="90"/>
      <c r="AV597" s="88"/>
      <c r="AW597" s="96"/>
      <c r="AX597" s="97"/>
      <c r="AY597" s="93"/>
      <c r="BB597" s="94"/>
    </row>
    <row r="598" spans="42:54">
      <c r="AP598" s="86"/>
      <c r="AQ598" s="88"/>
      <c r="AR598" s="89"/>
      <c r="AS598" s="90"/>
      <c r="AV598" s="88"/>
      <c r="AW598" s="96"/>
      <c r="AX598" s="97"/>
      <c r="AY598" s="93"/>
      <c r="BB598" s="94"/>
    </row>
    <row r="599" spans="42:54">
      <c r="AP599" s="86"/>
      <c r="AQ599" s="88"/>
      <c r="AR599" s="89"/>
      <c r="AS599" s="90"/>
      <c r="AV599" s="88"/>
      <c r="AW599" s="96"/>
      <c r="AX599" s="97"/>
      <c r="AY599" s="93"/>
      <c r="BB599" s="94"/>
    </row>
    <row r="600" spans="42:54">
      <c r="AP600" s="86"/>
      <c r="AQ600" s="88"/>
      <c r="AR600" s="89"/>
      <c r="AS600" s="90"/>
      <c r="AV600" s="88"/>
      <c r="AW600" s="96"/>
      <c r="AX600" s="97"/>
      <c r="AY600" s="93"/>
      <c r="BB600" s="94"/>
    </row>
    <row r="601" spans="42:54">
      <c r="AP601" s="86"/>
      <c r="AQ601" s="88"/>
      <c r="AR601" s="89"/>
      <c r="AS601" s="90"/>
      <c r="AV601" s="88"/>
      <c r="AW601" s="96"/>
      <c r="AX601" s="97"/>
      <c r="AY601" s="93"/>
      <c r="BB601" s="94"/>
    </row>
    <row r="602" spans="42:54">
      <c r="AP602" s="86"/>
      <c r="AQ602" s="88"/>
      <c r="AR602" s="89"/>
      <c r="AS602" s="90"/>
      <c r="AV602" s="88"/>
      <c r="AW602" s="96"/>
      <c r="AX602" s="97"/>
      <c r="AY602" s="93"/>
      <c r="BB602" s="94"/>
    </row>
    <row r="603" spans="42:54">
      <c r="AP603" s="86"/>
      <c r="AQ603" s="88"/>
      <c r="AR603" s="89"/>
      <c r="AS603" s="90"/>
      <c r="AV603" s="88"/>
      <c r="AW603" s="96"/>
      <c r="AX603" s="97"/>
      <c r="AY603" s="93"/>
      <c r="BB603" s="94"/>
    </row>
    <row r="604" spans="42:54">
      <c r="AP604" s="86"/>
      <c r="AQ604" s="88"/>
      <c r="AR604" s="89"/>
      <c r="AS604" s="90"/>
      <c r="AV604" s="88"/>
      <c r="AW604" s="96"/>
      <c r="AX604" s="97"/>
      <c r="AY604" s="93"/>
      <c r="BB604" s="94"/>
    </row>
    <row r="605" spans="42:54">
      <c r="AP605" s="86"/>
      <c r="AQ605" s="88"/>
      <c r="AR605" s="89"/>
      <c r="AS605" s="90"/>
      <c r="AV605" s="88"/>
      <c r="AW605" s="96"/>
      <c r="AX605" s="97"/>
      <c r="AY605" s="93"/>
      <c r="BB605" s="94"/>
    </row>
    <row r="606" spans="42:54">
      <c r="AP606" s="86"/>
      <c r="AQ606" s="88"/>
      <c r="AR606" s="89"/>
      <c r="AS606" s="90"/>
      <c r="AV606" s="88"/>
      <c r="AW606" s="96"/>
      <c r="AX606" s="97"/>
      <c r="AY606" s="93"/>
      <c r="BB606" s="94"/>
    </row>
    <row r="607" spans="42:54">
      <c r="AP607" s="86"/>
      <c r="AQ607" s="88"/>
      <c r="AR607" s="89"/>
      <c r="AS607" s="90"/>
      <c r="AV607" s="88"/>
      <c r="AW607" s="96"/>
      <c r="AX607" s="97"/>
      <c r="AY607" s="93"/>
      <c r="BB607" s="94"/>
    </row>
    <row r="608" spans="42:54">
      <c r="AP608" s="86"/>
      <c r="AQ608" s="88"/>
      <c r="AR608" s="89"/>
      <c r="AS608" s="90"/>
      <c r="AV608" s="88"/>
      <c r="AW608" s="96"/>
      <c r="AX608" s="97"/>
      <c r="AY608" s="93"/>
      <c r="BB608" s="94"/>
    </row>
    <row r="609" spans="42:54">
      <c r="AP609" s="86"/>
      <c r="AQ609" s="88"/>
      <c r="AR609" s="89"/>
      <c r="AS609" s="90"/>
      <c r="AV609" s="88"/>
      <c r="AW609" s="96"/>
      <c r="AX609" s="97"/>
      <c r="AY609" s="93"/>
      <c r="BB609" s="94"/>
    </row>
    <row r="610" spans="42:54">
      <c r="AP610" s="86"/>
      <c r="AQ610" s="88"/>
      <c r="AR610" s="89"/>
      <c r="AS610" s="90"/>
      <c r="AV610" s="88"/>
      <c r="AW610" s="96"/>
      <c r="AX610" s="97"/>
      <c r="AY610" s="93"/>
      <c r="BB610" s="94"/>
    </row>
    <row r="611" spans="42:54">
      <c r="AP611" s="86"/>
      <c r="AQ611" s="88"/>
      <c r="AR611" s="89"/>
      <c r="AS611" s="90"/>
      <c r="AV611" s="88"/>
      <c r="AW611" s="96"/>
      <c r="AX611" s="97"/>
      <c r="AY611" s="93"/>
      <c r="BB611" s="94"/>
    </row>
    <row r="612" spans="42:54">
      <c r="AP612" s="86"/>
      <c r="AQ612" s="88"/>
      <c r="AR612" s="89"/>
      <c r="AS612" s="90"/>
      <c r="AV612" s="88"/>
      <c r="AW612" s="96"/>
      <c r="AX612" s="97"/>
      <c r="AY612" s="93"/>
      <c r="BB612" s="94"/>
    </row>
    <row r="613" spans="42:54">
      <c r="AP613" s="86"/>
      <c r="AQ613" s="88"/>
      <c r="AR613" s="89"/>
      <c r="AS613" s="90"/>
      <c r="AV613" s="88"/>
      <c r="AW613" s="96"/>
      <c r="AX613" s="97"/>
      <c r="AY613" s="93"/>
      <c r="BB613" s="94"/>
    </row>
    <row r="614" spans="42:54">
      <c r="AP614" s="86"/>
      <c r="AQ614" s="88"/>
      <c r="AR614" s="89"/>
      <c r="AS614" s="90"/>
      <c r="AV614" s="88"/>
      <c r="AW614" s="96"/>
      <c r="AX614" s="97"/>
      <c r="AY614" s="93"/>
      <c r="BB614" s="94"/>
    </row>
    <row r="615" spans="42:54">
      <c r="AP615" s="86"/>
      <c r="AQ615" s="88"/>
      <c r="AR615" s="89"/>
      <c r="AS615" s="90"/>
      <c r="AV615" s="88"/>
      <c r="AW615" s="96"/>
      <c r="AX615" s="97"/>
      <c r="AY615" s="93"/>
      <c r="BB615" s="94"/>
    </row>
    <row r="616" spans="42:54">
      <c r="AP616" s="86"/>
      <c r="AQ616" s="88"/>
      <c r="AR616" s="89"/>
      <c r="AS616" s="90"/>
      <c r="AV616" s="88"/>
      <c r="AW616" s="96"/>
      <c r="AX616" s="97"/>
      <c r="AY616" s="93"/>
      <c r="BB616" s="94"/>
    </row>
    <row r="617" spans="42:54">
      <c r="AP617" s="86"/>
      <c r="AQ617" s="88"/>
      <c r="AR617" s="89"/>
      <c r="AS617" s="90"/>
      <c r="AV617" s="88"/>
      <c r="AW617" s="96"/>
      <c r="AX617" s="97"/>
      <c r="AY617" s="93"/>
      <c r="BB617" s="94"/>
    </row>
    <row r="618" spans="42:54">
      <c r="AP618" s="86"/>
      <c r="AQ618" s="88"/>
      <c r="AR618" s="89"/>
      <c r="AS618" s="90"/>
      <c r="AV618" s="88"/>
      <c r="AW618" s="96"/>
      <c r="AX618" s="97"/>
      <c r="AY618" s="93"/>
      <c r="BB618" s="94"/>
    </row>
    <row r="619" spans="42:54">
      <c r="AP619" s="86"/>
      <c r="AQ619" s="88"/>
      <c r="AR619" s="89"/>
      <c r="AS619" s="90"/>
      <c r="AV619" s="88"/>
      <c r="AW619" s="96"/>
      <c r="AX619" s="97"/>
      <c r="AY619" s="93"/>
      <c r="BB619" s="94"/>
    </row>
    <row r="620" spans="42:54">
      <c r="AP620" s="86"/>
      <c r="AQ620" s="88"/>
      <c r="AR620" s="89"/>
      <c r="AS620" s="90"/>
      <c r="AV620" s="88"/>
      <c r="AW620" s="96"/>
      <c r="AX620" s="97"/>
      <c r="AY620" s="93"/>
      <c r="BB620" s="94"/>
    </row>
    <row r="621" spans="42:54">
      <c r="AP621" s="86"/>
      <c r="AQ621" s="88"/>
      <c r="AR621" s="89"/>
      <c r="AS621" s="90"/>
      <c r="AV621" s="88"/>
      <c r="AW621" s="96"/>
      <c r="AX621" s="97"/>
      <c r="AY621" s="93"/>
      <c r="BB621" s="94"/>
    </row>
    <row r="622" spans="42:54">
      <c r="AP622" s="86"/>
      <c r="AQ622" s="88"/>
      <c r="AR622" s="89"/>
      <c r="AS622" s="90"/>
      <c r="AV622" s="88"/>
      <c r="AW622" s="96"/>
      <c r="AX622" s="97"/>
      <c r="AY622" s="93"/>
      <c r="BB622" s="94"/>
    </row>
    <row r="623" spans="42:54">
      <c r="AP623" s="86"/>
      <c r="AQ623" s="88"/>
      <c r="AR623" s="89"/>
      <c r="AS623" s="90"/>
      <c r="AV623" s="88"/>
      <c r="AW623" s="96"/>
      <c r="AX623" s="97"/>
      <c r="AY623" s="93"/>
      <c r="BB623" s="94"/>
    </row>
    <row r="624" spans="42:54">
      <c r="AP624" s="86"/>
      <c r="AQ624" s="88"/>
      <c r="AR624" s="89"/>
      <c r="AS624" s="90"/>
      <c r="AV624" s="88"/>
      <c r="AW624" s="96"/>
      <c r="AX624" s="97"/>
      <c r="AY624" s="93"/>
      <c r="BB624" s="94"/>
    </row>
    <row r="625" spans="42:54">
      <c r="AP625" s="86"/>
      <c r="AQ625" s="88"/>
      <c r="AR625" s="89"/>
      <c r="AS625" s="90"/>
      <c r="AV625" s="88"/>
      <c r="AW625" s="96"/>
      <c r="AX625" s="97"/>
      <c r="AY625" s="93"/>
      <c r="BB625" s="94"/>
    </row>
    <row r="626" spans="42:54">
      <c r="AP626" s="86"/>
      <c r="AQ626" s="88"/>
      <c r="AR626" s="89"/>
      <c r="AS626" s="90"/>
      <c r="AV626" s="88"/>
      <c r="AW626" s="96"/>
      <c r="AX626" s="97"/>
      <c r="AY626" s="93"/>
      <c r="BB626" s="94"/>
    </row>
    <row r="627" spans="42:54">
      <c r="AP627" s="86"/>
      <c r="AQ627" s="88"/>
      <c r="AR627" s="89"/>
      <c r="AS627" s="90"/>
      <c r="AV627" s="88"/>
      <c r="AW627" s="96"/>
      <c r="AX627" s="97"/>
      <c r="AY627" s="93"/>
      <c r="BB627" s="94"/>
    </row>
    <row r="628" spans="42:54">
      <c r="AP628" s="86"/>
      <c r="AQ628" s="88"/>
      <c r="AR628" s="89"/>
      <c r="AS628" s="90"/>
      <c r="AV628" s="88"/>
      <c r="AW628" s="96"/>
      <c r="AX628" s="97"/>
      <c r="AY628" s="93"/>
      <c r="BB628" s="94"/>
    </row>
    <row r="629" spans="42:54">
      <c r="AP629" s="86"/>
      <c r="AQ629" s="88"/>
      <c r="AR629" s="89"/>
      <c r="AS629" s="90"/>
      <c r="AV629" s="88"/>
      <c r="AW629" s="96"/>
      <c r="AX629" s="97"/>
      <c r="AY629" s="93"/>
      <c r="BB629" s="94"/>
    </row>
    <row r="630" spans="42:54">
      <c r="AP630" s="86"/>
      <c r="AQ630" s="88"/>
      <c r="AR630" s="89"/>
      <c r="AS630" s="90"/>
      <c r="AV630" s="88"/>
      <c r="AW630" s="96"/>
      <c r="AX630" s="97"/>
      <c r="AY630" s="93"/>
      <c r="BB630" s="94"/>
    </row>
    <row r="631" spans="42:54">
      <c r="AP631" s="86"/>
      <c r="AQ631" s="88"/>
      <c r="AR631" s="89"/>
      <c r="AS631" s="90"/>
      <c r="AV631" s="88"/>
      <c r="AW631" s="96"/>
      <c r="AX631" s="97"/>
      <c r="AY631" s="93"/>
      <c r="BB631" s="94"/>
    </row>
    <row r="632" spans="42:54">
      <c r="AP632" s="86"/>
      <c r="AQ632" s="88"/>
      <c r="AR632" s="89"/>
      <c r="AS632" s="90"/>
      <c r="AV632" s="88"/>
      <c r="AW632" s="96"/>
      <c r="AX632" s="97"/>
      <c r="AY632" s="93"/>
      <c r="BB632" s="94"/>
    </row>
    <row r="633" spans="42:54">
      <c r="AP633" s="86"/>
      <c r="AQ633" s="88"/>
      <c r="AR633" s="89"/>
      <c r="AS633" s="90"/>
      <c r="AV633" s="88"/>
      <c r="AW633" s="96"/>
      <c r="AX633" s="97"/>
      <c r="AY633" s="93"/>
      <c r="BB633" s="94"/>
    </row>
    <row r="634" spans="42:54">
      <c r="AP634" s="86"/>
      <c r="AQ634" s="88"/>
      <c r="AR634" s="89"/>
      <c r="AS634" s="90"/>
      <c r="AV634" s="88"/>
      <c r="AW634" s="96"/>
      <c r="AX634" s="97"/>
      <c r="AY634" s="93"/>
      <c r="BB634" s="94"/>
    </row>
    <row r="635" spans="42:54">
      <c r="AP635" s="86"/>
      <c r="AQ635" s="88"/>
      <c r="AR635" s="89"/>
      <c r="AS635" s="90"/>
      <c r="AV635" s="88"/>
      <c r="AW635" s="96"/>
      <c r="AX635" s="97"/>
      <c r="AY635" s="93"/>
      <c r="BB635" s="94"/>
    </row>
    <row r="636" spans="42:54">
      <c r="AP636" s="86"/>
      <c r="AQ636" s="88"/>
      <c r="AR636" s="89"/>
      <c r="AS636" s="90"/>
      <c r="AV636" s="88"/>
      <c r="AW636" s="96"/>
      <c r="AX636" s="97"/>
      <c r="AY636" s="93"/>
      <c r="BB636" s="94"/>
    </row>
    <row r="637" spans="42:54">
      <c r="AP637" s="86"/>
      <c r="AQ637" s="88"/>
      <c r="AR637" s="89"/>
      <c r="AS637" s="90"/>
      <c r="AV637" s="88"/>
      <c r="AW637" s="96"/>
      <c r="AX637" s="97"/>
      <c r="AY637" s="93"/>
      <c r="BB637" s="94"/>
    </row>
    <row r="638" spans="42:54">
      <c r="AP638" s="86"/>
      <c r="AQ638" s="88"/>
      <c r="AR638" s="89"/>
      <c r="AS638" s="90"/>
      <c r="AV638" s="88"/>
      <c r="AW638" s="96"/>
      <c r="AX638" s="97"/>
      <c r="AY638" s="93"/>
      <c r="BB638" s="94"/>
    </row>
    <row r="639" spans="42:54">
      <c r="AP639" s="86"/>
      <c r="AQ639" s="88"/>
      <c r="AR639" s="89"/>
      <c r="AS639" s="90"/>
      <c r="AV639" s="88"/>
      <c r="AW639" s="96"/>
      <c r="AX639" s="97"/>
      <c r="AY639" s="93"/>
      <c r="BB639" s="94"/>
    </row>
    <row r="640" spans="42:54">
      <c r="AP640" s="86"/>
      <c r="AQ640" s="88"/>
      <c r="AR640" s="89"/>
      <c r="AS640" s="90"/>
      <c r="AV640" s="88"/>
      <c r="AW640" s="96"/>
      <c r="AX640" s="97"/>
      <c r="AY640" s="93"/>
      <c r="BB640" s="94"/>
    </row>
    <row r="641" spans="42:54">
      <c r="AP641" s="86"/>
      <c r="AQ641" s="88"/>
      <c r="AR641" s="89"/>
      <c r="AS641" s="90"/>
      <c r="AV641" s="88"/>
      <c r="AW641" s="96"/>
      <c r="AX641" s="97"/>
      <c r="AY641" s="93"/>
      <c r="BB641" s="94"/>
    </row>
    <row r="642" spans="42:54">
      <c r="AP642" s="86"/>
      <c r="AQ642" s="88"/>
      <c r="AR642" s="89"/>
      <c r="AS642" s="90"/>
      <c r="AV642" s="88"/>
      <c r="AW642" s="96"/>
      <c r="AX642" s="97"/>
      <c r="AY642" s="93"/>
      <c r="BB642" s="94"/>
    </row>
    <row r="643" spans="42:54">
      <c r="AP643" s="86"/>
      <c r="AQ643" s="88"/>
      <c r="AR643" s="89"/>
      <c r="AS643" s="90"/>
      <c r="AV643" s="88"/>
      <c r="AW643" s="96"/>
      <c r="AX643" s="97"/>
      <c r="AY643" s="93"/>
      <c r="BB643" s="94"/>
    </row>
    <row r="644" spans="42:54">
      <c r="AP644" s="86"/>
      <c r="AQ644" s="88"/>
      <c r="AR644" s="89"/>
      <c r="AS644" s="90"/>
      <c r="AV644" s="88"/>
      <c r="AW644" s="96"/>
      <c r="AX644" s="97"/>
      <c r="AY644" s="93"/>
      <c r="BB644" s="94"/>
    </row>
    <row r="645" spans="42:54">
      <c r="AP645" s="86"/>
      <c r="AQ645" s="88"/>
      <c r="AR645" s="89"/>
      <c r="AS645" s="90"/>
      <c r="AV645" s="88"/>
      <c r="AW645" s="96"/>
      <c r="AX645" s="97"/>
      <c r="AY645" s="93"/>
      <c r="BB645" s="94"/>
    </row>
    <row r="646" spans="42:54">
      <c r="AP646" s="86"/>
      <c r="AQ646" s="88"/>
      <c r="AR646" s="89"/>
      <c r="AS646" s="90"/>
      <c r="AV646" s="88"/>
      <c r="AW646" s="96"/>
      <c r="AX646" s="97"/>
      <c r="AY646" s="93"/>
      <c r="BB646" s="94"/>
    </row>
    <row r="647" spans="42:54">
      <c r="AP647" s="86"/>
      <c r="AQ647" s="88"/>
      <c r="AR647" s="89"/>
      <c r="AS647" s="90"/>
      <c r="AV647" s="88"/>
      <c r="AW647" s="96"/>
      <c r="AX647" s="97"/>
      <c r="AY647" s="93"/>
      <c r="BB647" s="94"/>
    </row>
    <row r="648" spans="42:54">
      <c r="AP648" s="86"/>
      <c r="AQ648" s="88"/>
      <c r="AR648" s="89"/>
      <c r="AS648" s="90"/>
      <c r="AV648" s="88"/>
      <c r="AW648" s="96"/>
      <c r="AX648" s="97"/>
      <c r="AY648" s="93"/>
      <c r="BB648" s="94"/>
    </row>
    <row r="649" spans="42:54">
      <c r="AP649" s="86"/>
      <c r="AQ649" s="88"/>
      <c r="AR649" s="89"/>
      <c r="AS649" s="90"/>
      <c r="AV649" s="88"/>
      <c r="AW649" s="96"/>
      <c r="AX649" s="97"/>
      <c r="AY649" s="93"/>
      <c r="BB649" s="94"/>
    </row>
    <row r="650" spans="42:54">
      <c r="AP650" s="86"/>
      <c r="AQ650" s="88"/>
      <c r="AR650" s="89"/>
      <c r="AS650" s="90"/>
      <c r="AV650" s="88"/>
      <c r="AW650" s="96"/>
      <c r="AX650" s="97"/>
      <c r="AY650" s="93"/>
      <c r="BB650" s="94"/>
    </row>
    <row r="651" spans="42:54">
      <c r="AP651" s="86"/>
      <c r="AQ651" s="88"/>
      <c r="AR651" s="89"/>
      <c r="AS651" s="90"/>
      <c r="AV651" s="88"/>
      <c r="AW651" s="96"/>
      <c r="AX651" s="97"/>
      <c r="AY651" s="93"/>
      <c r="BB651" s="94"/>
    </row>
    <row r="652" spans="42:54">
      <c r="AP652" s="86"/>
      <c r="AQ652" s="88"/>
      <c r="AR652" s="89"/>
      <c r="AS652" s="90"/>
      <c r="AV652" s="88"/>
      <c r="AW652" s="96"/>
      <c r="AX652" s="97"/>
      <c r="AY652" s="93"/>
      <c r="BB652" s="94"/>
    </row>
    <row r="653" spans="42:54">
      <c r="AP653" s="86"/>
      <c r="AQ653" s="88"/>
      <c r="AR653" s="89"/>
      <c r="AS653" s="90"/>
      <c r="AV653" s="88"/>
      <c r="AW653" s="96"/>
      <c r="AX653" s="97"/>
      <c r="AY653" s="93"/>
      <c r="BB653" s="94"/>
    </row>
    <row r="654" spans="42:54">
      <c r="AP654" s="86"/>
      <c r="AQ654" s="88"/>
      <c r="AR654" s="89"/>
      <c r="AS654" s="90"/>
      <c r="AV654" s="88"/>
      <c r="AW654" s="96"/>
      <c r="AX654" s="97"/>
      <c r="AY654" s="93"/>
      <c r="BB654" s="94"/>
    </row>
    <row r="655" spans="42:54">
      <c r="AP655" s="86"/>
      <c r="AQ655" s="88"/>
      <c r="AR655" s="89"/>
      <c r="AS655" s="90"/>
      <c r="AV655" s="88"/>
      <c r="AW655" s="96"/>
      <c r="AX655" s="97"/>
      <c r="AY655" s="93"/>
      <c r="BB655" s="94"/>
    </row>
    <row r="656" spans="42:54">
      <c r="AP656" s="86"/>
      <c r="AQ656" s="88"/>
      <c r="AR656" s="89"/>
      <c r="AS656" s="90"/>
      <c r="AV656" s="88"/>
      <c r="AW656" s="96"/>
      <c r="AX656" s="97"/>
      <c r="AY656" s="93"/>
      <c r="BB656" s="94"/>
    </row>
    <row r="657" spans="42:54">
      <c r="AP657" s="86"/>
      <c r="AQ657" s="88"/>
      <c r="AR657" s="89"/>
      <c r="AS657" s="90"/>
      <c r="AV657" s="88"/>
      <c r="AW657" s="96"/>
      <c r="AX657" s="97"/>
      <c r="AY657" s="93"/>
      <c r="BB657" s="94"/>
    </row>
    <row r="658" spans="42:54">
      <c r="AP658" s="86"/>
      <c r="AQ658" s="88"/>
      <c r="AR658" s="89"/>
      <c r="AS658" s="90"/>
      <c r="AV658" s="88"/>
      <c r="AW658" s="96"/>
      <c r="AX658" s="97"/>
      <c r="AY658" s="93"/>
      <c r="BB658" s="94"/>
    </row>
    <row r="659" spans="42:54">
      <c r="AP659" s="86"/>
      <c r="AQ659" s="88"/>
      <c r="AR659" s="89"/>
      <c r="AS659" s="90"/>
      <c r="AV659" s="88"/>
      <c r="AW659" s="96"/>
      <c r="AX659" s="97"/>
      <c r="AY659" s="93"/>
      <c r="BB659" s="94"/>
    </row>
    <row r="660" spans="42:54">
      <c r="AP660" s="86"/>
      <c r="AQ660" s="88"/>
      <c r="AR660" s="89"/>
      <c r="AS660" s="90"/>
      <c r="AV660" s="88"/>
      <c r="AW660" s="96"/>
      <c r="AX660" s="97"/>
      <c r="AY660" s="93"/>
      <c r="BB660" s="94"/>
    </row>
    <row r="661" spans="42:54">
      <c r="AP661" s="86"/>
      <c r="AQ661" s="88"/>
      <c r="AR661" s="89"/>
      <c r="AS661" s="90"/>
      <c r="AV661" s="88"/>
      <c r="AW661" s="96"/>
      <c r="AX661" s="97"/>
      <c r="AY661" s="93"/>
      <c r="BB661" s="94"/>
    </row>
    <row r="662" spans="42:54">
      <c r="AP662" s="86"/>
      <c r="AQ662" s="88"/>
      <c r="AR662" s="89"/>
      <c r="AS662" s="90"/>
      <c r="AV662" s="88"/>
      <c r="AW662" s="96"/>
      <c r="AX662" s="97"/>
      <c r="AY662" s="93"/>
      <c r="BB662" s="94"/>
    </row>
    <row r="663" spans="42:54">
      <c r="AP663" s="86"/>
      <c r="AQ663" s="88"/>
      <c r="AR663" s="89"/>
      <c r="AS663" s="90"/>
      <c r="AV663" s="88"/>
      <c r="AW663" s="96"/>
      <c r="AX663" s="97"/>
      <c r="AY663" s="93"/>
      <c r="BB663" s="94"/>
    </row>
    <row r="664" spans="42:54">
      <c r="AP664" s="86"/>
      <c r="AQ664" s="88"/>
      <c r="AR664" s="89"/>
      <c r="AS664" s="90"/>
      <c r="AV664" s="88"/>
      <c r="AW664" s="96"/>
      <c r="AX664" s="97"/>
      <c r="AY664" s="93"/>
      <c r="BB664" s="94"/>
    </row>
    <row r="665" spans="42:54">
      <c r="AP665" s="86"/>
      <c r="AQ665" s="88"/>
      <c r="AR665" s="89"/>
      <c r="AS665" s="90"/>
      <c r="AV665" s="88"/>
      <c r="AW665" s="96"/>
      <c r="AX665" s="97"/>
      <c r="AY665" s="93"/>
      <c r="BB665" s="94"/>
    </row>
    <row r="666" spans="42:54">
      <c r="AP666" s="86"/>
      <c r="AQ666" s="88"/>
      <c r="AR666" s="89"/>
      <c r="AS666" s="90"/>
      <c r="AV666" s="88"/>
      <c r="AW666" s="96"/>
      <c r="AX666" s="97"/>
      <c r="AY666" s="93"/>
      <c r="BB666" s="94"/>
    </row>
    <row r="667" spans="42:54">
      <c r="AP667" s="86"/>
      <c r="AQ667" s="88"/>
      <c r="AR667" s="89"/>
      <c r="AS667" s="90"/>
      <c r="AV667" s="88"/>
      <c r="AW667" s="96"/>
      <c r="AX667" s="97"/>
      <c r="AY667" s="93"/>
      <c r="BB667" s="94"/>
    </row>
    <row r="668" spans="42:54">
      <c r="AP668" s="86"/>
      <c r="AQ668" s="88"/>
      <c r="AR668" s="89"/>
      <c r="AS668" s="90"/>
      <c r="AV668" s="88"/>
      <c r="AW668" s="96"/>
      <c r="AX668" s="97"/>
      <c r="AY668" s="93"/>
      <c r="BB668" s="94"/>
    </row>
    <row r="669" spans="42:54">
      <c r="AP669" s="86"/>
      <c r="AQ669" s="88"/>
      <c r="AR669" s="89"/>
      <c r="AS669" s="90"/>
      <c r="AV669" s="88"/>
      <c r="AW669" s="96"/>
      <c r="AX669" s="97"/>
      <c r="AY669" s="93"/>
      <c r="BB669" s="94"/>
    </row>
    <row r="670" spans="42:54">
      <c r="AP670" s="86"/>
      <c r="AQ670" s="88"/>
      <c r="AR670" s="89"/>
      <c r="AS670" s="90"/>
      <c r="AV670" s="88"/>
      <c r="AW670" s="96"/>
      <c r="AX670" s="97"/>
      <c r="AY670" s="93"/>
      <c r="BB670" s="94"/>
    </row>
    <row r="671" spans="42:54">
      <c r="AP671" s="86"/>
      <c r="AQ671" s="88"/>
      <c r="AR671" s="89"/>
      <c r="AS671" s="90"/>
      <c r="AV671" s="88"/>
      <c r="AW671" s="96"/>
      <c r="AX671" s="97"/>
      <c r="AY671" s="93"/>
      <c r="BB671" s="94"/>
    </row>
    <row r="672" spans="42:54">
      <c r="AP672" s="86"/>
      <c r="AQ672" s="88"/>
      <c r="AR672" s="89"/>
      <c r="AS672" s="90"/>
      <c r="AV672" s="88"/>
      <c r="AW672" s="96"/>
      <c r="AX672" s="97"/>
      <c r="AY672" s="93"/>
      <c r="BB672" s="94"/>
    </row>
    <row r="673" spans="42:54">
      <c r="AP673" s="86"/>
      <c r="AQ673" s="88"/>
      <c r="AR673" s="89"/>
      <c r="AS673" s="90"/>
      <c r="AV673" s="88"/>
      <c r="AW673" s="96"/>
      <c r="AX673" s="97"/>
      <c r="AY673" s="93"/>
      <c r="BB673" s="94"/>
    </row>
    <row r="674" spans="42:54">
      <c r="AP674" s="86"/>
      <c r="AQ674" s="88"/>
      <c r="AR674" s="89"/>
      <c r="AS674" s="90"/>
      <c r="AV674" s="88"/>
      <c r="AW674" s="96"/>
      <c r="AX674" s="97"/>
      <c r="AY674" s="93"/>
      <c r="BB674" s="94"/>
    </row>
    <row r="675" spans="42:54">
      <c r="AP675" s="86"/>
      <c r="AQ675" s="88"/>
      <c r="AR675" s="89"/>
      <c r="AS675" s="90"/>
      <c r="AV675" s="88"/>
      <c r="AW675" s="96"/>
      <c r="AX675" s="97"/>
      <c r="AY675" s="93"/>
      <c r="BB675" s="94"/>
    </row>
    <row r="676" spans="42:54">
      <c r="AP676" s="86"/>
      <c r="AQ676" s="88"/>
      <c r="AR676" s="89"/>
      <c r="AS676" s="90"/>
      <c r="AV676" s="88"/>
      <c r="AW676" s="96"/>
      <c r="AX676" s="97"/>
      <c r="AY676" s="93"/>
      <c r="BB676" s="94"/>
    </row>
    <row r="677" spans="42:54">
      <c r="AP677" s="86"/>
      <c r="AQ677" s="88"/>
      <c r="AR677" s="89"/>
      <c r="AS677" s="90"/>
      <c r="AV677" s="88"/>
      <c r="AW677" s="96"/>
      <c r="AX677" s="97"/>
      <c r="AY677" s="93"/>
      <c r="BB677" s="94"/>
    </row>
    <row r="678" spans="42:54">
      <c r="AP678" s="86"/>
      <c r="AQ678" s="88"/>
      <c r="AR678" s="89"/>
      <c r="AS678" s="90"/>
      <c r="AV678" s="88"/>
      <c r="AW678" s="96"/>
      <c r="AX678" s="97"/>
      <c r="AY678" s="93"/>
      <c r="BB678" s="94"/>
    </row>
    <row r="679" spans="42:54">
      <c r="AP679" s="86"/>
      <c r="AQ679" s="88"/>
      <c r="AR679" s="89"/>
      <c r="AS679" s="90"/>
      <c r="AV679" s="88"/>
      <c r="AW679" s="96"/>
      <c r="AX679" s="97"/>
      <c r="AY679" s="93"/>
      <c r="BB679" s="94"/>
    </row>
    <row r="680" spans="42:54">
      <c r="AP680" s="86"/>
      <c r="AQ680" s="88"/>
      <c r="AR680" s="89"/>
      <c r="AS680" s="90"/>
      <c r="AV680" s="88"/>
      <c r="AW680" s="96"/>
      <c r="AX680" s="97"/>
      <c r="AY680" s="93"/>
      <c r="BB680" s="94"/>
    </row>
    <row r="681" spans="42:54">
      <c r="AP681" s="86"/>
      <c r="AQ681" s="88"/>
      <c r="AR681" s="89"/>
      <c r="AS681" s="90"/>
      <c r="AV681" s="88"/>
      <c r="AW681" s="96"/>
      <c r="AX681" s="97"/>
      <c r="AY681" s="93"/>
      <c r="BB681" s="94"/>
    </row>
    <row r="682" spans="42:54">
      <c r="AP682" s="86"/>
      <c r="AQ682" s="88"/>
      <c r="AR682" s="89"/>
      <c r="AS682" s="90"/>
      <c r="AV682" s="88"/>
      <c r="AW682" s="96"/>
      <c r="AX682" s="97"/>
      <c r="AY682" s="93"/>
      <c r="BB682" s="94"/>
    </row>
    <row r="683" spans="42:54">
      <c r="AP683" s="86"/>
      <c r="AQ683" s="88"/>
      <c r="AR683" s="89"/>
      <c r="AS683" s="90"/>
      <c r="AV683" s="88"/>
      <c r="AW683" s="96"/>
      <c r="AX683" s="97"/>
      <c r="AY683" s="93"/>
      <c r="BB683" s="94"/>
    </row>
    <row r="684" spans="42:54">
      <c r="AP684" s="86"/>
      <c r="AQ684" s="88"/>
      <c r="AR684" s="89"/>
      <c r="AS684" s="90"/>
      <c r="AV684" s="88"/>
      <c r="AW684" s="96"/>
      <c r="AX684" s="97"/>
      <c r="AY684" s="93"/>
      <c r="BB684" s="94"/>
    </row>
    <row r="685" spans="42:54">
      <c r="AP685" s="86"/>
      <c r="AQ685" s="88"/>
      <c r="AR685" s="89"/>
      <c r="AS685" s="90"/>
      <c r="AV685" s="88"/>
      <c r="AW685" s="96"/>
      <c r="AX685" s="97"/>
      <c r="AY685" s="93"/>
      <c r="BB685" s="94"/>
    </row>
    <row r="686" spans="42:54">
      <c r="AP686" s="86"/>
      <c r="AQ686" s="88"/>
      <c r="AR686" s="89"/>
      <c r="AS686" s="90"/>
      <c r="AV686" s="88"/>
      <c r="AW686" s="96"/>
      <c r="AX686" s="97"/>
      <c r="AY686" s="93"/>
      <c r="BB686" s="94"/>
    </row>
    <row r="687" spans="42:54">
      <c r="AP687" s="86"/>
      <c r="AQ687" s="88"/>
      <c r="AR687" s="89"/>
      <c r="AS687" s="90"/>
      <c r="AV687" s="88"/>
      <c r="AW687" s="96"/>
      <c r="AX687" s="97"/>
      <c r="AY687" s="93"/>
      <c r="BB687" s="94"/>
    </row>
    <row r="688" spans="42:54">
      <c r="AP688" s="86"/>
      <c r="AQ688" s="88"/>
      <c r="AR688" s="89"/>
      <c r="AS688" s="90"/>
      <c r="AV688" s="88"/>
      <c r="AW688" s="96"/>
      <c r="AX688" s="97"/>
      <c r="AY688" s="93"/>
      <c r="BB688" s="94"/>
    </row>
    <row r="689" spans="42:54">
      <c r="AP689" s="86"/>
      <c r="AQ689" s="88"/>
      <c r="AR689" s="89"/>
      <c r="AS689" s="90"/>
      <c r="AV689" s="88"/>
      <c r="AW689" s="96"/>
      <c r="AX689" s="97"/>
      <c r="AY689" s="93"/>
      <c r="BB689" s="94"/>
    </row>
    <row r="690" spans="42:54">
      <c r="AP690" s="86"/>
      <c r="AQ690" s="88"/>
      <c r="AR690" s="89"/>
      <c r="AS690" s="90"/>
      <c r="AV690" s="88"/>
      <c r="AW690" s="96"/>
      <c r="AX690" s="97"/>
      <c r="AY690" s="93"/>
      <c r="BB690" s="94"/>
    </row>
    <row r="691" spans="42:54">
      <c r="AP691" s="86"/>
      <c r="AQ691" s="88"/>
      <c r="AR691" s="89"/>
      <c r="AS691" s="90"/>
      <c r="AV691" s="88"/>
      <c r="AW691" s="96"/>
      <c r="AX691" s="97"/>
      <c r="AY691" s="93"/>
      <c r="BB691" s="94"/>
    </row>
    <row r="692" spans="42:54">
      <c r="AP692" s="86"/>
      <c r="AQ692" s="88"/>
      <c r="AR692" s="89"/>
      <c r="AS692" s="90"/>
      <c r="AV692" s="88"/>
      <c r="AW692" s="96"/>
      <c r="AX692" s="97"/>
      <c r="AY692" s="93"/>
      <c r="BB692" s="94"/>
    </row>
    <row r="693" spans="42:54">
      <c r="AP693" s="86"/>
      <c r="AQ693" s="88"/>
      <c r="AR693" s="89"/>
      <c r="AS693" s="90"/>
      <c r="AV693" s="88"/>
      <c r="AW693" s="96"/>
      <c r="AX693" s="97"/>
      <c r="AY693" s="93"/>
      <c r="BB693" s="94"/>
    </row>
    <row r="694" spans="42:54">
      <c r="AP694" s="86"/>
      <c r="AQ694" s="88"/>
      <c r="AR694" s="89"/>
      <c r="AS694" s="90"/>
      <c r="AV694" s="88"/>
      <c r="AW694" s="96"/>
      <c r="AX694" s="97"/>
      <c r="AY694" s="93"/>
      <c r="BB694" s="94"/>
    </row>
    <row r="695" spans="42:54">
      <c r="AP695" s="86"/>
      <c r="AQ695" s="88"/>
      <c r="AR695" s="89"/>
      <c r="AS695" s="90"/>
      <c r="AV695" s="88"/>
      <c r="AW695" s="96"/>
      <c r="AX695" s="97"/>
      <c r="AY695" s="93"/>
      <c r="BB695" s="94"/>
    </row>
    <row r="696" spans="42:54">
      <c r="AP696" s="86"/>
      <c r="AQ696" s="88"/>
      <c r="AR696" s="89"/>
      <c r="AS696" s="90"/>
      <c r="AV696" s="88"/>
      <c r="AW696" s="96"/>
      <c r="AX696" s="97"/>
      <c r="AY696" s="93"/>
      <c r="BB696" s="94"/>
    </row>
    <row r="697" spans="42:54">
      <c r="AP697" s="86"/>
      <c r="AQ697" s="88"/>
      <c r="AR697" s="89"/>
      <c r="AS697" s="90"/>
      <c r="AV697" s="88"/>
      <c r="AW697" s="96"/>
      <c r="AX697" s="97"/>
      <c r="AY697" s="93"/>
      <c r="BB697" s="94"/>
    </row>
    <row r="698" spans="42:54">
      <c r="AP698" s="86"/>
      <c r="AQ698" s="88"/>
      <c r="AR698" s="89"/>
      <c r="AS698" s="90"/>
      <c r="AV698" s="88"/>
      <c r="AW698" s="96"/>
      <c r="AX698" s="97"/>
      <c r="AY698" s="93"/>
      <c r="BB698" s="94"/>
    </row>
    <row r="699" spans="42:54">
      <c r="AP699" s="86"/>
      <c r="AQ699" s="88"/>
      <c r="AR699" s="89"/>
      <c r="AS699" s="90"/>
      <c r="AV699" s="88"/>
      <c r="AW699" s="96"/>
      <c r="AX699" s="97"/>
      <c r="AY699" s="93"/>
      <c r="BB699" s="94"/>
    </row>
    <row r="700" spans="42:54">
      <c r="AP700" s="86"/>
      <c r="AQ700" s="88"/>
      <c r="AR700" s="89"/>
      <c r="AS700" s="90"/>
      <c r="AV700" s="88"/>
      <c r="AW700" s="96"/>
      <c r="AX700" s="97"/>
      <c r="AY700" s="93"/>
      <c r="BB700" s="94"/>
    </row>
    <row r="701" spans="42:54">
      <c r="AP701" s="86"/>
      <c r="AQ701" s="88"/>
      <c r="AR701" s="89"/>
      <c r="AS701" s="90"/>
      <c r="AV701" s="88"/>
      <c r="AW701" s="96"/>
      <c r="AX701" s="97"/>
      <c r="AY701" s="93"/>
      <c r="BB701" s="94"/>
    </row>
    <row r="702" spans="42:54">
      <c r="AP702" s="86"/>
      <c r="AQ702" s="88"/>
      <c r="AR702" s="89"/>
      <c r="AS702" s="90"/>
      <c r="AV702" s="88"/>
      <c r="AW702" s="96"/>
      <c r="AX702" s="97"/>
      <c r="AY702" s="93"/>
      <c r="BB702" s="94"/>
    </row>
    <row r="703" spans="42:54">
      <c r="AP703" s="86"/>
      <c r="AQ703" s="88"/>
      <c r="AR703" s="89"/>
      <c r="AS703" s="90"/>
      <c r="AV703" s="88"/>
      <c r="AW703" s="96"/>
      <c r="AX703" s="97"/>
      <c r="AY703" s="93"/>
      <c r="BB703" s="94"/>
    </row>
    <row r="704" spans="42:54">
      <c r="AP704" s="86"/>
      <c r="AQ704" s="88"/>
      <c r="AR704" s="89"/>
      <c r="AS704" s="90"/>
      <c r="AV704" s="88"/>
      <c r="AW704" s="96"/>
      <c r="AX704" s="97"/>
      <c r="AY704" s="93"/>
      <c r="BB704" s="94"/>
    </row>
    <row r="705" spans="42:54">
      <c r="AP705" s="86"/>
      <c r="AQ705" s="88"/>
      <c r="AR705" s="89"/>
      <c r="AS705" s="90"/>
      <c r="AV705" s="88"/>
      <c r="AW705" s="96"/>
      <c r="AX705" s="97"/>
      <c r="AY705" s="93"/>
      <c r="BB705" s="94"/>
    </row>
    <row r="706" spans="42:54">
      <c r="AP706" s="86"/>
      <c r="AQ706" s="88"/>
      <c r="AR706" s="89"/>
      <c r="AS706" s="90"/>
      <c r="AV706" s="88"/>
      <c r="AW706" s="96"/>
      <c r="AX706" s="97"/>
      <c r="AY706" s="93"/>
      <c r="BB706" s="94"/>
    </row>
    <row r="707" spans="42:54">
      <c r="AP707" s="86"/>
      <c r="AQ707" s="88"/>
      <c r="AR707" s="89"/>
      <c r="AS707" s="90"/>
      <c r="AV707" s="88"/>
      <c r="AW707" s="96"/>
      <c r="AX707" s="97"/>
      <c r="AY707" s="93"/>
      <c r="BB707" s="94"/>
    </row>
    <row r="708" spans="42:54">
      <c r="AP708" s="86"/>
      <c r="AQ708" s="88"/>
      <c r="AR708" s="89"/>
      <c r="AS708" s="90"/>
      <c r="AV708" s="88"/>
      <c r="AW708" s="96"/>
      <c r="AX708" s="97"/>
      <c r="AY708" s="93"/>
      <c r="BB708" s="94"/>
    </row>
    <row r="709" spans="42:54">
      <c r="AP709" s="86"/>
      <c r="AQ709" s="88"/>
      <c r="AR709" s="89"/>
      <c r="AS709" s="90"/>
      <c r="AV709" s="88"/>
      <c r="AW709" s="96"/>
      <c r="AX709" s="97"/>
      <c r="AY709" s="93"/>
      <c r="BB709" s="94"/>
    </row>
    <row r="710" spans="42:54">
      <c r="AP710" s="86"/>
      <c r="AQ710" s="88"/>
      <c r="AR710" s="89"/>
      <c r="AS710" s="90"/>
      <c r="AV710" s="88"/>
      <c r="AW710" s="96"/>
      <c r="AX710" s="97"/>
      <c r="AY710" s="93"/>
      <c r="BB710" s="94"/>
    </row>
    <row r="711" spans="42:54">
      <c r="AP711" s="86"/>
      <c r="AQ711" s="88"/>
      <c r="AR711" s="89"/>
      <c r="AS711" s="90"/>
      <c r="AV711" s="88"/>
      <c r="AW711" s="96"/>
      <c r="AX711" s="97"/>
      <c r="AY711" s="93"/>
      <c r="BB711" s="94"/>
    </row>
    <row r="712" spans="42:54">
      <c r="AP712" s="86"/>
      <c r="AQ712" s="88"/>
      <c r="AR712" s="89"/>
      <c r="AS712" s="90"/>
      <c r="AV712" s="88"/>
      <c r="AW712" s="96"/>
      <c r="AX712" s="97"/>
      <c r="AY712" s="93"/>
      <c r="BB712" s="94"/>
    </row>
    <row r="713" spans="42:54">
      <c r="AP713" s="86"/>
      <c r="AQ713" s="88"/>
      <c r="AR713" s="89"/>
      <c r="AS713" s="90"/>
      <c r="AV713" s="88"/>
      <c r="AW713" s="96"/>
      <c r="AX713" s="97"/>
      <c r="AY713" s="93"/>
      <c r="BB713" s="94"/>
    </row>
    <row r="714" spans="42:54">
      <c r="AP714" s="86"/>
      <c r="AQ714" s="88"/>
      <c r="AR714" s="89"/>
      <c r="AS714" s="90"/>
      <c r="AV714" s="88"/>
      <c r="AW714" s="96"/>
      <c r="AX714" s="97"/>
      <c r="AY714" s="93"/>
      <c r="BB714" s="94"/>
    </row>
    <row r="715" spans="42:54">
      <c r="AP715" s="86"/>
      <c r="AQ715" s="88"/>
      <c r="AR715" s="89"/>
      <c r="AS715" s="90"/>
      <c r="AV715" s="88"/>
      <c r="AW715" s="96"/>
      <c r="AX715" s="97"/>
      <c r="AY715" s="93"/>
      <c r="BB715" s="94"/>
    </row>
    <row r="716" spans="42:54">
      <c r="AP716" s="86"/>
      <c r="AQ716" s="88"/>
      <c r="AR716" s="89"/>
      <c r="AS716" s="90"/>
      <c r="AV716" s="88"/>
      <c r="AW716" s="96"/>
      <c r="AX716" s="97"/>
      <c r="AY716" s="93"/>
      <c r="BB716" s="94"/>
    </row>
    <row r="717" spans="42:54">
      <c r="AP717" s="86"/>
      <c r="AQ717" s="88"/>
      <c r="AR717" s="89"/>
      <c r="AS717" s="90"/>
      <c r="AV717" s="88"/>
      <c r="AW717" s="96"/>
      <c r="AX717" s="97"/>
      <c r="AY717" s="93"/>
      <c r="BB717" s="94"/>
    </row>
    <row r="718" spans="42:54">
      <c r="AP718" s="86"/>
      <c r="AQ718" s="88"/>
      <c r="AR718" s="89"/>
      <c r="AS718" s="90"/>
      <c r="AV718" s="88"/>
      <c r="AW718" s="96"/>
      <c r="AX718" s="97"/>
      <c r="AY718" s="93"/>
      <c r="BB718" s="94"/>
    </row>
    <row r="719" spans="42:54">
      <c r="AP719" s="86"/>
      <c r="AQ719" s="88"/>
      <c r="AR719" s="89"/>
      <c r="AS719" s="90"/>
      <c r="AV719" s="88"/>
      <c r="AW719" s="96"/>
      <c r="AX719" s="97"/>
      <c r="AY719" s="93"/>
      <c r="BB719" s="94"/>
    </row>
    <row r="720" spans="42:54">
      <c r="AP720" s="86"/>
      <c r="AQ720" s="88"/>
      <c r="AR720" s="89"/>
      <c r="AS720" s="90"/>
      <c r="AV720" s="88"/>
      <c r="AW720" s="96"/>
      <c r="AX720" s="97"/>
      <c r="AY720" s="93"/>
      <c r="BB720" s="94"/>
    </row>
    <row r="721" spans="42:54">
      <c r="AP721" s="86"/>
      <c r="AQ721" s="88"/>
      <c r="AR721" s="89"/>
      <c r="AS721" s="90"/>
      <c r="AV721" s="88"/>
      <c r="AW721" s="96"/>
      <c r="AX721" s="97"/>
      <c r="AY721" s="93"/>
      <c r="BB721" s="94"/>
    </row>
    <row r="722" spans="42:54">
      <c r="AP722" s="86"/>
      <c r="AQ722" s="88"/>
      <c r="AR722" s="89"/>
      <c r="AS722" s="90"/>
      <c r="AV722" s="88"/>
      <c r="AW722" s="96"/>
      <c r="AX722" s="97"/>
      <c r="AY722" s="93"/>
      <c r="BB722" s="94"/>
    </row>
    <row r="723" spans="42:54">
      <c r="AP723" s="86"/>
      <c r="AQ723" s="88"/>
      <c r="AR723" s="89"/>
      <c r="AS723" s="90"/>
      <c r="AV723" s="88"/>
      <c r="AW723" s="96"/>
      <c r="AX723" s="97"/>
      <c r="AY723" s="93"/>
      <c r="BB723" s="94"/>
    </row>
    <row r="724" spans="42:54">
      <c r="AP724" s="86"/>
      <c r="AQ724" s="88"/>
      <c r="AR724" s="89"/>
      <c r="AS724" s="90"/>
      <c r="AV724" s="88"/>
      <c r="AW724" s="96"/>
      <c r="AX724" s="97"/>
      <c r="AY724" s="93"/>
      <c r="BB724" s="94"/>
    </row>
    <row r="725" spans="42:54">
      <c r="AP725" s="86"/>
      <c r="AQ725" s="88"/>
      <c r="AR725" s="89"/>
      <c r="AS725" s="90"/>
      <c r="AV725" s="88"/>
      <c r="AW725" s="96"/>
      <c r="AX725" s="97"/>
      <c r="AY725" s="93"/>
      <c r="BB725" s="94"/>
    </row>
    <row r="726" spans="42:54">
      <c r="AP726" s="86"/>
      <c r="AQ726" s="88"/>
      <c r="AR726" s="89"/>
      <c r="AS726" s="90"/>
      <c r="AV726" s="88"/>
      <c r="AW726" s="96"/>
      <c r="AX726" s="97"/>
      <c r="AY726" s="93"/>
      <c r="BB726" s="94"/>
    </row>
    <row r="727" spans="42:54">
      <c r="AP727" s="86"/>
      <c r="AQ727" s="88"/>
      <c r="AR727" s="89"/>
      <c r="AS727" s="90"/>
      <c r="AV727" s="88"/>
      <c r="AW727" s="96"/>
      <c r="AX727" s="97"/>
      <c r="AY727" s="93"/>
      <c r="BB727" s="94"/>
    </row>
    <row r="728" spans="42:54">
      <c r="AP728" s="86"/>
      <c r="AQ728" s="88"/>
      <c r="AR728" s="89"/>
      <c r="AS728" s="90"/>
      <c r="AV728" s="88"/>
      <c r="AW728" s="96"/>
      <c r="AX728" s="97"/>
      <c r="AY728" s="93"/>
      <c r="BB728" s="94"/>
    </row>
    <row r="729" spans="42:54">
      <c r="AP729" s="86"/>
      <c r="AQ729" s="88"/>
      <c r="AR729" s="89"/>
      <c r="AS729" s="90"/>
      <c r="AV729" s="88"/>
      <c r="AW729" s="96"/>
      <c r="AX729" s="97"/>
      <c r="AY729" s="93"/>
      <c r="BB729" s="94"/>
    </row>
    <row r="730" spans="42:54">
      <c r="AP730" s="86"/>
      <c r="AQ730" s="88"/>
      <c r="AR730" s="89"/>
      <c r="AS730" s="90"/>
      <c r="AV730" s="88"/>
      <c r="AW730" s="96"/>
      <c r="AX730" s="97"/>
      <c r="AY730" s="93"/>
      <c r="BB730" s="94"/>
    </row>
    <row r="731" spans="42:54">
      <c r="AP731" s="86"/>
      <c r="AQ731" s="88"/>
      <c r="AR731" s="89"/>
      <c r="AS731" s="90"/>
      <c r="AV731" s="88"/>
      <c r="AW731" s="96"/>
      <c r="AX731" s="97"/>
      <c r="AY731" s="93"/>
      <c r="BB731" s="94"/>
    </row>
    <row r="732" spans="42:54">
      <c r="AP732" s="86"/>
      <c r="AQ732" s="88"/>
      <c r="AR732" s="89"/>
      <c r="AS732" s="90"/>
      <c r="AV732" s="88"/>
      <c r="AW732" s="96"/>
      <c r="AX732" s="97"/>
      <c r="AY732" s="93"/>
      <c r="BB732" s="94"/>
    </row>
    <row r="733" spans="42:54">
      <c r="AP733" s="86"/>
      <c r="AQ733" s="88"/>
      <c r="AR733" s="89"/>
      <c r="AS733" s="90"/>
      <c r="AV733" s="88"/>
      <c r="AW733" s="96"/>
      <c r="AX733" s="97"/>
      <c r="AY733" s="93"/>
      <c r="BB733" s="94"/>
    </row>
    <row r="734" spans="42:54">
      <c r="AP734" s="86"/>
      <c r="AQ734" s="88"/>
      <c r="AR734" s="89"/>
      <c r="AS734" s="90"/>
      <c r="AV734" s="88"/>
      <c r="AW734" s="96"/>
      <c r="AX734" s="97"/>
      <c r="AY734" s="93"/>
      <c r="BB734" s="94"/>
    </row>
    <row r="735" spans="42:54">
      <c r="AP735" s="86"/>
      <c r="AQ735" s="88"/>
      <c r="AR735" s="89"/>
      <c r="AS735" s="90"/>
      <c r="AV735" s="88"/>
      <c r="AW735" s="96"/>
      <c r="AX735" s="97"/>
      <c r="AY735" s="93"/>
      <c r="BB735" s="94"/>
    </row>
    <row r="736" spans="42:54">
      <c r="AP736" s="86"/>
      <c r="AQ736" s="88"/>
      <c r="AR736" s="89"/>
      <c r="AS736" s="90"/>
      <c r="AV736" s="88"/>
      <c r="AW736" s="96"/>
      <c r="AX736" s="97"/>
      <c r="AY736" s="93"/>
      <c r="BB736" s="94"/>
    </row>
    <row r="737" spans="42:54">
      <c r="AP737" s="86"/>
      <c r="AQ737" s="88"/>
      <c r="AR737" s="89"/>
      <c r="AS737" s="90"/>
      <c r="AV737" s="88"/>
      <c r="AW737" s="96"/>
      <c r="AX737" s="97"/>
      <c r="AY737" s="93"/>
      <c r="BB737" s="94"/>
    </row>
    <row r="738" spans="42:54">
      <c r="AP738" s="86"/>
      <c r="AQ738" s="88"/>
      <c r="AR738" s="89"/>
      <c r="AS738" s="90"/>
      <c r="AV738" s="88"/>
      <c r="AW738" s="96"/>
      <c r="AX738" s="97"/>
      <c r="AY738" s="93"/>
      <c r="BB738" s="94"/>
    </row>
    <row r="739" spans="42:54">
      <c r="AP739" s="86"/>
      <c r="AQ739" s="88"/>
      <c r="AR739" s="89"/>
      <c r="AS739" s="90"/>
      <c r="AV739" s="88"/>
      <c r="AW739" s="96"/>
      <c r="AX739" s="97"/>
      <c r="AY739" s="93"/>
      <c r="BB739" s="94"/>
    </row>
    <row r="740" spans="42:54">
      <c r="AP740" s="86"/>
      <c r="AQ740" s="88"/>
      <c r="AR740" s="89"/>
      <c r="AS740" s="90"/>
      <c r="AV740" s="88"/>
      <c r="AW740" s="96"/>
      <c r="AX740" s="97"/>
      <c r="AY740" s="93"/>
      <c r="BB740" s="94"/>
    </row>
    <row r="741" spans="42:54">
      <c r="AP741" s="86"/>
      <c r="AQ741" s="88"/>
      <c r="AR741" s="89"/>
      <c r="AS741" s="90"/>
      <c r="AV741" s="88"/>
      <c r="AW741" s="96"/>
      <c r="AX741" s="97"/>
      <c r="AY741" s="93"/>
      <c r="BB741" s="94"/>
    </row>
    <row r="742" spans="42:54">
      <c r="AP742" s="86"/>
      <c r="AQ742" s="88"/>
      <c r="AR742" s="89"/>
      <c r="AS742" s="90"/>
      <c r="AV742" s="88"/>
      <c r="AW742" s="96"/>
      <c r="AX742" s="97"/>
      <c r="AY742" s="93"/>
      <c r="BB742" s="94"/>
    </row>
    <row r="743" spans="42:54">
      <c r="AP743" s="86"/>
      <c r="AQ743" s="88"/>
      <c r="AR743" s="89"/>
      <c r="AS743" s="90"/>
      <c r="AV743" s="88"/>
      <c r="AW743" s="96"/>
      <c r="AX743" s="97"/>
      <c r="AY743" s="93"/>
      <c r="BB743" s="94"/>
    </row>
    <row r="744" spans="42:54">
      <c r="AP744" s="86"/>
      <c r="AQ744" s="88"/>
      <c r="AR744" s="89"/>
      <c r="AS744" s="90"/>
      <c r="AV744" s="88"/>
      <c r="AW744" s="96"/>
      <c r="AX744" s="97"/>
      <c r="AY744" s="93"/>
      <c r="BB744" s="94"/>
    </row>
    <row r="745" spans="42:54">
      <c r="AP745" s="86"/>
      <c r="AQ745" s="88"/>
      <c r="AR745" s="89"/>
      <c r="AS745" s="90"/>
      <c r="AV745" s="88"/>
      <c r="AW745" s="96"/>
      <c r="AX745" s="97"/>
      <c r="AY745" s="93"/>
      <c r="BB745" s="94"/>
    </row>
    <row r="746" spans="42:54">
      <c r="AP746" s="86"/>
      <c r="AQ746" s="88"/>
      <c r="AR746" s="89"/>
      <c r="AS746" s="90"/>
      <c r="AV746" s="88"/>
      <c r="AW746" s="96"/>
      <c r="AX746" s="97"/>
      <c r="AY746" s="93"/>
      <c r="BB746" s="94"/>
    </row>
    <row r="747" spans="42:54">
      <c r="AP747" s="86"/>
      <c r="AQ747" s="88"/>
      <c r="AR747" s="89"/>
      <c r="AS747" s="90"/>
      <c r="AV747" s="88"/>
      <c r="AW747" s="96"/>
      <c r="AX747" s="97"/>
      <c r="AY747" s="93"/>
      <c r="BB747" s="94"/>
    </row>
    <row r="748" spans="42:54">
      <c r="AP748" s="86"/>
      <c r="AQ748" s="88"/>
      <c r="AR748" s="89"/>
      <c r="AS748" s="90"/>
      <c r="AV748" s="88"/>
      <c r="AW748" s="96"/>
      <c r="AX748" s="97"/>
      <c r="AY748" s="93"/>
      <c r="BB748" s="94"/>
    </row>
    <row r="749" spans="42:54">
      <c r="AP749" s="86"/>
      <c r="AQ749" s="88"/>
      <c r="AR749" s="89"/>
      <c r="AS749" s="90"/>
      <c r="AV749" s="88"/>
      <c r="AW749" s="96"/>
      <c r="AX749" s="97"/>
      <c r="AY749" s="93"/>
      <c r="BB749" s="94"/>
    </row>
    <row r="750" spans="42:54">
      <c r="AP750" s="86"/>
      <c r="AQ750" s="88"/>
      <c r="AR750" s="89"/>
      <c r="AS750" s="90"/>
      <c r="AV750" s="88"/>
      <c r="AW750" s="96"/>
      <c r="AX750" s="97"/>
      <c r="AY750" s="93"/>
      <c r="BB750" s="94"/>
    </row>
    <row r="751" spans="42:54">
      <c r="AP751" s="86"/>
      <c r="AQ751" s="88"/>
      <c r="AR751" s="89"/>
      <c r="AS751" s="90"/>
      <c r="AV751" s="88"/>
      <c r="AW751" s="96"/>
      <c r="AX751" s="97"/>
      <c r="AY751" s="93"/>
      <c r="BB751" s="94"/>
    </row>
    <row r="752" spans="42:54">
      <c r="AP752" s="86"/>
      <c r="AQ752" s="88"/>
      <c r="AR752" s="89"/>
      <c r="AS752" s="90"/>
      <c r="AV752" s="88"/>
      <c r="AW752" s="96"/>
      <c r="AX752" s="97"/>
      <c r="AY752" s="93"/>
      <c r="BB752" s="94"/>
    </row>
    <row r="753" spans="42:54">
      <c r="AP753" s="86"/>
      <c r="AQ753" s="88"/>
      <c r="AR753" s="89"/>
      <c r="AS753" s="90"/>
      <c r="AV753" s="88"/>
      <c r="AW753" s="96"/>
      <c r="AX753" s="97"/>
      <c r="AY753" s="93"/>
      <c r="BB753" s="94"/>
    </row>
    <row r="754" spans="42:54">
      <c r="AP754" s="86"/>
      <c r="AQ754" s="88"/>
      <c r="AR754" s="89"/>
      <c r="AS754" s="90"/>
      <c r="AV754" s="88"/>
      <c r="AW754" s="96"/>
      <c r="AX754" s="97"/>
      <c r="AY754" s="93"/>
      <c r="BB754" s="94"/>
    </row>
    <row r="755" spans="42:54">
      <c r="AP755" s="86"/>
      <c r="AQ755" s="88"/>
      <c r="AR755" s="89"/>
      <c r="AS755" s="90"/>
      <c r="AV755" s="88"/>
      <c r="AW755" s="96"/>
      <c r="AX755" s="97"/>
      <c r="AY755" s="93"/>
      <c r="BB755" s="94"/>
    </row>
    <row r="756" spans="42:54">
      <c r="AP756" s="86"/>
      <c r="AQ756" s="88"/>
      <c r="AR756" s="89"/>
      <c r="AS756" s="90"/>
      <c r="AV756" s="88"/>
      <c r="AW756" s="96"/>
      <c r="AX756" s="97"/>
      <c r="AY756" s="93"/>
      <c r="BB756" s="94"/>
    </row>
    <row r="757" spans="42:54">
      <c r="AP757" s="86"/>
      <c r="AQ757" s="88"/>
      <c r="AR757" s="89"/>
      <c r="AS757" s="90"/>
      <c r="AV757" s="88"/>
      <c r="AW757" s="96"/>
      <c r="AX757" s="97"/>
      <c r="AY757" s="93"/>
      <c r="BB757" s="94"/>
    </row>
    <row r="758" spans="42:54">
      <c r="AP758" s="86"/>
      <c r="AQ758" s="88"/>
      <c r="AR758" s="89"/>
      <c r="AS758" s="90"/>
      <c r="AV758" s="88"/>
      <c r="AW758" s="96"/>
      <c r="AX758" s="97"/>
      <c r="AY758" s="93"/>
      <c r="BB758" s="94"/>
    </row>
    <row r="759" spans="42:54">
      <c r="AP759" s="86"/>
      <c r="AQ759" s="88"/>
      <c r="AR759" s="89"/>
      <c r="AS759" s="90"/>
      <c r="AV759" s="88"/>
      <c r="AW759" s="96"/>
      <c r="AX759" s="97"/>
      <c r="AY759" s="93"/>
      <c r="BB759" s="94"/>
    </row>
    <row r="760" spans="42:54">
      <c r="AP760" s="86"/>
      <c r="AQ760" s="88"/>
      <c r="AR760" s="89"/>
      <c r="AS760" s="90"/>
      <c r="AV760" s="88"/>
      <c r="AW760" s="96"/>
      <c r="AX760" s="97"/>
      <c r="AY760" s="93"/>
      <c r="BB760" s="94"/>
    </row>
    <row r="761" spans="42:54">
      <c r="AP761" s="86"/>
      <c r="AQ761" s="88"/>
      <c r="AR761" s="89"/>
      <c r="AS761" s="90"/>
      <c r="AV761" s="88"/>
      <c r="AW761" s="96"/>
      <c r="AX761" s="97"/>
      <c r="AY761" s="93"/>
      <c r="BB761" s="94"/>
    </row>
    <row r="762" spans="42:54">
      <c r="AP762" s="86"/>
      <c r="AQ762" s="88"/>
      <c r="AR762" s="89"/>
      <c r="AS762" s="90"/>
      <c r="AV762" s="88"/>
      <c r="AW762" s="96"/>
      <c r="AX762" s="97"/>
      <c r="AY762" s="93"/>
      <c r="BB762" s="94"/>
    </row>
    <row r="763" spans="42:54">
      <c r="AP763" s="86"/>
      <c r="AQ763" s="88"/>
      <c r="AR763" s="89"/>
      <c r="AS763" s="90"/>
      <c r="AV763" s="88"/>
      <c r="AW763" s="96"/>
      <c r="AX763" s="97"/>
      <c r="AY763" s="93"/>
      <c r="BB763" s="94"/>
    </row>
    <row r="764" spans="42:54">
      <c r="AP764" s="86"/>
      <c r="AQ764" s="88"/>
      <c r="AR764" s="89"/>
      <c r="AS764" s="90"/>
      <c r="AV764" s="88"/>
      <c r="AW764" s="96"/>
      <c r="AX764" s="97"/>
      <c r="AY764" s="93"/>
      <c r="BB764" s="94"/>
    </row>
    <row r="765" spans="42:54">
      <c r="AP765" s="86"/>
      <c r="AQ765" s="88"/>
      <c r="AR765" s="89"/>
      <c r="AS765" s="90"/>
      <c r="AV765" s="88"/>
      <c r="AW765" s="96"/>
      <c r="AX765" s="97"/>
      <c r="AY765" s="93"/>
      <c r="BB765" s="94"/>
    </row>
    <row r="766" spans="42:54">
      <c r="AP766" s="86"/>
      <c r="AQ766" s="88"/>
      <c r="AR766" s="89"/>
      <c r="AS766" s="90"/>
      <c r="AV766" s="88"/>
      <c r="AW766" s="96"/>
      <c r="AX766" s="97"/>
      <c r="AY766" s="93"/>
      <c r="BB766" s="94"/>
    </row>
    <row r="767" spans="42:54">
      <c r="AP767" s="86"/>
      <c r="AQ767" s="88"/>
      <c r="AR767" s="89"/>
      <c r="AS767" s="90"/>
      <c r="AV767" s="88"/>
      <c r="AW767" s="96"/>
      <c r="AX767" s="97"/>
      <c r="AY767" s="93"/>
      <c r="BB767" s="94"/>
    </row>
    <row r="768" spans="42:54">
      <c r="AP768" s="86"/>
      <c r="AQ768" s="88"/>
      <c r="AR768" s="89"/>
      <c r="AS768" s="90"/>
      <c r="AV768" s="88"/>
      <c r="AW768" s="96"/>
      <c r="AX768" s="97"/>
      <c r="AY768" s="93"/>
      <c r="BB768" s="94"/>
    </row>
    <row r="769" spans="42:54">
      <c r="AP769" s="86"/>
      <c r="AQ769" s="88"/>
      <c r="AR769" s="89"/>
      <c r="AS769" s="90"/>
      <c r="AV769" s="88"/>
      <c r="AW769" s="96"/>
      <c r="AX769" s="97"/>
      <c r="AY769" s="93"/>
      <c r="BB769" s="94"/>
    </row>
    <row r="770" spans="42:54">
      <c r="AP770" s="86"/>
      <c r="AQ770" s="88"/>
      <c r="AR770" s="89"/>
      <c r="AS770" s="90"/>
      <c r="AV770" s="88"/>
      <c r="AW770" s="96"/>
      <c r="AX770" s="97"/>
      <c r="AY770" s="93"/>
      <c r="BB770" s="94"/>
    </row>
    <row r="771" spans="42:54">
      <c r="AP771" s="86"/>
      <c r="AQ771" s="88"/>
      <c r="AR771" s="89"/>
      <c r="AS771" s="90"/>
      <c r="AV771" s="88"/>
      <c r="AW771" s="96"/>
      <c r="AX771" s="97"/>
      <c r="AY771" s="93"/>
      <c r="BB771" s="94"/>
    </row>
    <row r="772" spans="42:54">
      <c r="AP772" s="86"/>
      <c r="AQ772" s="88"/>
      <c r="AR772" s="89"/>
      <c r="AS772" s="90"/>
      <c r="AV772" s="88"/>
      <c r="AW772" s="96"/>
      <c r="AX772" s="97"/>
      <c r="AY772" s="93"/>
      <c r="BB772" s="94"/>
    </row>
    <row r="773" spans="42:54">
      <c r="AP773" s="86"/>
      <c r="AQ773" s="88"/>
      <c r="AR773" s="89"/>
      <c r="AS773" s="90"/>
      <c r="AV773" s="88"/>
      <c r="AW773" s="96"/>
      <c r="AX773" s="97"/>
      <c r="AY773" s="93"/>
      <c r="BB773" s="94"/>
    </row>
    <row r="774" spans="42:54">
      <c r="AP774" s="86"/>
      <c r="AQ774" s="88"/>
      <c r="AR774" s="89"/>
      <c r="AS774" s="90"/>
      <c r="AV774" s="88"/>
      <c r="AW774" s="96"/>
      <c r="AX774" s="97"/>
      <c r="AY774" s="93"/>
      <c r="BB774" s="94"/>
    </row>
    <row r="775" spans="42:54">
      <c r="AP775" s="86"/>
      <c r="AQ775" s="88"/>
      <c r="AR775" s="89"/>
      <c r="AS775" s="90"/>
      <c r="AV775" s="88"/>
      <c r="AW775" s="96"/>
      <c r="AX775" s="97"/>
      <c r="AY775" s="93"/>
      <c r="BB775" s="94"/>
    </row>
    <row r="776" spans="42:54">
      <c r="AP776" s="86"/>
      <c r="AQ776" s="88"/>
      <c r="AR776" s="89"/>
      <c r="AS776" s="90"/>
      <c r="AV776" s="88"/>
      <c r="AW776" s="96"/>
      <c r="AX776" s="97"/>
      <c r="AY776" s="93"/>
      <c r="BB776" s="94"/>
    </row>
    <row r="777" spans="42:54">
      <c r="AP777" s="86"/>
      <c r="AQ777" s="88"/>
      <c r="AR777" s="89"/>
      <c r="AS777" s="90"/>
      <c r="AV777" s="88"/>
      <c r="AW777" s="96"/>
      <c r="AX777" s="97"/>
      <c r="AY777" s="93"/>
      <c r="BB777" s="94"/>
    </row>
    <row r="778" spans="42:54">
      <c r="AP778" s="86"/>
      <c r="AQ778" s="88"/>
      <c r="AR778" s="89"/>
      <c r="AS778" s="90"/>
      <c r="AV778" s="88"/>
      <c r="AW778" s="96"/>
      <c r="AX778" s="97"/>
      <c r="AY778" s="93"/>
      <c r="BB778" s="94"/>
    </row>
    <row r="779" spans="42:54">
      <c r="AP779" s="86"/>
      <c r="AQ779" s="88"/>
      <c r="AR779" s="89"/>
      <c r="AS779" s="90"/>
      <c r="AV779" s="88"/>
      <c r="AW779" s="96"/>
      <c r="AX779" s="97"/>
      <c r="AY779" s="93"/>
      <c r="BB779" s="94"/>
    </row>
    <row r="780" spans="42:54">
      <c r="AP780" s="86"/>
      <c r="AQ780" s="88"/>
      <c r="AR780" s="89"/>
      <c r="AS780" s="90"/>
      <c r="AV780" s="88"/>
      <c r="AW780" s="96"/>
      <c r="AX780" s="97"/>
      <c r="AY780" s="93"/>
      <c r="BB780" s="94"/>
    </row>
    <row r="781" spans="42:54">
      <c r="AP781" s="86"/>
      <c r="AQ781" s="88"/>
      <c r="AR781" s="89"/>
      <c r="AS781" s="90"/>
      <c r="AV781" s="88"/>
      <c r="AW781" s="96"/>
      <c r="AX781" s="97"/>
      <c r="AY781" s="93"/>
      <c r="BB781" s="94"/>
    </row>
    <row r="782" spans="42:54">
      <c r="AP782" s="86"/>
      <c r="AQ782" s="88"/>
      <c r="AR782" s="89"/>
      <c r="AS782" s="90"/>
      <c r="AV782" s="88"/>
      <c r="AW782" s="96"/>
      <c r="AX782" s="97"/>
      <c r="AY782" s="93"/>
      <c r="BB782" s="94"/>
    </row>
    <row r="783" spans="42:54">
      <c r="AP783" s="86"/>
      <c r="AQ783" s="88"/>
      <c r="AR783" s="89"/>
      <c r="AS783" s="90"/>
      <c r="AV783" s="88"/>
      <c r="AW783" s="96"/>
      <c r="AX783" s="97"/>
      <c r="AY783" s="93"/>
      <c r="BB783" s="94"/>
    </row>
    <row r="784" spans="42:54">
      <c r="AP784" s="86"/>
      <c r="AQ784" s="88"/>
      <c r="AR784" s="89"/>
      <c r="AS784" s="90"/>
      <c r="AV784" s="88"/>
      <c r="AW784" s="96"/>
      <c r="AX784" s="97"/>
      <c r="AY784" s="93"/>
      <c r="BB784" s="94"/>
    </row>
    <row r="785" spans="42:54">
      <c r="AP785" s="86"/>
      <c r="AQ785" s="88"/>
      <c r="AR785" s="89"/>
      <c r="AS785" s="90"/>
      <c r="AV785" s="88"/>
      <c r="AW785" s="96"/>
      <c r="AX785" s="97"/>
      <c r="AY785" s="93"/>
      <c r="BB785" s="94"/>
    </row>
    <row r="786" spans="42:54">
      <c r="AP786" s="86"/>
      <c r="AQ786" s="88"/>
      <c r="AR786" s="89"/>
      <c r="AS786" s="90"/>
      <c r="AV786" s="88"/>
      <c r="AW786" s="96"/>
      <c r="AX786" s="97"/>
      <c r="AY786" s="93"/>
      <c r="BB786" s="94"/>
    </row>
    <row r="787" spans="42:54">
      <c r="AP787" s="86"/>
      <c r="AQ787" s="88"/>
      <c r="AR787" s="89"/>
      <c r="AS787" s="90"/>
      <c r="AV787" s="88"/>
      <c r="AW787" s="96"/>
      <c r="AX787" s="97"/>
      <c r="AY787" s="93"/>
      <c r="BB787" s="94"/>
    </row>
    <row r="788" spans="42:54">
      <c r="AP788" s="86"/>
      <c r="AQ788" s="88"/>
      <c r="AR788" s="89"/>
      <c r="AS788" s="90"/>
      <c r="AV788" s="88"/>
      <c r="AW788" s="96"/>
      <c r="AX788" s="97"/>
      <c r="AY788" s="93"/>
      <c r="BB788" s="94"/>
    </row>
    <row r="789" spans="42:54">
      <c r="AP789" s="86"/>
      <c r="AQ789" s="88"/>
      <c r="AR789" s="89"/>
      <c r="AS789" s="90"/>
      <c r="AV789" s="88"/>
      <c r="AW789" s="96"/>
      <c r="AX789" s="97"/>
      <c r="AY789" s="93"/>
      <c r="BB789" s="94"/>
    </row>
    <row r="790" spans="42:54">
      <c r="AP790" s="86"/>
      <c r="AQ790" s="88"/>
      <c r="AR790" s="89"/>
      <c r="AS790" s="90"/>
      <c r="AV790" s="88"/>
      <c r="AW790" s="96"/>
      <c r="AX790" s="97"/>
      <c r="AY790" s="93"/>
      <c r="BB790" s="94"/>
    </row>
    <row r="791" spans="42:54">
      <c r="AP791" s="86"/>
      <c r="AQ791" s="88"/>
      <c r="AR791" s="89"/>
      <c r="AS791" s="90"/>
      <c r="AV791" s="88"/>
      <c r="AW791" s="96"/>
      <c r="AX791" s="97"/>
      <c r="AY791" s="93"/>
      <c r="BB791" s="94"/>
    </row>
    <row r="792" spans="42:54">
      <c r="AP792" s="86"/>
      <c r="AQ792" s="88"/>
      <c r="AR792" s="89"/>
      <c r="AS792" s="90"/>
      <c r="AV792" s="88"/>
      <c r="AW792" s="96"/>
      <c r="AX792" s="97"/>
      <c r="AY792" s="93"/>
      <c r="BB792" s="94"/>
    </row>
    <row r="793" spans="42:54">
      <c r="AP793" s="86"/>
      <c r="AQ793" s="88"/>
      <c r="AR793" s="89"/>
      <c r="AS793" s="90"/>
      <c r="AV793" s="88"/>
      <c r="AW793" s="96"/>
      <c r="AX793" s="97"/>
      <c r="AY793" s="93"/>
      <c r="BB793" s="94"/>
    </row>
    <row r="794" spans="42:54">
      <c r="AP794" s="86"/>
      <c r="AQ794" s="88"/>
      <c r="AR794" s="89"/>
      <c r="AS794" s="90"/>
      <c r="AV794" s="88"/>
      <c r="AW794" s="96"/>
      <c r="AX794" s="97"/>
      <c r="AY794" s="93"/>
      <c r="BB794" s="94"/>
    </row>
    <row r="795" spans="42:54">
      <c r="AP795" s="86"/>
      <c r="AQ795" s="88"/>
      <c r="AR795" s="89"/>
      <c r="AS795" s="90"/>
      <c r="AV795" s="88"/>
      <c r="AW795" s="96"/>
      <c r="AX795" s="97"/>
      <c r="AY795" s="93"/>
      <c r="BB795" s="94"/>
    </row>
    <row r="796" spans="42:54">
      <c r="AP796" s="86"/>
      <c r="AQ796" s="88"/>
      <c r="AR796" s="89"/>
      <c r="AS796" s="90"/>
      <c r="AV796" s="88"/>
      <c r="AW796" s="96"/>
      <c r="AX796" s="97"/>
      <c r="AY796" s="93"/>
      <c r="BB796" s="94"/>
    </row>
    <row r="797" spans="42:54">
      <c r="AP797" s="86"/>
      <c r="AQ797" s="88"/>
      <c r="AR797" s="89"/>
      <c r="AS797" s="90"/>
      <c r="AV797" s="88"/>
      <c r="AW797" s="96"/>
      <c r="AX797" s="97"/>
      <c r="AY797" s="93"/>
      <c r="BB797" s="94"/>
    </row>
    <row r="798" spans="42:54">
      <c r="AP798" s="86"/>
      <c r="AQ798" s="88"/>
      <c r="AR798" s="89"/>
      <c r="AS798" s="90"/>
      <c r="AV798" s="88"/>
      <c r="AW798" s="96"/>
      <c r="AX798" s="97"/>
      <c r="AY798" s="93"/>
      <c r="BB798" s="94"/>
    </row>
    <row r="799" spans="42:54">
      <c r="AP799" s="86"/>
      <c r="AQ799" s="88"/>
      <c r="AR799" s="89"/>
      <c r="AS799" s="90"/>
      <c r="AV799" s="88"/>
      <c r="AW799" s="96"/>
      <c r="AX799" s="97"/>
      <c r="AY799" s="93"/>
      <c r="BB799" s="94"/>
    </row>
    <row r="800" spans="42:54">
      <c r="AP800" s="86"/>
      <c r="AQ800" s="88"/>
      <c r="AR800" s="89"/>
      <c r="AS800" s="90"/>
      <c r="AV800" s="88"/>
      <c r="AW800" s="96"/>
      <c r="AX800" s="97"/>
      <c r="AY800" s="93"/>
      <c r="BB800" s="94"/>
    </row>
    <row r="801" spans="42:54">
      <c r="AP801" s="86"/>
      <c r="AQ801" s="88"/>
      <c r="AR801" s="89"/>
      <c r="AS801" s="90"/>
      <c r="AV801" s="88"/>
      <c r="AW801" s="96"/>
      <c r="AX801" s="97"/>
      <c r="AY801" s="93"/>
      <c r="BB801" s="94"/>
    </row>
    <row r="802" spans="42:54">
      <c r="AP802" s="86"/>
      <c r="AQ802" s="88"/>
      <c r="AR802" s="89"/>
      <c r="AS802" s="90"/>
      <c r="AV802" s="88"/>
      <c r="AW802" s="96"/>
      <c r="AX802" s="97"/>
      <c r="AY802" s="93"/>
      <c r="BB802" s="94"/>
    </row>
    <row r="803" spans="42:54">
      <c r="AP803" s="86"/>
      <c r="AQ803" s="88"/>
      <c r="AR803" s="89"/>
      <c r="AS803" s="90"/>
      <c r="AV803" s="88"/>
      <c r="AW803" s="96"/>
      <c r="AX803" s="97"/>
      <c r="AY803" s="93"/>
      <c r="BB803" s="94"/>
    </row>
    <row r="804" spans="42:54">
      <c r="AP804" s="86"/>
      <c r="AQ804" s="88"/>
      <c r="AR804" s="89"/>
      <c r="AS804" s="90"/>
      <c r="AV804" s="88"/>
      <c r="AW804" s="96"/>
      <c r="AX804" s="97"/>
      <c r="AY804" s="93"/>
      <c r="BB804" s="94"/>
    </row>
    <row r="805" spans="42:54">
      <c r="AP805" s="86"/>
      <c r="AQ805" s="88"/>
      <c r="AR805" s="89"/>
      <c r="AS805" s="90"/>
      <c r="AV805" s="88"/>
      <c r="AW805" s="96"/>
      <c r="AX805" s="97"/>
      <c r="AY805" s="93"/>
      <c r="BB805" s="94"/>
    </row>
    <row r="806" spans="42:54">
      <c r="AP806" s="86"/>
      <c r="AQ806" s="88"/>
      <c r="AR806" s="89"/>
      <c r="AS806" s="90"/>
      <c r="AV806" s="88"/>
      <c r="AW806" s="96"/>
      <c r="AX806" s="97"/>
      <c r="AY806" s="93"/>
      <c r="BB806" s="94"/>
    </row>
    <row r="807" spans="42:54">
      <c r="AP807" s="86"/>
      <c r="AQ807" s="88"/>
      <c r="AR807" s="89"/>
      <c r="AS807" s="90"/>
      <c r="AV807" s="88"/>
      <c r="AW807" s="96"/>
      <c r="AX807" s="97"/>
      <c r="AY807" s="93"/>
      <c r="BB807" s="94"/>
    </row>
    <row r="808" spans="42:54">
      <c r="AP808" s="86"/>
      <c r="AQ808" s="88"/>
      <c r="AR808" s="89"/>
      <c r="AS808" s="90"/>
      <c r="AV808" s="88"/>
      <c r="AW808" s="96"/>
      <c r="AX808" s="97"/>
      <c r="AY808" s="93"/>
      <c r="BB808" s="94"/>
    </row>
    <row r="809" spans="42:54">
      <c r="AP809" s="86"/>
      <c r="AQ809" s="88"/>
      <c r="AR809" s="89"/>
      <c r="AS809" s="90"/>
      <c r="AV809" s="88"/>
      <c r="AW809" s="96"/>
      <c r="AX809" s="97"/>
      <c r="AY809" s="93"/>
      <c r="BB809" s="94"/>
    </row>
    <row r="810" spans="42:54">
      <c r="AP810" s="86"/>
      <c r="AQ810" s="88"/>
      <c r="AR810" s="89"/>
      <c r="AS810" s="90"/>
      <c r="AV810" s="88"/>
      <c r="AW810" s="96"/>
      <c r="AX810" s="97"/>
      <c r="AY810" s="93"/>
      <c r="BB810" s="94"/>
    </row>
    <row r="811" spans="42:54">
      <c r="AP811" s="86"/>
      <c r="AQ811" s="88"/>
      <c r="AR811" s="89"/>
      <c r="AS811" s="90"/>
      <c r="AV811" s="88"/>
      <c r="AW811" s="96"/>
      <c r="AX811" s="97"/>
      <c r="AY811" s="93"/>
      <c r="BB811" s="94"/>
    </row>
    <row r="812" spans="42:54">
      <c r="AP812" s="86"/>
      <c r="AQ812" s="88"/>
      <c r="AR812" s="89"/>
      <c r="AS812" s="90"/>
      <c r="AV812" s="88"/>
      <c r="AW812" s="96"/>
      <c r="AX812" s="97"/>
      <c r="AY812" s="93"/>
      <c r="BB812" s="94"/>
    </row>
    <row r="813" spans="42:54">
      <c r="AP813" s="86"/>
      <c r="AQ813" s="88"/>
      <c r="AR813" s="89"/>
      <c r="AS813" s="90"/>
      <c r="AV813" s="88"/>
      <c r="AW813" s="96"/>
      <c r="AX813" s="97"/>
      <c r="AY813" s="93"/>
      <c r="BB813" s="94"/>
    </row>
    <row r="814" spans="42:54">
      <c r="AP814" s="86"/>
      <c r="AQ814" s="88"/>
      <c r="AR814" s="89"/>
      <c r="AS814" s="90"/>
      <c r="AV814" s="88"/>
      <c r="AW814" s="96"/>
      <c r="AX814" s="97"/>
      <c r="AY814" s="93"/>
      <c r="BB814" s="94"/>
    </row>
    <row r="815" spans="42:54">
      <c r="AP815" s="86"/>
      <c r="AQ815" s="88"/>
      <c r="AR815" s="89"/>
      <c r="AS815" s="90"/>
      <c r="AV815" s="88"/>
      <c r="AW815" s="96"/>
      <c r="AX815" s="97"/>
      <c r="AY815" s="93"/>
      <c r="BB815" s="94"/>
    </row>
    <row r="816" spans="42:54">
      <c r="AP816" s="86"/>
      <c r="AQ816" s="88"/>
      <c r="AR816" s="89"/>
      <c r="AS816" s="90"/>
      <c r="AV816" s="88"/>
      <c r="AW816" s="96"/>
      <c r="AX816" s="97"/>
      <c r="AY816" s="93"/>
      <c r="BB816" s="94"/>
    </row>
    <row r="817" spans="42:54">
      <c r="AP817" s="86"/>
      <c r="AQ817" s="88"/>
      <c r="AR817" s="89"/>
      <c r="AS817" s="90"/>
      <c r="AV817" s="88"/>
      <c r="AW817" s="96"/>
      <c r="AX817" s="97"/>
      <c r="AY817" s="93"/>
      <c r="BB817" s="94"/>
    </row>
    <row r="818" spans="42:54">
      <c r="AP818" s="86"/>
      <c r="AQ818" s="88"/>
      <c r="AR818" s="89"/>
      <c r="AS818" s="90"/>
      <c r="AV818" s="88"/>
      <c r="AW818" s="96"/>
      <c r="AX818" s="97"/>
      <c r="AY818" s="93"/>
      <c r="BB818" s="94"/>
    </row>
    <row r="819" spans="42:54">
      <c r="AP819" s="86"/>
      <c r="AQ819" s="88"/>
      <c r="AR819" s="89"/>
      <c r="AS819" s="90"/>
      <c r="AV819" s="88"/>
      <c r="AW819" s="96"/>
      <c r="AX819" s="97"/>
      <c r="AY819" s="93"/>
      <c r="BB819" s="94"/>
    </row>
    <row r="820" spans="42:54">
      <c r="AP820" s="86"/>
      <c r="AQ820" s="88"/>
      <c r="AR820" s="89"/>
      <c r="AS820" s="90"/>
      <c r="AV820" s="88"/>
      <c r="AW820" s="96"/>
      <c r="AX820" s="97"/>
      <c r="AY820" s="93"/>
      <c r="BB820" s="94"/>
    </row>
    <row r="821" spans="42:54">
      <c r="AP821" s="86"/>
      <c r="AQ821" s="88"/>
      <c r="AR821" s="89"/>
      <c r="AS821" s="90"/>
      <c r="AV821" s="88"/>
      <c r="AW821" s="96"/>
      <c r="AX821" s="97"/>
      <c r="AY821" s="93"/>
      <c r="BB821" s="94"/>
    </row>
    <row r="822" spans="42:54">
      <c r="AP822" s="86"/>
      <c r="AQ822" s="88"/>
      <c r="AR822" s="89"/>
      <c r="AS822" s="90"/>
      <c r="AV822" s="88"/>
      <c r="AW822" s="96"/>
      <c r="AX822" s="97"/>
      <c r="AY822" s="93"/>
      <c r="BB822" s="94"/>
    </row>
    <row r="823" spans="42:54">
      <c r="AP823" s="86"/>
      <c r="AQ823" s="88"/>
      <c r="AR823" s="89"/>
      <c r="AS823" s="90"/>
      <c r="AV823" s="88"/>
      <c r="AW823" s="96"/>
      <c r="AX823" s="97"/>
      <c r="AY823" s="93"/>
      <c r="BB823" s="94"/>
    </row>
    <row r="824" spans="42:54">
      <c r="AP824" s="86"/>
      <c r="AQ824" s="88"/>
      <c r="AR824" s="89"/>
      <c r="AS824" s="90"/>
      <c r="AV824" s="88"/>
      <c r="AW824" s="96"/>
      <c r="AX824" s="97"/>
      <c r="AY824" s="93"/>
      <c r="BB824" s="94"/>
    </row>
    <row r="825" spans="42:54">
      <c r="AP825" s="86"/>
      <c r="AQ825" s="88"/>
      <c r="AR825" s="89"/>
      <c r="AS825" s="90"/>
      <c r="AV825" s="88"/>
      <c r="AW825" s="96"/>
      <c r="AX825" s="97"/>
      <c r="AY825" s="93"/>
      <c r="BB825" s="94"/>
    </row>
    <row r="826" spans="42:54">
      <c r="AP826" s="86"/>
      <c r="AQ826" s="88"/>
      <c r="AR826" s="89"/>
      <c r="AS826" s="90"/>
      <c r="AV826" s="88"/>
      <c r="AW826" s="96"/>
      <c r="AX826" s="97"/>
      <c r="AY826" s="93"/>
      <c r="BB826" s="94"/>
    </row>
    <row r="827" spans="42:54">
      <c r="AP827" s="86"/>
      <c r="AQ827" s="88"/>
      <c r="AR827" s="89"/>
      <c r="AS827" s="90"/>
      <c r="AV827" s="88"/>
      <c r="AW827" s="96"/>
      <c r="AX827" s="97"/>
      <c r="AY827" s="93"/>
      <c r="BB827" s="94"/>
    </row>
    <row r="828" spans="42:54">
      <c r="AP828" s="86"/>
      <c r="AQ828" s="88"/>
      <c r="AR828" s="89"/>
      <c r="AS828" s="90"/>
      <c r="AV828" s="88"/>
      <c r="AW828" s="96"/>
      <c r="AX828" s="97"/>
      <c r="AY828" s="93"/>
      <c r="BB828" s="94"/>
    </row>
    <row r="829" spans="42:54">
      <c r="AP829" s="86"/>
      <c r="AQ829" s="88"/>
      <c r="AR829" s="89"/>
      <c r="AS829" s="90"/>
      <c r="AV829" s="88"/>
      <c r="AW829" s="96"/>
      <c r="AX829" s="97"/>
      <c r="AY829" s="93"/>
      <c r="BB829" s="94"/>
    </row>
    <row r="830" spans="42:54">
      <c r="AP830" s="86"/>
      <c r="AQ830" s="88"/>
      <c r="AR830" s="89"/>
      <c r="AS830" s="90"/>
      <c r="AV830" s="88"/>
      <c r="AW830" s="96"/>
      <c r="AX830" s="97"/>
      <c r="AY830" s="93"/>
      <c r="BB830" s="94"/>
    </row>
    <row r="831" spans="42:54">
      <c r="AP831" s="86"/>
      <c r="AQ831" s="88"/>
      <c r="AR831" s="89"/>
      <c r="AS831" s="90"/>
      <c r="AV831" s="88"/>
      <c r="AW831" s="96"/>
      <c r="AX831" s="97"/>
      <c r="AY831" s="93"/>
      <c r="BB831" s="94"/>
    </row>
    <row r="832" spans="42:54">
      <c r="AP832" s="86"/>
      <c r="AQ832" s="88"/>
      <c r="AR832" s="89"/>
      <c r="AS832" s="90"/>
      <c r="AV832" s="88"/>
      <c r="AW832" s="96"/>
      <c r="AX832" s="97"/>
      <c r="AY832" s="93"/>
      <c r="BB832" s="94"/>
    </row>
    <row r="833" spans="42:54">
      <c r="AP833" s="86"/>
      <c r="AQ833" s="88"/>
      <c r="AR833" s="89"/>
      <c r="AS833" s="90"/>
      <c r="AV833" s="88"/>
      <c r="AW833" s="96"/>
      <c r="AX833" s="97"/>
      <c r="AY833" s="93"/>
      <c r="BB833" s="94"/>
    </row>
    <row r="834" spans="42:54">
      <c r="AP834" s="86"/>
      <c r="AQ834" s="88"/>
      <c r="AR834" s="89"/>
      <c r="AS834" s="90"/>
      <c r="AV834" s="88"/>
      <c r="AW834" s="96"/>
      <c r="AX834" s="97"/>
      <c r="AY834" s="93"/>
      <c r="BB834" s="94"/>
    </row>
    <row r="835" spans="42:54">
      <c r="AP835" s="86"/>
      <c r="AQ835" s="88"/>
      <c r="AR835" s="89"/>
      <c r="AS835" s="90"/>
      <c r="AV835" s="88"/>
      <c r="AW835" s="96"/>
      <c r="AX835" s="97"/>
      <c r="AY835" s="93"/>
      <c r="BB835" s="94"/>
    </row>
    <row r="836" spans="42:54">
      <c r="AP836" s="86"/>
      <c r="AQ836" s="88"/>
      <c r="AR836" s="89"/>
      <c r="AS836" s="90"/>
      <c r="AV836" s="88"/>
      <c r="AW836" s="96"/>
      <c r="AX836" s="97"/>
      <c r="AY836" s="93"/>
      <c r="BB836" s="94"/>
    </row>
    <row r="837" spans="42:54">
      <c r="AP837" s="86"/>
      <c r="AQ837" s="88"/>
      <c r="AR837" s="89"/>
      <c r="AS837" s="90"/>
      <c r="AV837" s="88"/>
      <c r="AW837" s="96"/>
      <c r="AX837" s="97"/>
      <c r="AY837" s="93"/>
      <c r="BB837" s="94"/>
    </row>
    <row r="838" spans="42:54">
      <c r="AP838" s="86"/>
      <c r="AQ838" s="88"/>
      <c r="AR838" s="89"/>
      <c r="AS838" s="90"/>
      <c r="AV838" s="88"/>
      <c r="AW838" s="96"/>
      <c r="AX838" s="97"/>
      <c r="AY838" s="93"/>
      <c r="BB838" s="94"/>
    </row>
    <row r="839" spans="42:54">
      <c r="AP839" s="86"/>
      <c r="AQ839" s="88"/>
      <c r="AR839" s="89"/>
      <c r="AS839" s="90"/>
      <c r="AV839" s="88"/>
      <c r="AW839" s="96"/>
      <c r="AX839" s="97"/>
      <c r="AY839" s="93"/>
      <c r="BB839" s="94"/>
    </row>
    <row r="840" spans="42:54">
      <c r="AP840" s="86"/>
      <c r="AQ840" s="88"/>
      <c r="AR840" s="89"/>
      <c r="AS840" s="90"/>
      <c r="AV840" s="88"/>
      <c r="AW840" s="96"/>
      <c r="AX840" s="97"/>
      <c r="AY840" s="93"/>
      <c r="BB840" s="94"/>
    </row>
    <row r="841" spans="42:54">
      <c r="AP841" s="86"/>
      <c r="AQ841" s="88"/>
      <c r="AR841" s="89"/>
      <c r="AS841" s="90"/>
      <c r="AV841" s="88"/>
      <c r="AW841" s="96"/>
      <c r="AX841" s="97"/>
      <c r="AY841" s="93"/>
      <c r="BB841" s="94"/>
    </row>
    <row r="842" spans="42:54">
      <c r="AP842" s="86"/>
      <c r="AQ842" s="88"/>
      <c r="AR842" s="89"/>
      <c r="AS842" s="90"/>
      <c r="AV842" s="88"/>
      <c r="AW842" s="96"/>
      <c r="AX842" s="97"/>
      <c r="AY842" s="93"/>
      <c r="BB842" s="94"/>
    </row>
    <row r="843" spans="42:54">
      <c r="AP843" s="86"/>
      <c r="AQ843" s="88"/>
      <c r="AR843" s="89"/>
      <c r="AS843" s="90"/>
      <c r="AV843" s="88"/>
      <c r="AW843" s="96"/>
      <c r="AX843" s="97"/>
      <c r="AY843" s="93"/>
      <c r="BB843" s="94"/>
    </row>
    <row r="844" spans="42:54">
      <c r="AP844" s="86"/>
      <c r="AQ844" s="88"/>
      <c r="AR844" s="89"/>
      <c r="AS844" s="90"/>
      <c r="AV844" s="88"/>
      <c r="AW844" s="96"/>
      <c r="AX844" s="97"/>
      <c r="AY844" s="93"/>
      <c r="BB844" s="94"/>
    </row>
    <row r="845" spans="42:54">
      <c r="AP845" s="86"/>
      <c r="AQ845" s="88"/>
      <c r="AR845" s="89"/>
      <c r="AS845" s="90"/>
      <c r="AV845" s="88"/>
      <c r="AW845" s="96"/>
      <c r="AX845" s="97"/>
      <c r="AY845" s="93"/>
      <c r="BB845" s="94"/>
    </row>
    <row r="846" spans="42:54">
      <c r="AP846" s="86"/>
      <c r="AQ846" s="88"/>
      <c r="AR846" s="89"/>
      <c r="AS846" s="90"/>
      <c r="AV846" s="88"/>
      <c r="AW846" s="96"/>
      <c r="AX846" s="97"/>
      <c r="AY846" s="93"/>
      <c r="BB846" s="94"/>
    </row>
    <row r="847" spans="42:54">
      <c r="AP847" s="86"/>
      <c r="AQ847" s="88"/>
      <c r="AR847" s="89"/>
      <c r="AS847" s="90"/>
      <c r="AV847" s="88"/>
      <c r="AW847" s="96"/>
      <c r="AX847" s="97"/>
      <c r="AY847" s="93"/>
      <c r="BB847" s="94"/>
    </row>
    <row r="848" spans="42:54">
      <c r="AP848" s="86"/>
      <c r="AQ848" s="88"/>
      <c r="AR848" s="89"/>
      <c r="AS848" s="90"/>
      <c r="AV848" s="88"/>
      <c r="AW848" s="96"/>
      <c r="AX848" s="97"/>
      <c r="AY848" s="93"/>
      <c r="BB848" s="94"/>
    </row>
    <row r="849" spans="42:54">
      <c r="AP849" s="86"/>
      <c r="AQ849" s="88"/>
      <c r="AR849" s="89"/>
      <c r="AS849" s="90"/>
      <c r="AV849" s="88"/>
      <c r="AW849" s="96"/>
      <c r="AX849" s="97"/>
      <c r="AY849" s="93"/>
      <c r="BB849" s="94"/>
    </row>
    <row r="850" spans="42:54">
      <c r="AP850" s="86"/>
      <c r="AQ850" s="88"/>
      <c r="AR850" s="89"/>
      <c r="AS850" s="90"/>
      <c r="AV850" s="88"/>
      <c r="AW850" s="96"/>
      <c r="AX850" s="97"/>
      <c r="AY850" s="93"/>
      <c r="BB850" s="94"/>
    </row>
    <row r="851" spans="42:54">
      <c r="AP851" s="86"/>
      <c r="AQ851" s="88"/>
      <c r="AR851" s="89"/>
      <c r="AS851" s="90"/>
      <c r="AV851" s="88"/>
      <c r="AW851" s="96"/>
      <c r="AX851" s="97"/>
      <c r="AY851" s="93"/>
      <c r="BB851" s="94"/>
    </row>
    <row r="852" spans="42:54">
      <c r="AP852" s="86"/>
      <c r="AQ852" s="88"/>
      <c r="AR852" s="89"/>
      <c r="AS852" s="90"/>
      <c r="AV852" s="88"/>
      <c r="AW852" s="96"/>
      <c r="AX852" s="97"/>
      <c r="AY852" s="93"/>
      <c r="BB852" s="94"/>
    </row>
    <row r="853" spans="42:54">
      <c r="AP853" s="86"/>
      <c r="AQ853" s="88"/>
      <c r="AR853" s="89"/>
      <c r="AS853" s="90"/>
      <c r="AV853" s="88"/>
      <c r="AW853" s="96"/>
      <c r="AX853" s="97"/>
      <c r="AY853" s="93"/>
      <c r="BB853" s="94"/>
    </row>
    <row r="854" spans="42:54">
      <c r="AP854" s="86"/>
      <c r="AQ854" s="88"/>
      <c r="AR854" s="89"/>
      <c r="AS854" s="90"/>
      <c r="AV854" s="88"/>
      <c r="AW854" s="96"/>
      <c r="AX854" s="97"/>
      <c r="AY854" s="93"/>
      <c r="BB854" s="94"/>
    </row>
    <row r="855" spans="42:54">
      <c r="AP855" s="86"/>
      <c r="AQ855" s="88"/>
      <c r="AR855" s="89"/>
      <c r="AS855" s="90"/>
      <c r="AV855" s="88"/>
      <c r="AW855" s="96"/>
      <c r="AX855" s="97"/>
      <c r="AY855" s="93"/>
      <c r="BB855" s="94"/>
    </row>
    <row r="856" spans="42:54">
      <c r="AP856" s="86"/>
      <c r="AQ856" s="88"/>
      <c r="AR856" s="89"/>
      <c r="AS856" s="90"/>
      <c r="AV856" s="88"/>
      <c r="AW856" s="96"/>
      <c r="AX856" s="97"/>
      <c r="AY856" s="93"/>
      <c r="BB856" s="94"/>
    </row>
    <row r="857" spans="42:54">
      <c r="AP857" s="86"/>
      <c r="AQ857" s="88"/>
      <c r="AR857" s="89"/>
      <c r="AS857" s="90"/>
      <c r="AV857" s="88"/>
      <c r="AW857" s="96"/>
      <c r="AX857" s="97"/>
      <c r="AY857" s="93"/>
      <c r="BB857" s="94"/>
    </row>
    <row r="858" spans="42:54">
      <c r="AP858" s="86"/>
      <c r="AQ858" s="88"/>
      <c r="AR858" s="89"/>
      <c r="AS858" s="90"/>
      <c r="AV858" s="88"/>
      <c r="AW858" s="96"/>
      <c r="AX858" s="97"/>
      <c r="AY858" s="93"/>
      <c r="BB858" s="94"/>
    </row>
    <row r="859" spans="42:54">
      <c r="AP859" s="86"/>
      <c r="AQ859" s="88"/>
      <c r="AR859" s="89"/>
      <c r="AS859" s="90"/>
      <c r="AV859" s="88"/>
      <c r="AW859" s="96"/>
      <c r="AX859" s="97"/>
      <c r="AY859" s="93"/>
      <c r="BB859" s="94"/>
    </row>
    <row r="860" spans="42:54">
      <c r="AP860" s="86"/>
      <c r="AQ860" s="88"/>
      <c r="AR860" s="89"/>
      <c r="AS860" s="90"/>
      <c r="AV860" s="88"/>
      <c r="AW860" s="96"/>
      <c r="AX860" s="97"/>
      <c r="AY860" s="93"/>
      <c r="BB860" s="94"/>
    </row>
    <row r="861" spans="42:54">
      <c r="AP861" s="86"/>
      <c r="AQ861" s="88"/>
      <c r="AR861" s="89"/>
      <c r="AS861" s="90"/>
      <c r="AV861" s="88"/>
      <c r="AW861" s="96"/>
      <c r="AX861" s="97"/>
      <c r="AY861" s="93"/>
      <c r="BB861" s="94"/>
    </row>
    <row r="862" spans="42:54">
      <c r="AP862" s="86"/>
      <c r="AQ862" s="88"/>
      <c r="AR862" s="89"/>
      <c r="AS862" s="90"/>
      <c r="AV862" s="88"/>
      <c r="AW862" s="96"/>
      <c r="AX862" s="97"/>
      <c r="AY862" s="93"/>
      <c r="BB862" s="94"/>
    </row>
    <row r="863" spans="42:54">
      <c r="AP863" s="86"/>
      <c r="AQ863" s="88"/>
      <c r="AR863" s="89"/>
      <c r="AS863" s="90"/>
      <c r="AV863" s="88"/>
      <c r="AW863" s="96"/>
      <c r="AX863" s="97"/>
      <c r="AY863" s="93"/>
      <c r="BB863" s="94"/>
    </row>
    <row r="864" spans="42: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sheetData>
  <sortState ref="A2:BI188">
    <sortCondition ref="C2:C188"/>
    <sortCondition ref="D2:D188"/>
  </sortState>
  <conditionalFormatting sqref="K1 K348:K382 AM1 AM184:AM190 AL2 AL117:AL121 AL132 AL134:AL150 AL160:AL183 AM192 AL7:AL111 AL124:AL129 AM196:AM232 AM257:AM382 AM234:AM251 AM467:AM1048576 K467:K1048576">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2:K99 K101:K104 K234:K347">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K134:K152 K158:K169 K171:K193 K105:K122 K195:K232 K124:K132">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00">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12:AM116">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AM130:AM131">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L133">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33">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1:AM152 AM158:AM159">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5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M15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K154">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AM154">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155">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AM155">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56">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M15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K157">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M157">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70">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L19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M191">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M19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K194">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5">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3">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L4">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5">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6">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122">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2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J123">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M2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254">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M25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6">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383:AM387">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383:K387">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33">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233">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8:K429 AM388:AM429">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430:K466 AM430:AM442 AM450:AM466">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M443:AM449">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108">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96">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60">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60">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96">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108">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72">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108">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56">
      <c r="A798" s="3" t="s">
        <v>3799</v>
      </c>
      <c r="B798" s="5" t="s">
        <v>3421</v>
      </c>
      <c r="C798" s="3"/>
    </row>
    <row r="799" spans="1:3" ht="120">
      <c r="A799" s="3" t="s">
        <v>3800</v>
      </c>
      <c r="B799" s="5" t="s">
        <v>3422</v>
      </c>
      <c r="C799" s="3"/>
    </row>
    <row r="800" spans="1:3" ht="108">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20">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2017-07-06T21:52:48Z</dcterms:modified>
</cp:coreProperties>
</file>